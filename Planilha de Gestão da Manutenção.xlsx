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hashtagtreinamentos-my.sharepoint.com/personal/alfredo_araujo_hashtagtreinamentos_com/Documents/Fred/1 - Youtube de Terça Quinta e Sexta/Arquivos Videos Prontos/Semana 0603/"/>
    </mc:Choice>
  </mc:AlternateContent>
  <xr:revisionPtr revIDLastSave="2" documentId="8_{6917CAD6-7C24-4F77-9640-DF0C7BCDD8EC}" xr6:coauthVersionLast="47" xr6:coauthVersionMax="47" xr10:uidLastSave="{E1A84BC7-AB30-4626-A714-C07973EEED75}"/>
  <bookViews>
    <workbookView xWindow="-108" yWindow="-108" windowWidth="23256" windowHeight="13176" activeTab="2" xr2:uid="{9430CA97-F771-4C48-BB72-0CF29244E6A9}"/>
  </bookViews>
  <sheets>
    <sheet name="Ativos" sheetId="4" r:id="rId1"/>
    <sheet name="Controle" sheetId="3" r:id="rId2"/>
    <sheet name="Resumo Mês" sheetId="2" r:id="rId3"/>
    <sheet name="Análises" sheetId="5" state="hidden" r:id="rId4"/>
    <sheet name="Painel" sheetId="7" r:id="rId5"/>
  </sheets>
  <externalReferences>
    <externalReference r:id="rId6"/>
  </externalReferences>
  <definedNames>
    <definedName name="_xlnm._FilterDatabase" localSheetId="0" hidden="1">Ativos!$B$4:$D$12</definedName>
    <definedName name="Vendedor1">INDEX([1]Imagem!$B$2:$B$6,MATCH('[1]Análise Gabarito'!$G$15,[1]Imagem!$A$2:$A$6,0))</definedName>
    <definedName name="Vendedor2">INDEX([1]Imagem!$B$2:$B$6,MATCH('[1]Análise Gabarito'!$G$14,[1]Imagem!$A$2:$A$6,0))</definedName>
    <definedName name="Vendedor3">INDEX([1]Imagem!$B$2:$B$6,MATCH('[1]Análise Gabarito'!$G$13,[1]Imagem!$A$2:$A$6,0))</definedName>
    <definedName name="Vendedor4">INDEX([1]Imagem!$B$2:$B$6,MATCH('[1]Análise Gabarito'!$G$12,[1]Imagem!$A$2:$A$6,0))</definedName>
    <definedName name="Vendedor5">INDEX([1]Imagem!$B$2:$B$6,MATCH('[1]Análise Gabarito'!$G$11,[1]Imagem!$A$2:$A$6,0))</definedName>
  </definedName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D6" i="2" s="1"/>
  <c r="C13" i="3"/>
  <c r="C14" i="3"/>
  <c r="C5" i="3"/>
  <c r="C6" i="3"/>
  <c r="C7" i="3"/>
  <c r="C8" i="3"/>
  <c r="C9" i="3"/>
  <c r="C10" i="3"/>
  <c r="C11" i="3"/>
  <c r="E6" i="4"/>
  <c r="F6" i="4" s="1"/>
  <c r="G6" i="4" s="1"/>
  <c r="E7" i="4"/>
  <c r="F7" i="4" s="1"/>
  <c r="G7" i="4" s="1"/>
  <c r="E8" i="4"/>
  <c r="F8" i="4" s="1"/>
  <c r="G8" i="4" s="1"/>
  <c r="E9" i="4"/>
  <c r="F9" i="4" s="1"/>
  <c r="G9" i="4" s="1"/>
  <c r="E10" i="4"/>
  <c r="F10" i="4" s="1"/>
  <c r="G10" i="4" s="1"/>
  <c r="E11" i="4"/>
  <c r="F11" i="4" s="1"/>
  <c r="G11" i="4" s="1"/>
  <c r="E12" i="4"/>
  <c r="F12" i="4" s="1"/>
  <c r="G12" i="4" s="1"/>
  <c r="E5" i="4"/>
  <c r="F5" i="4" s="1"/>
  <c r="G5" i="4" s="1"/>
  <c r="D8" i="2" l="1"/>
  <c r="N8" i="2"/>
  <c r="M8" i="2"/>
  <c r="G8" i="2"/>
  <c r="N6" i="2"/>
  <c r="M6" i="2"/>
  <c r="L6" i="2"/>
  <c r="J6" i="2"/>
  <c r="I6" i="2"/>
  <c r="B14" i="2" a="1"/>
  <c r="B14" i="2" s="1"/>
  <c r="K8" i="2"/>
  <c r="J8" i="2"/>
  <c r="I8" i="2"/>
  <c r="H8" i="2"/>
  <c r="C8" i="2"/>
  <c r="L8" i="2"/>
  <c r="F8" i="2"/>
  <c r="E8" i="2"/>
  <c r="C6" i="2"/>
  <c r="K6" i="2"/>
  <c r="H6" i="2"/>
  <c r="G6" i="2"/>
  <c r="F6" i="2"/>
  <c r="E6" i="2"/>
  <c r="M7" i="2"/>
  <c r="M5" i="2" s="1"/>
  <c r="N7" i="2"/>
  <c r="H7" i="2"/>
  <c r="G7" i="2"/>
  <c r="F7" i="2"/>
  <c r="E7" i="2"/>
  <c r="I7" i="2"/>
  <c r="I5" i="2" s="1"/>
  <c r="D7" i="2"/>
  <c r="D5" i="2" s="1"/>
  <c r="L7" i="2"/>
  <c r="L5" i="2" s="1"/>
  <c r="K7" i="2"/>
  <c r="K5" i="2" s="1"/>
  <c r="C7" i="2"/>
  <c r="J7" i="2"/>
  <c r="J5" i="2" s="1"/>
  <c r="O8" i="2" l="1"/>
  <c r="N5" i="2"/>
  <c r="E5" i="2"/>
  <c r="H5" i="2"/>
  <c r="O6" i="2"/>
  <c r="F5" i="2"/>
  <c r="G5" i="2"/>
  <c r="O7" i="2"/>
  <c r="C5" i="2"/>
  <c r="O5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<sst xmlns="http://schemas.openxmlformats.org/spreadsheetml/2006/main" count="150" uniqueCount="71">
  <si>
    <t>Ativos</t>
  </si>
  <si>
    <t>Nome</t>
  </si>
  <si>
    <t>Data Aquisição</t>
  </si>
  <si>
    <t>Frequência Manutenção Preventiva (dias)</t>
  </si>
  <si>
    <t>Última Preventiva</t>
  </si>
  <si>
    <t>Próxima Preventiva</t>
  </si>
  <si>
    <t>Ano</t>
  </si>
  <si>
    <t>Instrumento 6</t>
  </si>
  <si>
    <t>Instrumento 8</t>
  </si>
  <si>
    <t>Instrumento 3</t>
  </si>
  <si>
    <t>Instrumento 4</t>
  </si>
  <si>
    <t>Instrumento 2</t>
  </si>
  <si>
    <t>Instrumento 1</t>
  </si>
  <si>
    <t>Instrumento 7</t>
  </si>
  <si>
    <t>Instrumento 5</t>
  </si>
  <si>
    <t>Controle</t>
  </si>
  <si>
    <t>Data</t>
  </si>
  <si>
    <t>Mês</t>
  </si>
  <si>
    <t>Item</t>
  </si>
  <si>
    <t>Tipo de Manutenção</t>
  </si>
  <si>
    <t>Custo</t>
  </si>
  <si>
    <t>Status</t>
  </si>
  <si>
    <t>Peças Substituidas</t>
  </si>
  <si>
    <t>Conclusão</t>
  </si>
  <si>
    <t>Manutenção Preventiva</t>
  </si>
  <si>
    <t>Agendada</t>
  </si>
  <si>
    <t>Não</t>
  </si>
  <si>
    <t>Agendar outra manutenção</t>
  </si>
  <si>
    <t>Apto para serviço</t>
  </si>
  <si>
    <t>Manutenção Preditiva</t>
  </si>
  <si>
    <t>Manutenção Corretiva</t>
  </si>
  <si>
    <t>Realizada</t>
  </si>
  <si>
    <t>Sim</t>
  </si>
  <si>
    <t>Direcionar para descarte</t>
  </si>
  <si>
    <t>Resumo e Previsões</t>
  </si>
  <si>
    <t>Manutenção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</si>
  <si>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</si>
  <si>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</si>
  <si>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</si>
  <si>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</si>
  <si>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</si>
  <si>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</si>
  <si>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</si>
  <si>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</si>
  <si>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</si>
  <si>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</si>
  <si>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</si>
  <si>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</si>
  <si>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</si>
  <si>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Manutenções Previstas em</t>
  </si>
  <si>
    <t>Contagem de Tipo de Manutenção</t>
  </si>
  <si>
    <t>Rótulos de Coluna</t>
  </si>
  <si>
    <t>Rótulos de Linha</t>
  </si>
  <si>
    <t>Total Geral</t>
  </si>
  <si>
    <t>janeiro</t>
  </si>
  <si>
    <t>fevereiro</t>
  </si>
  <si>
    <t>março</t>
  </si>
  <si>
    <t>abril</t>
  </si>
  <si>
    <t>maio</t>
  </si>
  <si>
    <t>junho</t>
  </si>
  <si>
    <t>julho</t>
  </si>
  <si>
    <t>outubro</t>
  </si>
  <si>
    <t>jan</t>
  </si>
  <si>
    <t>fev</t>
  </si>
  <si>
    <t>mar</t>
  </si>
  <si>
    <t>abr</t>
  </si>
  <si>
    <t>mai</t>
  </si>
  <si>
    <t>jun</t>
  </si>
  <si>
    <t>jul</t>
  </si>
  <si>
    <t>out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</si>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</sst>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181E1E"/>
        <bgColor indexed="64"/>
      </patternFill>
    </fill>
    <fill>
      <patternFill patternType="solid">
        <fgColor rgb="FF181E1E"/>
        <bgColor theme="1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44" fontId="0" fillId="0" borderId="0" xfId="1" applyFont="1"/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3" borderId="0" xfId="0" applyFont="1" applyFill="1"/>
    <xf numFmtId="1" fontId="0" fillId="0" borderId="0" xfId="0" applyNumberFormat="1"/>
    <xf numFmtId="14" fontId="0" fillId="0" borderId="1" xfId="0" applyNumberFormat="1" applyBorder="1"/>
    <xf numFmtId="0" fontId="0" fillId="5" borderId="0" xfId="0" applyFill="1" applyAlignment="1">
      <alignment vertical="center" wrapText="1"/>
    </xf>
    <xf numFmtId="0" fontId="0" fillId="5" borderId="0" xfId="0" applyFill="1" applyAlignment="1">
      <alignment wrapText="1"/>
    </xf>
    <xf numFmtId="0" fontId="5" fillId="6" borderId="3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vertical="center" wrapText="1"/>
    </xf>
    <xf numFmtId="0" fontId="2" fillId="2" borderId="0" xfId="0" applyFont="1" applyFill="1"/>
    <xf numFmtId="0" fontId="6" fillId="5" borderId="0" xfId="0" applyFont="1" applyFill="1" applyAlignment="1">
      <alignment horizontal="left" vertical="center"/>
    </xf>
  </cellXfs>
  <cellStyles count="2">
    <cellStyle name="Moeda" xfId="1" builtinId="4"/>
    <cellStyle name="Normal" xfId="0" builtinId="0"/>
  </cellStyles>
  <dxfs count="9">
    <dxf>
      <numFmt numFmtId="19" formatCode="dd/mm/yyyy"/>
    </dxf>
    <dxf>
      <numFmt numFmtId="19" formatCode="dd/mm/yyyy"/>
    </dxf>
    <dxf>
      <fill>
        <patternFill patternType="solid">
          <fgColor indexed="64"/>
          <bgColor rgb="FF181E1E"/>
        </patternFill>
      </fill>
      <alignment horizontal="general" vertical="bottom" textRotation="0" wrapText="1" indent="0" justifyLastLine="0" shrinkToFit="0" readingOrder="0"/>
    </dxf>
    <dxf>
      <numFmt numFmtId="1" formatCode="0"/>
    </dxf>
    <dxf>
      <numFmt numFmtId="19" formatCode="dd/mm/yyyy"/>
    </dxf>
    <dxf>
      <numFmt numFmtId="19" formatCode="dd/mm/yyyy"/>
    </dxf>
    <dxf>
      <numFmt numFmtId="19" formatCode="dd/mm/yyyy"/>
    </dxf>
    <dxf>
      <fill>
        <patternFill patternType="solid">
          <fgColor indexed="64"/>
          <bgColor rgb="FF181E1E"/>
        </patternFill>
      </fill>
      <alignment horizontal="general" vertical="center" textRotation="0" wrapText="1" indent="0" justifyLastLine="0" shrinkToFit="0" readingOrder="0"/>
    </dxf>
    <dxf>
      <font>
        <sz val="11"/>
        <color rgb="FF081C15"/>
        <name val="Montserrat"/>
        <scheme val="none"/>
      </font>
      <fill>
        <patternFill>
          <bgColor theme="0"/>
        </patternFill>
      </fill>
    </dxf>
  </dxfs>
  <tableStyles count="1" defaultTableStyle="TableStyleMedium2" defaultPivotStyle="PivotStyleLight16">
    <tableStyle name="Slicer Style 1" pivot="0" table="0" count="3" xr9:uid="{03FAC6D6-EA1F-49E1-814A-16657C87F046}">
      <tableStyleElement type="wholeTable" dxfId="8"/>
    </tableStyle>
  </tableStyles>
  <colors>
    <mruColors>
      <color rgb="FF181E1E"/>
    </mruColors>
  </colors>
  <extLst>
    <ext xmlns:x14="http://schemas.microsoft.com/office/spreadsheetml/2009/9/main" uri="{46F421CA-312F-682f-3DD2-61675219B42D}">
      <x14:dxfs count="2">
        <dxf>
          <font>
            <sz val="11"/>
            <color theme="0"/>
            <name val="Montserrat"/>
            <scheme val="none"/>
          </font>
          <fill>
            <patternFill>
              <bgColor rgb="FF28323B"/>
            </patternFill>
          </fill>
        </dxf>
        <dxf>
          <font>
            <sz val="11"/>
            <color theme="0"/>
            <name val="Montserrat"/>
            <scheme val="none"/>
          </font>
          <fill>
            <patternFill>
              <bgColor rgb="FF28323B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Gestão da Manutenção.xlsx]Análises!Tabela dinâmica3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Análises!$H$11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8E3-4BDD-A238-ABFB92C160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8E3-4BDD-A238-ABFB92C1608B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Análises!$G$12:$G$14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Análises!$H$12:$H$14</c:f>
              <c:numCache>
                <c:formatCode>0.00%</c:formatCode>
                <c:ptCount val="2"/>
                <c:pt idx="0">
                  <c:v>0.8</c:v>
                </c:pt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E3-4BDD-A238-ABFB92C16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Gestão da Manutenção.xlsx]Análises!Tabela dinâmica6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Análises!$H$25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E0-4611-BD44-9DA7554A41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E0-4611-BD44-9DA7554A41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E0-4611-BD44-9DA7554A414B}"/>
              </c:ext>
            </c:extLst>
          </c:dPt>
          <c:cat>
            <c:strRef>
              <c:f>Análises!$G$26:$G$29</c:f>
              <c:strCache>
                <c:ptCount val="3"/>
                <c:pt idx="0">
                  <c:v>Agendar outra manutenção</c:v>
                </c:pt>
                <c:pt idx="1">
                  <c:v>Apto para serviço</c:v>
                </c:pt>
                <c:pt idx="2">
                  <c:v>Direcionar para descarte</c:v>
                </c:pt>
              </c:strCache>
            </c:strRef>
          </c:cat>
          <c:val>
            <c:numRef>
              <c:f>Análises!$H$26:$H$29</c:f>
              <c:numCache>
                <c:formatCode>General</c:formatCode>
                <c:ptCount val="3"/>
                <c:pt idx="0">
                  <c:v>2</c:v>
                </c:pt>
                <c:pt idx="1">
                  <c:v>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E0-4611-BD44-9DA7554A4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Gestão da Manutenção.xlsx]Análises!Tabela dinâmica2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Análises!$H$3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45A-4B98-A376-331D3929B4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45A-4B98-A376-331D3929B4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45A-4B98-A376-331D3929B440}"/>
              </c:ext>
            </c:extLst>
          </c:dPt>
          <c:cat>
            <c:strRef>
              <c:f>Análises!$G$4:$G$7</c:f>
              <c:strCache>
                <c:ptCount val="3"/>
                <c:pt idx="0">
                  <c:v>Manutenção Corretiva</c:v>
                </c:pt>
                <c:pt idx="1">
                  <c:v>Manutenção Preditiva</c:v>
                </c:pt>
                <c:pt idx="2">
                  <c:v>Manutenção Preventiva</c:v>
                </c:pt>
              </c:strCache>
            </c:strRef>
          </c:cat>
          <c:val>
            <c:numRef>
              <c:f>Análises!$H$4:$H$7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5A-4B98-A376-331D3929B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Gestão da Manutenção.xlsx]Análises!Tabela dinâmica4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Análises!$H$18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4B2-4700-85B2-A6CA6FA9F8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4B2-4700-85B2-A6CA6FA9F863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Análises!$G$19:$G$21</c:f>
              <c:strCache>
                <c:ptCount val="2"/>
                <c:pt idx="0">
                  <c:v>Agendada</c:v>
                </c:pt>
                <c:pt idx="1">
                  <c:v>Realizada</c:v>
                </c:pt>
              </c:strCache>
            </c:strRef>
          </c:cat>
          <c:val>
            <c:numRef>
              <c:f>Análises!$H$19:$H$21</c:f>
              <c:numCache>
                <c:formatCode>0.00%</c:formatCode>
                <c:ptCount val="2"/>
                <c:pt idx="0">
                  <c:v>0.7</c:v>
                </c:pt>
                <c:pt idx="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B2-4700-85B2-A6CA6FA9F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Gestão da Manutenção.xlsx]Análises!Tabela dinâmica1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Análises!$B$3:$B$4</c:f>
              <c:strCache>
                <c:ptCount val="1"/>
                <c:pt idx="0">
                  <c:v>Manutenção Corretiva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Análises!$A$5:$A$13</c:f>
              <c:strCache>
                <c:ptCount val="8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outubro</c:v>
                </c:pt>
              </c:strCache>
            </c:strRef>
          </c:cat>
          <c:val>
            <c:numRef>
              <c:f>Análises!$B$5:$B$13</c:f>
              <c:numCache>
                <c:formatCode>General</c:formatCode>
                <c:ptCount val="8"/>
                <c:pt idx="0">
                  <c:v>1</c:v>
                </c:pt>
                <c:pt idx="3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7-4DF8-AF71-9FDE06290BC6}"/>
            </c:ext>
          </c:extLst>
        </c:ser>
        <c:ser>
          <c:idx val="1"/>
          <c:order val="1"/>
          <c:tx>
            <c:strRef>
              <c:f>Análises!$C$3:$C$4</c:f>
              <c:strCache>
                <c:ptCount val="1"/>
                <c:pt idx="0">
                  <c:v>Manutenção Preditiva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Análises!$A$5:$A$13</c:f>
              <c:strCache>
                <c:ptCount val="8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outubro</c:v>
                </c:pt>
              </c:strCache>
            </c:strRef>
          </c:cat>
          <c:val>
            <c:numRef>
              <c:f>Análises!$C$5:$C$13</c:f>
              <c:numCache>
                <c:formatCode>General</c:formatCode>
                <c:ptCount val="8"/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A7-4DF8-AF71-9FDE06290BC6}"/>
            </c:ext>
          </c:extLst>
        </c:ser>
        <c:ser>
          <c:idx val="2"/>
          <c:order val="2"/>
          <c:tx>
            <c:strRef>
              <c:f>Análises!$D$3:$D$4</c:f>
              <c:strCache>
                <c:ptCount val="1"/>
                <c:pt idx="0">
                  <c:v>Manutenção Preventiva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Análises!$A$5:$A$13</c:f>
              <c:strCache>
                <c:ptCount val="8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outubro</c:v>
                </c:pt>
              </c:strCache>
            </c:strRef>
          </c:cat>
          <c:val>
            <c:numRef>
              <c:f>Análises!$D$5:$D$13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A7-4DF8-AF71-9FDE06290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7575200"/>
        <c:axId val="1697576160"/>
      </c:barChart>
      <c:catAx>
        <c:axId val="169757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697576160"/>
        <c:crosses val="autoZero"/>
        <c:auto val="1"/>
        <c:lblAlgn val="ctr"/>
        <c:lblOffset val="100"/>
        <c:noMultiLvlLbl val="0"/>
      </c:catAx>
      <c:valAx>
        <c:axId val="169757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6975752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Gestão da Manutenção.xlsx]Análises!Tabela dinâmica5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4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Análises!$K$18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Análises!$J$19:$J$27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out</c:v>
                </c:pt>
              </c:strCache>
            </c:strRef>
          </c:cat>
          <c:val>
            <c:numRef>
              <c:f>Análises!$K$19:$K$27</c:f>
              <c:numCache>
                <c:formatCode>General</c:formatCode>
                <c:ptCount val="8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ABC-44F6-AE90-6813C6B30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488864"/>
        <c:axId val="328485984"/>
      </c:lineChart>
      <c:catAx>
        <c:axId val="3284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328485984"/>
        <c:crosses val="autoZero"/>
        <c:auto val="1"/>
        <c:lblAlgn val="ctr"/>
        <c:lblOffset val="100"/>
        <c:noMultiLvlLbl val="0"/>
      </c:catAx>
      <c:valAx>
        <c:axId val="32848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32848886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9071</xdr:colOff>
      <xdr:row>0</xdr:row>
      <xdr:rowOff>0</xdr:rowOff>
    </xdr:from>
    <xdr:to>
      <xdr:col>26</xdr:col>
      <xdr:colOff>235857</xdr:colOff>
      <xdr:row>49</xdr:row>
      <xdr:rowOff>177799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009EEBD-5753-41D1-AF4A-189658F6AD78}"/>
            </a:ext>
          </a:extLst>
        </xdr:cNvPr>
        <xdr:cNvSpPr/>
      </xdr:nvSpPr>
      <xdr:spPr>
        <a:xfrm>
          <a:off x="9071" y="0"/>
          <a:ext cx="16076386" cy="9304866"/>
        </a:xfrm>
        <a:prstGeom prst="rect">
          <a:avLst/>
        </a:prstGeom>
        <a:solidFill>
          <a:srgbClr val="181E1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135858</xdr:colOff>
      <xdr:row>2</xdr:row>
      <xdr:rowOff>177712</xdr:rowOff>
    </xdr:from>
    <xdr:to>
      <xdr:col>12</xdr:col>
      <xdr:colOff>504583</xdr:colOff>
      <xdr:row>21</xdr:row>
      <xdr:rowOff>99459</xdr:rowOff>
    </xdr:to>
    <xdr:sp macro="" textlink="">
      <xdr:nvSpPr>
        <xdr:cNvPr id="8" name="Rectangle: Rounded Corners 9">
          <a:extLst>
            <a:ext uri="{FF2B5EF4-FFF2-40B4-BE49-F238E27FC236}">
              <a16:creationId xmlns:a16="http://schemas.microsoft.com/office/drawing/2014/main" id="{1C0ECCA8-0987-43C4-AC24-ACDD98E4A90F}"/>
            </a:ext>
          </a:extLst>
        </xdr:cNvPr>
        <xdr:cNvSpPr/>
      </xdr:nvSpPr>
      <xdr:spPr>
        <a:xfrm>
          <a:off x="135858" y="1432771"/>
          <a:ext cx="7683925" cy="3328335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195944</xdr:colOff>
      <xdr:row>3</xdr:row>
      <xdr:rowOff>28456</xdr:rowOff>
    </xdr:from>
    <xdr:to>
      <xdr:col>25</xdr:col>
      <xdr:colOff>563144</xdr:colOff>
      <xdr:row>21</xdr:row>
      <xdr:rowOff>69421</xdr:rowOff>
    </xdr:to>
    <xdr:sp macro="" textlink="">
      <xdr:nvSpPr>
        <xdr:cNvPr id="9" name="Rectangle: Rounded Corners 18">
          <a:extLst>
            <a:ext uri="{FF2B5EF4-FFF2-40B4-BE49-F238E27FC236}">
              <a16:creationId xmlns:a16="http://schemas.microsoft.com/office/drawing/2014/main" id="{E219AA1D-612C-425E-BEC1-AE78977A3E00}"/>
            </a:ext>
          </a:extLst>
        </xdr:cNvPr>
        <xdr:cNvSpPr/>
      </xdr:nvSpPr>
      <xdr:spPr>
        <a:xfrm>
          <a:off x="8120744" y="1462809"/>
          <a:ext cx="7682400" cy="3268259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428621</xdr:colOff>
      <xdr:row>3</xdr:row>
      <xdr:rowOff>32781</xdr:rowOff>
    </xdr:from>
    <xdr:to>
      <xdr:col>5</xdr:col>
      <xdr:colOff>83906</xdr:colOff>
      <xdr:row>4</xdr:row>
      <xdr:rowOff>160815</xdr:rowOff>
    </xdr:to>
    <xdr:sp macro="" textlink="">
      <xdr:nvSpPr>
        <xdr:cNvPr id="11" name="TextBox 24">
          <a:extLst>
            <a:ext uri="{FF2B5EF4-FFF2-40B4-BE49-F238E27FC236}">
              <a16:creationId xmlns:a16="http://schemas.microsoft.com/office/drawing/2014/main" id="{8D11EC84-91B3-4891-B8D5-347A81CC0B18}"/>
            </a:ext>
          </a:extLst>
        </xdr:cNvPr>
        <xdr:cNvSpPr txBox="1"/>
      </xdr:nvSpPr>
      <xdr:spPr>
        <a:xfrm>
          <a:off x="428621" y="1495821"/>
          <a:ext cx="2703285" cy="3109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chemeClr val="bg1"/>
              </a:solidFill>
              <a:latin typeface="Montserrat" panose="00000500000000000000" pitchFamily="2" charset="0"/>
            </a:rPr>
            <a:t>Manutenções</a:t>
          </a:r>
          <a:r>
            <a:rPr lang="en-US" sz="1400" b="0" baseline="0">
              <a:solidFill>
                <a:schemeClr val="bg1"/>
              </a:solidFill>
              <a:latin typeface="Montserrat" panose="00000500000000000000" pitchFamily="2" charset="0"/>
            </a:rPr>
            <a:t> por Mês</a:t>
          </a:r>
          <a:endParaRPr lang="en-US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6</xdr:col>
      <xdr:colOff>483820</xdr:colOff>
      <xdr:row>22</xdr:row>
      <xdr:rowOff>93782</xdr:rowOff>
    </xdr:from>
    <xdr:to>
      <xdr:col>12</xdr:col>
      <xdr:colOff>498220</xdr:colOff>
      <xdr:row>41</xdr:row>
      <xdr:rowOff>18716</xdr:rowOff>
    </xdr:to>
    <xdr:sp macro="" textlink="">
      <xdr:nvSpPr>
        <xdr:cNvPr id="13" name="Rectangle: Rounded Corners 60">
          <a:extLst>
            <a:ext uri="{FF2B5EF4-FFF2-40B4-BE49-F238E27FC236}">
              <a16:creationId xmlns:a16="http://schemas.microsoft.com/office/drawing/2014/main" id="{DA373C79-18A5-477D-B09A-2A862C9BE9FA}"/>
            </a:ext>
          </a:extLst>
        </xdr:cNvPr>
        <xdr:cNvSpPr/>
      </xdr:nvSpPr>
      <xdr:spPr>
        <a:xfrm>
          <a:off x="4141420" y="5090325"/>
          <a:ext cx="3672000" cy="3441020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239916</xdr:colOff>
      <xdr:row>22</xdr:row>
      <xdr:rowOff>158242</xdr:rowOff>
    </xdr:from>
    <xdr:to>
      <xdr:col>12</xdr:col>
      <xdr:colOff>262467</xdr:colOff>
      <xdr:row>24</xdr:row>
      <xdr:rowOff>89478</xdr:rowOff>
    </xdr:to>
    <xdr:sp macro="" textlink="">
      <xdr:nvSpPr>
        <xdr:cNvPr id="22" name="TextBox 76">
          <a:extLst>
            <a:ext uri="{FF2B5EF4-FFF2-40B4-BE49-F238E27FC236}">
              <a16:creationId xmlns:a16="http://schemas.microsoft.com/office/drawing/2014/main" id="{6409B1A0-4DAD-4AB3-BF91-4B759A76E7F9}"/>
            </a:ext>
          </a:extLst>
        </xdr:cNvPr>
        <xdr:cNvSpPr txBox="1"/>
      </xdr:nvSpPr>
      <xdr:spPr>
        <a:xfrm>
          <a:off x="4507116" y="4256109"/>
          <a:ext cx="3070551" cy="303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chemeClr val="bg1"/>
              </a:solidFill>
              <a:latin typeface="Montserrat" panose="00000500000000000000" pitchFamily="2" charset="0"/>
            </a:rPr>
            <a:t>Demandaram Troca de Peças</a:t>
          </a:r>
        </a:p>
      </xdr:txBody>
    </xdr:sp>
    <xdr:clientData/>
  </xdr:twoCellAnchor>
  <xdr:twoCellAnchor>
    <xdr:from>
      <xdr:col>0</xdr:col>
      <xdr:colOff>127022</xdr:colOff>
      <xdr:row>22</xdr:row>
      <xdr:rowOff>93782</xdr:rowOff>
    </xdr:from>
    <xdr:to>
      <xdr:col>6</xdr:col>
      <xdr:colOff>141422</xdr:colOff>
      <xdr:row>41</xdr:row>
      <xdr:rowOff>18716</xdr:rowOff>
    </xdr:to>
    <xdr:sp macro="" textlink="">
      <xdr:nvSpPr>
        <xdr:cNvPr id="23" name="Rectangle: Rounded Corners 83">
          <a:extLst>
            <a:ext uri="{FF2B5EF4-FFF2-40B4-BE49-F238E27FC236}">
              <a16:creationId xmlns:a16="http://schemas.microsoft.com/office/drawing/2014/main" id="{668D2CA6-CA8A-45CB-AB21-07608BBA3A41}"/>
            </a:ext>
          </a:extLst>
        </xdr:cNvPr>
        <xdr:cNvSpPr/>
      </xdr:nvSpPr>
      <xdr:spPr>
        <a:xfrm>
          <a:off x="127022" y="5090325"/>
          <a:ext cx="3672000" cy="3441020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470354</xdr:colOff>
      <xdr:row>22</xdr:row>
      <xdr:rowOff>152797</xdr:rowOff>
    </xdr:from>
    <xdr:to>
      <xdr:col>5</xdr:col>
      <xdr:colOff>125639</xdr:colOff>
      <xdr:row>24</xdr:row>
      <xdr:rowOff>94923</xdr:rowOff>
    </xdr:to>
    <xdr:sp macro="" textlink="">
      <xdr:nvSpPr>
        <xdr:cNvPr id="30" name="TextBox 105">
          <a:extLst>
            <a:ext uri="{FF2B5EF4-FFF2-40B4-BE49-F238E27FC236}">
              <a16:creationId xmlns:a16="http://schemas.microsoft.com/office/drawing/2014/main" id="{459E7D3E-00F5-4F61-8A37-76B8EBE8E818}"/>
            </a:ext>
          </a:extLst>
        </xdr:cNvPr>
        <xdr:cNvSpPr txBox="1"/>
      </xdr:nvSpPr>
      <xdr:spPr>
        <a:xfrm>
          <a:off x="470354" y="5149340"/>
          <a:ext cx="2703285" cy="312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chemeClr val="bg1"/>
              </a:solidFill>
              <a:latin typeface="Montserrat" panose="00000500000000000000" pitchFamily="2" charset="0"/>
            </a:rPr>
            <a:t>Volume por Tipo</a:t>
          </a:r>
        </a:p>
      </xdr:txBody>
    </xdr:sp>
    <xdr:clientData/>
  </xdr:twoCellAnchor>
  <xdr:twoCellAnchor editAs="oneCell">
    <xdr:from>
      <xdr:col>0</xdr:col>
      <xdr:colOff>172353</xdr:colOff>
      <xdr:row>3</xdr:row>
      <xdr:rowOff>37769</xdr:rowOff>
    </xdr:from>
    <xdr:to>
      <xdr:col>0</xdr:col>
      <xdr:colOff>460353</xdr:colOff>
      <xdr:row>4</xdr:row>
      <xdr:rowOff>147640</xdr:rowOff>
    </xdr:to>
    <xdr:pic>
      <xdr:nvPicPr>
        <xdr:cNvPr id="47" name="Graphic 7" descr="Monthly calendar with solid fill">
          <a:extLst>
            <a:ext uri="{FF2B5EF4-FFF2-40B4-BE49-F238E27FC236}">
              <a16:creationId xmlns:a16="http://schemas.microsoft.com/office/drawing/2014/main" id="{79D5CE04-2988-4B2A-9EEA-4C7E90EA4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2353" y="1500809"/>
          <a:ext cx="288000" cy="292751"/>
        </a:xfrm>
        <a:prstGeom prst="rect">
          <a:avLst/>
        </a:prstGeom>
      </xdr:spPr>
    </xdr:pic>
    <xdr:clientData/>
  </xdr:twoCellAnchor>
  <xdr:twoCellAnchor>
    <xdr:from>
      <xdr:col>13</xdr:col>
      <xdr:colOff>231018</xdr:colOff>
      <xdr:row>22</xdr:row>
      <xdr:rowOff>93782</xdr:rowOff>
    </xdr:from>
    <xdr:to>
      <xdr:col>19</xdr:col>
      <xdr:colOff>245418</xdr:colOff>
      <xdr:row>41</xdr:row>
      <xdr:rowOff>18716</xdr:rowOff>
    </xdr:to>
    <xdr:sp macro="" textlink="">
      <xdr:nvSpPr>
        <xdr:cNvPr id="51" name="Rectangle: Rounded Corners 60">
          <a:extLst>
            <a:ext uri="{FF2B5EF4-FFF2-40B4-BE49-F238E27FC236}">
              <a16:creationId xmlns:a16="http://schemas.microsoft.com/office/drawing/2014/main" id="{C4590590-5BE5-448D-9800-12D336B82A66}"/>
            </a:ext>
          </a:extLst>
        </xdr:cNvPr>
        <xdr:cNvSpPr/>
      </xdr:nvSpPr>
      <xdr:spPr>
        <a:xfrm>
          <a:off x="8155818" y="5090325"/>
          <a:ext cx="3672000" cy="3441020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587816</xdr:colOff>
      <xdr:row>22</xdr:row>
      <xdr:rowOff>93782</xdr:rowOff>
    </xdr:from>
    <xdr:to>
      <xdr:col>25</xdr:col>
      <xdr:colOff>602216</xdr:colOff>
      <xdr:row>41</xdr:row>
      <xdr:rowOff>18716</xdr:rowOff>
    </xdr:to>
    <xdr:sp macro="" textlink="">
      <xdr:nvSpPr>
        <xdr:cNvPr id="52" name="Rectangle: Rounded Corners 60">
          <a:extLst>
            <a:ext uri="{FF2B5EF4-FFF2-40B4-BE49-F238E27FC236}">
              <a16:creationId xmlns:a16="http://schemas.microsoft.com/office/drawing/2014/main" id="{4DF8206F-F9DC-4FF2-AE6C-2D967B649733}"/>
            </a:ext>
          </a:extLst>
        </xdr:cNvPr>
        <xdr:cNvSpPr/>
      </xdr:nvSpPr>
      <xdr:spPr>
        <a:xfrm>
          <a:off x="12170216" y="5090325"/>
          <a:ext cx="3672000" cy="3441020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544714</xdr:colOff>
      <xdr:row>22</xdr:row>
      <xdr:rowOff>158242</xdr:rowOff>
    </xdr:from>
    <xdr:to>
      <xdr:col>18</xdr:col>
      <xdr:colOff>550333</xdr:colOff>
      <xdr:row>24</xdr:row>
      <xdr:rowOff>89478</xdr:rowOff>
    </xdr:to>
    <xdr:sp macro="" textlink="">
      <xdr:nvSpPr>
        <xdr:cNvPr id="53" name="TextBox 76">
          <a:extLst>
            <a:ext uri="{FF2B5EF4-FFF2-40B4-BE49-F238E27FC236}">
              <a16:creationId xmlns:a16="http://schemas.microsoft.com/office/drawing/2014/main" id="{C922D762-89E1-4319-99E5-FC6075E31382}"/>
            </a:ext>
          </a:extLst>
        </xdr:cNvPr>
        <xdr:cNvSpPr txBox="1"/>
      </xdr:nvSpPr>
      <xdr:spPr>
        <a:xfrm>
          <a:off x="8469514" y="4256109"/>
          <a:ext cx="3053619" cy="303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chemeClr val="bg1"/>
              </a:solidFill>
              <a:latin typeface="Montserrat" panose="00000500000000000000" pitchFamily="2" charset="0"/>
            </a:rPr>
            <a:t>Conclusão após Manutenção</a:t>
          </a:r>
        </a:p>
      </xdr:txBody>
    </xdr:sp>
    <xdr:clientData/>
  </xdr:twoCellAnchor>
  <xdr:twoCellAnchor>
    <xdr:from>
      <xdr:col>20</xdr:col>
      <xdr:colOff>316116</xdr:colOff>
      <xdr:row>22</xdr:row>
      <xdr:rowOff>158242</xdr:rowOff>
    </xdr:from>
    <xdr:to>
      <xdr:col>24</xdr:col>
      <xdr:colOff>579187</xdr:colOff>
      <xdr:row>24</xdr:row>
      <xdr:rowOff>89478</xdr:rowOff>
    </xdr:to>
    <xdr:sp macro="" textlink="">
      <xdr:nvSpPr>
        <xdr:cNvPr id="55" name="TextBox 76">
          <a:extLst>
            <a:ext uri="{FF2B5EF4-FFF2-40B4-BE49-F238E27FC236}">
              <a16:creationId xmlns:a16="http://schemas.microsoft.com/office/drawing/2014/main" id="{9A9D1F74-F957-4CA7-B7A3-65C9E6394D0E}"/>
            </a:ext>
          </a:extLst>
        </xdr:cNvPr>
        <xdr:cNvSpPr txBox="1"/>
      </xdr:nvSpPr>
      <xdr:spPr>
        <a:xfrm>
          <a:off x="12508116" y="5154785"/>
          <a:ext cx="2701471" cy="301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chemeClr val="bg1"/>
              </a:solidFill>
              <a:latin typeface="Montserrat" panose="00000500000000000000" pitchFamily="2" charset="0"/>
            </a:rPr>
            <a:t>Status de Manutação</a:t>
          </a:r>
        </a:p>
      </xdr:txBody>
    </xdr:sp>
    <xdr:clientData/>
  </xdr:twoCellAnchor>
  <xdr:twoCellAnchor>
    <xdr:from>
      <xdr:col>6</xdr:col>
      <xdr:colOff>539205</xdr:colOff>
      <xdr:row>25</xdr:row>
      <xdr:rowOff>2177</xdr:rowOff>
    </xdr:from>
    <xdr:to>
      <xdr:col>12</xdr:col>
      <xdr:colOff>435429</xdr:colOff>
      <xdr:row>40</xdr:row>
      <xdr:rowOff>97971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2959F7F5-446F-49A7-84E0-32534B5CE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314960</xdr:colOff>
      <xdr:row>24</xdr:row>
      <xdr:rowOff>160019</xdr:rowOff>
    </xdr:from>
    <xdr:to>
      <xdr:col>19</xdr:col>
      <xdr:colOff>108857</xdr:colOff>
      <xdr:row>40</xdr:row>
      <xdr:rowOff>130628</xdr:rowOff>
    </xdr:to>
    <xdr:graphicFrame macro="">
      <xdr:nvGraphicFramePr>
        <xdr:cNvPr id="58" name="Gráfico 57">
          <a:extLst>
            <a:ext uri="{FF2B5EF4-FFF2-40B4-BE49-F238E27FC236}">
              <a16:creationId xmlns:a16="http://schemas.microsoft.com/office/drawing/2014/main" id="{EBC263ED-C214-4E81-8D8F-C98FC5F755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226785</xdr:colOff>
      <xdr:row>24</xdr:row>
      <xdr:rowOff>107769</xdr:rowOff>
    </xdr:from>
    <xdr:to>
      <xdr:col>5</xdr:col>
      <xdr:colOff>598714</xdr:colOff>
      <xdr:row>40</xdr:row>
      <xdr:rowOff>130629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8586C82E-5B15-408D-965A-2885605FB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87085</xdr:colOff>
      <xdr:row>24</xdr:row>
      <xdr:rowOff>174171</xdr:rowOff>
    </xdr:from>
    <xdr:to>
      <xdr:col>25</xdr:col>
      <xdr:colOff>491308</xdr:colOff>
      <xdr:row>40</xdr:row>
      <xdr:rowOff>141515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70EA3D81-6CF5-4109-8569-C58C3EBE39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233828</xdr:colOff>
      <xdr:row>6</xdr:row>
      <xdr:rowOff>28514</xdr:rowOff>
    </xdr:from>
    <xdr:to>
      <xdr:col>12</xdr:col>
      <xdr:colOff>304799</xdr:colOff>
      <xdr:row>20</xdr:row>
      <xdr:rowOff>180914</xdr:rowOff>
    </xdr:to>
    <xdr:graphicFrame macro="">
      <xdr:nvGraphicFramePr>
        <xdr:cNvPr id="61" name="Gráfico 60">
          <a:extLst>
            <a:ext uri="{FF2B5EF4-FFF2-40B4-BE49-F238E27FC236}">
              <a16:creationId xmlns:a16="http://schemas.microsoft.com/office/drawing/2014/main" id="{340C9400-E9B5-4660-90C3-CBEC59F45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315687</xdr:colOff>
      <xdr:row>6</xdr:row>
      <xdr:rowOff>4123</xdr:rowOff>
    </xdr:from>
    <xdr:to>
      <xdr:col>25</xdr:col>
      <xdr:colOff>424543</xdr:colOff>
      <xdr:row>20</xdr:row>
      <xdr:rowOff>156523</xdr:rowOff>
    </xdr:to>
    <xdr:graphicFrame macro="">
      <xdr:nvGraphicFramePr>
        <xdr:cNvPr id="62" name="Gráfico 61">
          <a:extLst>
            <a:ext uri="{FF2B5EF4-FFF2-40B4-BE49-F238E27FC236}">
              <a16:creationId xmlns:a16="http://schemas.microsoft.com/office/drawing/2014/main" id="{DBC2C8C5-4B1D-4EA7-ACB3-7EC923E8E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511478</xdr:colOff>
      <xdr:row>3</xdr:row>
      <xdr:rowOff>48875</xdr:rowOff>
    </xdr:from>
    <xdr:to>
      <xdr:col>18</xdr:col>
      <xdr:colOff>166763</xdr:colOff>
      <xdr:row>4</xdr:row>
      <xdr:rowOff>176909</xdr:rowOff>
    </xdr:to>
    <xdr:sp macro="" textlink="">
      <xdr:nvSpPr>
        <xdr:cNvPr id="65" name="TextBox 24">
          <a:extLst>
            <a:ext uri="{FF2B5EF4-FFF2-40B4-BE49-F238E27FC236}">
              <a16:creationId xmlns:a16="http://schemas.microsoft.com/office/drawing/2014/main" id="{E8F1091F-1BEA-41B8-90E3-9FD1945188BD}"/>
            </a:ext>
          </a:extLst>
        </xdr:cNvPr>
        <xdr:cNvSpPr txBox="1"/>
      </xdr:nvSpPr>
      <xdr:spPr>
        <a:xfrm>
          <a:off x="8436278" y="607675"/>
          <a:ext cx="2703285" cy="314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chemeClr val="bg1"/>
              </a:solidFill>
              <a:latin typeface="Montserrat" panose="00000500000000000000" pitchFamily="2" charset="0"/>
            </a:rPr>
            <a:t>Manutenções</a:t>
          </a:r>
          <a:r>
            <a:rPr lang="en-US" sz="1400" b="0" baseline="0">
              <a:solidFill>
                <a:schemeClr val="bg1"/>
              </a:solidFill>
              <a:latin typeface="Montserrat" panose="00000500000000000000" pitchFamily="2" charset="0"/>
            </a:rPr>
            <a:t> por Mês</a:t>
          </a:r>
          <a:endParaRPr lang="en-US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13</xdr:col>
      <xdr:colOff>255210</xdr:colOff>
      <xdr:row>3</xdr:row>
      <xdr:rowOff>53863</xdr:rowOff>
    </xdr:from>
    <xdr:to>
      <xdr:col>13</xdr:col>
      <xdr:colOff>543210</xdr:colOff>
      <xdr:row>4</xdr:row>
      <xdr:rowOff>163734</xdr:rowOff>
    </xdr:to>
    <xdr:pic>
      <xdr:nvPicPr>
        <xdr:cNvPr id="66" name="Graphic 7" descr="Monthly calendar with solid fill">
          <a:extLst>
            <a:ext uri="{FF2B5EF4-FFF2-40B4-BE49-F238E27FC236}">
              <a16:creationId xmlns:a16="http://schemas.microsoft.com/office/drawing/2014/main" id="{B0D7D07C-42D8-4619-A59C-517FE83AE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180010" y="612663"/>
          <a:ext cx="288000" cy="296138"/>
        </a:xfrm>
        <a:prstGeom prst="rect">
          <a:avLst/>
        </a:prstGeom>
      </xdr:spPr>
    </xdr:pic>
    <xdr:clientData/>
  </xdr:twoCellAnchor>
  <xdr:twoCellAnchor editAs="oneCell">
    <xdr:from>
      <xdr:col>0</xdr:col>
      <xdr:colOff>160889</xdr:colOff>
      <xdr:row>22</xdr:row>
      <xdr:rowOff>162725</xdr:rowOff>
    </xdr:from>
    <xdr:to>
      <xdr:col>0</xdr:col>
      <xdr:colOff>448889</xdr:colOff>
      <xdr:row>24</xdr:row>
      <xdr:rowOff>86330</xdr:rowOff>
    </xdr:to>
    <xdr:pic>
      <xdr:nvPicPr>
        <xdr:cNvPr id="68" name="Graphic 7" descr="Monthly calendar with solid fill">
          <a:extLst>
            <a:ext uri="{FF2B5EF4-FFF2-40B4-BE49-F238E27FC236}">
              <a16:creationId xmlns:a16="http://schemas.microsoft.com/office/drawing/2014/main" id="{49706B79-C1EA-43B4-A03C-6374B78A3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0889" y="4260592"/>
          <a:ext cx="288000" cy="296138"/>
        </a:xfrm>
        <a:prstGeom prst="rect">
          <a:avLst/>
        </a:prstGeom>
      </xdr:spPr>
    </xdr:pic>
    <xdr:clientData/>
  </xdr:twoCellAnchor>
  <xdr:twoCellAnchor editAs="oneCell">
    <xdr:from>
      <xdr:col>6</xdr:col>
      <xdr:colOff>551553</xdr:colOff>
      <xdr:row>22</xdr:row>
      <xdr:rowOff>171191</xdr:rowOff>
    </xdr:from>
    <xdr:to>
      <xdr:col>7</xdr:col>
      <xdr:colOff>229953</xdr:colOff>
      <xdr:row>24</xdr:row>
      <xdr:rowOff>94796</xdr:rowOff>
    </xdr:to>
    <xdr:pic>
      <xdr:nvPicPr>
        <xdr:cNvPr id="69" name="Graphic 7" descr="Monthly calendar with solid fill">
          <a:extLst>
            <a:ext uri="{FF2B5EF4-FFF2-40B4-BE49-F238E27FC236}">
              <a16:creationId xmlns:a16="http://schemas.microsoft.com/office/drawing/2014/main" id="{29E9AFED-F92F-42E3-85F1-B3B9E65DD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9153" y="4269058"/>
          <a:ext cx="288000" cy="296138"/>
        </a:xfrm>
        <a:prstGeom prst="rect">
          <a:avLst/>
        </a:prstGeom>
      </xdr:spPr>
    </xdr:pic>
    <xdr:clientData/>
  </xdr:twoCellAnchor>
  <xdr:twoCellAnchor editAs="oneCell">
    <xdr:from>
      <xdr:col>13</xdr:col>
      <xdr:colOff>264885</xdr:colOff>
      <xdr:row>22</xdr:row>
      <xdr:rowOff>171191</xdr:rowOff>
    </xdr:from>
    <xdr:to>
      <xdr:col>13</xdr:col>
      <xdr:colOff>552885</xdr:colOff>
      <xdr:row>24</xdr:row>
      <xdr:rowOff>94796</xdr:rowOff>
    </xdr:to>
    <xdr:pic>
      <xdr:nvPicPr>
        <xdr:cNvPr id="70" name="Graphic 7" descr="Monthly calendar with solid fill">
          <a:extLst>
            <a:ext uri="{FF2B5EF4-FFF2-40B4-BE49-F238E27FC236}">
              <a16:creationId xmlns:a16="http://schemas.microsoft.com/office/drawing/2014/main" id="{1D7D8413-088D-4362-B5DC-A3B62C129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189685" y="4269058"/>
          <a:ext cx="288000" cy="296138"/>
        </a:xfrm>
        <a:prstGeom prst="rect">
          <a:avLst/>
        </a:prstGeom>
      </xdr:spPr>
    </xdr:pic>
    <xdr:clientData/>
  </xdr:twoCellAnchor>
  <xdr:twoCellAnchor editAs="oneCell">
    <xdr:from>
      <xdr:col>20</xdr:col>
      <xdr:colOff>29016</xdr:colOff>
      <xdr:row>22</xdr:row>
      <xdr:rowOff>162725</xdr:rowOff>
    </xdr:from>
    <xdr:to>
      <xdr:col>20</xdr:col>
      <xdr:colOff>317016</xdr:colOff>
      <xdr:row>24</xdr:row>
      <xdr:rowOff>86330</xdr:rowOff>
    </xdr:to>
    <xdr:pic>
      <xdr:nvPicPr>
        <xdr:cNvPr id="71" name="Graphic 7" descr="Monthly calendar with solid fill">
          <a:extLst>
            <a:ext uri="{FF2B5EF4-FFF2-40B4-BE49-F238E27FC236}">
              <a16:creationId xmlns:a16="http://schemas.microsoft.com/office/drawing/2014/main" id="{E724173F-4099-4542-A5B4-A5908BA3D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221016" y="4260592"/>
          <a:ext cx="288000" cy="2961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55219\Downloads\Aula%202.xlsx" TargetMode="External"/><Relationship Id="rId1" Type="http://schemas.openxmlformats.org/officeDocument/2006/relationships/externalLinkPath" Target="/Users/55219/Downloads/Aula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Prática"/>
      <sheetName val="Base Gabarito"/>
      <sheetName val="Consulta"/>
      <sheetName val="Análise Gabarito"/>
      <sheetName val="Imagem"/>
      <sheetName val="Dashboard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Araujo" refreshedDate="45439.696488888891" createdVersion="8" refreshedVersion="8" minRefreshableVersion="3" recordCount="10" xr:uid="{C3B7AA73-6FFE-4620-AC0E-689DF2022E85}">
  <cacheSource type="worksheet">
    <worksheetSource name="Tabela1"/>
  </cacheSource>
  <cacheFields count="10">
    <cacheField name="Data" numFmtId="14">
      <sharedItems containsSemiMixedTypes="0" containsNonDate="0" containsDate="1" containsString="0" minDate="2024-01-27T00:00:00" maxDate="2024-10-28T00:00:00" count="8">
        <d v="2024-01-27T00:00:00"/>
        <d v="2024-02-27T00:00:00"/>
        <d v="2024-03-27T00:00:00"/>
        <d v="2024-04-27T00:00:00"/>
        <d v="2024-05-27T00:00:00"/>
        <d v="2024-06-27T00:00:00"/>
        <d v="2024-07-27T00:00:00"/>
        <d v="2024-10-27T00:00:00"/>
      </sharedItems>
      <fieldGroup par="9"/>
    </cacheField>
    <cacheField name="Mês" numFmtId="14">
      <sharedItems containsNonDate="0" count="8">
        <s v="janeiro"/>
        <s v="fevereiro"/>
        <s v="março"/>
        <s v="abril"/>
        <s v="maio"/>
        <s v="junho"/>
        <s v="julho"/>
        <s v="outubro"/>
      </sharedItems>
    </cacheField>
    <cacheField name="Item" numFmtId="0">
      <sharedItems/>
    </cacheField>
    <cacheField name="Tipo de Manutenção" numFmtId="0">
      <sharedItems count="3">
        <s v="Manutenção Preventiva"/>
        <s v="Manutenção Preditiva"/>
        <s v="Manutenção Corretiva"/>
      </sharedItems>
    </cacheField>
    <cacheField name="Custo" numFmtId="44">
      <sharedItems containsSemiMixedTypes="0" containsString="0" containsNumber="1" containsInteger="1" minValue="300" maxValue="1500"/>
    </cacheField>
    <cacheField name="Status" numFmtId="0">
      <sharedItems count="2">
        <s v="Agendada"/>
        <s v="Realizada"/>
      </sharedItems>
    </cacheField>
    <cacheField name="Peças Substituidas" numFmtId="0">
      <sharedItems count="2">
        <s v="Não"/>
        <s v="Sim"/>
      </sharedItems>
    </cacheField>
    <cacheField name="Conclusão" numFmtId="0">
      <sharedItems count="3">
        <s v="Agendar outra manutenção"/>
        <s v="Apto para serviço"/>
        <s v="Direcionar para descarte"/>
      </sharedItems>
    </cacheField>
    <cacheField name="Dias (Data)" numFmtId="0" databaseField="0">
      <fieldGroup base="0">
        <rangePr groupBy="days" startDate="2024-01-27T00:00:00" endDate="2024-10-28T00:00:00"/>
        <groupItems count="368">
          <s v="&lt;27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8/10/2024"/>
        </groupItems>
      </fieldGroup>
    </cacheField>
    <cacheField name="Meses (Data)" numFmtId="0" databaseField="0">
      <fieldGroup base="0">
        <rangePr groupBy="months" startDate="2024-01-27T00:00:00" endDate="2024-10-28T00:00:00"/>
        <groupItems count="14">
          <s v="&lt;27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8/10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s v="Instrumento 1"/>
    <x v="0"/>
    <n v="300"/>
    <x v="0"/>
    <x v="0"/>
    <x v="0"/>
  </r>
  <r>
    <x v="1"/>
    <x v="1"/>
    <s v="Instrumento 2"/>
    <x v="0"/>
    <n v="300"/>
    <x v="0"/>
    <x v="0"/>
    <x v="1"/>
  </r>
  <r>
    <x v="2"/>
    <x v="2"/>
    <s v="Instrumento 3"/>
    <x v="1"/>
    <n v="300"/>
    <x v="0"/>
    <x v="0"/>
    <x v="1"/>
  </r>
  <r>
    <x v="3"/>
    <x v="3"/>
    <s v="Instrumento 4"/>
    <x v="1"/>
    <n v="300"/>
    <x v="0"/>
    <x v="0"/>
    <x v="1"/>
  </r>
  <r>
    <x v="4"/>
    <x v="4"/>
    <s v="Instrumento 5"/>
    <x v="0"/>
    <n v="300"/>
    <x v="0"/>
    <x v="0"/>
    <x v="1"/>
  </r>
  <r>
    <x v="5"/>
    <x v="5"/>
    <s v="Instrumento 6"/>
    <x v="0"/>
    <n v="300"/>
    <x v="0"/>
    <x v="0"/>
    <x v="0"/>
  </r>
  <r>
    <x v="6"/>
    <x v="6"/>
    <s v="Instrumento 7"/>
    <x v="0"/>
    <n v="300"/>
    <x v="0"/>
    <x v="0"/>
    <x v="1"/>
  </r>
  <r>
    <x v="3"/>
    <x v="3"/>
    <s v="Instrumento 5"/>
    <x v="2"/>
    <n v="1000"/>
    <x v="1"/>
    <x v="1"/>
    <x v="1"/>
  </r>
  <r>
    <x v="0"/>
    <x v="0"/>
    <s v="Instrumento 6"/>
    <x v="2"/>
    <n v="1200"/>
    <x v="1"/>
    <x v="1"/>
    <x v="1"/>
  </r>
  <r>
    <x v="7"/>
    <x v="7"/>
    <s v="Instrumento 7"/>
    <x v="2"/>
    <n v="1500"/>
    <x v="1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D11519-FA76-4FDD-8659-A9D036D5AE03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G18:H21" firstHeaderRow="1" firstDataRow="1" firstDataCol="1"/>
  <pivotFields count="10"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>
      <items count="4">
        <item x="2"/>
        <item x="1"/>
        <item x="0"/>
        <item t="default"/>
      </items>
    </pivotField>
    <pivotField numFmtId="44" showAll="0"/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ntagem de Tipo de Manutenção" fld="3" subtotal="count" showDataAs="percentOfTotal" baseField="5" baseItem="0" numFmtId="10"/>
  </dataFields>
  <chartFormats count="3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C37F7-4D58-4AF9-BDE4-8501B609E404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G11:H14" firstHeaderRow="1" firstDataRow="1" firstDataCol="1"/>
  <pivotFields count="10"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>
      <items count="4">
        <item x="2"/>
        <item x="1"/>
        <item x="0"/>
        <item t="default"/>
      </items>
    </pivotField>
    <pivotField numFmtId="44" showAll="0"/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ntagem de Tipo de Manutenção" fld="3" subtotal="count" showDataAs="percentOfTotal" baseField="6" baseItem="1" numFmtId="10"/>
  </dataFields>
  <chartFormats count="3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7E773-09AF-49C8-9187-73CE783F3FAB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G3:H7" firstHeaderRow="1" firstDataRow="1" firstDataCol="1"/>
  <pivotFields count="10"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dataField="1" showAll="0">
      <items count="4">
        <item x="2"/>
        <item x="1"/>
        <item x="0"/>
        <item t="default"/>
      </items>
    </pivotField>
    <pivotField numFmtId="44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Tipo de Manutenção" fld="3" subtotal="count" baseField="0" baseItem="0"/>
  </dataFields>
  <chartFormats count="7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87C66-2A37-4CB0-86D9-8611D12E53E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E13" firstHeaderRow="1" firstDataRow="2" firstDataCol="1"/>
  <pivotFields count="10"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4">
        <item x="2"/>
        <item x="1"/>
        <item x="0"/>
        <item t="default"/>
      </items>
    </pivotField>
    <pivotField numFmtId="44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ntagem de Tipo de Manutenção" fld="3" subtotal="count" baseField="0" baseItem="0"/>
  </dataFields>
  <chartFormats count="3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AE224-3716-42BA-8364-29F6914B9A48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G25:H29" firstHeaderRow="1" firstDataRow="1" firstDataCol="1"/>
  <pivotFields count="10"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>
      <items count="4">
        <item x="2"/>
        <item x="1"/>
        <item x="0"/>
        <item t="default"/>
      </items>
    </pivotField>
    <pivotField numFmtId="44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Tipo de Manutenção" fld="3" subtotal="count" baseField="0" baseItem="0"/>
  </dataFields>
  <chartFormats count="4"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456B2-5F13-420E-8040-1EF1D7DA5F1A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J18:K27" firstHeaderRow="1" firstDataRow="1" firstDataCol="1"/>
  <pivotFields count="10">
    <pivotField axis="axisRow"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>
      <items count="4">
        <item x="2"/>
        <item x="1"/>
        <item x="0"/>
        <item t="default"/>
      </items>
    </pivotField>
    <pivotField numFmtId="44" showAll="0"/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9"/>
    <field x="8"/>
    <field x="0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10"/>
    </i>
    <i t="grand">
      <x/>
    </i>
  </rowItems>
  <colItems count="1">
    <i/>
  </colItems>
  <dataFields count="1">
    <dataField name="Contagem de Tipo de Manutenção" fld="3" subtotal="count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2A8645-42D6-497C-9908-92C0AD509275}" name="Tabela2" displayName="Tabela2" ref="B4:G12" totalsRowShown="0" headerRowDxfId="7">
  <autoFilter ref="B4:G12" xr:uid="{512A8645-42D6-497C-9908-92C0AD509275}"/>
  <tableColumns count="6">
    <tableColumn id="1" xr3:uid="{857793C5-8C2D-4BF5-8BAF-E6DEA7F4516B}" name="Nome"/>
    <tableColumn id="2" xr3:uid="{C91BCEF7-144C-4092-A86C-118900DD9DCC}" name="Data Aquisição" dataDxfId="6"/>
    <tableColumn id="3" xr3:uid="{C740AE9C-CCE4-4E53-8097-903026763D3F}" name="Frequência Manutenção Preventiva (dias)"/>
    <tableColumn id="4" xr3:uid="{6B8B4DDD-9587-43CB-86A2-1FDD80E4D9FB}" name="Última Preventiva" dataDxfId="5">
      <calculatedColumnFormula>IF(_xlfn.MAXIFS(Controle!B:B,Controle!D:D,Ativos!B5,Controle!E:E,"Preventiva")=0,C5,_xlfn.MAXIFS(Controle!B:B,Controle!D:D,Ativos!B5,Controle!E:E,"Preventiva"))</calculatedColumnFormula>
    </tableColumn>
    <tableColumn id="5" xr3:uid="{D7D8B002-F5B4-4BE3-852C-9E4C19FB7E8B}" name="Próxima Preventiva" dataDxfId="4">
      <calculatedColumnFormula>E5+D5</calculatedColumnFormula>
    </tableColumn>
    <tableColumn id="7" xr3:uid="{003E114E-D81B-45D7-9021-6D6A176C2057}" name="Ano" dataDxfId="3">
      <calculatedColumnFormula>YEAR(Tabela2[[#This Row],[Próxima Preventiva]])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356B31-6872-4B51-975E-685BFF96777C}" name="Tabela1" displayName="Tabela1" ref="B4:I14" totalsRowShown="0" headerRowDxfId="2">
  <autoFilter ref="B4:I14" xr:uid="{67356B31-6872-4B51-975E-685BFF96777C}"/>
  <tableColumns count="8">
    <tableColumn id="1" xr3:uid="{65A26058-EA4D-41B1-A446-09ABF4A6ED91}" name="Data" dataDxfId="1"/>
    <tableColumn id="7" xr3:uid="{337D9E22-6213-4182-986E-FA906C437F93}" name="Mês" dataDxfId="0">
      <calculatedColumnFormula>TEXT(Tabela1[[#This Row],[Data]],"mmmm")</calculatedColumnFormula>
    </tableColumn>
    <tableColumn id="2" xr3:uid="{4AA634F5-431E-44FD-AC12-A1B75DE648D7}" name="Item"/>
    <tableColumn id="3" xr3:uid="{A427110F-5A5E-4D8F-94F0-CF14330097F9}" name="Tipo de Manutenção"/>
    <tableColumn id="4" xr3:uid="{55190574-8EC3-4226-9DD4-A1C9B4BD03A6}" name="Custo" dataCellStyle="Moeda"/>
    <tableColumn id="5" xr3:uid="{FBE2A439-0D9D-404F-B700-81D03DC90056}" name="Status"/>
    <tableColumn id="8" xr3:uid="{CCBA14C6-CD1C-431F-89FB-ED58DD1A1453}" name="Peças Substituidas"/>
    <tableColumn id="6" xr3:uid="{6605F5CC-392D-4659-B8D4-EF4A21ED9DF1}" name="Conclusã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25AD5-62F6-41C5-A7E7-265B94564ACE}">
  <dimension ref="B2:G12"/>
  <sheetViews>
    <sheetView showGridLines="0" zoomScale="160" zoomScaleNormal="160" workbookViewId="0">
      <selection activeCell="C12" sqref="C12"/>
    </sheetView>
  </sheetViews>
  <sheetFormatPr defaultRowHeight="14.4" x14ac:dyDescent="0.3"/>
  <cols>
    <col min="1" max="1" width="2.6640625" customWidth="1"/>
    <col min="2" max="2" width="12.109375" bestFit="1" customWidth="1"/>
    <col min="3" max="3" width="12.5546875" customWidth="1"/>
    <col min="4" max="4" width="22.5546875" customWidth="1"/>
    <col min="5" max="5" width="12.6640625" customWidth="1"/>
    <col min="6" max="6" width="13.5546875" customWidth="1"/>
    <col min="7" max="7" width="10.33203125" bestFit="1" customWidth="1"/>
  </cols>
  <sheetData>
    <row r="2" spans="2:7" ht="45" customHeight="1" x14ac:dyDescent="0.3">
      <c r="B2" s="21" t="s">
        <v>0</v>
      </c>
      <c r="C2" s="21"/>
      <c r="D2" s="21"/>
      <c r="E2" s="21"/>
      <c r="F2" s="21"/>
      <c r="G2" s="21"/>
    </row>
    <row r="3" spans="2:7" ht="3" customHeight="1" x14ac:dyDescent="0.3"/>
    <row r="4" spans="2:7" ht="30" customHeight="1" x14ac:dyDescent="0.3"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</row>
    <row r="5" spans="2:7" x14ac:dyDescent="0.3">
      <c r="B5" t="s">
        <v>7</v>
      </c>
      <c r="C5" s="1">
        <v>45092</v>
      </c>
      <c r="D5">
        <v>360</v>
      </c>
      <c r="E5" s="1">
        <f>IF(_xlfn.MAXIFS(Controle!B:B,Controle!D:D,Ativos!B5,Controle!E:E,"Preventiva")=0,C5,_xlfn.MAXIFS(Controle!B:B,Controle!D:D,Ativos!B5,Controle!E:E,"Preventiva"))</f>
        <v>45092</v>
      </c>
      <c r="F5" s="1">
        <f>E5+D5</f>
        <v>45452</v>
      </c>
      <c r="G5" s="13">
        <f>YEAR(Tabela2[[#This Row],[Próxima Preventiva]])</f>
        <v>2024</v>
      </c>
    </row>
    <row r="6" spans="2:7" x14ac:dyDescent="0.3">
      <c r="B6" t="s">
        <v>8</v>
      </c>
      <c r="C6" s="1">
        <v>45101</v>
      </c>
      <c r="D6">
        <v>360</v>
      </c>
      <c r="E6" s="1">
        <f>IF(_xlfn.MAXIFS(Controle!B:B,Controle!D:D,Ativos!B6,Controle!E:E,"Preventiva")=0,C6,_xlfn.MAXIFS(Controle!B:B,Controle!D:D,Ativos!B6,Controle!E:E,"Preventiva"))</f>
        <v>45101</v>
      </c>
      <c r="F6" s="1">
        <f t="shared" ref="F6:F12" si="0">E6+D6</f>
        <v>45461</v>
      </c>
      <c r="G6" s="13">
        <f>YEAR(Tabela2[[#This Row],[Próxima Preventiva]])</f>
        <v>2024</v>
      </c>
    </row>
    <row r="7" spans="2:7" x14ac:dyDescent="0.3">
      <c r="B7" t="s">
        <v>9</v>
      </c>
      <c r="C7" s="1">
        <v>45144</v>
      </c>
      <c r="D7">
        <v>180</v>
      </c>
      <c r="E7" s="1">
        <f>IF(_xlfn.MAXIFS(Controle!B:B,Controle!D:D,Ativos!B7,Controle!E:E,"Preventiva")=0,C7,_xlfn.MAXIFS(Controle!B:B,Controle!D:D,Ativos!B7,Controle!E:E,"Preventiva"))</f>
        <v>45144</v>
      </c>
      <c r="F7" s="1">
        <f t="shared" si="0"/>
        <v>45324</v>
      </c>
      <c r="G7" s="13">
        <f>YEAR(Tabela2[[#This Row],[Próxima Preventiva]])</f>
        <v>2024</v>
      </c>
    </row>
    <row r="8" spans="2:7" x14ac:dyDescent="0.3">
      <c r="B8" t="s">
        <v>10</v>
      </c>
      <c r="C8" s="1">
        <v>45165</v>
      </c>
      <c r="D8">
        <v>180</v>
      </c>
      <c r="E8" s="1">
        <f>IF(_xlfn.MAXIFS(Controle!B:B,Controle!D:D,Ativos!B8,Controle!E:E,"Preventiva")=0,C8,_xlfn.MAXIFS(Controle!B:B,Controle!D:D,Ativos!B8,Controle!E:E,"Preventiva"))</f>
        <v>45165</v>
      </c>
      <c r="F8" s="1">
        <f t="shared" si="0"/>
        <v>45345</v>
      </c>
      <c r="G8" s="13">
        <f>YEAR(Tabela2[[#This Row],[Próxima Preventiva]])</f>
        <v>2024</v>
      </c>
    </row>
    <row r="9" spans="2:7" x14ac:dyDescent="0.3">
      <c r="B9" t="s">
        <v>11</v>
      </c>
      <c r="C9" s="1">
        <v>45274</v>
      </c>
      <c r="D9">
        <v>270</v>
      </c>
      <c r="E9" s="1">
        <f>IF(_xlfn.MAXIFS(Controle!B:B,Controle!D:D,Ativos!B9,Controle!E:E,"Preventiva")=0,C9,_xlfn.MAXIFS(Controle!B:B,Controle!D:D,Ativos!B9,Controle!E:E,"Preventiva"))</f>
        <v>45274</v>
      </c>
      <c r="F9" s="1">
        <f t="shared" si="0"/>
        <v>45544</v>
      </c>
      <c r="G9" s="13">
        <f>YEAR(Tabela2[[#This Row],[Próxima Preventiva]])</f>
        <v>2024</v>
      </c>
    </row>
    <row r="10" spans="2:7" x14ac:dyDescent="0.3">
      <c r="B10" t="s">
        <v>12</v>
      </c>
      <c r="C10" s="1">
        <v>45333</v>
      </c>
      <c r="D10">
        <v>60</v>
      </c>
      <c r="E10" s="1">
        <f>IF(_xlfn.MAXIFS(Controle!B:B,Controle!D:D,Ativos!B10,Controle!E:E,"Preventiva")=0,C10,_xlfn.MAXIFS(Controle!B:B,Controle!D:D,Ativos!B10,Controle!E:E,"Preventiva"))</f>
        <v>45333</v>
      </c>
      <c r="F10" s="1">
        <f t="shared" si="0"/>
        <v>45393</v>
      </c>
      <c r="G10" s="13">
        <f>YEAR(Tabela2[[#This Row],[Próxima Preventiva]])</f>
        <v>2024</v>
      </c>
    </row>
    <row r="11" spans="2:7" x14ac:dyDescent="0.3">
      <c r="B11" t="s">
        <v>13</v>
      </c>
      <c r="C11" s="1">
        <v>45373</v>
      </c>
      <c r="D11">
        <v>360</v>
      </c>
      <c r="E11" s="1">
        <f>IF(_xlfn.MAXIFS(Controle!B:B,Controle!D:D,Ativos!B11,Controle!E:E,"Preventiva")=0,C11,_xlfn.MAXIFS(Controle!B:B,Controle!D:D,Ativos!B11,Controle!E:E,"Preventiva"))</f>
        <v>45373</v>
      </c>
      <c r="F11" s="1">
        <f t="shared" si="0"/>
        <v>45733</v>
      </c>
      <c r="G11" s="13">
        <f>YEAR(Tabela2[[#This Row],[Próxima Preventiva]])</f>
        <v>2025</v>
      </c>
    </row>
    <row r="12" spans="2:7" x14ac:dyDescent="0.3">
      <c r="B12" t="s">
        <v>14</v>
      </c>
      <c r="C12" s="1">
        <v>45435</v>
      </c>
      <c r="D12">
        <v>180</v>
      </c>
      <c r="E12" s="1">
        <f>IF(_xlfn.MAXIFS(Controle!B:B,Controle!D:D,Ativos!B12,Controle!E:E,"Preventiva")=0,C12,_xlfn.MAXIFS(Controle!B:B,Controle!D:D,Ativos!B12,Controle!E:E,"Preventiva"))</f>
        <v>45435</v>
      </c>
      <c r="F12" s="1">
        <f t="shared" si="0"/>
        <v>45615</v>
      </c>
      <c r="G12" s="13">
        <f>YEAR(Tabela2[[#This Row],[Próxima Preventiva]])</f>
        <v>2024</v>
      </c>
    </row>
  </sheetData>
  <mergeCells count="1">
    <mergeCell ref="B2:G2"/>
  </mergeCells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A7F60-6484-4C07-BCD1-BB8F155AF279}">
  <dimension ref="B2:I14"/>
  <sheetViews>
    <sheetView showGridLines="0" zoomScale="160" zoomScaleNormal="160" workbookViewId="0">
      <selection activeCell="B2" sqref="B2:I2"/>
    </sheetView>
  </sheetViews>
  <sheetFormatPr defaultRowHeight="14.4" x14ac:dyDescent="0.3"/>
  <cols>
    <col min="1" max="1" width="2.6640625" customWidth="1"/>
    <col min="2" max="2" width="10.6640625" bestFit="1" customWidth="1"/>
    <col min="3" max="3" width="10.33203125" customWidth="1"/>
    <col min="4" max="4" width="13.88671875" customWidth="1"/>
    <col min="5" max="5" width="20.33203125" bestFit="1" customWidth="1"/>
    <col min="6" max="6" width="12.33203125" bestFit="1" customWidth="1"/>
    <col min="7" max="7" width="12.33203125" customWidth="1"/>
    <col min="8" max="8" width="15.109375" customWidth="1"/>
    <col min="9" max="9" width="25.5546875" bestFit="1" customWidth="1"/>
    <col min="10" max="10" width="9" customWidth="1"/>
  </cols>
  <sheetData>
    <row r="2" spans="2:9" ht="45" customHeight="1" x14ac:dyDescent="0.3">
      <c r="B2" s="21" t="s">
        <v>15</v>
      </c>
      <c r="C2" s="21"/>
      <c r="D2" s="21"/>
      <c r="E2" s="21"/>
      <c r="F2" s="21"/>
      <c r="G2" s="21"/>
      <c r="H2" s="21"/>
      <c r="I2" s="21"/>
    </row>
    <row r="3" spans="2:9" ht="1.95" customHeight="1" x14ac:dyDescent="0.3"/>
    <row r="4" spans="2:9" ht="30" customHeight="1" x14ac:dyDescent="0.3">
      <c r="B4" s="16" t="s">
        <v>16</v>
      </c>
      <c r="C4" s="16" t="s">
        <v>17</v>
      </c>
      <c r="D4" s="16" t="s">
        <v>18</v>
      </c>
      <c r="E4" s="16" t="s">
        <v>19</v>
      </c>
      <c r="F4" s="16" t="s">
        <v>20</v>
      </c>
      <c r="G4" s="16" t="s">
        <v>21</v>
      </c>
      <c r="H4" s="16" t="s">
        <v>22</v>
      </c>
      <c r="I4" s="16" t="s">
        <v>23</v>
      </c>
    </row>
    <row r="5" spans="2:9" x14ac:dyDescent="0.3">
      <c r="B5" s="1">
        <v>45318</v>
      </c>
      <c r="C5" s="1" t="str">
        <f>TEXT(Tabela1[[#This Row],[Data]],"mmmm")</f>
        <v>janeiro</v>
      </c>
      <c r="D5" t="s">
        <v>12</v>
      </c>
      <c r="E5" t="s">
        <v>24</v>
      </c>
      <c r="F5" s="2">
        <v>300</v>
      </c>
      <c r="G5" t="s">
        <v>25</v>
      </c>
      <c r="H5" t="s">
        <v>26</v>
      </c>
      <c r="I5" t="s">
        <v>27</v>
      </c>
    </row>
    <row r="6" spans="2:9" x14ac:dyDescent="0.3">
      <c r="B6" s="1">
        <v>45349</v>
      </c>
      <c r="C6" s="1" t="str">
        <f>TEXT(Tabela1[[#This Row],[Data]],"mmmm")</f>
        <v>fevereiro</v>
      </c>
      <c r="D6" t="s">
        <v>11</v>
      </c>
      <c r="E6" t="s">
        <v>24</v>
      </c>
      <c r="F6" s="2">
        <v>300</v>
      </c>
      <c r="G6" t="s">
        <v>25</v>
      </c>
      <c r="H6" t="s">
        <v>26</v>
      </c>
      <c r="I6" t="s">
        <v>28</v>
      </c>
    </row>
    <row r="7" spans="2:9" x14ac:dyDescent="0.3">
      <c r="B7" s="1">
        <v>45378</v>
      </c>
      <c r="C7" s="1" t="str">
        <f>TEXT(Tabela1[[#This Row],[Data]],"mmmm")</f>
        <v>março</v>
      </c>
      <c r="D7" t="s">
        <v>9</v>
      </c>
      <c r="E7" t="s">
        <v>29</v>
      </c>
      <c r="F7" s="2">
        <v>300</v>
      </c>
      <c r="G7" t="s">
        <v>25</v>
      </c>
      <c r="H7" t="s">
        <v>26</v>
      </c>
      <c r="I7" t="s">
        <v>28</v>
      </c>
    </row>
    <row r="8" spans="2:9" x14ac:dyDescent="0.3">
      <c r="B8" s="1">
        <v>45409</v>
      </c>
      <c r="C8" s="1" t="str">
        <f>TEXT(Tabela1[[#This Row],[Data]],"mmmm")</f>
        <v>abril</v>
      </c>
      <c r="D8" t="s">
        <v>10</v>
      </c>
      <c r="E8" t="s">
        <v>29</v>
      </c>
      <c r="F8" s="2">
        <v>300</v>
      </c>
      <c r="G8" t="s">
        <v>25</v>
      </c>
      <c r="H8" t="s">
        <v>26</v>
      </c>
      <c r="I8" t="s">
        <v>28</v>
      </c>
    </row>
    <row r="9" spans="2:9" x14ac:dyDescent="0.3">
      <c r="B9" s="1">
        <v>45439</v>
      </c>
      <c r="C9" s="1" t="str">
        <f>TEXT(Tabela1[[#This Row],[Data]],"mmmm")</f>
        <v>maio</v>
      </c>
      <c r="D9" t="s">
        <v>14</v>
      </c>
      <c r="E9" t="s">
        <v>24</v>
      </c>
      <c r="F9" s="2">
        <v>300</v>
      </c>
      <c r="G9" t="s">
        <v>25</v>
      </c>
      <c r="H9" t="s">
        <v>26</v>
      </c>
      <c r="I9" t="s">
        <v>28</v>
      </c>
    </row>
    <row r="10" spans="2:9" x14ac:dyDescent="0.3">
      <c r="B10" s="1">
        <v>45470</v>
      </c>
      <c r="C10" s="1" t="str">
        <f>TEXT(Tabela1[[#This Row],[Data]],"mmmm")</f>
        <v>junho</v>
      </c>
      <c r="D10" t="s">
        <v>7</v>
      </c>
      <c r="E10" t="s">
        <v>24</v>
      </c>
      <c r="F10" s="2">
        <v>300</v>
      </c>
      <c r="G10" t="s">
        <v>25</v>
      </c>
      <c r="H10" t="s">
        <v>26</v>
      </c>
      <c r="I10" t="s">
        <v>27</v>
      </c>
    </row>
    <row r="11" spans="2:9" x14ac:dyDescent="0.3">
      <c r="B11" s="1">
        <v>45500</v>
      </c>
      <c r="C11" s="1" t="str">
        <f>TEXT(Tabela1[[#This Row],[Data]],"mmmm")</f>
        <v>julho</v>
      </c>
      <c r="D11" t="s">
        <v>13</v>
      </c>
      <c r="E11" t="s">
        <v>24</v>
      </c>
      <c r="F11" s="2">
        <v>300</v>
      </c>
      <c r="G11" t="s">
        <v>25</v>
      </c>
      <c r="H11" t="s">
        <v>26</v>
      </c>
      <c r="I11" t="s">
        <v>28</v>
      </c>
    </row>
    <row r="12" spans="2:9" x14ac:dyDescent="0.3">
      <c r="B12" s="1">
        <v>45409</v>
      </c>
      <c r="C12" s="1" t="str">
        <f>TEXT(Tabela1[[#This Row],[Data]],"mmmm")</f>
        <v>abril</v>
      </c>
      <c r="D12" t="s">
        <v>14</v>
      </c>
      <c r="E12" t="s">
        <v>30</v>
      </c>
      <c r="F12" s="2">
        <v>1000</v>
      </c>
      <c r="G12" t="s">
        <v>31</v>
      </c>
      <c r="H12" t="s">
        <v>32</v>
      </c>
      <c r="I12" t="s">
        <v>28</v>
      </c>
    </row>
    <row r="13" spans="2:9" x14ac:dyDescent="0.3">
      <c r="B13" s="1">
        <v>45318</v>
      </c>
      <c r="C13" s="1" t="str">
        <f>TEXT(Tabela1[[#This Row],[Data]],"mmmm")</f>
        <v>janeiro</v>
      </c>
      <c r="D13" t="s">
        <v>7</v>
      </c>
      <c r="E13" t="s">
        <v>30</v>
      </c>
      <c r="F13" s="2">
        <v>1200</v>
      </c>
      <c r="G13" t="s">
        <v>31</v>
      </c>
      <c r="H13" t="s">
        <v>32</v>
      </c>
      <c r="I13" t="s">
        <v>28</v>
      </c>
    </row>
    <row r="14" spans="2:9" x14ac:dyDescent="0.3">
      <c r="B14" s="1">
        <v>45592</v>
      </c>
      <c r="C14" s="1" t="str">
        <f>TEXT(Tabela1[[#This Row],[Data]],"mmmm")</f>
        <v>outubro</v>
      </c>
      <c r="D14" t="s">
        <v>13</v>
      </c>
      <c r="E14" t="s">
        <v>30</v>
      </c>
      <c r="F14" s="2">
        <v>1500</v>
      </c>
      <c r="G14" t="s">
        <v>31</v>
      </c>
      <c r="H14" t="s">
        <v>26</v>
      </c>
      <c r="I14" t="s">
        <v>33</v>
      </c>
    </row>
  </sheetData>
  <mergeCells count="1">
    <mergeCell ref="B2:I2"/>
  </mergeCells>
  <phoneticPr fontId="3" type="noConversion"/>
  <dataValidations count="4">
    <dataValidation type="list" allowBlank="1" showInputMessage="1" showErrorMessage="1" sqref="I5:I14" xr:uid="{13EA5C48-E21A-45F0-993B-F4AF4E2746FC}">
      <formula1>"Apto para serviço,Agendar outra manutenção,Direcionar para descarte"</formula1>
    </dataValidation>
    <dataValidation type="list" allowBlank="1" showInputMessage="1" showErrorMessage="1" sqref="G5:G14" xr:uid="{3DB39A5D-8E54-4E8C-A2D4-248725D4D80B}">
      <formula1>"Agendada,Realizada"</formula1>
    </dataValidation>
    <dataValidation type="list" allowBlank="1" showInputMessage="1" showErrorMessage="1" sqref="E5:E14" xr:uid="{7E328F83-70C8-4A8B-BC79-812924099B43}">
      <formula1>"Manutenção Corretiva,Manutenção Preventiva,Manutenção Preditiva"</formula1>
    </dataValidation>
    <dataValidation type="list" allowBlank="1" showInputMessage="1" showErrorMessage="1" sqref="H5:H14" xr:uid="{0C732E56-A357-4891-82CE-3B490EE861ED}">
      <formula1>"Sim,Não"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DCC8-CDF5-4B1F-A913-E903929CE12F}">
  <dimension ref="B2:O20"/>
  <sheetViews>
    <sheetView showGridLines="0" tabSelected="1" zoomScale="130" zoomScaleNormal="130" workbookViewId="0">
      <selection activeCell="C11" sqref="C11"/>
    </sheetView>
  </sheetViews>
  <sheetFormatPr defaultRowHeight="14.4" x14ac:dyDescent="0.3"/>
  <cols>
    <col min="1" max="1" width="3.5546875" customWidth="1"/>
    <col min="2" max="2" width="23.109375" customWidth="1"/>
    <col min="3" max="3" width="10.33203125" bestFit="1" customWidth="1"/>
    <col min="4" max="4" width="12.109375" customWidth="1"/>
    <col min="5" max="6" width="10.33203125" bestFit="1" customWidth="1"/>
  </cols>
  <sheetData>
    <row r="2" spans="2:15" ht="45" customHeight="1" x14ac:dyDescent="0.3">
      <c r="B2" s="21" t="s">
        <v>34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2:15" ht="1.95" customHeight="1" x14ac:dyDescent="0.3"/>
    <row r="4" spans="2:15" x14ac:dyDescent="0.3">
      <c r="B4" s="6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47</v>
      </c>
      <c r="O4" s="3" t="s">
        <v>48</v>
      </c>
    </row>
    <row r="5" spans="2:15" x14ac:dyDescent="0.3">
      <c r="B5" s="7" t="s">
        <v>48</v>
      </c>
      <c r="C5" s="4">
        <f>SUM(C6:C8)</f>
        <v>2</v>
      </c>
      <c r="D5" s="4">
        <f t="shared" ref="D5:O5" si="0">SUM(D6:D8)</f>
        <v>1</v>
      </c>
      <c r="E5" s="4">
        <f t="shared" si="0"/>
        <v>1</v>
      </c>
      <c r="F5" s="4">
        <f t="shared" si="0"/>
        <v>2</v>
      </c>
      <c r="G5" s="4">
        <f t="shared" si="0"/>
        <v>1</v>
      </c>
      <c r="H5" s="4">
        <f t="shared" si="0"/>
        <v>1</v>
      </c>
      <c r="I5" s="4">
        <f t="shared" si="0"/>
        <v>1</v>
      </c>
      <c r="J5" s="4">
        <f t="shared" si="0"/>
        <v>0</v>
      </c>
      <c r="K5" s="4">
        <f t="shared" si="0"/>
        <v>0</v>
      </c>
      <c r="L5" s="4">
        <f t="shared" si="0"/>
        <v>1</v>
      </c>
      <c r="M5" s="4">
        <f t="shared" si="0"/>
        <v>0</v>
      </c>
      <c r="N5" s="4">
        <f t="shared" si="0"/>
        <v>0</v>
      </c>
      <c r="O5" s="4">
        <f t="shared" si="0"/>
        <v>10</v>
      </c>
    </row>
    <row r="6" spans="2:15" x14ac:dyDescent="0.3">
      <c r="B6" s="8" t="s">
        <v>30</v>
      </c>
      <c r="C6" s="5">
        <f>COUNTIFS(Controle!$E:$E,'Resumo Mês'!$B6,Controle!$C:$C,'Resumo Mês'!C$4)</f>
        <v>1</v>
      </c>
      <c r="D6" s="5">
        <f>COUNTIFS(Controle!$E:$E,'Resumo Mês'!$B6,Controle!$C:$C,'Resumo Mês'!D$4)</f>
        <v>0</v>
      </c>
      <c r="E6" s="5">
        <f>COUNTIFS(Controle!$E:$E,'Resumo Mês'!$B6,Controle!$C:$C,'Resumo Mês'!E$4)</f>
        <v>0</v>
      </c>
      <c r="F6" s="5">
        <f>COUNTIFS(Controle!$E:$E,'Resumo Mês'!$B6,Controle!$C:$C,'Resumo Mês'!F$4)</f>
        <v>1</v>
      </c>
      <c r="G6" s="5">
        <f>COUNTIFS(Controle!$E:$E,'Resumo Mês'!$B6,Controle!$C:$C,'Resumo Mês'!G$4)</f>
        <v>0</v>
      </c>
      <c r="H6" s="5">
        <f>COUNTIFS(Controle!$E:$E,'Resumo Mês'!$B6,Controle!$C:$C,'Resumo Mês'!H$4)</f>
        <v>0</v>
      </c>
      <c r="I6" s="5">
        <f>COUNTIFS(Controle!$E:$E,'Resumo Mês'!$B6,Controle!$C:$C,'Resumo Mês'!I$4)</f>
        <v>0</v>
      </c>
      <c r="J6" s="5">
        <f>COUNTIFS(Controle!$E:$E,'Resumo Mês'!$B6,Controle!$C:$C,'Resumo Mês'!J$4)</f>
        <v>0</v>
      </c>
      <c r="K6" s="5">
        <f>COUNTIFS(Controle!$E:$E,'Resumo Mês'!$B6,Controle!$C:$C,'Resumo Mês'!K$4)</f>
        <v>0</v>
      </c>
      <c r="L6" s="5">
        <f>COUNTIFS(Controle!$E:$E,'Resumo Mês'!$B6,Controle!$C:$C,'Resumo Mês'!L$4)</f>
        <v>1</v>
      </c>
      <c r="M6" s="5">
        <f>COUNTIFS(Controle!$E:$E,'Resumo Mês'!$B6,Controle!$C:$C,'Resumo Mês'!M$4)</f>
        <v>0</v>
      </c>
      <c r="N6" s="5">
        <f>COUNTIFS(Controle!$E:$E,'Resumo Mês'!$B6,Controle!$C:$C,'Resumo Mês'!N$4)</f>
        <v>0</v>
      </c>
      <c r="O6" s="5">
        <f>SUM(C6:N6)</f>
        <v>3</v>
      </c>
    </row>
    <row r="7" spans="2:15" x14ac:dyDescent="0.3">
      <c r="B7" s="8" t="s">
        <v>24</v>
      </c>
      <c r="C7" s="5">
        <f>COUNTIFS(Controle!$E:$E,'Resumo Mês'!$B7,Controle!$C:$C,'Resumo Mês'!C$4)</f>
        <v>1</v>
      </c>
      <c r="D7" s="5">
        <f>COUNTIFS(Controle!$E:$E,'Resumo Mês'!$B7,Controle!$C:$C,'Resumo Mês'!D$4)</f>
        <v>1</v>
      </c>
      <c r="E7" s="5">
        <f>COUNTIFS(Controle!$E:$E,'Resumo Mês'!$B7,Controle!$C:$C,'Resumo Mês'!E$4)</f>
        <v>0</v>
      </c>
      <c r="F7" s="5">
        <f>COUNTIFS(Controle!$E:$E,'Resumo Mês'!$B7,Controle!$C:$C,'Resumo Mês'!F$4)</f>
        <v>0</v>
      </c>
      <c r="G7" s="5">
        <f>COUNTIFS(Controle!$E:$E,'Resumo Mês'!$B7,Controle!$C:$C,'Resumo Mês'!G$4)</f>
        <v>1</v>
      </c>
      <c r="H7" s="5">
        <f>COUNTIFS(Controle!$E:$E,'Resumo Mês'!$B7,Controle!$C:$C,'Resumo Mês'!H$4)</f>
        <v>1</v>
      </c>
      <c r="I7" s="5">
        <f>COUNTIFS(Controle!$E:$E,'Resumo Mês'!$B7,Controle!$C:$C,'Resumo Mês'!I$4)</f>
        <v>1</v>
      </c>
      <c r="J7" s="5">
        <f>COUNTIFS(Controle!$E:$E,'Resumo Mês'!$B7,Controle!$C:$C,'Resumo Mês'!J$4)</f>
        <v>0</v>
      </c>
      <c r="K7" s="5">
        <f>COUNTIFS(Controle!$E:$E,'Resumo Mês'!$B7,Controle!$C:$C,'Resumo Mês'!K$4)</f>
        <v>0</v>
      </c>
      <c r="L7" s="5">
        <f>COUNTIFS(Controle!$E:$E,'Resumo Mês'!$B7,Controle!$C:$C,'Resumo Mês'!L$4)</f>
        <v>0</v>
      </c>
      <c r="M7" s="5">
        <f>COUNTIFS(Controle!$E:$E,'Resumo Mês'!$B7,Controle!$C:$C,'Resumo Mês'!M$4)</f>
        <v>0</v>
      </c>
      <c r="N7" s="5">
        <f>COUNTIFS(Controle!$E:$E,'Resumo Mês'!$B7,Controle!$C:$C,'Resumo Mês'!N$4)</f>
        <v>0</v>
      </c>
      <c r="O7" s="5">
        <f t="shared" ref="O7:O8" si="1">SUM(C7:N7)</f>
        <v>5</v>
      </c>
    </row>
    <row r="8" spans="2:15" x14ac:dyDescent="0.3">
      <c r="B8" s="8" t="s">
        <v>29</v>
      </c>
      <c r="C8" s="5">
        <f>COUNTIFS(Controle!$E:$E,'Resumo Mês'!$B8,Controle!$C:$C,'Resumo Mês'!C$4)</f>
        <v>0</v>
      </c>
      <c r="D8" s="5">
        <f>COUNTIFS(Controle!$E:$E,'Resumo Mês'!$B8,Controle!$C:$C,'Resumo Mês'!D$4)</f>
        <v>0</v>
      </c>
      <c r="E8" s="5">
        <f>COUNTIFS(Controle!$E:$E,'Resumo Mês'!$B8,Controle!$C:$C,'Resumo Mês'!E$4)</f>
        <v>1</v>
      </c>
      <c r="F8" s="5">
        <f>COUNTIFS(Controle!$E:$E,'Resumo Mês'!$B8,Controle!$C:$C,'Resumo Mês'!F$4)</f>
        <v>1</v>
      </c>
      <c r="G8" s="5">
        <f>COUNTIFS(Controle!$E:$E,'Resumo Mês'!$B8,Controle!$C:$C,'Resumo Mês'!G$4)</f>
        <v>0</v>
      </c>
      <c r="H8" s="5">
        <f>COUNTIFS(Controle!$E:$E,'Resumo Mês'!$B8,Controle!$C:$C,'Resumo Mês'!H$4)</f>
        <v>0</v>
      </c>
      <c r="I8" s="5">
        <f>COUNTIFS(Controle!$E:$E,'Resumo Mês'!$B8,Controle!$C:$C,'Resumo Mês'!I$4)</f>
        <v>0</v>
      </c>
      <c r="J8" s="5">
        <f>COUNTIFS(Controle!$E:$E,'Resumo Mês'!$B8,Controle!$C:$C,'Resumo Mês'!J$4)</f>
        <v>0</v>
      </c>
      <c r="K8" s="5">
        <f>COUNTIFS(Controle!$E:$E,'Resumo Mês'!$B8,Controle!$C:$C,'Resumo Mês'!K$4)</f>
        <v>0</v>
      </c>
      <c r="L8" s="5">
        <f>COUNTIFS(Controle!$E:$E,'Resumo Mês'!$B8,Controle!$C:$C,'Resumo Mês'!L$4)</f>
        <v>0</v>
      </c>
      <c r="M8" s="5">
        <f>COUNTIFS(Controle!$E:$E,'Resumo Mês'!$B8,Controle!$C:$C,'Resumo Mês'!M$4)</f>
        <v>0</v>
      </c>
      <c r="N8" s="5">
        <f>COUNTIFS(Controle!$E:$E,'Resumo Mês'!$B8,Controle!$C:$C,'Resumo Mês'!N$4)</f>
        <v>0</v>
      </c>
      <c r="O8" s="5">
        <f t="shared" si="1"/>
        <v>2</v>
      </c>
    </row>
    <row r="11" spans="2:15" x14ac:dyDescent="0.3">
      <c r="B11" s="12" t="s">
        <v>49</v>
      </c>
      <c r="C11" s="20">
        <v>2024</v>
      </c>
    </row>
    <row r="12" spans="2:15" ht="5.4" customHeight="1" x14ac:dyDescent="0.3"/>
    <row r="13" spans="2:15" ht="30" customHeight="1" x14ac:dyDescent="0.3">
      <c r="B13" s="17" t="s">
        <v>1</v>
      </c>
      <c r="C13" s="18" t="s">
        <v>2</v>
      </c>
      <c r="D13" s="18" t="s">
        <v>3</v>
      </c>
      <c r="E13" s="18" t="s">
        <v>4</v>
      </c>
      <c r="F13" s="18" t="s">
        <v>5</v>
      </c>
      <c r="G13" s="19" t="s">
        <v>6</v>
      </c>
    </row>
    <row r="14" spans="2:15" x14ac:dyDescent="0.3">
      <c r="B14" t="str" cm="1">
        <f t="array" ref="B14:G20">_xlfn._xlws.FILTER(Tabela2[#All],Tabela2[[#All],[Ano]]=C11)</f>
        <v>Instrumento 6</v>
      </c>
      <c r="C14" s="1">
        <v>45092</v>
      </c>
      <c r="D14">
        <v>360</v>
      </c>
      <c r="E14" s="1">
        <v>45092</v>
      </c>
      <c r="F14" s="1">
        <v>45452</v>
      </c>
      <c r="G14">
        <v>2024</v>
      </c>
    </row>
    <row r="15" spans="2:15" x14ac:dyDescent="0.3">
      <c r="B15" t="str">
        <v>Instrumento 8</v>
      </c>
      <c r="C15" s="1">
        <v>45101</v>
      </c>
      <c r="D15">
        <v>360</v>
      </c>
      <c r="E15" s="1">
        <v>45101</v>
      </c>
      <c r="F15" s="1">
        <v>45461</v>
      </c>
      <c r="G15">
        <v>2024</v>
      </c>
    </row>
    <row r="16" spans="2:15" x14ac:dyDescent="0.3">
      <c r="B16" t="str">
        <v>Instrumento 3</v>
      </c>
      <c r="C16" s="1">
        <v>45144</v>
      </c>
      <c r="D16">
        <v>180</v>
      </c>
      <c r="E16" s="1">
        <v>45144</v>
      </c>
      <c r="F16" s="1">
        <v>45324</v>
      </c>
      <c r="G16">
        <v>2024</v>
      </c>
    </row>
    <row r="17" spans="2:7" x14ac:dyDescent="0.3">
      <c r="B17" t="str">
        <v>Instrumento 4</v>
      </c>
      <c r="C17" s="1">
        <v>45165</v>
      </c>
      <c r="D17">
        <v>180</v>
      </c>
      <c r="E17" s="14">
        <v>45165</v>
      </c>
      <c r="F17" s="1">
        <v>45345</v>
      </c>
      <c r="G17">
        <v>2024</v>
      </c>
    </row>
    <row r="18" spans="2:7" x14ac:dyDescent="0.3">
      <c r="B18" t="str">
        <v>Instrumento 2</v>
      </c>
      <c r="C18" s="1">
        <v>45274</v>
      </c>
      <c r="D18">
        <v>270</v>
      </c>
      <c r="E18" s="1">
        <v>45274</v>
      </c>
      <c r="F18" s="1">
        <v>45544</v>
      </c>
      <c r="G18">
        <v>2024</v>
      </c>
    </row>
    <row r="19" spans="2:7" x14ac:dyDescent="0.3">
      <c r="B19" t="str">
        <v>Instrumento 1</v>
      </c>
      <c r="C19" s="1">
        <v>45333</v>
      </c>
      <c r="D19">
        <v>60</v>
      </c>
      <c r="E19" s="1">
        <v>45333</v>
      </c>
      <c r="F19" s="1">
        <v>45393</v>
      </c>
      <c r="G19">
        <v>2024</v>
      </c>
    </row>
    <row r="20" spans="2:7" x14ac:dyDescent="0.3">
      <c r="B20" t="str">
        <v>Instrumento 5</v>
      </c>
      <c r="C20" s="1">
        <v>45435</v>
      </c>
      <c r="D20">
        <v>180</v>
      </c>
      <c r="E20" s="1">
        <v>45435</v>
      </c>
      <c r="F20" s="1">
        <v>45615</v>
      </c>
      <c r="G20">
        <v>2024</v>
      </c>
    </row>
  </sheetData>
  <mergeCells count="1">
    <mergeCell ref="B2:O2"/>
  </mergeCells>
  <phoneticPr fontId="3" type="noConversion"/>
  <dataValidations count="1">
    <dataValidation type="list" allowBlank="1" showInputMessage="1" showErrorMessage="1" sqref="C11" xr:uid="{B1A0682E-FA4B-43A3-8B1B-E699B18555F4}">
      <formula1>"2024,2025,2026,2027,2028,2029,2030"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A519-947B-4F8F-B694-75329B2B0B29}">
  <dimension ref="A3:K29"/>
  <sheetViews>
    <sheetView topLeftCell="F1" workbookViewId="0">
      <selection activeCell="H21" sqref="H21"/>
    </sheetView>
  </sheetViews>
  <sheetFormatPr defaultRowHeight="14.4" x14ac:dyDescent="0.3"/>
  <cols>
    <col min="1" max="1" width="29.33203125" bestFit="1" customWidth="1"/>
    <col min="2" max="2" width="19.44140625" bestFit="1" customWidth="1"/>
    <col min="3" max="3" width="19.33203125" bestFit="1" customWidth="1"/>
    <col min="4" max="4" width="20.44140625" bestFit="1" customWidth="1"/>
    <col min="5" max="5" width="10.109375" bestFit="1" customWidth="1"/>
    <col min="7" max="7" width="16.6640625" bestFit="1" customWidth="1"/>
    <col min="8" max="8" width="29.109375" bestFit="1" customWidth="1"/>
    <col min="9" max="9" width="19.33203125" bestFit="1" customWidth="1"/>
    <col min="10" max="10" width="20.44140625" bestFit="1" customWidth="1"/>
    <col min="11" max="11" width="10" bestFit="1" customWidth="1"/>
  </cols>
  <sheetData>
    <row r="3" spans="1:8" x14ac:dyDescent="0.3">
      <c r="A3" s="9" t="s">
        <v>50</v>
      </c>
      <c r="B3" s="9" t="s">
        <v>51</v>
      </c>
      <c r="G3" s="9" t="s">
        <v>52</v>
      </c>
      <c r="H3" t="s">
        <v>50</v>
      </c>
    </row>
    <row r="4" spans="1:8" x14ac:dyDescent="0.3">
      <c r="A4" s="9" t="s">
        <v>52</v>
      </c>
      <c r="B4" t="s">
        <v>30</v>
      </c>
      <c r="C4" t="s">
        <v>29</v>
      </c>
      <c r="D4" t="s">
        <v>24</v>
      </c>
      <c r="E4" t="s">
        <v>53</v>
      </c>
      <c r="G4" s="10" t="s">
        <v>30</v>
      </c>
      <c r="H4">
        <v>3</v>
      </c>
    </row>
    <row r="5" spans="1:8" x14ac:dyDescent="0.3">
      <c r="A5" s="10" t="s">
        <v>54</v>
      </c>
      <c r="B5">
        <v>1</v>
      </c>
      <c r="D5">
        <v>1</v>
      </c>
      <c r="E5">
        <v>2</v>
      </c>
      <c r="G5" s="10" t="s">
        <v>29</v>
      </c>
      <c r="H5">
        <v>2</v>
      </c>
    </row>
    <row r="6" spans="1:8" x14ac:dyDescent="0.3">
      <c r="A6" s="10" t="s">
        <v>55</v>
      </c>
      <c r="D6">
        <v>1</v>
      </c>
      <c r="E6">
        <v>1</v>
      </c>
      <c r="G6" s="10" t="s">
        <v>24</v>
      </c>
      <c r="H6">
        <v>5</v>
      </c>
    </row>
    <row r="7" spans="1:8" x14ac:dyDescent="0.3">
      <c r="A7" s="10" t="s">
        <v>56</v>
      </c>
      <c r="C7">
        <v>1</v>
      </c>
      <c r="E7">
        <v>1</v>
      </c>
      <c r="G7" s="10" t="s">
        <v>53</v>
      </c>
      <c r="H7">
        <v>10</v>
      </c>
    </row>
    <row r="8" spans="1:8" x14ac:dyDescent="0.3">
      <c r="A8" s="10" t="s">
        <v>57</v>
      </c>
      <c r="B8">
        <v>1</v>
      </c>
      <c r="C8">
        <v>1</v>
      </c>
      <c r="E8">
        <v>2</v>
      </c>
    </row>
    <row r="9" spans="1:8" x14ac:dyDescent="0.3">
      <c r="A9" s="10" t="s">
        <v>58</v>
      </c>
      <c r="D9">
        <v>1</v>
      </c>
      <c r="E9">
        <v>1</v>
      </c>
    </row>
    <row r="10" spans="1:8" x14ac:dyDescent="0.3">
      <c r="A10" s="10" t="s">
        <v>59</v>
      </c>
      <c r="D10">
        <v>1</v>
      </c>
      <c r="E10">
        <v>1</v>
      </c>
    </row>
    <row r="11" spans="1:8" x14ac:dyDescent="0.3">
      <c r="A11" s="10" t="s">
        <v>60</v>
      </c>
      <c r="D11">
        <v>1</v>
      </c>
      <c r="E11">
        <v>1</v>
      </c>
      <c r="G11" s="9" t="s">
        <v>52</v>
      </c>
      <c r="H11" t="s">
        <v>50</v>
      </c>
    </row>
    <row r="12" spans="1:8" x14ac:dyDescent="0.3">
      <c r="A12" s="10" t="s">
        <v>61</v>
      </c>
      <c r="B12">
        <v>1</v>
      </c>
      <c r="E12">
        <v>1</v>
      </c>
      <c r="G12" s="10" t="s">
        <v>26</v>
      </c>
      <c r="H12" s="11">
        <v>0.8</v>
      </c>
    </row>
    <row r="13" spans="1:8" x14ac:dyDescent="0.3">
      <c r="A13" s="10" t="s">
        <v>53</v>
      </c>
      <c r="B13">
        <v>3</v>
      </c>
      <c r="C13">
        <v>2</v>
      </c>
      <c r="D13">
        <v>5</v>
      </c>
      <c r="E13">
        <v>10</v>
      </c>
      <c r="G13" s="10" t="s">
        <v>32</v>
      </c>
      <c r="H13" s="11">
        <v>0.2</v>
      </c>
    </row>
    <row r="14" spans="1:8" x14ac:dyDescent="0.3">
      <c r="G14" s="10" t="s">
        <v>53</v>
      </c>
      <c r="H14" s="11">
        <v>1</v>
      </c>
    </row>
    <row r="18" spans="7:11" x14ac:dyDescent="0.3">
      <c r="G18" s="9" t="s">
        <v>52</v>
      </c>
      <c r="H18" t="s">
        <v>50</v>
      </c>
      <c r="J18" s="9" t="s">
        <v>52</v>
      </c>
      <c r="K18" t="s">
        <v>50</v>
      </c>
    </row>
    <row r="19" spans="7:11" x14ac:dyDescent="0.3">
      <c r="G19" s="10" t="s">
        <v>25</v>
      </c>
      <c r="H19" s="11">
        <v>0.7</v>
      </c>
      <c r="J19" s="10" t="s">
        <v>62</v>
      </c>
      <c r="K19">
        <v>2</v>
      </c>
    </row>
    <row r="20" spans="7:11" x14ac:dyDescent="0.3">
      <c r="G20" s="10" t="s">
        <v>31</v>
      </c>
      <c r="H20" s="11">
        <v>0.3</v>
      </c>
      <c r="J20" s="10" t="s">
        <v>63</v>
      </c>
      <c r="K20">
        <v>1</v>
      </c>
    </row>
    <row r="21" spans="7:11" x14ac:dyDescent="0.3">
      <c r="G21" s="10" t="s">
        <v>53</v>
      </c>
      <c r="H21" s="11">
        <v>1</v>
      </c>
      <c r="J21" s="10" t="s">
        <v>64</v>
      </c>
      <c r="K21">
        <v>1</v>
      </c>
    </row>
    <row r="22" spans="7:11" x14ac:dyDescent="0.3">
      <c r="J22" s="10" t="s">
        <v>65</v>
      </c>
      <c r="K22">
        <v>2</v>
      </c>
    </row>
    <row r="23" spans="7:11" x14ac:dyDescent="0.3">
      <c r="J23" s="10" t="s">
        <v>66</v>
      </c>
      <c r="K23">
        <v>1</v>
      </c>
    </row>
    <row r="24" spans="7:11" x14ac:dyDescent="0.3">
      <c r="J24" s="10" t="s">
        <v>67</v>
      </c>
      <c r="K24">
        <v>1</v>
      </c>
    </row>
    <row r="25" spans="7:11" x14ac:dyDescent="0.3">
      <c r="G25" s="9" t="s">
        <v>52</v>
      </c>
      <c r="H25" t="s">
        <v>50</v>
      </c>
      <c r="J25" s="10" t="s">
        <v>68</v>
      </c>
      <c r="K25">
        <v>1</v>
      </c>
    </row>
    <row r="26" spans="7:11" x14ac:dyDescent="0.3">
      <c r="G26" s="10" t="s">
        <v>27</v>
      </c>
      <c r="H26">
        <v>2</v>
      </c>
      <c r="J26" s="10" t="s">
        <v>69</v>
      </c>
      <c r="K26">
        <v>1</v>
      </c>
    </row>
    <row r="27" spans="7:11" x14ac:dyDescent="0.3">
      <c r="G27" s="10" t="s">
        <v>28</v>
      </c>
      <c r="H27">
        <v>7</v>
      </c>
      <c r="J27" s="10" t="s">
        <v>53</v>
      </c>
      <c r="K27">
        <v>10</v>
      </c>
    </row>
    <row r="28" spans="7:11" x14ac:dyDescent="0.3">
      <c r="G28" s="10" t="s">
        <v>33</v>
      </c>
      <c r="H28">
        <v>1</v>
      </c>
    </row>
    <row r="29" spans="7:11" x14ac:dyDescent="0.3">
      <c r="G29" s="10" t="s">
        <v>53</v>
      </c>
      <c r="H29">
        <v>10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3DB0E-8972-4FE1-AD38-E9E8C493A0B8}">
  <dimension ref="AA7"/>
  <sheetViews>
    <sheetView showGridLines="0" showRowColHeaders="0" zoomScale="90" zoomScaleNormal="90" workbookViewId="0">
      <selection activeCell="X45" sqref="X45"/>
    </sheetView>
  </sheetViews>
  <sheetFormatPr defaultRowHeight="14.4" x14ac:dyDescent="0.3"/>
  <sheetData>
    <row r="7" spans="27:27" x14ac:dyDescent="0.3">
      <c r="AA7" t="s">
        <v>70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Ativos</vt:lpstr>
      <vt:lpstr>Controle</vt:lpstr>
      <vt:lpstr>Resumo Mês</vt:lpstr>
      <vt:lpstr>Análises</vt:lpstr>
      <vt:lpstr>Painel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Araujo</dc:creator>
  <cp:keywords/>
  <dc:description/>
  <cp:lastModifiedBy>Alfredo Araujo</cp:lastModifiedBy>
  <cp:revision/>
  <dcterms:created xsi:type="dcterms:W3CDTF">2024-05-27T16:32:43Z</dcterms:created>
  <dcterms:modified xsi:type="dcterms:W3CDTF">2024-06-03T18:37:30Z</dcterms:modified>
  <cp:category/>
  <cp:contentStatus/>
</cp:coreProperties>
</file>