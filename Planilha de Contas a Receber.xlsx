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8"/>
  <workbookPr hidePivotFieldList="1"/>
  <mc:AlternateContent xmlns:mc="http://schemas.openxmlformats.org/markup-compatibility/2006">
    <mc:Choice Requires="x15">
      <x15ac:absPath xmlns:x15ac="http://schemas.microsoft.com/office/spreadsheetml/2010/11/ac" url="https://hashtagtreinamentos-my.sharepoint.com/personal/alfredo_araujo_hashtagtreinamentos_com/Documents/Fred/1 - Youtube de Terça e Quinta/Modelos de Planilha/Contas a receber/"/>
    </mc:Choice>
  </mc:AlternateContent>
  <xr:revisionPtr revIDLastSave="31" documentId="13_ncr:1_{26B743F8-8B7F-46F3-891B-317E5D89B96D}" xr6:coauthVersionLast="47" xr6:coauthVersionMax="47" xr10:uidLastSave="{5597E940-2B41-485B-9D42-EF34A83CAAB1}"/>
  <bookViews>
    <workbookView xWindow="-108" yWindow="-108" windowWidth="23256" windowHeight="13176" tabRatio="440" firstSheet="4" activeTab="4" xr2:uid="{00000000-000D-0000-FFFF-FFFF00000000}"/>
  </bookViews>
  <sheets>
    <sheet name="Cadastros" sheetId="5" r:id="rId1"/>
    <sheet name="Registro" sheetId="1" r:id="rId2"/>
    <sheet name="Resumo Geral" sheetId="2" r:id="rId3"/>
    <sheet name="Análises" sheetId="6" state="hidden" r:id="rId4"/>
    <sheet name="Dashboard" sheetId="4" r:id="rId5"/>
  </sheets>
  <definedNames>
    <definedName name="SegmentaçãodeDados_Mês_Vencimento">#N/A</definedName>
  </definedNames>
  <calcPr calcId="191028"/>
  <pivotCaches>
    <pivotCache cacheId="6722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D6" i="1" s="1"/>
  <c r="C7" i="1"/>
  <c r="C8" i="1"/>
  <c r="C9" i="1"/>
  <c r="C10" i="1"/>
  <c r="C11" i="1"/>
  <c r="C12" i="1"/>
  <c r="L12" i="1" s="1"/>
  <c r="C13" i="1"/>
  <c r="D13" i="1" s="1"/>
  <c r="C14" i="1"/>
  <c r="D14" i="1" s="1"/>
  <c r="C15" i="1"/>
  <c r="C16" i="1"/>
  <c r="D16" i="1" s="1"/>
  <c r="C17" i="1"/>
  <c r="C18" i="1"/>
  <c r="C19" i="1"/>
  <c r="C20" i="1"/>
  <c r="C21" i="1"/>
  <c r="C22" i="1"/>
  <c r="C23" i="1"/>
  <c r="D23" i="1" s="1"/>
  <c r="C24" i="1"/>
  <c r="L24" i="1" s="1"/>
  <c r="C25" i="1"/>
  <c r="C26" i="1"/>
  <c r="C27" i="1"/>
  <c r="L27" i="1" s="1"/>
  <c r="C28" i="1"/>
  <c r="C29" i="1"/>
  <c r="C30" i="1"/>
  <c r="C31" i="1"/>
  <c r="D31" i="1" s="1"/>
  <c r="C32" i="1"/>
  <c r="L32" i="1" s="1"/>
  <c r="C33" i="1"/>
  <c r="C34" i="1"/>
  <c r="C35" i="1"/>
  <c r="C36" i="1"/>
  <c r="D36" i="1" s="1"/>
  <c r="C37" i="1"/>
  <c r="C38" i="1"/>
  <c r="C39" i="1"/>
  <c r="C40" i="1"/>
  <c r="C41" i="1"/>
  <c r="C42" i="1"/>
  <c r="C43" i="1"/>
  <c r="D43" i="1" s="1"/>
  <c r="C44" i="1"/>
  <c r="C45" i="1"/>
  <c r="C46" i="1"/>
  <c r="C47" i="1"/>
  <c r="D47" i="1" s="1"/>
  <c r="C48" i="1"/>
  <c r="D48" i="1" s="1"/>
  <c r="C49" i="1"/>
  <c r="C50" i="1"/>
  <c r="C51" i="1"/>
  <c r="C52" i="1"/>
  <c r="C53" i="1"/>
  <c r="C54" i="1"/>
  <c r="C55" i="1"/>
  <c r="C56" i="1"/>
  <c r="C57" i="1"/>
  <c r="C58" i="1"/>
  <c r="C59" i="1"/>
  <c r="D59" i="1" s="1"/>
  <c r="C60" i="1"/>
  <c r="C61" i="1"/>
  <c r="C62" i="1"/>
  <c r="D62" i="1" s="1"/>
  <c r="C63" i="1"/>
  <c r="D63" i="1" s="1"/>
  <c r="C64" i="1"/>
  <c r="D64" i="1" s="1"/>
  <c r="C65" i="1"/>
  <c r="C66" i="1"/>
  <c r="C67" i="1"/>
  <c r="C68" i="1"/>
  <c r="C69" i="1"/>
  <c r="C70" i="1"/>
  <c r="C71" i="1"/>
  <c r="D71" i="1" s="1"/>
  <c r="C72" i="1"/>
  <c r="D72" i="1" s="1"/>
  <c r="C73" i="1"/>
  <c r="C74" i="1"/>
  <c r="C75" i="1"/>
  <c r="C76" i="1"/>
  <c r="C77" i="1"/>
  <c r="L77" i="1" s="1"/>
  <c r="C78" i="1"/>
  <c r="C79" i="1"/>
  <c r="L79" i="1" s="1"/>
  <c r="C80" i="1"/>
  <c r="L80" i="1" s="1"/>
  <c r="C81" i="1"/>
  <c r="C82" i="1"/>
  <c r="C83" i="1"/>
  <c r="C84" i="1"/>
  <c r="D84" i="1" s="1"/>
  <c r="C85" i="1"/>
  <c r="C86" i="1"/>
  <c r="C87" i="1"/>
  <c r="C88" i="1"/>
  <c r="L88" i="1" s="1"/>
  <c r="C89" i="1"/>
  <c r="C90" i="1"/>
  <c r="C91" i="1"/>
  <c r="C92" i="1"/>
  <c r="C93" i="1"/>
  <c r="C94" i="1"/>
  <c r="C95" i="1"/>
  <c r="C96" i="1"/>
  <c r="L96" i="1" s="1"/>
  <c r="C97" i="1"/>
  <c r="C98" i="1"/>
  <c r="C99" i="1"/>
  <c r="C100" i="1"/>
  <c r="D100" i="1" s="1"/>
  <c r="C101" i="1"/>
  <c r="C102" i="1"/>
  <c r="D102" i="1" s="1"/>
  <c r="C103" i="1"/>
  <c r="C104" i="1"/>
  <c r="C105" i="1"/>
  <c r="C106" i="1"/>
  <c r="C107" i="1"/>
  <c r="C108" i="1"/>
  <c r="D108" i="1" s="1"/>
  <c r="C109" i="1"/>
  <c r="L109" i="1" s="1"/>
  <c r="C110" i="1"/>
  <c r="D110" i="1" s="1"/>
  <c r="C111" i="1"/>
  <c r="L111" i="1" s="1"/>
  <c r="C112" i="1"/>
  <c r="L112" i="1" s="1"/>
  <c r="C113" i="1"/>
  <c r="D55" i="1"/>
  <c r="D65" i="1"/>
  <c r="D68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K6" i="1"/>
  <c r="K42" i="1"/>
  <c r="K38" i="1"/>
  <c r="K49" i="1"/>
  <c r="K60" i="1"/>
  <c r="K67" i="1"/>
  <c r="K35" i="1"/>
  <c r="K8" i="1"/>
  <c r="K4" i="1"/>
  <c r="K72" i="1"/>
  <c r="K53" i="1"/>
  <c r="K39" i="1"/>
  <c r="K82" i="1"/>
  <c r="K32" i="1"/>
  <c r="K26" i="1"/>
  <c r="K7" i="1"/>
  <c r="K70" i="1"/>
  <c r="K46" i="1"/>
  <c r="K11" i="1"/>
  <c r="K84" i="1"/>
  <c r="K43" i="1"/>
  <c r="K3" i="1"/>
  <c r="K80" i="1"/>
  <c r="K52" i="1"/>
  <c r="K81" i="1"/>
  <c r="K10" i="1"/>
  <c r="K16" i="1"/>
  <c r="K65" i="1"/>
  <c r="K51" i="1"/>
  <c r="K22" i="1"/>
  <c r="K54" i="1"/>
  <c r="K66" i="1"/>
  <c r="K27" i="1"/>
  <c r="K14" i="1"/>
  <c r="K74" i="1"/>
  <c r="K56" i="1"/>
  <c r="K19" i="1"/>
  <c r="K15" i="1"/>
  <c r="K21" i="1"/>
  <c r="K76" i="1"/>
  <c r="K24" i="1"/>
  <c r="K59" i="1"/>
  <c r="D40" i="1"/>
  <c r="L3" i="1"/>
  <c r="L51" i="1"/>
  <c r="L21" i="1"/>
  <c r="D2" i="1"/>
  <c r="D75" i="1"/>
  <c r="D85" i="1"/>
  <c r="D83" i="1"/>
  <c r="L22" i="1"/>
  <c r="D73" i="1"/>
  <c r="D41" i="1"/>
  <c r="L18" i="1"/>
  <c r="K2" i="1"/>
  <c r="K71" i="1"/>
  <c r="K23" i="1"/>
  <c r="K36" i="1"/>
  <c r="K75" i="1"/>
  <c r="K85" i="1"/>
  <c r="K83" i="1"/>
  <c r="K13" i="1"/>
  <c r="K73" i="1"/>
  <c r="K41" i="1"/>
  <c r="K25" i="1"/>
  <c r="K18" i="1"/>
  <c r="L2" i="1"/>
  <c r="D53" i="1"/>
  <c r="D74" i="1"/>
  <c r="D45" i="1"/>
  <c r="D17" i="1"/>
  <c r="L37" i="1"/>
  <c r="D19" i="1"/>
  <c r="L26" i="1"/>
  <c r="D11" i="1"/>
  <c r="D33" i="1"/>
  <c r="L15" i="1"/>
  <c r="D5" i="1"/>
  <c r="D50" i="1"/>
  <c r="K45" i="1"/>
  <c r="K40" i="1"/>
  <c r="K17" i="1"/>
  <c r="K30" i="1"/>
  <c r="K68" i="1"/>
  <c r="K37" i="1"/>
  <c r="K48" i="1"/>
  <c r="K12" i="1"/>
  <c r="K62" i="1"/>
  <c r="K33" i="1"/>
  <c r="K69" i="1"/>
  <c r="K5" i="1"/>
  <c r="K50" i="1"/>
  <c r="D42" i="1"/>
  <c r="D29" i="1"/>
  <c r="D38" i="1"/>
  <c r="D49" i="1"/>
  <c r="D60" i="1"/>
  <c r="D34" i="1"/>
  <c r="D28" i="1"/>
  <c r="D44" i="1"/>
  <c r="D58" i="1"/>
  <c r="D78" i="1"/>
  <c r="D61" i="1"/>
  <c r="D9" i="1"/>
  <c r="D57" i="1"/>
  <c r="K55" i="1"/>
  <c r="K64" i="1"/>
  <c r="K20" i="1"/>
  <c r="K29" i="1"/>
  <c r="K63" i="1"/>
  <c r="K31" i="1"/>
  <c r="K34" i="1"/>
  <c r="K28" i="1"/>
  <c r="K44" i="1"/>
  <c r="K58" i="1"/>
  <c r="K78" i="1"/>
  <c r="K77" i="1"/>
  <c r="K61" i="1"/>
  <c r="K47" i="1"/>
  <c r="K79" i="1"/>
  <c r="K9" i="1"/>
  <c r="K57" i="1"/>
  <c r="D91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D104" i="1"/>
  <c r="D105" i="1"/>
  <c r="L106" i="1"/>
  <c r="D107" i="1"/>
  <c r="D113" i="1"/>
  <c r="L98" i="1"/>
  <c r="D99" i="1"/>
  <c r="D101" i="1"/>
  <c r="L103" i="1"/>
  <c r="L97" i="1"/>
  <c r="L86" i="1"/>
  <c r="L87" i="1"/>
  <c r="D89" i="1"/>
  <c r="L90" i="1"/>
  <c r="L91" i="1"/>
  <c r="D92" i="1"/>
  <c r="L93" i="1"/>
  <c r="L94" i="1"/>
  <c r="L95" i="1"/>
  <c r="D112" i="1" l="1"/>
  <c r="L57" i="1"/>
  <c r="L28" i="1"/>
  <c r="L42" i="1"/>
  <c r="D26" i="1"/>
  <c r="L43" i="1"/>
  <c r="D18" i="1"/>
  <c r="L19" i="1"/>
  <c r="L47" i="1"/>
  <c r="L4" i="1"/>
  <c r="L8" i="1"/>
  <c r="L35" i="1"/>
  <c r="L67" i="1"/>
  <c r="L10" i="1"/>
  <c r="L56" i="1"/>
  <c r="L46" i="1"/>
  <c r="L70" i="1"/>
  <c r="L53" i="1"/>
  <c r="L76" i="1"/>
  <c r="L82" i="1"/>
  <c r="L36" i="1"/>
  <c r="D76" i="1"/>
  <c r="L17" i="1"/>
  <c r="L7" i="1"/>
  <c r="D7" i="1"/>
  <c r="L81" i="1"/>
  <c r="D81" i="1"/>
  <c r="L52" i="1"/>
  <c r="D52" i="1"/>
  <c r="L66" i="1"/>
  <c r="D66" i="1"/>
  <c r="D20" i="1"/>
  <c r="L20" i="1"/>
  <c r="L54" i="1"/>
  <c r="D54" i="1"/>
  <c r="D39" i="1"/>
  <c r="L39" i="1"/>
  <c r="D69" i="1"/>
  <c r="L69" i="1"/>
  <c r="D30" i="1"/>
  <c r="L30" i="1"/>
  <c r="L25" i="1"/>
  <c r="D25" i="1"/>
  <c r="L44" i="1"/>
  <c r="L68" i="1"/>
  <c r="L13" i="1"/>
  <c r="L59" i="1"/>
  <c r="L83" i="1"/>
  <c r="L58" i="1"/>
  <c r="L49" i="1"/>
  <c r="L85" i="1"/>
  <c r="D79" i="1"/>
  <c r="L75" i="1"/>
  <c r="L6" i="1"/>
  <c r="L64" i="1"/>
  <c r="D56" i="1"/>
  <c r="L84" i="1"/>
  <c r="L31" i="1"/>
  <c r="L33" i="1"/>
  <c r="L71" i="1"/>
  <c r="D3" i="1"/>
  <c r="L34" i="1"/>
  <c r="L11" i="1"/>
  <c r="D15" i="1"/>
  <c r="L73" i="1"/>
  <c r="D51" i="1"/>
  <c r="L62" i="1"/>
  <c r="D35" i="1"/>
  <c r="L40" i="1"/>
  <c r="D77" i="1"/>
  <c r="D4" i="1"/>
  <c r="L78" i="1"/>
  <c r="D8" i="1"/>
  <c r="L65" i="1"/>
  <c r="D27" i="1"/>
  <c r="D10" i="1"/>
  <c r="L29" i="1"/>
  <c r="D67" i="1"/>
  <c r="L107" i="1"/>
  <c r="D37" i="1"/>
  <c r="L16" i="1"/>
  <c r="D24" i="1"/>
  <c r="D21" i="1"/>
  <c r="D12" i="1"/>
  <c r="D106" i="1"/>
  <c r="L41" i="1"/>
  <c r="L23" i="1"/>
  <c r="D22" i="1"/>
  <c r="D80" i="1"/>
  <c r="L113" i="1"/>
  <c r="L50" i="1"/>
  <c r="L45" i="1"/>
  <c r="L5" i="1"/>
  <c r="L74" i="1"/>
  <c r="L61" i="1"/>
  <c r="L100" i="1"/>
  <c r="L9" i="1"/>
  <c r="L63" i="1"/>
  <c r="L60" i="1"/>
  <c r="L48" i="1"/>
  <c r="D46" i="1"/>
  <c r="D32" i="1"/>
  <c r="L72" i="1"/>
  <c r="L38" i="1"/>
  <c r="D70" i="1"/>
  <c r="D82" i="1"/>
  <c r="D90" i="1"/>
  <c r="D103" i="1"/>
  <c r="D88" i="1"/>
  <c r="L14" i="1"/>
  <c r="L110" i="1"/>
  <c r="L108" i="1"/>
  <c r="L55" i="1"/>
  <c r="D96" i="1"/>
  <c r="D111" i="1"/>
  <c r="D95" i="1"/>
  <c r="L105" i="1"/>
  <c r="L89" i="1"/>
  <c r="D98" i="1"/>
  <c r="L92" i="1"/>
  <c r="D97" i="1"/>
  <c r="L104" i="1"/>
  <c r="D109" i="1"/>
  <c r="D93" i="1"/>
  <c r="D94" i="1"/>
  <c r="L102" i="1"/>
  <c r="L101" i="1"/>
  <c r="L99" i="1"/>
  <c r="D87" i="1"/>
  <c r="D86" i="1"/>
  <c r="K3" i="2" l="1"/>
  <c r="J9" i="2"/>
  <c r="G9" i="2"/>
  <c r="K2" i="2"/>
  <c r="L9" i="2"/>
  <c r="C2" i="2"/>
  <c r="H5" i="2"/>
  <c r="J5" i="2"/>
  <c r="C7" i="2"/>
  <c r="J8" i="2"/>
  <c r="C8" i="2"/>
  <c r="M4" i="2"/>
  <c r="G4" i="2"/>
  <c r="K8" i="2"/>
  <c r="H2" i="2"/>
  <c r="E4" i="2"/>
  <c r="L5" i="2"/>
  <c r="G7" i="2"/>
  <c r="L8" i="2"/>
  <c r="I2" i="2"/>
  <c r="F7" i="2"/>
  <c r="D3" i="2"/>
  <c r="F4" i="2"/>
  <c r="J4" i="2"/>
  <c r="F6" i="2"/>
  <c r="B9" i="2"/>
  <c r="C5" i="2"/>
  <c r="E3" i="2"/>
  <c r="H6" i="2"/>
  <c r="F3" i="2"/>
  <c r="I4" i="2"/>
  <c r="B5" i="2"/>
  <c r="E7" i="2"/>
  <c r="C9" i="2"/>
  <c r="I9" i="2"/>
  <c r="H4" i="2"/>
  <c r="M8" i="2"/>
  <c r="G3" i="2"/>
  <c r="B3" i="2"/>
  <c r="C6" i="2"/>
  <c r="D7" i="2"/>
  <c r="D9" i="2"/>
  <c r="E2" i="2"/>
  <c r="D4" i="2"/>
  <c r="K5" i="2"/>
  <c r="H3" i="2"/>
  <c r="K4" i="2"/>
  <c r="H7" i="2"/>
  <c r="B8" i="2"/>
  <c r="E9" i="2"/>
  <c r="I7" i="2"/>
  <c r="G2" i="2"/>
  <c r="D2" i="2"/>
  <c r="I3" i="2"/>
  <c r="L4" i="2"/>
  <c r="D6" i="2"/>
  <c r="H9" i="2"/>
  <c r="F9" i="2"/>
  <c r="E6" i="2"/>
  <c r="J2" i="2"/>
  <c r="L3" i="2"/>
  <c r="D5" i="2"/>
  <c r="J7" i="2"/>
  <c r="G8" i="2"/>
  <c r="D8" i="2"/>
  <c r="K9" i="2"/>
  <c r="G6" i="2"/>
  <c r="L2" i="2"/>
  <c r="C3" i="2"/>
  <c r="G5" i="2"/>
  <c r="I6" i="2"/>
  <c r="M9" i="2"/>
  <c r="E8" i="2"/>
  <c r="F8" i="2"/>
  <c r="M3" i="2"/>
  <c r="H8" i="2"/>
  <c r="M2" i="2"/>
  <c r="B2" i="2"/>
  <c r="B4" i="2"/>
  <c r="K6" i="2"/>
  <c r="I8" i="2"/>
  <c r="J3" i="2"/>
  <c r="F5" i="2"/>
  <c r="F2" i="2"/>
  <c r="C4" i="2"/>
  <c r="I5" i="2"/>
  <c r="M6" i="2"/>
  <c r="J6" i="2"/>
  <c r="L6" i="2"/>
  <c r="M7" i="2"/>
  <c r="B6" i="2"/>
  <c r="E5" i="2"/>
  <c r="K7" i="2"/>
  <c r="B7" i="2"/>
  <c r="M5" i="2"/>
  <c r="L7" i="2"/>
</calcChain>
</file>

<file path=xl/sharedStrings.xml><?xml version="1.0" encoding="utf-8"?>
<sst xmlns="http://schemas.openxmlformats.org/spreadsheetml/2006/main" count="483" uniqueCount="100">
  <si>
    <t>Categorias de Contas</t>
  </si>
  <si>
    <t>Clientes</t>
  </si>
  <si>
    <t>Telefone</t>
  </si>
  <si>
    <t>E-mai</t>
  </si>
  <si>
    <t>Matrícula Ens Fundamental</t>
  </si>
  <si>
    <t>Adalberto Torres</t>
  </si>
  <si>
    <t>torres@email.com</t>
  </si>
  <si>
    <t>Matrícula Ens Médio</t>
  </si>
  <si>
    <t>Agostinho Carrara</t>
  </si>
  <si>
    <t>carrara@email.com</t>
  </si>
  <si>
    <t>Material Escolar</t>
  </si>
  <si>
    <t>Celina Justo</t>
  </si>
  <si>
    <t>justo@email.com</t>
  </si>
  <si>
    <t>Mensalidade Ens Fundamental</t>
  </si>
  <si>
    <t>Claire Underwood</t>
  </si>
  <si>
    <t>underwood@email.com</t>
  </si>
  <si>
    <t>Mensalidade Ens Médio</t>
  </si>
  <si>
    <t>Dona Benta</t>
  </si>
  <si>
    <t>benta@email.com</t>
  </si>
  <si>
    <t>Atividades Extra Muros</t>
  </si>
  <si>
    <t>Dwight Schrute</t>
  </si>
  <si>
    <t>schrute@email.com</t>
  </si>
  <si>
    <t>Felipe Duarte</t>
  </si>
  <si>
    <t>duarte@email.com</t>
  </si>
  <si>
    <t>Marco Santos</t>
  </si>
  <si>
    <t>santos@email.com</t>
  </si>
  <si>
    <t>Mariana Rosa</t>
  </si>
  <si>
    <t>rosa@email.com</t>
  </si>
  <si>
    <t>Michael Scott</t>
  </si>
  <si>
    <t>scott@email.com</t>
  </si>
  <si>
    <t>Samantha Alves</t>
  </si>
  <si>
    <t>alves@email.com</t>
  </si>
  <si>
    <t>Suzane Barbosa</t>
  </si>
  <si>
    <t>barbosa@email.com</t>
  </si>
  <si>
    <t>Walter White</t>
  </si>
  <si>
    <t>white@email.com</t>
  </si>
  <si>
    <t>Zoe Barnes</t>
  </si>
  <si>
    <t>barnes@email.com</t>
  </si>
  <si>
    <t>ID</t>
  </si>
  <si>
    <t>Data Emissão</t>
  </si>
  <si>
    <t>Data Vencimento</t>
  </si>
  <si>
    <t>Mês Vencimento</t>
  </si>
  <si>
    <t>Categoria</t>
  </si>
  <si>
    <t>Cliente</t>
  </si>
  <si>
    <t>Valor</t>
  </si>
  <si>
    <t>Data Pagamento</t>
  </si>
  <si>
    <t>Forma Pgto</t>
  </si>
  <si>
    <t>Recebido</t>
  </si>
  <si>
    <t>Pendente</t>
  </si>
  <si>
    <t>Status</t>
  </si>
  <si>
    <t>Cheque</t>
  </si>
  <si>
    <t>PIX</t>
  </si>
  <si>
    <t>Dinheiro</t>
  </si>
  <si>
    <t>Boleto</t>
  </si>
  <si>
    <t>Ano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</si>
  <si>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</si>
  <si>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</si>
  <si>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</si>
  <si>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</si>
  <si>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</si>
  <si>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</si>
  <si>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</si>
  <si>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</si>
  <si>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</si>
  <si>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</si>
  <si>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</si>
  <si>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</si>
  <si>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Quantidade de contas a receber</t>
  </si>
  <si>
    <t>Valor de contas a receber</t>
  </si>
  <si>
    <t>Quantidade de contas recebidas</t>
  </si>
  <si>
    <t>Valor de contas recebidas</t>
  </si>
  <si>
    <t>Quantidade recebidas com atraso</t>
  </si>
  <si>
    <t>Valor de contas recebidas com atraso</t>
  </si>
  <si>
    <t>Quantidade de contas vencidas</t>
  </si>
  <si>
    <t>Valor de contas vencidas</t>
  </si>
  <si>
    <t>EM ABERTO</t>
  </si>
  <si>
    <t>GERAL</t>
  </si>
  <si>
    <t>ATRASADO</t>
  </si>
  <si>
    <t>(Vários itens)</t>
  </si>
  <si>
    <t>Rótulos de Linha</t>
  </si>
  <si>
    <t>Contagem de Forma Pgto</t>
  </si>
  <si>
    <t>Atrasado</t>
  </si>
  <si>
    <t>Contagem de Status</t>
  </si>
  <si>
    <t>Soma de Valor</t>
  </si>
  <si>
    <t>Total Geral</t>
  </si>
  <si>
    <t>Pago com Atraso</t>
  </si>
  <si>
    <t>Pago no Prazo</t>
  </si>
  <si>
    <t>Contagem de Categoria</t>
  </si>
  <si>
    <t>dez</t>
  </si>
  <si>
    <t>set</t>
  </si>
  <si>
    <t>out</t>
  </si>
  <si>
    <t>jan</t>
  </si>
  <si>
    <t>fev</t>
  </si>
  <si>
    <t>mar</t>
  </si>
  <si>
    <t>abr</t>
  </si>
  <si>
    <t>mai</t>
  </si>
  <si>
    <t>jun</t>
  </si>
  <si>
    <t>jul</t>
  </si>
  <si>
    <t>ago</t>
  </si>
  <si>
    <t>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</si>
</sst>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(00\)\ 00000\-0000"/>
    <numFmt numFmtId="165" formatCode="0000"/>
    <numFmt numFmtId="166" formatCode="&quot;R$&quot;\ #,##0.00"/>
    <numFmt numFmtId="167" formatCode="&quot;R$&quot;\ #,##0"/>
  </numFmts>
  <fonts count="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Montserrat"/>
    </font>
    <font>
      <b/>
      <sz val="11"/>
      <color theme="0"/>
      <name val="Montserrat"/>
    </font>
    <font>
      <sz val="12"/>
      <color theme="1"/>
      <name val="Montserrat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93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14" fontId="0" fillId="0" borderId="0" xfId="0" applyNumberFormat="1"/>
    <xf numFmtId="166" fontId="0" fillId="0" borderId="0" xfId="0" applyNumberFormat="1"/>
    <xf numFmtId="165" fontId="0" fillId="4" borderId="0" xfId="0" applyNumberFormat="1" applyFill="1"/>
    <xf numFmtId="14" fontId="0" fillId="4" borderId="0" xfId="0" applyNumberFormat="1" applyFill="1"/>
    <xf numFmtId="166" fontId="0" fillId="4" borderId="0" xfId="0" applyNumberFormat="1" applyFill="1"/>
    <xf numFmtId="0" fontId="0" fillId="4" borderId="0" xfId="0" applyFill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167" fontId="2" fillId="7" borderId="0" xfId="0" applyNumberFormat="1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167" fontId="2" fillId="8" borderId="0" xfId="0" applyNumberFormat="1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167" fontId="2" fillId="9" borderId="0" xfId="0" applyNumberFormat="1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167" fontId="2" fillId="10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13">
    <dxf>
      <numFmt numFmtId="0" formatCode="General"/>
      <fill>
        <patternFill patternType="solid">
          <fgColor indexed="64"/>
          <bgColor theme="6" tint="0.59999389629810485"/>
        </patternFill>
      </fill>
    </dxf>
    <dxf>
      <numFmt numFmtId="166" formatCode="&quot;R$&quot;\ #,##0.00"/>
      <fill>
        <patternFill patternType="solid">
          <fgColor indexed="64"/>
          <bgColor theme="6" tint="0.59999389629810485"/>
        </patternFill>
      </fill>
    </dxf>
    <dxf>
      <numFmt numFmtId="166" formatCode="&quot;R$&quot;\ #,##0.00"/>
    </dxf>
    <dxf>
      <numFmt numFmtId="19" formatCode="dd/mm/yyyy"/>
    </dxf>
    <dxf>
      <numFmt numFmtId="166" formatCode="&quot;R$&quot;\ #,##0.00"/>
    </dxf>
    <dxf>
      <numFmt numFmtId="19" formatCode="dd/mm/yyyy"/>
      <fill>
        <patternFill patternType="solid">
          <fgColor indexed="64"/>
          <bgColor theme="6" tint="0.59999389629810485"/>
        </patternFill>
      </fill>
    </dxf>
    <dxf>
      <numFmt numFmtId="19" formatCode="dd/mm/yyyy"/>
      <fill>
        <patternFill patternType="solid">
          <fgColor indexed="64"/>
          <bgColor theme="6" tint="0.59999389629810485"/>
        </patternFill>
      </fill>
    </dxf>
    <dxf>
      <numFmt numFmtId="165" formatCode="0000"/>
      <fill>
        <patternFill patternType="solid">
          <fgColor indexed="64"/>
          <bgColor theme="6" tint="0.59999389629810485"/>
        </patternFill>
      </fill>
    </dxf>
    <dxf>
      <numFmt numFmtId="164" formatCode="\(00\)\ 00000\-0000"/>
    </dxf>
    <dxf>
      <numFmt numFmtId="167" formatCode="&quot;R$&quot;\ #,##0"/>
    </dxf>
    <dxf>
      <numFmt numFmtId="167" formatCode="&quot;R$&quot;\ #,##0"/>
    </dxf>
    <dxf>
      <numFmt numFmtId="167" formatCode="&quot;R$&quot;\ #,##0"/>
    </dxf>
    <dxf>
      <font>
        <sz val="14"/>
        <name val="Montserrat"/>
      </font>
      <fill>
        <patternFill patternType="solid">
          <bgColor theme="0"/>
        </patternFill>
      </fill>
    </dxf>
  </dxfs>
  <tableStyles count="1" defaultTableStyle="TableStyleMedium2" defaultPivotStyle="PivotStyleLight16">
    <tableStyle name="Estilo de Segmentação de Dados 1" pivot="0" table="0" count="3" xr9:uid="{527A5F38-04B9-4E88-977A-19B310FD7B3F}">
      <tableStyleElement type="wholeTable" dxfId="12"/>
    </tableStyle>
  </tableStyles>
  <colors>
    <mruColors>
      <color rgb="FFFF6969"/>
      <color rgb="FFFF9393"/>
      <color rgb="FFFF4343"/>
      <color rgb="FFFF1515"/>
      <color rgb="FFFF5B5B"/>
    </mruColors>
  </colors>
  <extLst>
    <ext xmlns:x14="http://schemas.microsoft.com/office/spreadsheetml/2009/9/main" uri="{46F421CA-312F-682f-3DD2-61675219B42D}">
      <x14:dxfs count="2">
        <dxf>
          <font>
            <sz val="14"/>
            <name val="Montserrat"/>
            <scheme val="none"/>
          </font>
          <fill>
            <patternFill>
              <bgColor rgb="FFFF6969"/>
            </patternFill>
          </fill>
        </dxf>
        <dxf>
          <font>
            <sz val="14"/>
            <name val="Montserrat"/>
          </font>
          <fill>
            <patternFill>
              <bgColor rgb="FFFF6969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dinâmica9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gradFill>
              <a:gsLst>
                <a:gs pos="0">
                  <a:srgbClr val="FF5B5B"/>
                </a:gs>
                <a:gs pos="100000">
                  <a:srgbClr val="FF9393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Análises!$E$45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FF5B5B"/>
                  </a:gs>
                  <a:gs pos="100000">
                    <a:srgbClr val="FF9393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Análises!$D$46:$D$58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Análises!$E$46:$E$58</c:f>
              <c:numCache>
                <c:formatCode>"R$"\ #,##0</c:formatCode>
                <c:ptCount val="12"/>
                <c:pt idx="0">
                  <c:v>1307</c:v>
                </c:pt>
                <c:pt idx="1">
                  <c:v>2753</c:v>
                </c:pt>
                <c:pt idx="2">
                  <c:v>2438</c:v>
                </c:pt>
                <c:pt idx="3">
                  <c:v>2595</c:v>
                </c:pt>
                <c:pt idx="4">
                  <c:v>2448</c:v>
                </c:pt>
                <c:pt idx="5">
                  <c:v>2088</c:v>
                </c:pt>
                <c:pt idx="6">
                  <c:v>2561</c:v>
                </c:pt>
                <c:pt idx="7">
                  <c:v>2799</c:v>
                </c:pt>
                <c:pt idx="8">
                  <c:v>3948</c:v>
                </c:pt>
                <c:pt idx="9">
                  <c:v>1658</c:v>
                </c:pt>
                <c:pt idx="10">
                  <c:v>1451</c:v>
                </c:pt>
                <c:pt idx="11">
                  <c:v>6838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33-4C78-B138-E06BF8B44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09776"/>
        <c:axId val="329570384"/>
      </c:lineChart>
      <c:catAx>
        <c:axId val="1390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329570384"/>
        <c:crosses val="autoZero"/>
        <c:auto val="1"/>
        <c:lblAlgn val="ctr"/>
        <c:lblOffset val="100"/>
        <c:noMultiLvlLbl val="0"/>
      </c:catAx>
      <c:valAx>
        <c:axId val="3295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1390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dinâmica4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96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Análises!$H$5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Análises!$G$6:$G$10</c:f>
              <c:strCache>
                <c:ptCount val="4"/>
                <c:pt idx="0">
                  <c:v>Agostinho Carrara</c:v>
                </c:pt>
                <c:pt idx="1">
                  <c:v>Dona Benta</c:v>
                </c:pt>
                <c:pt idx="2">
                  <c:v>Mariana Rosa</c:v>
                </c:pt>
                <c:pt idx="3">
                  <c:v>Samantha Alves</c:v>
                </c:pt>
              </c:strCache>
            </c:strRef>
          </c:cat>
          <c:val>
            <c:numRef>
              <c:f>Análises!$H$6:$H$10</c:f>
              <c:numCache>
                <c:formatCode>"R$"\ #,##0</c:formatCode>
                <c:ptCount val="4"/>
                <c:pt idx="0">
                  <c:v>356</c:v>
                </c:pt>
                <c:pt idx="1">
                  <c:v>266</c:v>
                </c:pt>
                <c:pt idx="2">
                  <c:v>116</c:v>
                </c:pt>
                <c:pt idx="3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A-422C-BC7B-1C7230AFC73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-27"/>
        <c:axId val="275628288"/>
        <c:axId val="3970848"/>
      </c:barChart>
      <c:catAx>
        <c:axId val="27562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3970848"/>
        <c:crosses val="autoZero"/>
        <c:auto val="1"/>
        <c:lblAlgn val="ctr"/>
        <c:lblOffset val="100"/>
        <c:noMultiLvlLbl val="0"/>
      </c:catAx>
      <c:valAx>
        <c:axId val="3970848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2756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dinâmica6</c:name>
    <c:fmtId val="16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939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4343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5B5B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416433290976164"/>
          <c:y val="5.1501449745534174E-2"/>
          <c:w val="0.55824158393505774"/>
          <c:h val="0.64223646059328043"/>
        </c:manualLayout>
      </c:layout>
      <c:doughnutChart>
        <c:varyColors val="1"/>
        <c:ser>
          <c:idx val="0"/>
          <c:order val="0"/>
          <c:tx>
            <c:strRef>
              <c:f>Análises!$H$17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969"/>
            </a:solidFill>
          </c:spPr>
          <c:dPt>
            <c:idx val="0"/>
            <c:bubble3D val="0"/>
            <c:spPr>
              <a:solidFill>
                <a:srgbClr val="FF9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A2-4543-9AA7-CB6A7D816631}"/>
              </c:ext>
            </c:extLst>
          </c:dPt>
          <c:dPt>
            <c:idx val="1"/>
            <c:bubble3D val="0"/>
            <c:spPr>
              <a:solidFill>
                <a:srgbClr val="FF43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A2-4543-9AA7-CB6A7D816631}"/>
              </c:ext>
            </c:extLst>
          </c:dPt>
          <c:dPt>
            <c:idx val="2"/>
            <c:bubble3D val="0"/>
            <c:spPr>
              <a:solidFill>
                <a:srgbClr val="FF5B5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A2-4543-9AA7-CB6A7D8166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Análises!$G$18:$G$21</c:f>
              <c:strCache>
                <c:ptCount val="3"/>
                <c:pt idx="0">
                  <c:v>Matrícula Ens Médio</c:v>
                </c:pt>
                <c:pt idx="1">
                  <c:v>Matrícula Ens Fundamental</c:v>
                </c:pt>
                <c:pt idx="2">
                  <c:v>Material Escolar</c:v>
                </c:pt>
              </c:strCache>
            </c:strRef>
          </c:cat>
          <c:val>
            <c:numRef>
              <c:f>Análises!$H$18:$H$21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3A2-4543-9AA7-CB6A7D8166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939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6608694294834637"/>
          <c:y val="5.6570911860737559E-2"/>
          <c:w val="0.52635004676139618"/>
          <c:h val="0.886858176278524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Análises!$E$25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39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Análises!$D$26:$D$36</c:f>
              <c:strCache>
                <c:ptCount val="10"/>
                <c:pt idx="0">
                  <c:v>Claire Underwood</c:v>
                </c:pt>
                <c:pt idx="1">
                  <c:v>Michael Scott</c:v>
                </c:pt>
                <c:pt idx="2">
                  <c:v>Marco Santos</c:v>
                </c:pt>
                <c:pt idx="3">
                  <c:v>Celina Justo</c:v>
                </c:pt>
                <c:pt idx="4">
                  <c:v>Suzane Barbosa</c:v>
                </c:pt>
                <c:pt idx="5">
                  <c:v>Walter White</c:v>
                </c:pt>
                <c:pt idx="6">
                  <c:v>Dona Benta</c:v>
                </c:pt>
                <c:pt idx="7">
                  <c:v>Dwight Schrute</c:v>
                </c:pt>
                <c:pt idx="8">
                  <c:v>Adalberto Torres</c:v>
                </c:pt>
                <c:pt idx="9">
                  <c:v>Felipe Duarte</c:v>
                </c:pt>
              </c:strCache>
            </c:strRef>
          </c:cat>
          <c:val>
            <c:numRef>
              <c:f>Análises!$E$26:$E$36</c:f>
              <c:numCache>
                <c:formatCode>"R$"\ #,##0</c:formatCode>
                <c:ptCount val="10"/>
                <c:pt idx="0">
                  <c:v>2158</c:v>
                </c:pt>
                <c:pt idx="1">
                  <c:v>2263</c:v>
                </c:pt>
                <c:pt idx="2">
                  <c:v>2281</c:v>
                </c:pt>
                <c:pt idx="3">
                  <c:v>2398</c:v>
                </c:pt>
                <c:pt idx="4">
                  <c:v>2469</c:v>
                </c:pt>
                <c:pt idx="5">
                  <c:v>2524</c:v>
                </c:pt>
                <c:pt idx="6">
                  <c:v>2531</c:v>
                </c:pt>
                <c:pt idx="7">
                  <c:v>2628</c:v>
                </c:pt>
                <c:pt idx="8">
                  <c:v>2744</c:v>
                </c:pt>
                <c:pt idx="9">
                  <c:v>2774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8E-4D69-8469-56B5558EC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5600448"/>
        <c:axId val="331638672"/>
      </c:barChart>
      <c:catAx>
        <c:axId val="2756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638672"/>
        <c:crosses val="autoZero"/>
        <c:auto val="1"/>
        <c:lblAlgn val="ctr"/>
        <c:lblOffset val="100"/>
        <c:noMultiLvlLbl val="0"/>
      </c:catAx>
      <c:valAx>
        <c:axId val="331638672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27560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dinâmica2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FF1515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FF4343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FF939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Análises!$E$3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151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39-45C9-991B-C0A3F600E3FA}"/>
              </c:ext>
            </c:extLst>
          </c:dPt>
          <c:dPt>
            <c:idx val="1"/>
            <c:bubble3D val="0"/>
            <c:spPr>
              <a:solidFill>
                <a:srgbClr val="FF43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39-45C9-991B-C0A3F600E3FA}"/>
              </c:ext>
            </c:extLst>
          </c:dPt>
          <c:dPt>
            <c:idx val="2"/>
            <c:bubble3D val="0"/>
            <c:spPr>
              <a:solidFill>
                <a:srgbClr val="FF69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439-45C9-991B-C0A3F600E3FA}"/>
              </c:ext>
            </c:extLst>
          </c:dPt>
          <c:dPt>
            <c:idx val="3"/>
            <c:bubble3D val="0"/>
            <c:spPr>
              <a:solidFill>
                <a:srgbClr val="FF9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439-45C9-991B-C0A3F600E3F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Análises!$D$4:$D$8</c:f>
              <c:strCache>
                <c:ptCount val="4"/>
                <c:pt idx="0">
                  <c:v>Cheque</c:v>
                </c:pt>
                <c:pt idx="1">
                  <c:v>PIX</c:v>
                </c:pt>
                <c:pt idx="2">
                  <c:v>Boleto</c:v>
                </c:pt>
                <c:pt idx="3">
                  <c:v>Dinheiro</c:v>
                </c:pt>
              </c:strCache>
            </c:strRef>
          </c:cat>
          <c:val>
            <c:numRef>
              <c:f>Análises!$E$4:$E$8</c:f>
              <c:numCache>
                <c:formatCode>General</c:formatCode>
                <c:ptCount val="4"/>
                <c:pt idx="0">
                  <c:v>28</c:v>
                </c:pt>
                <c:pt idx="1">
                  <c:v>27</c:v>
                </c:pt>
                <c:pt idx="2">
                  <c:v>26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439-45C9-991B-C0A3F600E3F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anose="00000500000000000000" pitchFamily="2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dinâmica7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696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69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Análises!$A$6:$A$12</c:f>
              <c:strCache>
                <c:ptCount val="6"/>
                <c:pt idx="0">
                  <c:v>Atividades Extra Muros</c:v>
                </c:pt>
                <c:pt idx="1">
                  <c:v>Mensalidade Ens Médio</c:v>
                </c:pt>
                <c:pt idx="2">
                  <c:v>Mensalidade Ens Fundamental</c:v>
                </c:pt>
                <c:pt idx="3">
                  <c:v>Matrícula Ens Fundamental</c:v>
                </c:pt>
                <c:pt idx="4">
                  <c:v>Material Escolar</c:v>
                </c:pt>
                <c:pt idx="5">
                  <c:v>Matrícula Ens Médio</c:v>
                </c:pt>
              </c:strCache>
            </c:strRef>
          </c:cat>
          <c:val>
            <c:numRef>
              <c:f>Análises!$B$6:$B$12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9-4A22-8AD8-12271449471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275615808"/>
        <c:axId val="329568400"/>
      </c:barChart>
      <c:catAx>
        <c:axId val="27561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en-US"/>
          </a:p>
        </c:txPr>
        <c:crossAx val="329568400"/>
        <c:crosses val="autoZero"/>
        <c:auto val="1"/>
        <c:lblAlgn val="ctr"/>
        <c:lblOffset val="100"/>
        <c:noMultiLvlLbl val="0"/>
      </c:catAx>
      <c:valAx>
        <c:axId val="329568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7561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Contas a Receber.xlsx]Análises!Tabela dinâmica8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Montserrat" panose="00000500000000000000" pitchFamily="2" charset="0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separator>
</c:separator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FF9393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FF6969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FF4343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Análises!$B$20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939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A2-4AA8-B84C-D2A24B08F1F7}"/>
              </c:ext>
            </c:extLst>
          </c:dPt>
          <c:dPt>
            <c:idx val="1"/>
            <c:bubble3D val="0"/>
            <c:spPr>
              <a:solidFill>
                <a:srgbClr val="FF69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7A2-4AA8-B84C-D2A24B08F1F7}"/>
              </c:ext>
            </c:extLst>
          </c:dPt>
          <c:dPt>
            <c:idx val="2"/>
            <c:bubble3D val="0"/>
            <c:spPr>
              <a:solidFill>
                <a:srgbClr val="FF434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7A2-4AA8-B84C-D2A24B08F1F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anose="00000500000000000000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Análises!$A$21:$A$24</c:f>
              <c:strCache>
                <c:ptCount val="3"/>
                <c:pt idx="0">
                  <c:v>dez</c:v>
                </c:pt>
                <c:pt idx="1">
                  <c:v>set</c:v>
                </c:pt>
                <c:pt idx="2">
                  <c:v>out</c:v>
                </c:pt>
              </c:strCache>
            </c:strRef>
          </c:cat>
          <c:val>
            <c:numRef>
              <c:f>Análises!$B$21:$B$24</c:f>
              <c:numCache>
                <c:formatCode>General</c:formatCode>
                <c:ptCount val="3"/>
                <c:pt idx="0">
                  <c:v>8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A2-4AA8-B84C-D2A24B08F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hyperlink" Target="#'Resumo Geral'!A1"/><Relationship Id="rId5" Type="http://schemas.openxmlformats.org/officeDocument/2006/relationships/chart" Target="../charts/chart4.xml"/><Relationship Id="rId10" Type="http://schemas.openxmlformats.org/officeDocument/2006/relationships/hyperlink" Target="#Registro!A1"/><Relationship Id="rId4" Type="http://schemas.openxmlformats.org/officeDocument/2006/relationships/chart" Target="../charts/chart3.xml"/><Relationship Id="rId9" Type="http://schemas.openxmlformats.org/officeDocument/2006/relationships/hyperlink" Target="#Cadastro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23</xdr:col>
      <xdr:colOff>451200</xdr:colOff>
      <xdr:row>42</xdr:row>
      <xdr:rowOff>66660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420F7D9-48F6-30B8-BC8F-FC9860DC31C5}"/>
            </a:ext>
          </a:extLst>
        </xdr:cNvPr>
        <xdr:cNvSpPr/>
      </xdr:nvSpPr>
      <xdr:spPr>
        <a:xfrm>
          <a:off x="0" y="7620"/>
          <a:ext cx="14472000" cy="7740000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0</xdr:colOff>
      <xdr:row>0</xdr:row>
      <xdr:rowOff>22860</xdr:rowOff>
    </xdr:from>
    <xdr:to>
      <xdr:col>23</xdr:col>
      <xdr:colOff>451200</xdr:colOff>
      <xdr:row>3</xdr:row>
      <xdr:rowOff>7620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8346D1B-D845-5D02-D18C-49DA64E74736}"/>
            </a:ext>
          </a:extLst>
        </xdr:cNvPr>
        <xdr:cNvSpPr/>
      </xdr:nvSpPr>
      <xdr:spPr>
        <a:xfrm>
          <a:off x="0" y="22860"/>
          <a:ext cx="14472000" cy="533400"/>
        </a:xfrm>
        <a:prstGeom prst="rect">
          <a:avLst/>
        </a:prstGeom>
        <a:solidFill>
          <a:srgbClr val="FF696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pt-BR" sz="2400" b="0">
              <a:solidFill>
                <a:schemeClr val="bg1"/>
              </a:solidFill>
              <a:latin typeface="Montserrat" panose="00000500000000000000" pitchFamily="2" charset="0"/>
            </a:rPr>
            <a:t>                                Dashboard Contas a Receber</a:t>
          </a:r>
        </a:p>
      </xdr:txBody>
    </xdr:sp>
    <xdr:clientData/>
  </xdr:twoCellAnchor>
  <xdr:twoCellAnchor editAs="oneCell">
    <xdr:from>
      <xdr:col>1</xdr:col>
      <xdr:colOff>160020</xdr:colOff>
      <xdr:row>0</xdr:row>
      <xdr:rowOff>83820</xdr:rowOff>
    </xdr:from>
    <xdr:to>
      <xdr:col>2</xdr:col>
      <xdr:colOff>572960</xdr:colOff>
      <xdr:row>2</xdr:row>
      <xdr:rowOff>175260</xdr:rowOff>
    </xdr:to>
    <xdr:pic>
      <xdr:nvPicPr>
        <xdr:cNvPr id="4" name="Imagem 3" descr="Uma imagem contendo Logotipo&#10;&#10;Descrição gerada automaticamente">
          <a:extLst>
            <a:ext uri="{FF2B5EF4-FFF2-40B4-BE49-F238E27FC236}">
              <a16:creationId xmlns:a16="http://schemas.microsoft.com/office/drawing/2014/main" id="{87B3869B-BAEC-45F6-9C2D-90C5F3B9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620" y="83820"/>
          <a:ext cx="1022540" cy="457200"/>
        </a:xfrm>
        <a:prstGeom prst="rect">
          <a:avLst/>
        </a:prstGeom>
      </xdr:spPr>
    </xdr:pic>
    <xdr:clientData/>
  </xdr:twoCellAnchor>
  <xdr:twoCellAnchor>
    <xdr:from>
      <xdr:col>18</xdr:col>
      <xdr:colOff>213360</xdr:colOff>
      <xdr:row>0</xdr:row>
      <xdr:rowOff>99060</xdr:rowOff>
    </xdr:from>
    <xdr:to>
      <xdr:col>23</xdr:col>
      <xdr:colOff>129540</xdr:colOff>
      <xdr:row>2</xdr:row>
      <xdr:rowOff>129540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88FB145-AEF9-CE13-1DD4-A4DA2D000BA7}"/>
            </a:ext>
          </a:extLst>
        </xdr:cNvPr>
        <xdr:cNvSpPr txBox="1"/>
      </xdr:nvSpPr>
      <xdr:spPr>
        <a:xfrm>
          <a:off x="11186160" y="99060"/>
          <a:ext cx="296418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400">
              <a:solidFill>
                <a:schemeClr val="bg1"/>
              </a:solidFill>
              <a:latin typeface="Montserrat" panose="00000500000000000000" pitchFamily="2" charset="0"/>
            </a:rPr>
            <a:t>Ano: 2023</a:t>
          </a:r>
        </a:p>
      </xdr:txBody>
    </xdr:sp>
    <xdr:clientData/>
  </xdr:twoCellAnchor>
  <xdr:twoCellAnchor>
    <xdr:from>
      <xdr:col>0</xdr:col>
      <xdr:colOff>106680</xdr:colOff>
      <xdr:row>3</xdr:row>
      <xdr:rowOff>144780</xdr:rowOff>
    </xdr:from>
    <xdr:to>
      <xdr:col>4</xdr:col>
      <xdr:colOff>7620</xdr:colOff>
      <xdr:row>42</xdr:row>
      <xdr:rowOff>0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FA2194AA-0CA6-4EAB-BFDB-F940C9136C60}"/>
            </a:ext>
          </a:extLst>
        </xdr:cNvPr>
        <xdr:cNvSpPr/>
      </xdr:nvSpPr>
      <xdr:spPr>
        <a:xfrm>
          <a:off x="106680" y="693420"/>
          <a:ext cx="2339340" cy="6987540"/>
        </a:xfrm>
        <a:prstGeom prst="roundRect">
          <a:avLst>
            <a:gd name="adj" fmla="val 3405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342900</xdr:colOff>
      <xdr:row>20</xdr:row>
      <xdr:rowOff>144780</xdr:rowOff>
    </xdr:from>
    <xdr:to>
      <xdr:col>3</xdr:col>
      <xdr:colOff>327660</xdr:colOff>
      <xdr:row>38</xdr:row>
      <xdr:rowOff>45720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Mês Vencimento">
              <a:extLst>
                <a:ext uri="{FF2B5EF4-FFF2-40B4-BE49-F238E27FC236}">
                  <a16:creationId xmlns:a16="http://schemas.microsoft.com/office/drawing/2014/main" id="{493CB087-AB45-44E7-A9FA-042D64574F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 Venci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42900" y="3802380"/>
              <a:ext cx="1813560" cy="3192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160020</xdr:colOff>
      <xdr:row>3</xdr:row>
      <xdr:rowOff>129540</xdr:rowOff>
    </xdr:from>
    <xdr:to>
      <xdr:col>8</xdr:col>
      <xdr:colOff>551220</xdr:colOff>
      <xdr:row>9</xdr:row>
      <xdr:rowOff>60960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CDC7A87D-E656-50EF-6D3F-BE187D10672F}"/>
            </a:ext>
          </a:extLst>
        </xdr:cNvPr>
        <xdr:cNvSpPr/>
      </xdr:nvSpPr>
      <xdr:spPr>
        <a:xfrm>
          <a:off x="2598420" y="678180"/>
          <a:ext cx="2829600" cy="1028700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83840</xdr:colOff>
      <xdr:row>3</xdr:row>
      <xdr:rowOff>129540</xdr:rowOff>
    </xdr:from>
    <xdr:to>
      <xdr:col>13</xdr:col>
      <xdr:colOff>474980</xdr:colOff>
      <xdr:row>9</xdr:row>
      <xdr:rowOff>60960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17787A0F-3EA9-4774-BD74-899E8C73840C}"/>
            </a:ext>
          </a:extLst>
        </xdr:cNvPr>
        <xdr:cNvSpPr/>
      </xdr:nvSpPr>
      <xdr:spPr>
        <a:xfrm>
          <a:off x="5570240" y="678180"/>
          <a:ext cx="2829540" cy="1028700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7600</xdr:colOff>
      <xdr:row>3</xdr:row>
      <xdr:rowOff>129540</xdr:rowOff>
    </xdr:from>
    <xdr:to>
      <xdr:col>18</xdr:col>
      <xdr:colOff>398800</xdr:colOff>
      <xdr:row>9</xdr:row>
      <xdr:rowOff>60960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C26FC7D5-B4C3-42DB-BAB4-1E560D1B76AD}"/>
            </a:ext>
          </a:extLst>
        </xdr:cNvPr>
        <xdr:cNvSpPr/>
      </xdr:nvSpPr>
      <xdr:spPr>
        <a:xfrm>
          <a:off x="8542000" y="678180"/>
          <a:ext cx="2829600" cy="1028700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541020</xdr:colOff>
      <xdr:row>3</xdr:row>
      <xdr:rowOff>129540</xdr:rowOff>
    </xdr:from>
    <xdr:to>
      <xdr:col>23</xdr:col>
      <xdr:colOff>322620</xdr:colOff>
      <xdr:row>9</xdr:row>
      <xdr:rowOff>60960</xdr:rowOff>
    </xdr:to>
    <xdr:sp macro="" textlink="">
      <xdr:nvSpPr>
        <xdr:cNvPr id="18" name="Retângulo: Cantos Arredondados 17">
          <a:extLst>
            <a:ext uri="{FF2B5EF4-FFF2-40B4-BE49-F238E27FC236}">
              <a16:creationId xmlns:a16="http://schemas.microsoft.com/office/drawing/2014/main" id="{2DB0A9ED-FADA-4C42-BCF1-CBEE8CCDA152}"/>
            </a:ext>
          </a:extLst>
        </xdr:cNvPr>
        <xdr:cNvSpPr/>
      </xdr:nvSpPr>
      <xdr:spPr>
        <a:xfrm>
          <a:off x="11513820" y="678180"/>
          <a:ext cx="2829600" cy="1028700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205740</xdr:colOff>
      <xdr:row>3</xdr:row>
      <xdr:rowOff>160020</xdr:rowOff>
    </xdr:from>
    <xdr:to>
      <xdr:col>7</xdr:col>
      <xdr:colOff>396240</xdr:colOff>
      <xdr:row>6</xdr:row>
      <xdr:rowOff>7620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560F4B5-965E-5A13-D8F9-01DDA64DD3F5}"/>
            </a:ext>
          </a:extLst>
        </xdr:cNvPr>
        <xdr:cNvSpPr txBox="1"/>
      </xdr:nvSpPr>
      <xdr:spPr>
        <a:xfrm>
          <a:off x="2644140" y="708660"/>
          <a:ext cx="201930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Pagas no Prazo</a:t>
          </a:r>
        </a:p>
      </xdr:txBody>
    </xdr:sp>
    <xdr:clientData/>
  </xdr:twoCellAnchor>
  <xdr:twoCellAnchor>
    <xdr:from>
      <xdr:col>6</xdr:col>
      <xdr:colOff>190500</xdr:colOff>
      <xdr:row>6</xdr:row>
      <xdr:rowOff>91440</xdr:rowOff>
    </xdr:from>
    <xdr:to>
      <xdr:col>8</xdr:col>
      <xdr:colOff>487680</xdr:colOff>
      <xdr:row>8</xdr:row>
      <xdr:rowOff>121920</xdr:rowOff>
    </xdr:to>
    <xdr:sp macro="" textlink="Análises!E17">
      <xdr:nvSpPr>
        <xdr:cNvPr id="20" name="CaixaDeTexto 19">
          <a:extLst>
            <a:ext uri="{FF2B5EF4-FFF2-40B4-BE49-F238E27FC236}">
              <a16:creationId xmlns:a16="http://schemas.microsoft.com/office/drawing/2014/main" id="{AE162EED-772E-4E8B-B0AF-6BCD45B00464}"/>
            </a:ext>
          </a:extLst>
        </xdr:cNvPr>
        <xdr:cNvSpPr txBox="1"/>
      </xdr:nvSpPr>
      <xdr:spPr>
        <a:xfrm>
          <a:off x="3848100" y="1188720"/>
          <a:ext cx="151638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D009020-1A3A-444C-B66C-FA793F874FF0}" type="TxLink">
            <a:rPr lang="en-US" sz="3200" b="1" i="0" u="none" strike="noStrike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51</a:t>
          </a:fld>
          <a:endParaRPr lang="pt-BR" sz="3200" b="1" i="0" u="none" strike="noStrike">
            <a:ln>
              <a:noFill/>
            </a:ln>
            <a:solidFill>
              <a:schemeClr val="tx1">
                <a:lumMod val="50000"/>
                <a:lumOff val="5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83840</xdr:colOff>
      <xdr:row>3</xdr:row>
      <xdr:rowOff>129540</xdr:rowOff>
    </xdr:from>
    <xdr:to>
      <xdr:col>12</xdr:col>
      <xdr:colOff>487680</xdr:colOff>
      <xdr:row>5</xdr:row>
      <xdr:rowOff>160020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1A62504F-69E0-4151-A9BE-E129D0074166}"/>
            </a:ext>
          </a:extLst>
        </xdr:cNvPr>
        <xdr:cNvSpPr txBox="1"/>
      </xdr:nvSpPr>
      <xdr:spPr>
        <a:xfrm>
          <a:off x="5570240" y="678180"/>
          <a:ext cx="223264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Pagas com Atraso</a:t>
          </a:r>
        </a:p>
      </xdr:txBody>
    </xdr:sp>
    <xdr:clientData/>
  </xdr:twoCellAnchor>
  <xdr:twoCellAnchor>
    <xdr:from>
      <xdr:col>11</xdr:col>
      <xdr:colOff>68600</xdr:colOff>
      <xdr:row>6</xdr:row>
      <xdr:rowOff>60960</xdr:rowOff>
    </xdr:from>
    <xdr:to>
      <xdr:col>13</xdr:col>
      <xdr:colOff>365780</xdr:colOff>
      <xdr:row>8</xdr:row>
      <xdr:rowOff>91440</xdr:rowOff>
    </xdr:to>
    <xdr:sp macro="" textlink="Análises!E16">
      <xdr:nvSpPr>
        <xdr:cNvPr id="26" name="CaixaDeTexto 25">
          <a:extLst>
            <a:ext uri="{FF2B5EF4-FFF2-40B4-BE49-F238E27FC236}">
              <a16:creationId xmlns:a16="http://schemas.microsoft.com/office/drawing/2014/main" id="{75D0F4E9-41D1-4D5C-BD00-1F780FBB2BB4}"/>
            </a:ext>
          </a:extLst>
        </xdr:cNvPr>
        <xdr:cNvSpPr txBox="1"/>
      </xdr:nvSpPr>
      <xdr:spPr>
        <a:xfrm>
          <a:off x="6774200" y="1158240"/>
          <a:ext cx="151638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E0DAB64-7D26-491D-8CC5-284088F513EC}" type="TxLink">
            <a:rPr lang="en-US" sz="3200" b="1" i="0" u="none" strike="noStrike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48</a:t>
          </a:fld>
          <a:endParaRPr lang="pt-BR" sz="3200" b="1" i="0" u="none" strike="noStrike">
            <a:ln>
              <a:noFill/>
            </a:ln>
            <a:solidFill>
              <a:schemeClr val="tx1">
                <a:lumMod val="50000"/>
                <a:lumOff val="5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14</xdr:col>
      <xdr:colOff>7600</xdr:colOff>
      <xdr:row>3</xdr:row>
      <xdr:rowOff>129540</xdr:rowOff>
    </xdr:from>
    <xdr:to>
      <xdr:col>17</xdr:col>
      <xdr:colOff>441960</xdr:colOff>
      <xdr:row>5</xdr:row>
      <xdr:rowOff>160020</xdr:rowOff>
    </xdr:to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16365C73-450A-47F7-AE60-957CA70154E6}"/>
            </a:ext>
          </a:extLst>
        </xdr:cNvPr>
        <xdr:cNvSpPr txBox="1"/>
      </xdr:nvSpPr>
      <xdr:spPr>
        <a:xfrm>
          <a:off x="8542000" y="678180"/>
          <a:ext cx="226316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Pendentes no Prazo</a:t>
          </a:r>
        </a:p>
      </xdr:txBody>
    </xdr:sp>
    <xdr:clientData/>
  </xdr:twoCellAnchor>
  <xdr:twoCellAnchor>
    <xdr:from>
      <xdr:col>15</xdr:col>
      <xdr:colOff>601960</xdr:colOff>
      <xdr:row>6</xdr:row>
      <xdr:rowOff>60960</xdr:rowOff>
    </xdr:from>
    <xdr:to>
      <xdr:col>18</xdr:col>
      <xdr:colOff>289540</xdr:colOff>
      <xdr:row>8</xdr:row>
      <xdr:rowOff>91440</xdr:rowOff>
    </xdr:to>
    <xdr:sp macro="" textlink="Análises!E18">
      <xdr:nvSpPr>
        <xdr:cNvPr id="28" name="CaixaDeTexto 27">
          <a:extLst>
            <a:ext uri="{FF2B5EF4-FFF2-40B4-BE49-F238E27FC236}">
              <a16:creationId xmlns:a16="http://schemas.microsoft.com/office/drawing/2014/main" id="{142EFD70-E83C-4E40-BA5D-6715066BE158}"/>
            </a:ext>
          </a:extLst>
        </xdr:cNvPr>
        <xdr:cNvSpPr txBox="1"/>
      </xdr:nvSpPr>
      <xdr:spPr>
        <a:xfrm>
          <a:off x="9745960" y="1158240"/>
          <a:ext cx="151638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AD3D78A-09E7-4214-8BFA-A5E5674622C2}" type="TxLink">
            <a:rPr lang="en-US" sz="3200" b="1" i="0" u="none" strike="noStrike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marL="0" indent="0" algn="ctr"/>
            <a:t>8</a:t>
          </a:fld>
          <a:endParaRPr lang="pt-BR" sz="3200" b="1" i="0" u="none" strike="noStrike">
            <a:ln>
              <a:noFill/>
            </a:ln>
            <a:solidFill>
              <a:schemeClr val="tx1">
                <a:lumMod val="50000"/>
                <a:lumOff val="50000"/>
              </a:schemeClr>
            </a:solidFill>
            <a:latin typeface="Montserrat" panose="00000500000000000000" pitchFamily="2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541020</xdr:colOff>
      <xdr:row>3</xdr:row>
      <xdr:rowOff>129540</xdr:rowOff>
    </xdr:from>
    <xdr:to>
      <xdr:col>22</xdr:col>
      <xdr:colOff>121920</xdr:colOff>
      <xdr:row>5</xdr:row>
      <xdr:rowOff>160020</xdr:rowOff>
    </xdr:to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65B090E2-1564-450D-9201-C70A212AA133}"/>
            </a:ext>
          </a:extLst>
        </xdr:cNvPr>
        <xdr:cNvSpPr txBox="1"/>
      </xdr:nvSpPr>
      <xdr:spPr>
        <a:xfrm>
          <a:off x="11513820" y="678180"/>
          <a:ext cx="201930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Atrasadas</a:t>
          </a:r>
        </a:p>
      </xdr:txBody>
    </xdr:sp>
    <xdr:clientData/>
  </xdr:twoCellAnchor>
  <xdr:twoCellAnchor>
    <xdr:from>
      <xdr:col>20</xdr:col>
      <xdr:colOff>525780</xdr:colOff>
      <xdr:row>6</xdr:row>
      <xdr:rowOff>60960</xdr:rowOff>
    </xdr:from>
    <xdr:to>
      <xdr:col>23</xdr:col>
      <xdr:colOff>213360</xdr:colOff>
      <xdr:row>8</xdr:row>
      <xdr:rowOff>91440</xdr:rowOff>
    </xdr:to>
    <xdr:sp macro="" textlink="Análises!E15">
      <xdr:nvSpPr>
        <xdr:cNvPr id="30" name="CaixaDeTexto 29">
          <a:extLst>
            <a:ext uri="{FF2B5EF4-FFF2-40B4-BE49-F238E27FC236}">
              <a16:creationId xmlns:a16="http://schemas.microsoft.com/office/drawing/2014/main" id="{09147943-10DD-42A2-A018-A2F799F06150}"/>
            </a:ext>
          </a:extLst>
        </xdr:cNvPr>
        <xdr:cNvSpPr txBox="1"/>
      </xdr:nvSpPr>
      <xdr:spPr>
        <a:xfrm>
          <a:off x="12717780" y="1158240"/>
          <a:ext cx="1516380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23C5630-6DB7-416B-8BB6-F2898797E6A8}" type="TxLink">
            <a:rPr lang="en-US" sz="3200" b="1" i="0" u="none" strike="noStrike">
              <a:ln>
                <a:noFill/>
              </a:ln>
              <a:solidFill>
                <a:schemeClr val="tx1">
                  <a:lumMod val="50000"/>
                  <a:lumOff val="50000"/>
                </a:schemeClr>
              </a:solidFill>
              <a:latin typeface="Montserrat" panose="00000500000000000000" pitchFamily="2" charset="0"/>
              <a:ea typeface="Calibri"/>
              <a:cs typeface="Calibri"/>
            </a:rPr>
            <a:pPr algn="ctr"/>
            <a:t>5</a:t>
          </a:fld>
          <a:endParaRPr lang="pt-BR" sz="3200" b="1">
            <a:ln>
              <a:noFill/>
            </a:ln>
            <a:solidFill>
              <a:schemeClr val="tx1">
                <a:lumMod val="50000"/>
                <a:lumOff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4</xdr:col>
      <xdr:colOff>139244</xdr:colOff>
      <xdr:row>26</xdr:row>
      <xdr:rowOff>79513</xdr:rowOff>
    </xdr:from>
    <xdr:to>
      <xdr:col>13</xdr:col>
      <xdr:colOff>457200</xdr:colOff>
      <xdr:row>42</xdr:row>
      <xdr:rowOff>2961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A14AB317-D37C-4F1A-A955-F9121E17B565}"/>
            </a:ext>
          </a:extLst>
        </xdr:cNvPr>
        <xdr:cNvSpPr/>
      </xdr:nvSpPr>
      <xdr:spPr>
        <a:xfrm>
          <a:off x="2577644" y="4834393"/>
          <a:ext cx="5804356" cy="2849528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159124</xdr:colOff>
      <xdr:row>28</xdr:row>
      <xdr:rowOff>83821</xdr:rowOff>
    </xdr:from>
    <xdr:to>
      <xdr:col>13</xdr:col>
      <xdr:colOff>430696</xdr:colOff>
      <xdr:row>41</xdr:row>
      <xdr:rowOff>139147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CC03DD6E-09F7-4152-9E51-2EE93CB34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152400</xdr:colOff>
      <xdr:row>10</xdr:row>
      <xdr:rowOff>17892</xdr:rowOff>
    </xdr:from>
    <xdr:to>
      <xdr:col>8</xdr:col>
      <xdr:colOff>543600</xdr:colOff>
      <xdr:row>25</xdr:row>
      <xdr:rowOff>126870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B142213-EAAF-4622-9D8E-2C61DB3294D4}"/>
            </a:ext>
          </a:extLst>
        </xdr:cNvPr>
        <xdr:cNvSpPr/>
      </xdr:nvSpPr>
      <xdr:spPr>
        <a:xfrm>
          <a:off x="2590800" y="1834969"/>
          <a:ext cx="2829600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8611</xdr:colOff>
      <xdr:row>10</xdr:row>
      <xdr:rowOff>22094</xdr:rowOff>
    </xdr:from>
    <xdr:to>
      <xdr:col>18</xdr:col>
      <xdr:colOff>399811</xdr:colOff>
      <xdr:row>25</xdr:row>
      <xdr:rowOff>131072</xdr:rowOff>
    </xdr:to>
    <xdr:sp macro="" textlink="">
      <xdr:nvSpPr>
        <xdr:cNvPr id="41" name="Retângulo: Cantos Arredondados 40">
          <a:extLst>
            <a:ext uri="{FF2B5EF4-FFF2-40B4-BE49-F238E27FC236}">
              <a16:creationId xmlns:a16="http://schemas.microsoft.com/office/drawing/2014/main" id="{EC51D628-BBEE-4196-AEED-1D960187748D}"/>
            </a:ext>
          </a:extLst>
        </xdr:cNvPr>
        <xdr:cNvSpPr/>
      </xdr:nvSpPr>
      <xdr:spPr>
        <a:xfrm>
          <a:off x="8543011" y="1839171"/>
          <a:ext cx="2829600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8611</xdr:colOff>
      <xdr:row>26</xdr:row>
      <xdr:rowOff>71008</xdr:rowOff>
    </xdr:from>
    <xdr:to>
      <xdr:col>18</xdr:col>
      <xdr:colOff>399811</xdr:colOff>
      <xdr:row>41</xdr:row>
      <xdr:rowOff>179986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A912D22E-EEDE-4446-ABC7-B025B30639CF}"/>
            </a:ext>
          </a:extLst>
        </xdr:cNvPr>
        <xdr:cNvSpPr/>
      </xdr:nvSpPr>
      <xdr:spPr>
        <a:xfrm>
          <a:off x="8543011" y="4795408"/>
          <a:ext cx="2829600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82062</xdr:colOff>
      <xdr:row>10</xdr:row>
      <xdr:rowOff>17891</xdr:rowOff>
    </xdr:from>
    <xdr:to>
      <xdr:col>13</xdr:col>
      <xdr:colOff>473262</xdr:colOff>
      <xdr:row>25</xdr:row>
      <xdr:rowOff>126869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A36B9AC7-E79D-4DAE-885A-2A824C6B57F7}"/>
            </a:ext>
          </a:extLst>
        </xdr:cNvPr>
        <xdr:cNvSpPr/>
      </xdr:nvSpPr>
      <xdr:spPr>
        <a:xfrm>
          <a:off x="5568462" y="1834968"/>
          <a:ext cx="2829600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545123</xdr:colOff>
      <xdr:row>10</xdr:row>
      <xdr:rowOff>22093</xdr:rowOff>
    </xdr:from>
    <xdr:to>
      <xdr:col>23</xdr:col>
      <xdr:colOff>330132</xdr:colOff>
      <xdr:row>25</xdr:row>
      <xdr:rowOff>131071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248B0CD6-417B-4DFE-A32E-8D78B4CFA007}"/>
            </a:ext>
          </a:extLst>
        </xdr:cNvPr>
        <xdr:cNvSpPr/>
      </xdr:nvSpPr>
      <xdr:spPr>
        <a:xfrm>
          <a:off x="11517923" y="1839170"/>
          <a:ext cx="2833009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556846</xdr:colOff>
      <xdr:row>26</xdr:row>
      <xdr:rowOff>78635</xdr:rowOff>
    </xdr:from>
    <xdr:to>
      <xdr:col>23</xdr:col>
      <xdr:colOff>338446</xdr:colOff>
      <xdr:row>42</xdr:row>
      <xdr:rowOff>5905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DD21BDC8-B2FA-4466-A1BF-583C42BDE7CB}"/>
            </a:ext>
          </a:extLst>
        </xdr:cNvPr>
        <xdr:cNvSpPr/>
      </xdr:nvSpPr>
      <xdr:spPr>
        <a:xfrm>
          <a:off x="11529646" y="4803035"/>
          <a:ext cx="2829600" cy="2834593"/>
        </a:xfrm>
        <a:prstGeom prst="roundRect">
          <a:avLst>
            <a:gd name="adj" fmla="val 547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8610</xdr:colOff>
      <xdr:row>12</xdr:row>
      <xdr:rowOff>7621</xdr:rowOff>
    </xdr:from>
    <xdr:to>
      <xdr:col>18</xdr:col>
      <xdr:colOff>404445</xdr:colOff>
      <xdr:row>25</xdr:row>
      <xdr:rowOff>123093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519EA222-2A37-4B94-A1D1-E95DE4405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545122</xdr:colOff>
      <xdr:row>12</xdr:row>
      <xdr:rowOff>22860</xdr:rowOff>
    </xdr:from>
    <xdr:to>
      <xdr:col>23</xdr:col>
      <xdr:colOff>334107</xdr:colOff>
      <xdr:row>25</xdr:row>
      <xdr:rowOff>111370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A8FD0E7-9DC0-4CA6-9917-67818096D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8611</xdr:colOff>
      <xdr:row>10</xdr:row>
      <xdr:rowOff>22094</xdr:rowOff>
    </xdr:from>
    <xdr:to>
      <xdr:col>17</xdr:col>
      <xdr:colOff>442971</xdr:colOff>
      <xdr:row>12</xdr:row>
      <xdr:rowOff>52574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73D19D23-6E98-41BD-BF58-610D9F3C66D6}"/>
            </a:ext>
          </a:extLst>
        </xdr:cNvPr>
        <xdr:cNvSpPr txBox="1"/>
      </xdr:nvSpPr>
      <xdr:spPr>
        <a:xfrm>
          <a:off x="8543011" y="1839171"/>
          <a:ext cx="2263160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Clientes</a:t>
          </a:r>
          <a:r>
            <a:rPr lang="pt-BR" sz="1050" b="1" baseline="0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com Atraso</a:t>
          </a:r>
          <a:endParaRPr lang="pt-BR" sz="1050" b="1">
            <a:ln>
              <a:noFill/>
            </a:ln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18</xdr:col>
      <xdr:colOff>545123</xdr:colOff>
      <xdr:row>10</xdr:row>
      <xdr:rowOff>22093</xdr:rowOff>
    </xdr:from>
    <xdr:to>
      <xdr:col>22</xdr:col>
      <xdr:colOff>369883</xdr:colOff>
      <xdr:row>12</xdr:row>
      <xdr:rowOff>52573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E7B4BC1D-B69B-46D5-B75B-D5DBE629DF84}"/>
            </a:ext>
          </a:extLst>
        </xdr:cNvPr>
        <xdr:cNvSpPr txBox="1"/>
      </xdr:nvSpPr>
      <xdr:spPr>
        <a:xfrm>
          <a:off x="11517923" y="1839170"/>
          <a:ext cx="2263160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Atrasos pro Categoria</a:t>
          </a:r>
        </a:p>
      </xdr:txBody>
    </xdr:sp>
    <xdr:clientData/>
  </xdr:twoCellAnchor>
  <xdr:twoCellAnchor>
    <xdr:from>
      <xdr:col>19</xdr:col>
      <xdr:colOff>53340</xdr:colOff>
      <xdr:row>28</xdr:row>
      <xdr:rowOff>83820</xdr:rowOff>
    </xdr:from>
    <xdr:to>
      <xdr:col>23</xdr:col>
      <xdr:colOff>266700</xdr:colOff>
      <xdr:row>41</xdr:row>
      <xdr:rowOff>175847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93F3601-125D-4DF0-96F5-870CFE4DBC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8611</xdr:colOff>
      <xdr:row>28</xdr:row>
      <xdr:rowOff>106681</xdr:rowOff>
    </xdr:from>
    <xdr:to>
      <xdr:col>18</xdr:col>
      <xdr:colOff>398585</xdr:colOff>
      <xdr:row>41</xdr:row>
      <xdr:rowOff>169985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831BE4B9-05D1-4FB6-AA65-48798C1B8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556846</xdr:colOff>
      <xdr:row>26</xdr:row>
      <xdr:rowOff>78635</xdr:rowOff>
    </xdr:from>
    <xdr:to>
      <xdr:col>22</xdr:col>
      <xdr:colOff>381606</xdr:colOff>
      <xdr:row>28</xdr:row>
      <xdr:rowOff>109115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B9A29A55-0912-413C-9CEE-E3112F853D47}"/>
            </a:ext>
          </a:extLst>
        </xdr:cNvPr>
        <xdr:cNvSpPr txBox="1"/>
      </xdr:nvSpPr>
      <xdr:spPr>
        <a:xfrm>
          <a:off x="11529646" y="4803035"/>
          <a:ext cx="2263160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Top 10 Clientes</a:t>
          </a:r>
        </a:p>
      </xdr:txBody>
    </xdr:sp>
    <xdr:clientData/>
  </xdr:twoCellAnchor>
  <xdr:twoCellAnchor>
    <xdr:from>
      <xdr:col>14</xdr:col>
      <xdr:colOff>8611</xdr:colOff>
      <xdr:row>26</xdr:row>
      <xdr:rowOff>71008</xdr:rowOff>
    </xdr:from>
    <xdr:to>
      <xdr:col>18</xdr:col>
      <xdr:colOff>293077</xdr:colOff>
      <xdr:row>28</xdr:row>
      <xdr:rowOff>101488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C8E55770-4C09-427A-B96A-F82E13DBEF39}"/>
            </a:ext>
          </a:extLst>
        </xdr:cNvPr>
        <xdr:cNvSpPr txBox="1"/>
      </xdr:nvSpPr>
      <xdr:spPr>
        <a:xfrm>
          <a:off x="8543011" y="4795408"/>
          <a:ext cx="2722866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por Forma de Pagamento</a:t>
          </a:r>
        </a:p>
      </xdr:txBody>
    </xdr:sp>
    <xdr:clientData/>
  </xdr:twoCellAnchor>
  <xdr:twoCellAnchor>
    <xdr:from>
      <xdr:col>4</xdr:col>
      <xdr:colOff>152400</xdr:colOff>
      <xdr:row>12</xdr:row>
      <xdr:rowOff>22860</xdr:rowOff>
    </xdr:from>
    <xdr:to>
      <xdr:col>8</xdr:col>
      <xdr:colOff>533400</xdr:colOff>
      <xdr:row>25</xdr:row>
      <xdr:rowOff>101419</xdr:rowOff>
    </xdr:to>
    <xdr:graphicFrame macro="">
      <xdr:nvGraphicFramePr>
        <xdr:cNvPr id="32" name="Gráfico 31">
          <a:extLst>
            <a:ext uri="{FF2B5EF4-FFF2-40B4-BE49-F238E27FC236}">
              <a16:creationId xmlns:a16="http://schemas.microsoft.com/office/drawing/2014/main" id="{AEF5042C-6EE5-4BCB-8E25-375A86CEF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82062</xdr:colOff>
      <xdr:row>12</xdr:row>
      <xdr:rowOff>22860</xdr:rowOff>
    </xdr:from>
    <xdr:to>
      <xdr:col>13</xdr:col>
      <xdr:colOff>427892</xdr:colOff>
      <xdr:row>25</xdr:row>
      <xdr:rowOff>102885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13B3BBCE-3F40-48A7-8970-673FE47D0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152399</xdr:colOff>
      <xdr:row>10</xdr:row>
      <xdr:rowOff>17892</xdr:rowOff>
    </xdr:from>
    <xdr:to>
      <xdr:col>8</xdr:col>
      <xdr:colOff>533400</xdr:colOff>
      <xdr:row>12</xdr:row>
      <xdr:rowOff>48372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AA6A1267-7183-4F4D-A4D1-0587378B9340}"/>
            </a:ext>
          </a:extLst>
        </xdr:cNvPr>
        <xdr:cNvSpPr txBox="1"/>
      </xdr:nvSpPr>
      <xdr:spPr>
        <a:xfrm>
          <a:off x="2590799" y="1834969"/>
          <a:ext cx="2819401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em Aberto por Categoria</a:t>
          </a:r>
        </a:p>
      </xdr:txBody>
    </xdr:sp>
    <xdr:clientData/>
  </xdr:twoCellAnchor>
  <xdr:twoCellAnchor>
    <xdr:from>
      <xdr:col>9</xdr:col>
      <xdr:colOff>82062</xdr:colOff>
      <xdr:row>10</xdr:row>
      <xdr:rowOff>17891</xdr:rowOff>
    </xdr:from>
    <xdr:to>
      <xdr:col>13</xdr:col>
      <xdr:colOff>463063</xdr:colOff>
      <xdr:row>12</xdr:row>
      <xdr:rowOff>48371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3070F440-E268-45A2-A0D7-1F6E0AC437B5}"/>
            </a:ext>
          </a:extLst>
        </xdr:cNvPr>
        <xdr:cNvSpPr txBox="1"/>
      </xdr:nvSpPr>
      <xdr:spPr>
        <a:xfrm>
          <a:off x="5568462" y="1834968"/>
          <a:ext cx="2819401" cy="3938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em Aberto por Mês</a:t>
          </a:r>
        </a:p>
      </xdr:txBody>
    </xdr:sp>
    <xdr:clientData/>
  </xdr:twoCellAnchor>
  <xdr:twoCellAnchor>
    <xdr:from>
      <xdr:col>4</xdr:col>
      <xdr:colOff>139244</xdr:colOff>
      <xdr:row>26</xdr:row>
      <xdr:rowOff>79513</xdr:rowOff>
    </xdr:from>
    <xdr:to>
      <xdr:col>8</xdr:col>
      <xdr:colOff>423710</xdr:colOff>
      <xdr:row>28</xdr:row>
      <xdr:rowOff>109993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D904E7AF-1D91-4CFD-BEBC-5BE77D8BDE55}"/>
            </a:ext>
          </a:extLst>
        </xdr:cNvPr>
        <xdr:cNvSpPr txBox="1"/>
      </xdr:nvSpPr>
      <xdr:spPr>
        <a:xfrm>
          <a:off x="2577644" y="4834393"/>
          <a:ext cx="2722866" cy="396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050" b="1">
              <a:ln>
                <a:noFill/>
              </a:ln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  Contas por Mês</a:t>
          </a:r>
        </a:p>
      </xdr:txBody>
    </xdr:sp>
    <xdr:clientData/>
  </xdr:twoCellAnchor>
  <xdr:twoCellAnchor>
    <xdr:from>
      <xdr:col>0</xdr:col>
      <xdr:colOff>220980</xdr:colOff>
      <xdr:row>6</xdr:row>
      <xdr:rowOff>137160</xdr:rowOff>
    </xdr:from>
    <xdr:to>
      <xdr:col>3</xdr:col>
      <xdr:colOff>464820</xdr:colOff>
      <xdr:row>9</xdr:row>
      <xdr:rowOff>60960</xdr:rowOff>
    </xdr:to>
    <xdr:sp macro="" textlink="">
      <xdr:nvSpPr>
        <xdr:cNvPr id="38" name="Retângulo: Cantos Arredondados 37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78E9F40-04A1-47E4-B981-C050C92750AC}"/>
            </a:ext>
          </a:extLst>
        </xdr:cNvPr>
        <xdr:cNvSpPr/>
      </xdr:nvSpPr>
      <xdr:spPr>
        <a:xfrm>
          <a:off x="220980" y="1234440"/>
          <a:ext cx="2072640" cy="472440"/>
        </a:xfrm>
        <a:prstGeom prst="roundRect">
          <a:avLst>
            <a:gd name="adj" fmla="val 10317"/>
          </a:avLst>
        </a:prstGeom>
        <a:solidFill>
          <a:srgbClr val="FF696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Montserrat" panose="00000500000000000000" pitchFamily="2" charset="0"/>
            </a:rPr>
            <a:t>Cadastros</a:t>
          </a:r>
        </a:p>
      </xdr:txBody>
    </xdr:sp>
    <xdr:clientData/>
  </xdr:twoCellAnchor>
  <xdr:twoCellAnchor>
    <xdr:from>
      <xdr:col>0</xdr:col>
      <xdr:colOff>220980</xdr:colOff>
      <xdr:row>10</xdr:row>
      <xdr:rowOff>87630</xdr:rowOff>
    </xdr:from>
    <xdr:to>
      <xdr:col>3</xdr:col>
      <xdr:colOff>464820</xdr:colOff>
      <xdr:row>13</xdr:row>
      <xdr:rowOff>11430</xdr:rowOff>
    </xdr:to>
    <xdr:sp macro="" textlink="">
      <xdr:nvSpPr>
        <xdr:cNvPr id="39" name="Retângulo: Cantos Arredondados 3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D009BE3-38CF-46F5-B64B-CD5A73330E36}"/>
            </a:ext>
          </a:extLst>
        </xdr:cNvPr>
        <xdr:cNvSpPr/>
      </xdr:nvSpPr>
      <xdr:spPr>
        <a:xfrm>
          <a:off x="220980" y="1916430"/>
          <a:ext cx="2072640" cy="472440"/>
        </a:xfrm>
        <a:prstGeom prst="roundRect">
          <a:avLst>
            <a:gd name="adj" fmla="val 10317"/>
          </a:avLst>
        </a:prstGeom>
        <a:solidFill>
          <a:srgbClr val="FF696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Montserrat" panose="00000500000000000000" pitchFamily="2" charset="0"/>
            </a:rPr>
            <a:t>Registros</a:t>
          </a:r>
        </a:p>
      </xdr:txBody>
    </xdr:sp>
    <xdr:clientData/>
  </xdr:twoCellAnchor>
  <xdr:twoCellAnchor>
    <xdr:from>
      <xdr:col>0</xdr:col>
      <xdr:colOff>220980</xdr:colOff>
      <xdr:row>14</xdr:row>
      <xdr:rowOff>38100</xdr:rowOff>
    </xdr:from>
    <xdr:to>
      <xdr:col>3</xdr:col>
      <xdr:colOff>464820</xdr:colOff>
      <xdr:row>16</xdr:row>
      <xdr:rowOff>144780</xdr:rowOff>
    </xdr:to>
    <xdr:sp macro="" textlink="">
      <xdr:nvSpPr>
        <xdr:cNvPr id="42" name="Retângulo: Cantos Arredondados 4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86CC3D96-6449-4FB8-BD9D-5EBE34F62CB5}"/>
            </a:ext>
          </a:extLst>
        </xdr:cNvPr>
        <xdr:cNvSpPr/>
      </xdr:nvSpPr>
      <xdr:spPr>
        <a:xfrm>
          <a:off x="220980" y="2598420"/>
          <a:ext cx="2072640" cy="472440"/>
        </a:xfrm>
        <a:prstGeom prst="roundRect">
          <a:avLst>
            <a:gd name="adj" fmla="val 10317"/>
          </a:avLst>
        </a:prstGeom>
        <a:solidFill>
          <a:srgbClr val="FF696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0">
              <a:latin typeface="Montserrat" panose="00000500000000000000" pitchFamily="2" charset="0"/>
            </a:rPr>
            <a:t>Resumo Geral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fredo Araujo" refreshedDate="45244.573729861113" createdVersion="8" refreshedVersion="8" minRefreshableVersion="3" recordCount="112" xr:uid="{9A8AD40A-E343-4F28-859E-216F4CCD1AFB}">
  <cacheSource type="worksheet">
    <worksheetSource name="Tabela3"/>
  </cacheSource>
  <cacheFields count="14">
    <cacheField name="ID" numFmtId="165">
      <sharedItems containsSemiMixedTypes="0" containsString="0" containsNumber="1" containsInteger="1" minValue="1" maxValue="112"/>
    </cacheField>
    <cacheField name="Data Emissão" numFmtId="14">
      <sharedItems containsSemiMixedTypes="0" containsNonDate="0" containsDate="1" containsString="0" minDate="2023-01-07T00:00:00" maxDate="2023-12-12T00:00:00"/>
    </cacheField>
    <cacheField name="Data Vencimento" numFmtId="14">
      <sharedItems containsSemiMixedTypes="0" containsNonDate="0" containsDate="1" containsString="0" minDate="2023-01-17T00:00:00" maxDate="2023-12-22T00:00:00" count="98">
        <d v="2023-01-17T00:00:00"/>
        <d v="2023-01-24T00:00:00"/>
        <d v="2023-01-28T00:00:00"/>
        <d v="2023-01-29T00:00:00"/>
        <d v="2023-01-30T00:00:00"/>
        <d v="2023-02-02T00:00:00"/>
        <d v="2023-02-04T00:00:00"/>
        <d v="2023-02-05T00:00:00"/>
        <d v="2023-02-06T00:00:00"/>
        <d v="2023-02-07T00:00:00"/>
        <d v="2023-02-09T00:00:00"/>
        <d v="2023-02-12T00:00:00"/>
        <d v="2023-02-16T00:00:00"/>
        <d v="2023-02-19T00:00:00"/>
        <d v="2023-02-28T00:00:00"/>
        <d v="2023-03-06T00:00:00"/>
        <d v="2023-03-07T00:00:00"/>
        <d v="2023-03-13T00:00:00"/>
        <d v="2023-03-18T00:00:00"/>
        <d v="2023-03-31T00:00:00"/>
        <d v="2023-04-01T00:00:00"/>
        <d v="2023-04-04T00:00:00"/>
        <d v="2023-04-06T00:00:00"/>
        <d v="2023-04-09T00:00:00"/>
        <d v="2023-04-15T00:00:00"/>
        <d v="2023-04-17T00:00:00"/>
        <d v="2023-04-27T00:00:00"/>
        <d v="2023-05-04T00:00:00"/>
        <d v="2023-05-12T00:00:00"/>
        <d v="2023-05-15T00:00:00"/>
        <d v="2023-05-16T00:00:00"/>
        <d v="2023-05-17T00:00:00"/>
        <d v="2023-05-18T00:00:00"/>
        <d v="2023-05-23T00:00:00"/>
        <d v="2023-05-25T00:00:00"/>
        <d v="2023-06-01T00:00:00"/>
        <d v="2023-06-05T00:00:00"/>
        <d v="2023-06-07T00:00:00"/>
        <d v="2023-06-11T00:00:00"/>
        <d v="2023-06-12T00:00:00"/>
        <d v="2023-06-24T00:00:00"/>
        <d v="2023-06-27T00:00:00"/>
        <d v="2023-06-30T00:00:00"/>
        <d v="2023-07-01T00:00:00"/>
        <d v="2023-07-02T00:00:00"/>
        <d v="2023-07-09T00:00:00"/>
        <d v="2023-07-11T00:00:00"/>
        <d v="2023-07-12T00:00:00"/>
        <d v="2023-07-16T00:00:00"/>
        <d v="2023-07-17T00:00:00"/>
        <d v="2023-07-27T00:00:00"/>
        <d v="2023-08-04T00:00:00"/>
        <d v="2023-08-10T00:00:00"/>
        <d v="2023-08-12T00:00:00"/>
        <d v="2023-08-15T00:00:00"/>
        <d v="2023-08-17T00:00:00"/>
        <d v="2023-08-24T00:00:00"/>
        <d v="2023-08-27T00:00:00"/>
        <d v="2023-08-31T00:00:00"/>
        <d v="2023-09-01T00:00:00"/>
        <d v="2023-09-02T00:00:00"/>
        <d v="2023-09-11T00:00:00"/>
        <d v="2023-09-12T00:00:00"/>
        <d v="2023-09-19T00:00:00"/>
        <d v="2023-09-21T00:00:00"/>
        <d v="2023-09-23T00:00:00"/>
        <d v="2023-10-02T00:00:00"/>
        <d v="2023-10-04T00:00:00"/>
        <d v="2023-10-05T00:00:00"/>
        <d v="2023-10-06T00:00:00"/>
        <d v="2023-10-24T00:00:00"/>
        <d v="2023-10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</sharedItems>
      <fieldGroup par="13"/>
    </cacheField>
    <cacheField name="Mês Vencimento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Categoria" numFmtId="0">
      <sharedItems count="6">
        <s v="Mensalidade Ens Fundamental"/>
        <s v="Matrícula Ens Fundamental"/>
        <s v="Atividades Extra Muros"/>
        <s v="Mensalidade Ens Médio"/>
        <s v="Matrícula Ens Médio"/>
        <s v="Material Escolar"/>
      </sharedItems>
    </cacheField>
    <cacheField name="Cliente" numFmtId="0">
      <sharedItems count="14">
        <s v="Claire Underwood"/>
        <s v="Adalberto Torres"/>
        <s v="Dwight Schrute"/>
        <s v="Walter White"/>
        <s v="Celina Justo"/>
        <s v="Agostinho Carrara"/>
        <s v="Marco Santos"/>
        <s v="Felipe Duarte"/>
        <s v="Zoe Barnes"/>
        <s v="Michael Scott"/>
        <s v="Samantha Alves"/>
        <s v="Mariana Rosa"/>
        <s v="Dona Benta"/>
        <s v="Suzane Barbosa"/>
      </sharedItems>
    </cacheField>
    <cacheField name="Valor" numFmtId="166">
      <sharedItems containsSemiMixedTypes="0" containsString="0" containsNumber="1" containsInteger="1" minValue="100" maxValue="499"/>
    </cacheField>
    <cacheField name="Data Pagamento" numFmtId="14">
      <sharedItems containsNonDate="0" containsDate="1" containsString="0" containsBlank="1" minDate="2023-01-20T00:00:00" maxDate="2023-12-15T00:00:00"/>
    </cacheField>
    <cacheField name="Forma Pgto" numFmtId="0">
      <sharedItems containsBlank="1" count="5">
        <s v="Cheque"/>
        <s v="PIX"/>
        <s v="Dinheiro"/>
        <s v="Boleto"/>
        <m/>
      </sharedItems>
    </cacheField>
    <cacheField name="Recebido" numFmtId="166">
      <sharedItems containsString="0" containsBlank="1" containsNumber="1" containsInteger="1" minValue="69" maxValue="558"/>
    </cacheField>
    <cacheField name="Pendente" numFmtId="166">
      <sharedItems containsSemiMixedTypes="0" containsString="0" containsNumber="1" containsInteger="1" minValue="0" maxValue="451"/>
    </cacheField>
    <cacheField name="Status" numFmtId="0">
      <sharedItems count="4">
        <s v="Pago com Atraso"/>
        <s v="Pago no Prazo"/>
        <s v="Atrasado"/>
        <s v="Pendente"/>
      </sharedItems>
    </cacheField>
    <cacheField name="Dias (Data Vencimento)" numFmtId="0" databaseField="0">
      <fieldGroup base="2">
        <rangePr groupBy="days" startDate="2023-01-17T00:00:00" endDate="2023-12-22T00:00:00"/>
        <groupItems count="368">
          <s v="&lt;17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2/12/2023"/>
        </groupItems>
      </fieldGroup>
    </cacheField>
    <cacheField name="Meses (Data Vencimento)" numFmtId="0" databaseField="0">
      <fieldGroup base="2">
        <rangePr groupBy="months" startDate="2023-01-17T00:00:00" endDate="2023-12-22T00:00:00"/>
        <groupItems count="14">
          <s v="&lt;17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2/12/2023"/>
        </groupItems>
      </fieldGroup>
    </cacheField>
  </cacheFields>
  <extLst>
    <ext xmlns:x14="http://schemas.microsoft.com/office/spreadsheetml/2009/9/main" uri="{725AE2AE-9491-48be-B2B4-4EB974FC3084}">
      <x14:pivotCacheDefinition pivotCacheId="99758666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1"/>
    <d v="2023-01-07T00:00:00"/>
    <x v="0"/>
    <x v="0"/>
    <x v="0"/>
    <x v="0"/>
    <n v="349"/>
    <d v="2023-01-20T00:00:00"/>
    <x v="0"/>
    <n v="366"/>
    <n v="0"/>
    <x v="0"/>
  </r>
  <r>
    <n v="2"/>
    <d v="2023-01-14T00:00:00"/>
    <x v="1"/>
    <x v="0"/>
    <x v="1"/>
    <x v="1"/>
    <n v="342"/>
    <d v="2023-01-26T00:00:00"/>
    <x v="1"/>
    <n v="382"/>
    <n v="0"/>
    <x v="0"/>
  </r>
  <r>
    <n v="3"/>
    <d v="2023-01-18T00:00:00"/>
    <x v="2"/>
    <x v="0"/>
    <x v="2"/>
    <x v="2"/>
    <n v="221"/>
    <d v="2023-01-27T00:00:00"/>
    <x v="0"/>
    <n v="213"/>
    <n v="8"/>
    <x v="1"/>
  </r>
  <r>
    <n v="4"/>
    <d v="2023-01-19T00:00:00"/>
    <x v="3"/>
    <x v="0"/>
    <x v="3"/>
    <x v="3"/>
    <n v="110"/>
    <d v="2023-02-04T00:00:00"/>
    <x v="2"/>
    <n v="139"/>
    <n v="0"/>
    <x v="0"/>
  </r>
  <r>
    <n v="5"/>
    <d v="2023-01-20T00:00:00"/>
    <x v="4"/>
    <x v="0"/>
    <x v="1"/>
    <x v="4"/>
    <n v="285"/>
    <d v="2023-01-28T00:00:00"/>
    <x v="2"/>
    <n v="313"/>
    <n v="0"/>
    <x v="1"/>
  </r>
  <r>
    <n v="6"/>
    <d v="2023-01-23T00:00:00"/>
    <x v="5"/>
    <x v="1"/>
    <x v="4"/>
    <x v="0"/>
    <n v="414"/>
    <d v="2023-02-02T00:00:00"/>
    <x v="3"/>
    <n v="437"/>
    <n v="0"/>
    <x v="1"/>
  </r>
  <r>
    <n v="7"/>
    <d v="2023-01-25T00:00:00"/>
    <x v="6"/>
    <x v="1"/>
    <x v="4"/>
    <x v="5"/>
    <n v="153"/>
    <d v="2023-02-10T00:00:00"/>
    <x v="0"/>
    <n v="115"/>
    <n v="38"/>
    <x v="0"/>
  </r>
  <r>
    <n v="8"/>
    <d v="2023-01-26T00:00:00"/>
    <x v="7"/>
    <x v="1"/>
    <x v="1"/>
    <x v="3"/>
    <n v="200"/>
    <d v="2023-01-26T00:00:00"/>
    <x v="2"/>
    <n v="238"/>
    <n v="0"/>
    <x v="1"/>
  </r>
  <r>
    <n v="9"/>
    <d v="2023-01-27T00:00:00"/>
    <x v="8"/>
    <x v="1"/>
    <x v="4"/>
    <x v="6"/>
    <n v="319"/>
    <d v="2023-02-12T00:00:00"/>
    <x v="0"/>
    <n v="302"/>
    <n v="17"/>
    <x v="0"/>
  </r>
  <r>
    <n v="10"/>
    <d v="2023-01-28T00:00:00"/>
    <x v="9"/>
    <x v="1"/>
    <x v="3"/>
    <x v="7"/>
    <n v="392"/>
    <d v="2023-02-06T00:00:00"/>
    <x v="1"/>
    <n v="423"/>
    <n v="0"/>
    <x v="1"/>
  </r>
  <r>
    <n v="11"/>
    <d v="2023-01-30T00:00:00"/>
    <x v="10"/>
    <x v="1"/>
    <x v="0"/>
    <x v="8"/>
    <n v="111"/>
    <d v="2023-02-15T00:00:00"/>
    <x v="3"/>
    <n v="144"/>
    <n v="0"/>
    <x v="0"/>
  </r>
  <r>
    <n v="12"/>
    <d v="2023-02-02T00:00:00"/>
    <x v="11"/>
    <x v="1"/>
    <x v="4"/>
    <x v="2"/>
    <n v="416"/>
    <d v="2023-02-12T00:00:00"/>
    <x v="0"/>
    <n v="395"/>
    <n v="21"/>
    <x v="1"/>
  </r>
  <r>
    <n v="13"/>
    <d v="2023-02-06T00:00:00"/>
    <x v="12"/>
    <x v="1"/>
    <x v="4"/>
    <x v="0"/>
    <n v="418"/>
    <d v="2023-02-17T00:00:00"/>
    <x v="0"/>
    <n v="444"/>
    <n v="0"/>
    <x v="0"/>
  </r>
  <r>
    <n v="14"/>
    <d v="2023-02-09T00:00:00"/>
    <x v="13"/>
    <x v="1"/>
    <x v="4"/>
    <x v="9"/>
    <n v="141"/>
    <d v="2023-02-19T00:00:00"/>
    <x v="0"/>
    <n v="153"/>
    <n v="0"/>
    <x v="1"/>
  </r>
  <r>
    <n v="15"/>
    <d v="2023-02-18T00:00:00"/>
    <x v="14"/>
    <x v="1"/>
    <x v="3"/>
    <x v="10"/>
    <n v="189"/>
    <d v="2023-03-06T00:00:00"/>
    <x v="2"/>
    <n v="205"/>
    <n v="0"/>
    <x v="0"/>
  </r>
  <r>
    <n v="16"/>
    <d v="2023-02-24T00:00:00"/>
    <x v="15"/>
    <x v="2"/>
    <x v="3"/>
    <x v="11"/>
    <n v="481"/>
    <d v="2023-02-28T00:00:00"/>
    <x v="1"/>
    <n v="470"/>
    <n v="11"/>
    <x v="1"/>
  </r>
  <r>
    <n v="17"/>
    <d v="2023-02-24T00:00:00"/>
    <x v="15"/>
    <x v="2"/>
    <x v="0"/>
    <x v="8"/>
    <n v="262"/>
    <d v="2023-02-26T00:00:00"/>
    <x v="0"/>
    <n v="252"/>
    <n v="10"/>
    <x v="1"/>
  </r>
  <r>
    <n v="18"/>
    <d v="2023-02-25T00:00:00"/>
    <x v="16"/>
    <x v="2"/>
    <x v="3"/>
    <x v="1"/>
    <n v="439"/>
    <d v="2023-02-25T00:00:00"/>
    <x v="2"/>
    <n v="472"/>
    <n v="0"/>
    <x v="1"/>
  </r>
  <r>
    <n v="19"/>
    <d v="2023-03-03T00:00:00"/>
    <x v="17"/>
    <x v="2"/>
    <x v="0"/>
    <x v="2"/>
    <n v="403"/>
    <d v="2023-03-15T00:00:00"/>
    <x v="3"/>
    <n v="391"/>
    <n v="12"/>
    <x v="0"/>
  </r>
  <r>
    <n v="20"/>
    <d v="2023-03-08T00:00:00"/>
    <x v="18"/>
    <x v="2"/>
    <x v="5"/>
    <x v="4"/>
    <n v="319"/>
    <d v="2023-03-11T00:00:00"/>
    <x v="2"/>
    <n v="295"/>
    <n v="24"/>
    <x v="1"/>
  </r>
  <r>
    <n v="21"/>
    <d v="2023-03-08T00:00:00"/>
    <x v="18"/>
    <x v="2"/>
    <x v="2"/>
    <x v="0"/>
    <n v="100"/>
    <d v="2023-03-19T00:00:00"/>
    <x v="3"/>
    <n v="69"/>
    <n v="31"/>
    <x v="0"/>
  </r>
  <r>
    <n v="22"/>
    <d v="2023-03-21T00:00:00"/>
    <x v="19"/>
    <x v="2"/>
    <x v="0"/>
    <x v="9"/>
    <n v="297"/>
    <d v="2023-04-03T00:00:00"/>
    <x v="3"/>
    <n v="323"/>
    <n v="0"/>
    <x v="0"/>
  </r>
  <r>
    <n v="23"/>
    <d v="2023-03-21T00:00:00"/>
    <x v="19"/>
    <x v="2"/>
    <x v="1"/>
    <x v="12"/>
    <n v="137"/>
    <d v="2023-04-03T00:00:00"/>
    <x v="2"/>
    <n v="160"/>
    <n v="0"/>
    <x v="0"/>
  </r>
  <r>
    <n v="24"/>
    <d v="2023-03-22T00:00:00"/>
    <x v="20"/>
    <x v="3"/>
    <x v="5"/>
    <x v="3"/>
    <n v="421"/>
    <d v="2023-04-02T00:00:00"/>
    <x v="2"/>
    <n v="460"/>
    <n v="0"/>
    <x v="0"/>
  </r>
  <r>
    <n v="25"/>
    <d v="2023-03-25T00:00:00"/>
    <x v="21"/>
    <x v="3"/>
    <x v="1"/>
    <x v="4"/>
    <n v="134"/>
    <d v="2023-04-07T00:00:00"/>
    <x v="1"/>
    <n v="144"/>
    <n v="0"/>
    <x v="0"/>
  </r>
  <r>
    <n v="26"/>
    <d v="2023-03-27T00:00:00"/>
    <x v="22"/>
    <x v="3"/>
    <x v="2"/>
    <x v="9"/>
    <n v="499"/>
    <d v="2023-04-03T00:00:00"/>
    <x v="0"/>
    <n v="468"/>
    <n v="31"/>
    <x v="1"/>
  </r>
  <r>
    <n v="27"/>
    <d v="2023-03-30T00:00:00"/>
    <x v="23"/>
    <x v="3"/>
    <x v="5"/>
    <x v="4"/>
    <n v="172"/>
    <d v="2023-04-12T00:00:00"/>
    <x v="1"/>
    <n v="207"/>
    <n v="0"/>
    <x v="0"/>
  </r>
  <r>
    <n v="28"/>
    <d v="2023-04-05T00:00:00"/>
    <x v="24"/>
    <x v="3"/>
    <x v="3"/>
    <x v="7"/>
    <n v="198"/>
    <d v="2023-04-16T00:00:00"/>
    <x v="2"/>
    <n v="193"/>
    <n v="5"/>
    <x v="0"/>
  </r>
  <r>
    <n v="29"/>
    <d v="2023-04-07T00:00:00"/>
    <x v="25"/>
    <x v="3"/>
    <x v="2"/>
    <x v="9"/>
    <n v="334"/>
    <d v="2023-04-12T00:00:00"/>
    <x v="3"/>
    <n v="343"/>
    <n v="0"/>
    <x v="1"/>
  </r>
  <r>
    <n v="30"/>
    <d v="2023-04-17T00:00:00"/>
    <x v="26"/>
    <x v="3"/>
    <x v="0"/>
    <x v="13"/>
    <n v="277"/>
    <d v="2023-04-28T00:00:00"/>
    <x v="0"/>
    <n v="266"/>
    <n v="11"/>
    <x v="0"/>
  </r>
  <r>
    <n v="31"/>
    <d v="2023-04-17T00:00:00"/>
    <x v="26"/>
    <x v="3"/>
    <x v="2"/>
    <x v="0"/>
    <n v="297"/>
    <d v="2023-04-17T00:00:00"/>
    <x v="0"/>
    <n v="260"/>
    <n v="37"/>
    <x v="1"/>
  </r>
  <r>
    <n v="32"/>
    <d v="2023-04-17T00:00:00"/>
    <x v="26"/>
    <x v="3"/>
    <x v="2"/>
    <x v="6"/>
    <n v="263"/>
    <d v="2023-04-21T00:00:00"/>
    <x v="3"/>
    <n v="264"/>
    <n v="0"/>
    <x v="1"/>
  </r>
  <r>
    <n v="33"/>
    <d v="2023-04-24T00:00:00"/>
    <x v="27"/>
    <x v="4"/>
    <x v="3"/>
    <x v="3"/>
    <n v="284"/>
    <d v="2023-05-09T00:00:00"/>
    <x v="1"/>
    <n v="273"/>
    <n v="11"/>
    <x v="0"/>
  </r>
  <r>
    <n v="34"/>
    <d v="2023-05-02T00:00:00"/>
    <x v="28"/>
    <x v="4"/>
    <x v="1"/>
    <x v="1"/>
    <n v="155"/>
    <d v="2023-05-07T00:00:00"/>
    <x v="2"/>
    <n v="164"/>
    <n v="0"/>
    <x v="1"/>
  </r>
  <r>
    <n v="35"/>
    <d v="2023-05-05T00:00:00"/>
    <x v="29"/>
    <x v="4"/>
    <x v="2"/>
    <x v="13"/>
    <n v="408"/>
    <d v="2023-05-16T00:00:00"/>
    <x v="0"/>
    <n v="447"/>
    <n v="0"/>
    <x v="0"/>
  </r>
  <r>
    <n v="36"/>
    <d v="2023-05-06T00:00:00"/>
    <x v="30"/>
    <x v="4"/>
    <x v="4"/>
    <x v="13"/>
    <n v="277"/>
    <d v="2023-05-20T00:00:00"/>
    <x v="0"/>
    <n v="309"/>
    <n v="0"/>
    <x v="0"/>
  </r>
  <r>
    <n v="37"/>
    <d v="2023-05-07T00:00:00"/>
    <x v="31"/>
    <x v="4"/>
    <x v="2"/>
    <x v="6"/>
    <n v="236"/>
    <d v="2023-05-08T00:00:00"/>
    <x v="0"/>
    <n v="203"/>
    <n v="33"/>
    <x v="1"/>
  </r>
  <r>
    <n v="38"/>
    <d v="2023-05-08T00:00:00"/>
    <x v="32"/>
    <x v="4"/>
    <x v="0"/>
    <x v="5"/>
    <n v="266"/>
    <d v="2023-05-22T00:00:00"/>
    <x v="3"/>
    <n v="264"/>
    <n v="2"/>
    <x v="0"/>
  </r>
  <r>
    <n v="39"/>
    <d v="2023-05-13T00:00:00"/>
    <x v="33"/>
    <x v="4"/>
    <x v="5"/>
    <x v="7"/>
    <n v="338"/>
    <d v="2023-05-22T00:00:00"/>
    <x v="2"/>
    <n v="362"/>
    <n v="0"/>
    <x v="1"/>
  </r>
  <r>
    <n v="40"/>
    <d v="2023-05-13T00:00:00"/>
    <x v="33"/>
    <x v="4"/>
    <x v="4"/>
    <x v="13"/>
    <n v="107"/>
    <d v="2023-05-25T00:00:00"/>
    <x v="3"/>
    <n v="141"/>
    <n v="0"/>
    <x v="0"/>
  </r>
  <r>
    <n v="41"/>
    <d v="2023-05-15T00:00:00"/>
    <x v="34"/>
    <x v="4"/>
    <x v="5"/>
    <x v="12"/>
    <n v="377"/>
    <d v="2023-05-30T00:00:00"/>
    <x v="1"/>
    <n v="343"/>
    <n v="34"/>
    <x v="0"/>
  </r>
  <r>
    <n v="42"/>
    <d v="2023-05-22T00:00:00"/>
    <x v="35"/>
    <x v="5"/>
    <x v="5"/>
    <x v="10"/>
    <n v="109"/>
    <d v="2023-05-23T00:00:00"/>
    <x v="1"/>
    <n v="133"/>
    <n v="0"/>
    <x v="1"/>
  </r>
  <r>
    <n v="43"/>
    <d v="2023-05-26T00:00:00"/>
    <x v="36"/>
    <x v="5"/>
    <x v="0"/>
    <x v="0"/>
    <n v="175"/>
    <d v="2023-05-29T00:00:00"/>
    <x v="3"/>
    <n v="143"/>
    <n v="32"/>
    <x v="1"/>
  </r>
  <r>
    <n v="44"/>
    <d v="2023-05-28T00:00:00"/>
    <x v="37"/>
    <x v="5"/>
    <x v="4"/>
    <x v="2"/>
    <n v="438"/>
    <d v="2023-06-01T00:00:00"/>
    <x v="3"/>
    <n v="476"/>
    <n v="0"/>
    <x v="1"/>
  </r>
  <r>
    <n v="45"/>
    <d v="2023-06-01T00:00:00"/>
    <x v="38"/>
    <x v="5"/>
    <x v="0"/>
    <x v="2"/>
    <n v="168"/>
    <d v="2023-06-12T00:00:00"/>
    <x v="0"/>
    <n v="184"/>
    <n v="0"/>
    <x v="0"/>
  </r>
  <r>
    <n v="46"/>
    <d v="2023-06-02T00:00:00"/>
    <x v="39"/>
    <x v="5"/>
    <x v="3"/>
    <x v="10"/>
    <n v="267"/>
    <d v="2023-06-05T00:00:00"/>
    <x v="1"/>
    <n v="263"/>
    <n v="4"/>
    <x v="1"/>
  </r>
  <r>
    <n v="47"/>
    <d v="2023-06-14T00:00:00"/>
    <x v="40"/>
    <x v="5"/>
    <x v="5"/>
    <x v="3"/>
    <n v="432"/>
    <d v="2023-06-26T00:00:00"/>
    <x v="1"/>
    <n v="393"/>
    <n v="39"/>
    <x v="0"/>
  </r>
  <r>
    <n v="48"/>
    <d v="2023-06-17T00:00:00"/>
    <x v="41"/>
    <x v="5"/>
    <x v="1"/>
    <x v="11"/>
    <n v="134"/>
    <d v="2023-06-30T00:00:00"/>
    <x v="1"/>
    <n v="129"/>
    <n v="5"/>
    <x v="0"/>
  </r>
  <r>
    <n v="49"/>
    <d v="2023-06-20T00:00:00"/>
    <x v="42"/>
    <x v="5"/>
    <x v="2"/>
    <x v="8"/>
    <n v="365"/>
    <d v="2023-07-04T00:00:00"/>
    <x v="0"/>
    <n v="333"/>
    <n v="32"/>
    <x v="0"/>
  </r>
  <r>
    <n v="50"/>
    <d v="2023-06-21T00:00:00"/>
    <x v="43"/>
    <x v="6"/>
    <x v="3"/>
    <x v="4"/>
    <n v="436"/>
    <d v="2023-07-07T00:00:00"/>
    <x v="1"/>
    <n v="452"/>
    <n v="0"/>
    <x v="0"/>
  </r>
  <r>
    <n v="51"/>
    <d v="2023-06-22T00:00:00"/>
    <x v="44"/>
    <x v="6"/>
    <x v="2"/>
    <x v="2"/>
    <n v="266"/>
    <d v="2023-07-05T00:00:00"/>
    <x v="3"/>
    <n v="231"/>
    <n v="35"/>
    <x v="0"/>
  </r>
  <r>
    <n v="52"/>
    <d v="2023-06-29T00:00:00"/>
    <x v="45"/>
    <x v="6"/>
    <x v="5"/>
    <x v="1"/>
    <n v="476"/>
    <d v="2023-07-08T00:00:00"/>
    <x v="1"/>
    <n v="478"/>
    <n v="0"/>
    <x v="1"/>
  </r>
  <r>
    <n v="53"/>
    <d v="2023-07-01T00:00:00"/>
    <x v="46"/>
    <x v="6"/>
    <x v="0"/>
    <x v="6"/>
    <n v="198"/>
    <d v="2023-07-06T00:00:00"/>
    <x v="3"/>
    <n v="193"/>
    <n v="5"/>
    <x v="1"/>
  </r>
  <r>
    <n v="54"/>
    <d v="2023-07-02T00:00:00"/>
    <x v="47"/>
    <x v="6"/>
    <x v="3"/>
    <x v="1"/>
    <n v="251"/>
    <d v="2023-07-13T00:00:00"/>
    <x v="1"/>
    <n v="215"/>
    <n v="36"/>
    <x v="0"/>
  </r>
  <r>
    <n v="55"/>
    <d v="2023-07-06T00:00:00"/>
    <x v="48"/>
    <x v="6"/>
    <x v="0"/>
    <x v="6"/>
    <n v="188"/>
    <d v="2023-07-10T00:00:00"/>
    <x v="0"/>
    <n v="204"/>
    <n v="0"/>
    <x v="1"/>
  </r>
  <r>
    <n v="56"/>
    <d v="2023-07-07T00:00:00"/>
    <x v="49"/>
    <x v="6"/>
    <x v="4"/>
    <x v="8"/>
    <n v="269"/>
    <d v="2023-07-13T00:00:00"/>
    <x v="0"/>
    <n v="236"/>
    <n v="33"/>
    <x v="1"/>
  </r>
  <r>
    <n v="57"/>
    <d v="2023-07-17T00:00:00"/>
    <x v="50"/>
    <x v="6"/>
    <x v="3"/>
    <x v="12"/>
    <n v="477"/>
    <d v="2023-07-18T00:00:00"/>
    <x v="2"/>
    <n v="484"/>
    <n v="0"/>
    <x v="1"/>
  </r>
  <r>
    <n v="58"/>
    <d v="2023-07-25T00:00:00"/>
    <x v="51"/>
    <x v="7"/>
    <x v="5"/>
    <x v="7"/>
    <n v="348"/>
    <d v="2023-08-09T00:00:00"/>
    <x v="1"/>
    <n v="310"/>
    <n v="38"/>
    <x v="0"/>
  </r>
  <r>
    <n v="59"/>
    <d v="2023-07-31T00:00:00"/>
    <x v="52"/>
    <x v="7"/>
    <x v="4"/>
    <x v="9"/>
    <n v="131"/>
    <d v="2023-08-04T00:00:00"/>
    <x v="3"/>
    <n v="145"/>
    <n v="0"/>
    <x v="1"/>
  </r>
  <r>
    <n v="60"/>
    <d v="2023-08-02T00:00:00"/>
    <x v="53"/>
    <x v="7"/>
    <x v="5"/>
    <x v="11"/>
    <n v="294"/>
    <d v="2023-08-04T00:00:00"/>
    <x v="2"/>
    <n v="290"/>
    <n v="4"/>
    <x v="1"/>
  </r>
  <r>
    <n v="61"/>
    <d v="2023-08-05T00:00:00"/>
    <x v="54"/>
    <x v="7"/>
    <x v="2"/>
    <x v="5"/>
    <n v="148"/>
    <d v="2023-08-15T00:00:00"/>
    <x v="0"/>
    <n v="124"/>
    <n v="24"/>
    <x v="1"/>
  </r>
  <r>
    <n v="62"/>
    <d v="2023-08-07T00:00:00"/>
    <x v="55"/>
    <x v="7"/>
    <x v="5"/>
    <x v="10"/>
    <n v="396"/>
    <d v="2023-08-10T00:00:00"/>
    <x v="2"/>
    <n v="364"/>
    <n v="32"/>
    <x v="1"/>
  </r>
  <r>
    <n v="63"/>
    <d v="2023-08-14T00:00:00"/>
    <x v="56"/>
    <x v="7"/>
    <x v="2"/>
    <x v="5"/>
    <n v="353"/>
    <d v="2023-08-22T00:00:00"/>
    <x v="3"/>
    <n v="325"/>
    <n v="28"/>
    <x v="1"/>
  </r>
  <r>
    <n v="64"/>
    <d v="2023-08-14T00:00:00"/>
    <x v="56"/>
    <x v="7"/>
    <x v="0"/>
    <x v="5"/>
    <n v="436"/>
    <d v="2023-08-19T00:00:00"/>
    <x v="0"/>
    <n v="476"/>
    <n v="0"/>
    <x v="1"/>
  </r>
  <r>
    <n v="65"/>
    <d v="2023-08-14T00:00:00"/>
    <x v="56"/>
    <x v="7"/>
    <x v="3"/>
    <x v="11"/>
    <n v="386"/>
    <d v="2023-08-21T00:00:00"/>
    <x v="2"/>
    <n v="393"/>
    <n v="0"/>
    <x v="1"/>
  </r>
  <r>
    <n v="66"/>
    <d v="2023-08-17T00:00:00"/>
    <x v="57"/>
    <x v="7"/>
    <x v="2"/>
    <x v="8"/>
    <n v="170"/>
    <d v="2023-09-01T00:00:00"/>
    <x v="3"/>
    <n v="206"/>
    <n v="0"/>
    <x v="0"/>
  </r>
  <r>
    <n v="67"/>
    <d v="2023-08-21T00:00:00"/>
    <x v="58"/>
    <x v="7"/>
    <x v="1"/>
    <x v="10"/>
    <n v="137"/>
    <d v="2023-09-05T00:00:00"/>
    <x v="2"/>
    <n v="173"/>
    <n v="0"/>
    <x v="0"/>
  </r>
  <r>
    <n v="68"/>
    <d v="2023-08-22T00:00:00"/>
    <x v="59"/>
    <x v="8"/>
    <x v="0"/>
    <x v="13"/>
    <n v="486"/>
    <d v="2023-09-05T00:00:00"/>
    <x v="3"/>
    <n v="487"/>
    <n v="0"/>
    <x v="0"/>
  </r>
  <r>
    <n v="69"/>
    <d v="2023-08-23T00:00:00"/>
    <x v="60"/>
    <x v="8"/>
    <x v="5"/>
    <x v="12"/>
    <n v="266"/>
    <m/>
    <x v="4"/>
    <m/>
    <n v="266"/>
    <x v="2"/>
  </r>
  <r>
    <n v="70"/>
    <d v="2023-08-23T00:00:00"/>
    <x v="60"/>
    <x v="8"/>
    <x v="5"/>
    <x v="11"/>
    <n v="144"/>
    <d v="2023-09-02T00:00:00"/>
    <x v="1"/>
    <n v="120"/>
    <n v="24"/>
    <x v="1"/>
  </r>
  <r>
    <n v="71"/>
    <d v="2023-09-01T00:00:00"/>
    <x v="61"/>
    <x v="8"/>
    <x v="0"/>
    <x v="9"/>
    <n v="209"/>
    <d v="2023-09-16T00:00:00"/>
    <x v="0"/>
    <n v="202"/>
    <n v="7"/>
    <x v="0"/>
  </r>
  <r>
    <n v="72"/>
    <d v="2023-09-01T00:00:00"/>
    <x v="61"/>
    <x v="8"/>
    <x v="1"/>
    <x v="10"/>
    <n v="451"/>
    <m/>
    <x v="4"/>
    <m/>
    <n v="451"/>
    <x v="2"/>
  </r>
  <r>
    <n v="73"/>
    <d v="2023-09-02T00:00:00"/>
    <x v="62"/>
    <x v="8"/>
    <x v="1"/>
    <x v="12"/>
    <n v="142"/>
    <d v="2023-09-09T00:00:00"/>
    <x v="1"/>
    <n v="167"/>
    <n v="0"/>
    <x v="1"/>
  </r>
  <r>
    <n v="74"/>
    <d v="2023-09-02T00:00:00"/>
    <x v="62"/>
    <x v="8"/>
    <x v="1"/>
    <x v="3"/>
    <n v="217"/>
    <d v="2023-09-14T00:00:00"/>
    <x v="1"/>
    <n v="257"/>
    <n v="0"/>
    <x v="0"/>
  </r>
  <r>
    <n v="75"/>
    <d v="2023-09-09T00:00:00"/>
    <x v="63"/>
    <x v="8"/>
    <x v="3"/>
    <x v="12"/>
    <n v="429"/>
    <d v="2023-09-18T00:00:00"/>
    <x v="1"/>
    <n v="446"/>
    <n v="0"/>
    <x v="1"/>
  </r>
  <r>
    <n v="76"/>
    <d v="2023-09-11T00:00:00"/>
    <x v="64"/>
    <x v="8"/>
    <x v="4"/>
    <x v="6"/>
    <n v="335"/>
    <d v="2023-09-18T00:00:00"/>
    <x v="3"/>
    <n v="372"/>
    <n v="0"/>
    <x v="1"/>
  </r>
  <r>
    <n v="77"/>
    <d v="2023-09-13T00:00:00"/>
    <x v="65"/>
    <x v="8"/>
    <x v="1"/>
    <x v="7"/>
    <n v="344"/>
    <d v="2023-09-29T00:00:00"/>
    <x v="1"/>
    <n v="348"/>
    <n v="0"/>
    <x v="0"/>
  </r>
  <r>
    <n v="78"/>
    <d v="2023-09-13T00:00:00"/>
    <x v="65"/>
    <x v="8"/>
    <x v="2"/>
    <x v="13"/>
    <n v="190"/>
    <d v="2023-09-29T00:00:00"/>
    <x v="3"/>
    <n v="223"/>
    <n v="0"/>
    <x v="0"/>
  </r>
  <r>
    <n v="79"/>
    <d v="2023-09-13T00:00:00"/>
    <x v="65"/>
    <x v="8"/>
    <x v="4"/>
    <x v="5"/>
    <n v="243"/>
    <m/>
    <x v="4"/>
    <m/>
    <n v="243"/>
    <x v="2"/>
  </r>
  <r>
    <n v="80"/>
    <d v="2023-09-13T00:00:00"/>
    <x v="65"/>
    <x v="8"/>
    <x v="1"/>
    <x v="7"/>
    <n v="492"/>
    <d v="2023-09-28T00:00:00"/>
    <x v="2"/>
    <n v="479"/>
    <n v="13"/>
    <x v="0"/>
  </r>
  <r>
    <n v="81"/>
    <d v="2023-09-22T00:00:00"/>
    <x v="66"/>
    <x v="9"/>
    <x v="3"/>
    <x v="4"/>
    <n v="491"/>
    <d v="2023-09-30T00:00:00"/>
    <x v="2"/>
    <n v="469"/>
    <n v="22"/>
    <x v="1"/>
  </r>
  <r>
    <n v="82"/>
    <d v="2023-09-24T00:00:00"/>
    <x v="67"/>
    <x v="9"/>
    <x v="5"/>
    <x v="1"/>
    <n v="245"/>
    <d v="2023-10-06T00:00:00"/>
    <x v="2"/>
    <n v="211"/>
    <n v="34"/>
    <x v="0"/>
  </r>
  <r>
    <n v="83"/>
    <d v="2023-09-25T00:00:00"/>
    <x v="68"/>
    <x v="9"/>
    <x v="1"/>
    <x v="11"/>
    <n v="116"/>
    <m/>
    <x v="4"/>
    <m/>
    <n v="116"/>
    <x v="2"/>
  </r>
  <r>
    <n v="84"/>
    <d v="2023-09-26T00:00:00"/>
    <x v="69"/>
    <x v="9"/>
    <x v="4"/>
    <x v="8"/>
    <n v="203"/>
    <d v="2023-10-04T00:00:00"/>
    <x v="3"/>
    <n v="228"/>
    <n v="0"/>
    <x v="1"/>
  </r>
  <r>
    <n v="85"/>
    <d v="2023-10-14T00:00:00"/>
    <x v="70"/>
    <x v="9"/>
    <x v="1"/>
    <x v="1"/>
    <n v="490"/>
    <d v="2023-11-24T00:00:00"/>
    <x v="1"/>
    <n v="499"/>
    <n v="0"/>
    <x v="0"/>
  </r>
  <r>
    <n v="86"/>
    <d v="2023-10-15T00:00:00"/>
    <x v="71"/>
    <x v="9"/>
    <x v="4"/>
    <x v="5"/>
    <n v="113"/>
    <m/>
    <x v="4"/>
    <m/>
    <n v="113"/>
    <x v="2"/>
  </r>
  <r>
    <n v="87"/>
    <d v="2023-11-16T00:00:00"/>
    <x v="72"/>
    <x v="10"/>
    <x v="5"/>
    <x v="4"/>
    <n v="379"/>
    <d v="2023-11-21T00:00:00"/>
    <x v="2"/>
    <n v="423"/>
    <n v="0"/>
    <x v="1"/>
  </r>
  <r>
    <n v="88"/>
    <d v="2023-11-17T00:00:00"/>
    <x v="73"/>
    <x v="10"/>
    <x v="0"/>
    <x v="0"/>
    <n v="162"/>
    <d v="2023-11-27T00:00:00"/>
    <x v="0"/>
    <n v="135"/>
    <n v="27"/>
    <x v="1"/>
  </r>
  <r>
    <n v="89"/>
    <d v="2023-11-18T00:00:00"/>
    <x v="74"/>
    <x v="10"/>
    <x v="3"/>
    <x v="12"/>
    <n v="437"/>
    <d v="2023-11-26T00:00:00"/>
    <x v="1"/>
    <n v="527"/>
    <n v="0"/>
    <x v="1"/>
  </r>
  <r>
    <n v="90"/>
    <d v="2023-11-19T00:00:00"/>
    <x v="75"/>
    <x v="10"/>
    <x v="2"/>
    <x v="2"/>
    <n v="272"/>
    <d v="2023-11-30T00:00:00"/>
    <x v="3"/>
    <n v="345"/>
    <n v="0"/>
    <x v="0"/>
  </r>
  <r>
    <n v="91"/>
    <d v="2023-11-20T00:00:00"/>
    <x v="76"/>
    <x v="10"/>
    <x v="1"/>
    <x v="7"/>
    <n v="201"/>
    <d v="2023-12-01T00:00:00"/>
    <x v="2"/>
    <n v="243"/>
    <n v="0"/>
    <x v="0"/>
  </r>
  <r>
    <n v="92"/>
    <d v="2023-11-21T00:00:00"/>
    <x v="77"/>
    <x v="11"/>
    <x v="4"/>
    <x v="6"/>
    <n v="328"/>
    <d v="2023-11-26T00:00:00"/>
    <x v="0"/>
    <n v="346"/>
    <n v="0"/>
    <x v="1"/>
  </r>
  <r>
    <n v="93"/>
    <d v="2023-11-22T00:00:00"/>
    <x v="78"/>
    <x v="11"/>
    <x v="5"/>
    <x v="11"/>
    <n v="170"/>
    <d v="2023-11-29T00:00:00"/>
    <x v="1"/>
    <n v="140"/>
    <n v="30"/>
    <x v="1"/>
  </r>
  <r>
    <n v="94"/>
    <d v="2023-11-23T00:00:00"/>
    <x v="79"/>
    <x v="11"/>
    <x v="0"/>
    <x v="9"/>
    <n v="362"/>
    <d v="2023-12-04T00:00:00"/>
    <x v="3"/>
    <n v="417"/>
    <n v="0"/>
    <x v="0"/>
  </r>
  <r>
    <n v="95"/>
    <d v="2023-11-24T00:00:00"/>
    <x v="80"/>
    <x v="11"/>
    <x v="3"/>
    <x v="10"/>
    <n v="410"/>
    <d v="2023-12-05T00:00:00"/>
    <x v="2"/>
    <n v="402"/>
    <n v="8"/>
    <x v="0"/>
  </r>
  <r>
    <n v="96"/>
    <d v="2023-11-25T00:00:00"/>
    <x v="81"/>
    <x v="11"/>
    <x v="2"/>
    <x v="13"/>
    <n v="309"/>
    <d v="2023-12-06T00:00:00"/>
    <x v="0"/>
    <n v="338"/>
    <n v="0"/>
    <x v="0"/>
  </r>
  <r>
    <n v="97"/>
    <d v="2023-11-26T00:00:00"/>
    <x v="82"/>
    <x v="11"/>
    <x v="1"/>
    <x v="3"/>
    <n v="494"/>
    <d v="2023-12-05T00:00:00"/>
    <x v="1"/>
    <n v="544"/>
    <n v="0"/>
    <x v="1"/>
  </r>
  <r>
    <n v="98"/>
    <d v="2023-11-27T00:00:00"/>
    <x v="83"/>
    <x v="11"/>
    <x v="4"/>
    <x v="8"/>
    <n v="224"/>
    <d v="2023-12-03T00:00:00"/>
    <x v="3"/>
    <n v="211"/>
    <n v="13"/>
    <x v="1"/>
  </r>
  <r>
    <n v="99"/>
    <d v="2023-11-28T00:00:00"/>
    <x v="84"/>
    <x v="11"/>
    <x v="5"/>
    <x v="1"/>
    <n v="346"/>
    <d v="2023-12-10T00:00:00"/>
    <x v="2"/>
    <n v="437"/>
    <n v="0"/>
    <x v="0"/>
  </r>
  <r>
    <n v="100"/>
    <d v="2023-11-29T00:00:00"/>
    <x v="85"/>
    <x v="11"/>
    <x v="0"/>
    <x v="5"/>
    <n v="178"/>
    <d v="2023-12-04T00:00:00"/>
    <x v="0"/>
    <n v="150"/>
    <n v="28"/>
    <x v="1"/>
  </r>
  <r>
    <n v="101"/>
    <d v="2023-11-30T00:00:00"/>
    <x v="86"/>
    <x v="11"/>
    <x v="3"/>
    <x v="4"/>
    <n v="182"/>
    <d v="2023-12-05T00:00:00"/>
    <x v="1"/>
    <n v="227"/>
    <n v="0"/>
    <x v="1"/>
  </r>
  <r>
    <n v="102"/>
    <d v="2023-12-01T00:00:00"/>
    <x v="87"/>
    <x v="11"/>
    <x v="2"/>
    <x v="0"/>
    <n v="243"/>
    <d v="2023-12-07T00:00:00"/>
    <x v="3"/>
    <n v="258"/>
    <n v="0"/>
    <x v="1"/>
  </r>
  <r>
    <n v="103"/>
    <d v="2023-12-02T00:00:00"/>
    <x v="88"/>
    <x v="11"/>
    <x v="1"/>
    <x v="12"/>
    <n v="266"/>
    <d v="2023-12-14T00:00:00"/>
    <x v="2"/>
    <n v="292"/>
    <n v="0"/>
    <x v="0"/>
  </r>
  <r>
    <n v="104"/>
    <d v="2023-12-03T00:00:00"/>
    <x v="89"/>
    <x v="11"/>
    <x v="4"/>
    <x v="2"/>
    <n v="444"/>
    <d v="2023-12-10T00:00:00"/>
    <x v="0"/>
    <n v="452"/>
    <n v="0"/>
    <x v="1"/>
  </r>
  <r>
    <n v="105"/>
    <d v="2023-12-04T00:00:00"/>
    <x v="90"/>
    <x v="11"/>
    <x v="5"/>
    <x v="7"/>
    <n v="461"/>
    <m/>
    <x v="1"/>
    <n v="558"/>
    <n v="0"/>
    <x v="3"/>
  </r>
  <r>
    <n v="106"/>
    <d v="2023-12-05T00:00:00"/>
    <x v="91"/>
    <x v="11"/>
    <x v="0"/>
    <x v="6"/>
    <n v="414"/>
    <m/>
    <x v="3"/>
    <n v="394"/>
    <n v="20"/>
    <x v="3"/>
  </r>
  <r>
    <n v="107"/>
    <d v="2023-12-06T00:00:00"/>
    <x v="92"/>
    <x v="11"/>
    <x v="3"/>
    <x v="11"/>
    <n v="276"/>
    <m/>
    <x v="2"/>
    <n v="272"/>
    <n v="4"/>
    <x v="3"/>
  </r>
  <r>
    <n v="108"/>
    <d v="2023-12-07T00:00:00"/>
    <x v="93"/>
    <x v="11"/>
    <x v="2"/>
    <x v="9"/>
    <n v="290"/>
    <m/>
    <x v="0"/>
    <n v="346"/>
    <n v="0"/>
    <x v="3"/>
  </r>
  <r>
    <n v="109"/>
    <d v="2023-12-08T00:00:00"/>
    <x v="94"/>
    <x v="11"/>
    <x v="1"/>
    <x v="10"/>
    <n v="191"/>
    <m/>
    <x v="1"/>
    <n v="163"/>
    <n v="28"/>
    <x v="3"/>
  </r>
  <r>
    <n v="110"/>
    <d v="2023-12-09T00:00:00"/>
    <x v="95"/>
    <x v="11"/>
    <x v="4"/>
    <x v="13"/>
    <n v="415"/>
    <m/>
    <x v="3"/>
    <n v="421"/>
    <n v="0"/>
    <x v="3"/>
  </r>
  <r>
    <n v="111"/>
    <d v="2023-12-10T00:00:00"/>
    <x v="96"/>
    <x v="11"/>
    <x v="5"/>
    <x v="3"/>
    <n v="366"/>
    <m/>
    <x v="2"/>
    <n v="398"/>
    <n v="0"/>
    <x v="3"/>
  </r>
  <r>
    <n v="112"/>
    <d v="2023-12-11T00:00:00"/>
    <x v="97"/>
    <x v="11"/>
    <x v="0"/>
    <x v="8"/>
    <n v="469"/>
    <m/>
    <x v="0"/>
    <n v="520"/>
    <n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98CE0-400E-4240-A7FB-B14C65B76B1F}" name="Tabela dinâmica9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D45:E58" firstHeaderRow="1" firstDataRow="1" firstDataCol="1"/>
  <pivotFields count="14">
    <pivotField numFmtId="165" showAll="0"/>
    <pivotField numFmtId="14" showAll="0"/>
    <pivotField axis="axisRow"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/>
    <pivotField showAll="0"/>
    <pivotField showAll="0"/>
    <pivotField dataField="1" numFmtId="166" showAll="0"/>
    <pivotField showAll="0"/>
    <pivotField showAll="0"/>
    <pivotField showAll="0"/>
    <pivotField numFmtId="166" showAll="0"/>
    <pivotField showAll="0">
      <items count="5">
        <item x="2"/>
        <item x="0"/>
        <item x="1"/>
        <item x="3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Valor" fld="6" baseField="0" baseItem="0" numFmtId="167"/>
  </dataFields>
  <formats count="1">
    <format dxfId="11">
      <pivotArea outline="0" collapsedLevelsAreSubtotals="1" fieldPosition="0"/>
    </format>
  </format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EE0A10-C507-466A-9EBE-A10159CAD33A}" name="Tabela dinâmica4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G5:H10" firstHeaderRow="1" firstDataRow="1" firstDataCol="1" rowPageCount="1" colPageCount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sortType="ascending">
      <items count="15">
        <item x="1"/>
        <item x="5"/>
        <item x="4"/>
        <item x="0"/>
        <item x="12"/>
        <item x="2"/>
        <item x="7"/>
        <item x="6"/>
        <item x="11"/>
        <item x="9"/>
        <item x="10"/>
        <item x="13"/>
        <item x="3"/>
        <item x="8"/>
        <item t="default"/>
      </items>
    </pivotField>
    <pivotField dataField="1" numFmtId="166" showAll="0"/>
    <pivotField showAll="0"/>
    <pivotField showAll="0">
      <items count="6">
        <item x="3"/>
        <item x="0"/>
        <item x="2"/>
        <item x="1"/>
        <item h="1" x="4"/>
        <item t="default"/>
      </items>
    </pivotField>
    <pivotField showAll="0"/>
    <pivotField numFmtId="166" showAll="0"/>
    <pivotField axis="axisPage" multipleItemSelectionAllowed="1" showAll="0">
      <items count="5">
        <item x="2"/>
        <item h="1" x="0"/>
        <item h="1" x="1"/>
        <item h="1"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5">
    <i>
      <x v="1"/>
    </i>
    <i>
      <x v="4"/>
    </i>
    <i>
      <x v="8"/>
    </i>
    <i>
      <x v="10"/>
    </i>
    <i t="grand">
      <x/>
    </i>
  </rowItems>
  <colItems count="1">
    <i/>
  </colItems>
  <pageFields count="1">
    <pageField fld="11" hier="-1"/>
  </pageFields>
  <dataFields count="1">
    <dataField name="Soma de Valor" fld="6" baseField="0" baseItem="0" numFmtId="167"/>
  </dataFields>
  <formats count="1">
    <format dxfId="10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BD9A1-CF0E-404E-903E-BFE80DA7E84C}" name="Tabela dinâmica2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3:E8" firstHeaderRow="1" firstDataRow="1" firstDataCol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66" showAll="0"/>
    <pivotField showAll="0"/>
    <pivotField axis="axisRow" dataField="1" showAll="0" sortType="descending">
      <items count="6">
        <item x="3"/>
        <item x="0"/>
        <item x="2"/>
        <item x="1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showAll="0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Contagem de Forma Pgto" fld="8" subtotal="count" baseField="0" baseItem="0"/>
  </dataFields>
  <chartFormats count="5">
    <chartFormat chart="3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6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7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8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C069CF-4156-47FD-B50D-C3AE554BFC0B}" name="Tabela dinâmica1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14:E19" firstHeaderRow="1" firstDataRow="1" firstDataCol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numFmtId="166" showAll="0"/>
    <pivotField showAll="0"/>
    <pivotField showAll="0"/>
    <pivotField showAll="0"/>
    <pivotField numFmtId="166" showAll="0"/>
    <pivotField axis="axisRow" dataField="1" showAll="0" sortType="ascending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Status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5FA38-B470-4342-AF03-69747FCF05D7}" name="Tabela dinâmica6" cacheId="672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compact="0" compactData="0" multipleFieldFilters="0" chartFormat="19">
  <location ref="G17:H21" firstHeaderRow="1" firstDataRow="1" firstDataCol="1" rowPageCount="1" colPageCount="1"/>
  <pivotFields count="14"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items count="9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6">
        <item x="2"/>
        <item x="5"/>
        <item x="1"/>
        <item x="4"/>
        <item x="0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4">
    <i>
      <x v="3"/>
    </i>
    <i>
      <x v="2"/>
    </i>
    <i>
      <x v="1"/>
    </i>
    <i t="grand">
      <x/>
    </i>
  </rowItems>
  <colItems count="1">
    <i/>
  </colItems>
  <pageFields count="1">
    <pageField fld="11" item="0" hier="-1"/>
  </pageFields>
  <dataFields count="1">
    <dataField name="Contagem de Categoria" fld="4" subtotal="count" baseField="0" baseItem="0"/>
  </dataFields>
  <chartFormats count="4">
    <chartFormat chart="1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6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6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1FF70-D703-461D-B50C-A10DB755C2D2}" name="Tabela dinâmica7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5:B12" firstHeaderRow="1" firstDataRow="1" firstDataCol="1" rowPageCount="1" colPageCount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7">
        <item x="2"/>
        <item x="5"/>
        <item x="1"/>
        <item x="4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6" showAll="0"/>
    <pivotField showAll="0"/>
    <pivotField showAll="0"/>
    <pivotField showAll="0"/>
    <pivotField numFmtId="166" showAll="0"/>
    <pivotField axis="axisPage" dataField="1" multipleItemSelectionAllowed="1" showAll="0" sortType="descending">
      <items count="5">
        <item x="2"/>
        <item h="1" x="0"/>
        <item h="1"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5"/>
    </i>
    <i>
      <x v="4"/>
    </i>
    <i>
      <x v="2"/>
    </i>
    <i>
      <x v="1"/>
    </i>
    <i>
      <x v="3"/>
    </i>
    <i t="grand">
      <x/>
    </i>
  </rowItems>
  <colItems count="1">
    <i/>
  </colItems>
  <pageFields count="1">
    <pageField fld="11" hier="-1"/>
  </pageFields>
  <dataFields count="1">
    <dataField name="Contagem de Status" fld="11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76F96-7348-4A2C-8229-7967518A6157}" name="Tabela dinâmica3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D25:E36" firstHeaderRow="1" firstDataRow="1" firstDataCol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axis="axisRow" showAll="0" measureFilter="1" sortType="ascending">
      <items count="15">
        <item x="1"/>
        <item x="5"/>
        <item x="4"/>
        <item x="0"/>
        <item x="12"/>
        <item x="2"/>
        <item x="7"/>
        <item x="6"/>
        <item x="11"/>
        <item x="9"/>
        <item x="10"/>
        <item x="13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6" showAll="0"/>
    <pivotField showAll="0"/>
    <pivotField showAll="0">
      <items count="6">
        <item x="3"/>
        <item x="0"/>
        <item x="2"/>
        <item x="1"/>
        <item h="1" x="4"/>
        <item t="default"/>
      </items>
    </pivotField>
    <pivotField showAll="0"/>
    <pivotField numFmtId="166" showAll="0"/>
    <pivotField showAll="0">
      <items count="5">
        <item x="2"/>
        <item x="0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11">
    <i>
      <x v="3"/>
    </i>
    <i>
      <x v="9"/>
    </i>
    <i>
      <x v="7"/>
    </i>
    <i>
      <x v="2"/>
    </i>
    <i>
      <x v="11"/>
    </i>
    <i>
      <x v="12"/>
    </i>
    <i>
      <x v="4"/>
    </i>
    <i>
      <x v="5"/>
    </i>
    <i>
      <x/>
    </i>
    <i>
      <x v="6"/>
    </i>
    <i t="grand">
      <x/>
    </i>
  </rowItems>
  <colItems count="1">
    <i/>
  </colItems>
  <dataFields count="1">
    <dataField name="Soma de Valor" fld="6" baseField="0" baseItem="0" numFmtId="167"/>
  </dataFields>
  <formats count="1">
    <format dxfId="9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D7FBE0-7870-4A9A-B067-AE46D463EDE3}" name="Tabela dinâmica8" cacheId="67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20:B24" firstHeaderRow="1" firstDataRow="1" firstDataCol="1" rowPageCount="1" colPageCount="1"/>
  <pivotFields count="14">
    <pivotField numFmtId="165" showAll="0"/>
    <pivotField numFmtId="14" showAll="0"/>
    <pivotField numFmtId="14" showAll="0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axis="axisRow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2"/>
        <item x="5"/>
        <item x="1"/>
        <item x="4"/>
        <item x="0"/>
        <item x="3"/>
        <item t="default"/>
      </items>
    </pivotField>
    <pivotField showAll="0"/>
    <pivotField numFmtId="166" showAll="0"/>
    <pivotField showAll="0"/>
    <pivotField showAll="0"/>
    <pivotField showAll="0"/>
    <pivotField numFmtId="166" showAll="0"/>
    <pivotField axis="axisPage" dataField="1" multipleItemSelectionAllowed="1" showAll="0" sortType="descending">
      <items count="5">
        <item x="2"/>
        <item h="1" x="0"/>
        <item h="1"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 v="11"/>
    </i>
    <i>
      <x v="8"/>
    </i>
    <i>
      <x v="9"/>
    </i>
    <i t="grand">
      <x/>
    </i>
  </rowItems>
  <colItems count="1">
    <i/>
  </colItems>
  <pageFields count="1">
    <pageField fld="11" hier="-1"/>
  </pageFields>
  <dataFields count="1">
    <dataField name="Contagem de Status" fld="11" subtotal="count" baseField="0" baseItem="0"/>
  </dataFields>
  <chartFormats count="4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ês_Vencimento" xr10:uid="{7DB39882-FC6F-47D8-9971-2D437573EBE3}" sourceName="Mês Vencimento">
  <pivotTables>
    <pivotTable tabId="6" name="Tabela dinâmica1"/>
    <pivotTable tabId="6" name="Tabela dinâmica2"/>
    <pivotTable tabId="6" name="Tabela dinâmica3"/>
    <pivotTable tabId="6" name="Tabela dinâmica4"/>
    <pivotTable tabId="6" name="Tabela dinâmica6"/>
    <pivotTable tabId="6" name="Tabela dinâmica7"/>
    <pivotTable tabId="6" name="Tabela dinâmica8"/>
  </pivotTables>
  <data>
    <tabular pivotCacheId="997586668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 Vencimento" xr10:uid="{DEAE8028-3A42-4F55-AE65-9D63D9AC7DCB}" cache="SegmentaçãodeDados_Mês_Vencimento" caption="Mês Vencimento" columnCount="2" showCaption="0" style="Estilo de Segmentação de Dados 1" rowHeight="432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789F1-23EE-4689-ABA0-9743F1A58536}" name="Tabela1" displayName="Tabela1" ref="D1:F15" totalsRowShown="0">
  <autoFilter ref="D1:F15" xr:uid="{B56789F1-23EE-4689-ABA0-9743F1A58536}"/>
  <tableColumns count="3">
    <tableColumn id="1" xr3:uid="{577A3E95-F1A3-4DFD-9D2E-163BF33554BF}" name="Clientes"/>
    <tableColumn id="2" xr3:uid="{74B15EAF-AAEF-4859-8AC6-86DE5F393367}" name="Telefone" dataDxfId="8"/>
    <tableColumn id="3" xr3:uid="{2A4C034E-94EE-49E7-B387-5CF133441656}" name="E-mai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06A125-0536-4D7C-B8FF-78D99DC709EE}" name="Tabela2" displayName="Tabela2" ref="A1:A7" totalsRowShown="0">
  <autoFilter ref="A1:A7" xr:uid="{A706A125-0536-4D7C-B8FF-78D99DC709EE}"/>
  <tableColumns count="1">
    <tableColumn id="1" xr3:uid="{91DD6DB5-7487-4731-ABB8-419711DFF466}" name="Categorias de Contas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EBB4B0-D360-4358-86AE-CB4F3989D81D}" name="Tabela3" displayName="Tabela3" ref="A1:L113" totalsRowShown="0">
  <autoFilter ref="A1:L113" xr:uid="{B0EBB4B0-D360-4358-86AE-CB4F3989D81D}"/>
  <sortState xmlns:xlrd2="http://schemas.microsoft.com/office/spreadsheetml/2017/richdata2" ref="A2:L113">
    <sortCondition ref="B1:B113"/>
  </sortState>
  <tableColumns count="12">
    <tableColumn id="1" xr3:uid="{D0120C59-F876-4156-A095-63DA94A7E83C}" name="ID" dataDxfId="7">
      <calculatedColumnFormula>ROW()-1</calculatedColumnFormula>
    </tableColumn>
    <tableColumn id="2" xr3:uid="{C6DCFADB-A326-4860-8A3B-7EDFCFC99C97}" name="Data Emissão"/>
    <tableColumn id="3" xr3:uid="{94AAB966-2FBC-425A-AA49-1BF730505AD1}" name="Data Vencimento" dataDxfId="6">
      <calculatedColumnFormula>Tabela3[[#This Row],[Data Emissão]]+10</calculatedColumnFormula>
    </tableColumn>
    <tableColumn id="15" xr3:uid="{344B9731-8953-448C-BAB4-661B1B26A644}" name="Mês Vencimento" dataDxfId="5">
      <calculatedColumnFormula>TEXT(Tabela3[[#This Row],[Data Vencimento]],"mmm")</calculatedColumnFormula>
    </tableColumn>
    <tableColumn id="4" xr3:uid="{1373C943-B32E-4580-BBB2-36124B865E2B}" name="Categoria"/>
    <tableColumn id="6" xr3:uid="{2DF11FD9-16F0-4C35-93EE-87B44BD195E2}" name="Cliente"/>
    <tableColumn id="7" xr3:uid="{F4BC8CA5-EB4B-4926-AE12-DB9D843ED39B}" name="Valor" dataDxfId="4"/>
    <tableColumn id="8" xr3:uid="{C25DCDA0-A92C-4937-A3B1-802E8FEE3A90}" name="Data Pagamento" dataDxfId="3"/>
    <tableColumn id="9" xr3:uid="{DFED3310-41DB-4EA8-87DD-9FA23D9D306F}" name="Forma Pgto"/>
    <tableColumn id="10" xr3:uid="{E38C7E86-525F-4F1C-9DDB-E42A374DBD94}" name="Recebido" dataDxfId="2"/>
    <tableColumn id="11" xr3:uid="{AC7E53C6-BA90-4708-A277-4C7623AD5DD0}" name="Pendente" dataDxfId="1">
      <calculatedColumnFormula>IF(Tabela3[[#This Row],[Recebido]]&lt;Tabela3[[#This Row],[Valor]],Tabela3[[#This Row],[Valor]]-Tabela3[[#This Row],[Recebido]],0)</calculatedColumnFormula>
    </tableColumn>
    <tableColumn id="12" xr3:uid="{FD6DB14C-DE7B-4A60-B6C8-C26497CB23AF}" name="Status" dataDxfId="0">
      <calculatedColumnFormula>IF(Tabela3[[#This Row],[Data Pagamento]]&lt;&gt;"",IF(Tabela3[[#This Row],[Data Pagamento]]&gt;Tabela3[[#This Row],[Data Vencimento]],"Pago com Atraso","Pago no Prazo"),IF(Tabela3[[#This Row],[Data Vencimento]]&lt;TODAY(),"Atrasado","Pendente"))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FACCF-AF23-4218-B986-981BE5545E34}">
  <dimension ref="A1:F15"/>
  <sheetViews>
    <sheetView showGridLines="0" zoomScale="160" zoomScaleNormal="160" workbookViewId="0">
      <selection activeCell="A2" sqref="A2:A7"/>
    </sheetView>
  </sheetViews>
  <sheetFormatPr defaultRowHeight="14.45"/>
  <cols>
    <col min="1" max="1" width="26.140625" bestFit="1" customWidth="1"/>
    <col min="4" max="4" width="17.85546875" customWidth="1"/>
    <col min="5" max="5" width="15.85546875" customWidth="1"/>
    <col min="6" max="6" width="28.140625" customWidth="1"/>
  </cols>
  <sheetData>
    <row r="1" spans="1:6">
      <c r="A1" t="s">
        <v>0</v>
      </c>
      <c r="D1" t="s">
        <v>1</v>
      </c>
      <c r="E1" t="s">
        <v>2</v>
      </c>
      <c r="F1" t="s">
        <v>3</v>
      </c>
    </row>
    <row r="2" spans="1:6">
      <c r="A2" t="s">
        <v>4</v>
      </c>
      <c r="D2" t="s">
        <v>5</v>
      </c>
      <c r="E2" s="1">
        <v>11111111111</v>
      </c>
      <c r="F2" t="s">
        <v>6</v>
      </c>
    </row>
    <row r="3" spans="1:6">
      <c r="A3" t="s">
        <v>7</v>
      </c>
      <c r="D3" t="s">
        <v>8</v>
      </c>
      <c r="E3" s="1">
        <v>22222222222</v>
      </c>
      <c r="F3" t="s">
        <v>9</v>
      </c>
    </row>
    <row r="4" spans="1:6">
      <c r="A4" t="s">
        <v>10</v>
      </c>
      <c r="D4" t="s">
        <v>11</v>
      </c>
      <c r="E4" s="1">
        <v>33333333333</v>
      </c>
      <c r="F4" t="s">
        <v>12</v>
      </c>
    </row>
    <row r="5" spans="1:6">
      <c r="A5" t="s">
        <v>13</v>
      </c>
      <c r="D5" t="s">
        <v>14</v>
      </c>
      <c r="E5" s="1">
        <v>44444444444</v>
      </c>
      <c r="F5" t="s">
        <v>15</v>
      </c>
    </row>
    <row r="6" spans="1:6">
      <c r="A6" t="s">
        <v>16</v>
      </c>
      <c r="D6" t="s">
        <v>17</v>
      </c>
      <c r="E6" s="1">
        <v>55555555555</v>
      </c>
      <c r="F6" t="s">
        <v>18</v>
      </c>
    </row>
    <row r="7" spans="1:6">
      <c r="A7" t="s">
        <v>19</v>
      </c>
      <c r="D7" t="s">
        <v>20</v>
      </c>
      <c r="E7" s="1">
        <v>66666666666</v>
      </c>
      <c r="F7" t="s">
        <v>21</v>
      </c>
    </row>
    <row r="8" spans="1:6">
      <c r="D8" t="s">
        <v>22</v>
      </c>
      <c r="E8" s="1">
        <v>77777777777</v>
      </c>
      <c r="F8" t="s">
        <v>23</v>
      </c>
    </row>
    <row r="9" spans="1:6">
      <c r="D9" t="s">
        <v>24</v>
      </c>
      <c r="E9" s="1">
        <v>88888888888</v>
      </c>
      <c r="F9" t="s">
        <v>25</v>
      </c>
    </row>
    <row r="10" spans="1:6">
      <c r="D10" t="s">
        <v>26</v>
      </c>
      <c r="E10" s="1">
        <v>99999999999</v>
      </c>
      <c r="F10" t="s">
        <v>27</v>
      </c>
    </row>
    <row r="11" spans="1:6">
      <c r="D11" t="s">
        <v>28</v>
      </c>
      <c r="E11" s="1">
        <v>12121212121</v>
      </c>
      <c r="F11" t="s">
        <v>29</v>
      </c>
    </row>
    <row r="12" spans="1:6">
      <c r="D12" t="s">
        <v>30</v>
      </c>
      <c r="E12" s="1">
        <v>23232323232</v>
      </c>
      <c r="F12" t="s">
        <v>31</v>
      </c>
    </row>
    <row r="13" spans="1:6">
      <c r="D13" t="s">
        <v>32</v>
      </c>
      <c r="E13" s="1">
        <v>34343434343</v>
      </c>
      <c r="F13" t="s">
        <v>33</v>
      </c>
    </row>
    <row r="14" spans="1:6">
      <c r="D14" t="s">
        <v>34</v>
      </c>
      <c r="E14" s="1">
        <v>45454545454</v>
      </c>
      <c r="F14" t="s">
        <v>35</v>
      </c>
    </row>
    <row r="15" spans="1:6">
      <c r="D15" t="s">
        <v>36</v>
      </c>
      <c r="E15" s="1">
        <v>56565656565</v>
      </c>
      <c r="F15" t="s">
        <v>37</v>
      </c>
    </row>
  </sheetData>
  <sortState xmlns:xlrd2="http://schemas.microsoft.com/office/spreadsheetml/2017/richdata2" ref="D2:D15">
    <sortCondition ref="D2:D15"/>
  </sortState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showGridLines="0" zoomScale="115" zoomScaleNormal="115" workbookViewId="0">
      <selection activeCell="L2" sqref="L2"/>
    </sheetView>
  </sheetViews>
  <sheetFormatPr defaultRowHeight="14.45"/>
  <cols>
    <col min="1" max="1" width="5" bestFit="1" customWidth="1"/>
    <col min="2" max="2" width="14.28515625" bestFit="1" customWidth="1"/>
    <col min="3" max="3" width="17.85546875" bestFit="1" customWidth="1"/>
    <col min="4" max="4" width="17.5703125" hidden="1" customWidth="1"/>
    <col min="5" max="5" width="26.42578125" bestFit="1" customWidth="1"/>
    <col min="6" max="6" width="22.7109375" customWidth="1"/>
    <col min="7" max="7" width="11.5703125" customWidth="1"/>
    <col min="8" max="8" width="17.28515625" bestFit="1" customWidth="1"/>
    <col min="9" max="9" width="12.85546875" bestFit="1" customWidth="1"/>
    <col min="10" max="10" width="11.28515625" bestFit="1" customWidth="1"/>
    <col min="11" max="12" width="14.7109375" bestFit="1" customWidth="1"/>
    <col min="15" max="15" width="10.85546875" bestFit="1" customWidth="1"/>
  </cols>
  <sheetData>
    <row r="1" spans="1:1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</row>
    <row r="2" spans="1:15">
      <c r="A2" s="4">
        <f t="shared" ref="A2:A33" si="0">ROW()-1</f>
        <v>1</v>
      </c>
      <c r="B2" s="2">
        <v>44933</v>
      </c>
      <c r="C2" s="5">
        <f>Tabela3[[#This Row],[Data Emissão]]+10</f>
        <v>44943</v>
      </c>
      <c r="D2" s="5" t="str">
        <f>TEXT(Tabela3[[#This Row],[Data Vencimento]],"mmm")</f>
        <v>jan</v>
      </c>
      <c r="E2" t="s">
        <v>4</v>
      </c>
      <c r="F2" t="s">
        <v>14</v>
      </c>
      <c r="G2" s="3">
        <v>349</v>
      </c>
      <c r="H2" s="2">
        <v>44946</v>
      </c>
      <c r="I2" t="s">
        <v>50</v>
      </c>
      <c r="J2" s="3">
        <v>366</v>
      </c>
      <c r="K2" s="6">
        <f>IF(Tabela3[[#This Row],[Recebido]]&lt;Tabela3[[#This Row],[Valor]],Tabela3[[#This Row],[Valor]]-Tabela3[[#This Row],[Recebido]],0)</f>
        <v>0</v>
      </c>
      <c r="L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" spans="1:15">
      <c r="A3" s="4">
        <f t="shared" si="0"/>
        <v>2</v>
      </c>
      <c r="B3" s="2">
        <v>44940</v>
      </c>
      <c r="C3" s="5">
        <f>Tabela3[[#This Row],[Data Emissão]]+10</f>
        <v>44950</v>
      </c>
      <c r="D3" s="5" t="str">
        <f>TEXT(Tabela3[[#This Row],[Data Vencimento]],"mmm")</f>
        <v>jan</v>
      </c>
      <c r="E3" t="s">
        <v>4</v>
      </c>
      <c r="F3" t="s">
        <v>5</v>
      </c>
      <c r="G3" s="3">
        <v>342</v>
      </c>
      <c r="H3" s="2">
        <v>44952</v>
      </c>
      <c r="I3" t="s">
        <v>51</v>
      </c>
      <c r="J3" s="3">
        <v>382</v>
      </c>
      <c r="K3" s="6">
        <f>IF(Tabela3[[#This Row],[Recebido]]&lt;Tabela3[[#This Row],[Valor]],Tabela3[[#This Row],[Valor]]-Tabela3[[#This Row],[Recebido]],0)</f>
        <v>0</v>
      </c>
      <c r="L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  <c r="O3" s="2"/>
    </row>
    <row r="4" spans="1:15">
      <c r="A4" s="4">
        <f t="shared" si="0"/>
        <v>3</v>
      </c>
      <c r="B4" s="2">
        <v>44944</v>
      </c>
      <c r="C4" s="5">
        <f>Tabela3[[#This Row],[Data Emissão]]+10</f>
        <v>44954</v>
      </c>
      <c r="D4" s="5" t="str">
        <f>TEXT(Tabela3[[#This Row],[Data Vencimento]],"mmm")</f>
        <v>jan</v>
      </c>
      <c r="E4" t="s">
        <v>19</v>
      </c>
      <c r="F4" t="s">
        <v>20</v>
      </c>
      <c r="G4" s="3">
        <v>221</v>
      </c>
      <c r="H4" s="2">
        <v>44953</v>
      </c>
      <c r="I4" t="s">
        <v>50</v>
      </c>
      <c r="J4" s="3">
        <v>213</v>
      </c>
      <c r="K4" s="6">
        <f>IF(Tabela3[[#This Row],[Recebido]]&lt;Tabela3[[#This Row],[Valor]],Tabela3[[#This Row],[Valor]]-Tabela3[[#This Row],[Recebido]],0)</f>
        <v>8</v>
      </c>
      <c r="L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  <c r="O4" s="2"/>
    </row>
    <row r="5" spans="1:15">
      <c r="A5" s="4">
        <f t="shared" si="0"/>
        <v>4</v>
      </c>
      <c r="B5" s="2">
        <v>44945</v>
      </c>
      <c r="C5" s="5">
        <f>Tabela3[[#This Row],[Data Emissão]]+10</f>
        <v>44955</v>
      </c>
      <c r="D5" s="5" t="str">
        <f>TEXT(Tabela3[[#This Row],[Data Vencimento]],"mmm")</f>
        <v>jan</v>
      </c>
      <c r="E5" t="s">
        <v>16</v>
      </c>
      <c r="F5" t="s">
        <v>34</v>
      </c>
      <c r="G5" s="3">
        <v>110</v>
      </c>
      <c r="H5" s="2">
        <v>44961</v>
      </c>
      <c r="I5" t="s">
        <v>52</v>
      </c>
      <c r="J5" s="3">
        <v>139</v>
      </c>
      <c r="K5" s="6">
        <f>IF(Tabela3[[#This Row],[Recebido]]&lt;Tabela3[[#This Row],[Valor]],Tabela3[[#This Row],[Valor]]-Tabela3[[#This Row],[Recebido]],0)</f>
        <v>0</v>
      </c>
      <c r="L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6" spans="1:15">
      <c r="A6" s="4">
        <f t="shared" si="0"/>
        <v>5</v>
      </c>
      <c r="B6" s="2">
        <v>44946</v>
      </c>
      <c r="C6" s="5">
        <f>Tabela3[[#This Row],[Data Emissão]]+10</f>
        <v>44956</v>
      </c>
      <c r="D6" s="5" t="str">
        <f>TEXT(Tabela3[[#This Row],[Data Vencimento]],"mmm")</f>
        <v>jan</v>
      </c>
      <c r="E6" t="s">
        <v>4</v>
      </c>
      <c r="F6" t="s">
        <v>11</v>
      </c>
      <c r="G6" s="3">
        <v>285</v>
      </c>
      <c r="H6" s="2">
        <v>44954</v>
      </c>
      <c r="I6" t="s">
        <v>52</v>
      </c>
      <c r="J6" s="3">
        <v>313</v>
      </c>
      <c r="K6" s="6">
        <f>IF(Tabela3[[#This Row],[Recebido]]&lt;Tabela3[[#This Row],[Valor]],Tabela3[[#This Row],[Valor]]-Tabela3[[#This Row],[Recebido]],0)</f>
        <v>0</v>
      </c>
      <c r="L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7" spans="1:15">
      <c r="A7" s="4">
        <f t="shared" si="0"/>
        <v>6</v>
      </c>
      <c r="B7" s="2">
        <v>44949</v>
      </c>
      <c r="C7" s="5">
        <f>Tabela3[[#This Row],[Data Emissão]]+10</f>
        <v>44959</v>
      </c>
      <c r="D7" s="5" t="str">
        <f>TEXT(Tabela3[[#This Row],[Data Vencimento]],"mmm")</f>
        <v>fev</v>
      </c>
      <c r="E7" t="s">
        <v>7</v>
      </c>
      <c r="F7" t="s">
        <v>14</v>
      </c>
      <c r="G7" s="3">
        <v>414</v>
      </c>
      <c r="H7" s="2">
        <v>44959</v>
      </c>
      <c r="I7" t="s">
        <v>53</v>
      </c>
      <c r="J7" s="3">
        <v>437</v>
      </c>
      <c r="K7" s="6">
        <f>IF(Tabela3[[#This Row],[Recebido]]&lt;Tabela3[[#This Row],[Valor]],Tabela3[[#This Row],[Valor]]-Tabela3[[#This Row],[Recebido]],0)</f>
        <v>0</v>
      </c>
      <c r="L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8" spans="1:15">
      <c r="A8" s="4">
        <f t="shared" si="0"/>
        <v>7</v>
      </c>
      <c r="B8" s="2">
        <v>44951</v>
      </c>
      <c r="C8" s="5">
        <f>Tabela3[[#This Row],[Data Emissão]]+10</f>
        <v>44961</v>
      </c>
      <c r="D8" s="5" t="str">
        <f>TEXT(Tabela3[[#This Row],[Data Vencimento]],"mmm")</f>
        <v>fev</v>
      </c>
      <c r="E8" t="s">
        <v>7</v>
      </c>
      <c r="F8" t="s">
        <v>8</v>
      </c>
      <c r="G8" s="3">
        <v>153</v>
      </c>
      <c r="H8" s="2">
        <v>44967</v>
      </c>
      <c r="I8" t="s">
        <v>50</v>
      </c>
      <c r="J8" s="3">
        <v>115</v>
      </c>
      <c r="K8" s="6">
        <f>IF(Tabela3[[#This Row],[Recebido]]&lt;Tabela3[[#This Row],[Valor]],Tabela3[[#This Row],[Valor]]-Tabela3[[#This Row],[Recebido]],0)</f>
        <v>38</v>
      </c>
      <c r="L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" spans="1:15">
      <c r="A9" s="4">
        <f t="shared" si="0"/>
        <v>8</v>
      </c>
      <c r="B9" s="2">
        <v>44952</v>
      </c>
      <c r="C9" s="5">
        <f>Tabela3[[#This Row],[Data Emissão]]+10</f>
        <v>44962</v>
      </c>
      <c r="D9" s="5" t="str">
        <f>TEXT(Tabela3[[#This Row],[Data Vencimento]],"mmm")</f>
        <v>fev</v>
      </c>
      <c r="E9" t="s">
        <v>4</v>
      </c>
      <c r="F9" t="s">
        <v>34</v>
      </c>
      <c r="G9" s="3">
        <v>200</v>
      </c>
      <c r="H9" s="2">
        <v>44952</v>
      </c>
      <c r="I9" t="s">
        <v>52</v>
      </c>
      <c r="J9" s="3">
        <v>238</v>
      </c>
      <c r="K9" s="6">
        <f>IF(Tabela3[[#This Row],[Recebido]]&lt;Tabela3[[#This Row],[Valor]],Tabela3[[#This Row],[Valor]]-Tabela3[[#This Row],[Recebido]],0)</f>
        <v>0</v>
      </c>
      <c r="L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" spans="1:15">
      <c r="A10" s="4">
        <f t="shared" si="0"/>
        <v>9</v>
      </c>
      <c r="B10" s="2">
        <v>44953</v>
      </c>
      <c r="C10" s="5">
        <f>Tabela3[[#This Row],[Data Emissão]]+10</f>
        <v>44963</v>
      </c>
      <c r="D10" s="5" t="str">
        <f>TEXT(Tabela3[[#This Row],[Data Vencimento]],"mmm")</f>
        <v>fev</v>
      </c>
      <c r="E10" t="s">
        <v>7</v>
      </c>
      <c r="F10" t="s">
        <v>24</v>
      </c>
      <c r="G10" s="3">
        <v>319</v>
      </c>
      <c r="H10" s="2">
        <v>44969</v>
      </c>
      <c r="I10" t="s">
        <v>50</v>
      </c>
      <c r="J10" s="3">
        <v>302</v>
      </c>
      <c r="K10" s="6">
        <f>IF(Tabela3[[#This Row],[Recebido]]&lt;Tabela3[[#This Row],[Valor]],Tabela3[[#This Row],[Valor]]-Tabela3[[#This Row],[Recebido]],0)</f>
        <v>17</v>
      </c>
      <c r="L1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1" spans="1:15">
      <c r="A11" s="4">
        <f t="shared" si="0"/>
        <v>10</v>
      </c>
      <c r="B11" s="2">
        <v>44954</v>
      </c>
      <c r="C11" s="5">
        <f>Tabela3[[#This Row],[Data Emissão]]+10</f>
        <v>44964</v>
      </c>
      <c r="D11" s="5" t="str">
        <f>TEXT(Tabela3[[#This Row],[Data Vencimento]],"mmm")</f>
        <v>fev</v>
      </c>
      <c r="E11" t="s">
        <v>16</v>
      </c>
      <c r="F11" t="s">
        <v>22</v>
      </c>
      <c r="G11" s="3">
        <v>392</v>
      </c>
      <c r="H11" s="2">
        <v>44963</v>
      </c>
      <c r="I11" t="s">
        <v>51</v>
      </c>
      <c r="J11" s="3">
        <v>423</v>
      </c>
      <c r="K11" s="6">
        <f>IF(Tabela3[[#This Row],[Recebido]]&lt;Tabela3[[#This Row],[Valor]],Tabela3[[#This Row],[Valor]]-Tabela3[[#This Row],[Recebido]],0)</f>
        <v>0</v>
      </c>
      <c r="L1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2" spans="1:15">
      <c r="A12" s="4">
        <f t="shared" si="0"/>
        <v>11</v>
      </c>
      <c r="B12" s="2">
        <v>44956</v>
      </c>
      <c r="C12" s="5">
        <f>Tabela3[[#This Row],[Data Emissão]]+10</f>
        <v>44966</v>
      </c>
      <c r="D12" s="5" t="str">
        <f>TEXT(Tabela3[[#This Row],[Data Vencimento]],"mmm")</f>
        <v>fev</v>
      </c>
      <c r="E12" t="s">
        <v>13</v>
      </c>
      <c r="F12" t="s">
        <v>36</v>
      </c>
      <c r="G12" s="3">
        <v>111</v>
      </c>
      <c r="H12" s="2">
        <v>44972</v>
      </c>
      <c r="I12" t="s">
        <v>53</v>
      </c>
      <c r="J12" s="3">
        <v>144</v>
      </c>
      <c r="K12" s="6">
        <f>IF(Tabela3[[#This Row],[Recebido]]&lt;Tabela3[[#This Row],[Valor]],Tabela3[[#This Row],[Valor]]-Tabela3[[#This Row],[Recebido]],0)</f>
        <v>0</v>
      </c>
      <c r="L1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3" spans="1:15">
      <c r="A13" s="4">
        <f t="shared" si="0"/>
        <v>12</v>
      </c>
      <c r="B13" s="2">
        <v>44959</v>
      </c>
      <c r="C13" s="5">
        <f>Tabela3[[#This Row],[Data Emissão]]+10</f>
        <v>44969</v>
      </c>
      <c r="D13" s="5" t="str">
        <f>TEXT(Tabela3[[#This Row],[Data Vencimento]],"mmm")</f>
        <v>fev</v>
      </c>
      <c r="E13" t="s">
        <v>7</v>
      </c>
      <c r="F13" t="s">
        <v>20</v>
      </c>
      <c r="G13" s="3">
        <v>416</v>
      </c>
      <c r="H13" s="2">
        <v>44969</v>
      </c>
      <c r="I13" t="s">
        <v>50</v>
      </c>
      <c r="J13" s="3">
        <v>395</v>
      </c>
      <c r="K13" s="6">
        <f>IF(Tabela3[[#This Row],[Recebido]]&lt;Tabela3[[#This Row],[Valor]],Tabela3[[#This Row],[Valor]]-Tabela3[[#This Row],[Recebido]],0)</f>
        <v>21</v>
      </c>
      <c r="L1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4" spans="1:15">
      <c r="A14" s="4">
        <f t="shared" si="0"/>
        <v>13</v>
      </c>
      <c r="B14" s="2">
        <v>44963</v>
      </c>
      <c r="C14" s="5">
        <f>Tabela3[[#This Row],[Data Emissão]]+10</f>
        <v>44973</v>
      </c>
      <c r="D14" s="5" t="str">
        <f>TEXT(Tabela3[[#This Row],[Data Vencimento]],"mmm")</f>
        <v>fev</v>
      </c>
      <c r="E14" t="s">
        <v>7</v>
      </c>
      <c r="F14" t="s">
        <v>14</v>
      </c>
      <c r="G14" s="3">
        <v>418</v>
      </c>
      <c r="H14" s="2">
        <v>44974</v>
      </c>
      <c r="I14" t="s">
        <v>50</v>
      </c>
      <c r="J14" s="3">
        <v>444</v>
      </c>
      <c r="K14" s="6">
        <f>IF(Tabela3[[#This Row],[Recebido]]&lt;Tabela3[[#This Row],[Valor]],Tabela3[[#This Row],[Valor]]-Tabela3[[#This Row],[Recebido]],0)</f>
        <v>0</v>
      </c>
      <c r="L1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5" spans="1:15">
      <c r="A15" s="4">
        <f t="shared" si="0"/>
        <v>14</v>
      </c>
      <c r="B15" s="2">
        <v>44966</v>
      </c>
      <c r="C15" s="5">
        <f>Tabela3[[#This Row],[Data Emissão]]+10</f>
        <v>44976</v>
      </c>
      <c r="D15" s="5" t="str">
        <f>TEXT(Tabela3[[#This Row],[Data Vencimento]],"mmm")</f>
        <v>fev</v>
      </c>
      <c r="E15" t="s">
        <v>7</v>
      </c>
      <c r="F15" t="s">
        <v>28</v>
      </c>
      <c r="G15" s="3">
        <v>141</v>
      </c>
      <c r="H15" s="2">
        <v>44976</v>
      </c>
      <c r="I15" t="s">
        <v>50</v>
      </c>
      <c r="J15" s="3">
        <v>153</v>
      </c>
      <c r="K15" s="6">
        <f>IF(Tabela3[[#This Row],[Recebido]]&lt;Tabela3[[#This Row],[Valor]],Tabela3[[#This Row],[Valor]]-Tabela3[[#This Row],[Recebido]],0)</f>
        <v>0</v>
      </c>
      <c r="L1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6" spans="1:15">
      <c r="A16" s="4">
        <f t="shared" si="0"/>
        <v>15</v>
      </c>
      <c r="B16" s="2">
        <v>44975</v>
      </c>
      <c r="C16" s="5">
        <f>Tabela3[[#This Row],[Data Emissão]]+10</f>
        <v>44985</v>
      </c>
      <c r="D16" s="5" t="str">
        <f>TEXT(Tabela3[[#This Row],[Data Vencimento]],"mmm")</f>
        <v>fev</v>
      </c>
      <c r="E16" t="s">
        <v>16</v>
      </c>
      <c r="F16" t="s">
        <v>30</v>
      </c>
      <c r="G16" s="3">
        <v>189</v>
      </c>
      <c r="H16" s="2">
        <v>44991</v>
      </c>
      <c r="I16" t="s">
        <v>52</v>
      </c>
      <c r="J16" s="3">
        <v>205</v>
      </c>
      <c r="K16" s="6">
        <f>IF(Tabela3[[#This Row],[Recebido]]&lt;Tabela3[[#This Row],[Valor]],Tabela3[[#This Row],[Valor]]-Tabela3[[#This Row],[Recebido]],0)</f>
        <v>0</v>
      </c>
      <c r="L1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7" spans="1:12">
      <c r="A17" s="4">
        <f t="shared" si="0"/>
        <v>16</v>
      </c>
      <c r="B17" s="2">
        <v>44981</v>
      </c>
      <c r="C17" s="5">
        <f>Tabela3[[#This Row],[Data Emissão]]+10</f>
        <v>44991</v>
      </c>
      <c r="D17" s="5" t="str">
        <f>TEXT(Tabela3[[#This Row],[Data Vencimento]],"mmm")</f>
        <v>mar</v>
      </c>
      <c r="E17" t="s">
        <v>16</v>
      </c>
      <c r="F17" t="s">
        <v>26</v>
      </c>
      <c r="G17" s="3">
        <v>481</v>
      </c>
      <c r="H17" s="2">
        <v>44985</v>
      </c>
      <c r="I17" t="s">
        <v>51</v>
      </c>
      <c r="J17" s="3">
        <v>470</v>
      </c>
      <c r="K17" s="6">
        <f>IF(Tabela3[[#This Row],[Recebido]]&lt;Tabela3[[#This Row],[Valor]],Tabela3[[#This Row],[Valor]]-Tabela3[[#This Row],[Recebido]],0)</f>
        <v>11</v>
      </c>
      <c r="L1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8" spans="1:12">
      <c r="A18" s="4">
        <f t="shared" si="0"/>
        <v>17</v>
      </c>
      <c r="B18" s="2">
        <v>44981</v>
      </c>
      <c r="C18" s="5">
        <f>Tabela3[[#This Row],[Data Emissão]]+10</f>
        <v>44991</v>
      </c>
      <c r="D18" s="5" t="str">
        <f>TEXT(Tabela3[[#This Row],[Data Vencimento]],"mmm")</f>
        <v>mar</v>
      </c>
      <c r="E18" t="s">
        <v>13</v>
      </c>
      <c r="F18" t="s">
        <v>36</v>
      </c>
      <c r="G18" s="3">
        <v>262</v>
      </c>
      <c r="H18" s="2">
        <v>44983</v>
      </c>
      <c r="I18" t="s">
        <v>50</v>
      </c>
      <c r="J18" s="3">
        <v>252</v>
      </c>
      <c r="K18" s="6">
        <f>IF(Tabela3[[#This Row],[Recebido]]&lt;Tabela3[[#This Row],[Valor]],Tabela3[[#This Row],[Valor]]-Tabela3[[#This Row],[Recebido]],0)</f>
        <v>10</v>
      </c>
      <c r="L1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9" spans="1:12">
      <c r="A19" s="4">
        <f t="shared" si="0"/>
        <v>18</v>
      </c>
      <c r="B19" s="2">
        <v>44982</v>
      </c>
      <c r="C19" s="5">
        <f>Tabela3[[#This Row],[Data Emissão]]+10</f>
        <v>44992</v>
      </c>
      <c r="D19" s="5" t="str">
        <f>TEXT(Tabela3[[#This Row],[Data Vencimento]],"mmm")</f>
        <v>mar</v>
      </c>
      <c r="E19" t="s">
        <v>16</v>
      </c>
      <c r="F19" t="s">
        <v>5</v>
      </c>
      <c r="G19" s="3">
        <v>439</v>
      </c>
      <c r="H19" s="2">
        <v>44982</v>
      </c>
      <c r="I19" t="s">
        <v>52</v>
      </c>
      <c r="J19" s="3">
        <v>472</v>
      </c>
      <c r="K19" s="6">
        <f>IF(Tabela3[[#This Row],[Recebido]]&lt;Tabela3[[#This Row],[Valor]],Tabela3[[#This Row],[Valor]]-Tabela3[[#This Row],[Recebido]],0)</f>
        <v>0</v>
      </c>
      <c r="L1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20" spans="1:12">
      <c r="A20" s="4">
        <f t="shared" si="0"/>
        <v>19</v>
      </c>
      <c r="B20" s="2">
        <v>44988</v>
      </c>
      <c r="C20" s="5">
        <f>Tabela3[[#This Row],[Data Emissão]]+10</f>
        <v>44998</v>
      </c>
      <c r="D20" s="5" t="str">
        <f>TEXT(Tabela3[[#This Row],[Data Vencimento]],"mmm")</f>
        <v>mar</v>
      </c>
      <c r="E20" t="s">
        <v>13</v>
      </c>
      <c r="F20" t="s">
        <v>20</v>
      </c>
      <c r="G20" s="3">
        <v>403</v>
      </c>
      <c r="H20" s="2">
        <v>45000</v>
      </c>
      <c r="I20" t="s">
        <v>53</v>
      </c>
      <c r="J20" s="3">
        <v>391</v>
      </c>
      <c r="K20" s="6">
        <f>IF(Tabela3[[#This Row],[Recebido]]&lt;Tabela3[[#This Row],[Valor]],Tabela3[[#This Row],[Valor]]-Tabela3[[#This Row],[Recebido]],0)</f>
        <v>12</v>
      </c>
      <c r="L2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1" spans="1:12">
      <c r="A21" s="4">
        <f t="shared" si="0"/>
        <v>20</v>
      </c>
      <c r="B21" s="2">
        <v>44993</v>
      </c>
      <c r="C21" s="5">
        <f>Tabela3[[#This Row],[Data Emissão]]+10</f>
        <v>45003</v>
      </c>
      <c r="D21" s="5" t="str">
        <f>TEXT(Tabela3[[#This Row],[Data Vencimento]],"mmm")</f>
        <v>mar</v>
      </c>
      <c r="E21" t="s">
        <v>10</v>
      </c>
      <c r="F21" t="s">
        <v>11</v>
      </c>
      <c r="G21" s="3">
        <v>319</v>
      </c>
      <c r="H21" s="2">
        <v>44996</v>
      </c>
      <c r="I21" t="s">
        <v>52</v>
      </c>
      <c r="J21" s="3">
        <v>295</v>
      </c>
      <c r="K21" s="6">
        <f>IF(Tabela3[[#This Row],[Recebido]]&lt;Tabela3[[#This Row],[Valor]],Tabela3[[#This Row],[Valor]]-Tabela3[[#This Row],[Recebido]],0)</f>
        <v>24</v>
      </c>
      <c r="L2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22" spans="1:12">
      <c r="A22" s="4">
        <f t="shared" si="0"/>
        <v>21</v>
      </c>
      <c r="B22" s="2">
        <v>44993</v>
      </c>
      <c r="C22" s="5">
        <f>Tabela3[[#This Row],[Data Emissão]]+10</f>
        <v>45003</v>
      </c>
      <c r="D22" s="5" t="str">
        <f>TEXT(Tabela3[[#This Row],[Data Vencimento]],"mmm")</f>
        <v>mar</v>
      </c>
      <c r="E22" t="s">
        <v>19</v>
      </c>
      <c r="F22" t="s">
        <v>14</v>
      </c>
      <c r="G22" s="3">
        <v>100</v>
      </c>
      <c r="H22" s="2">
        <v>45004</v>
      </c>
      <c r="I22" t="s">
        <v>53</v>
      </c>
      <c r="J22" s="3">
        <v>69</v>
      </c>
      <c r="K22" s="6">
        <f>IF(Tabela3[[#This Row],[Recebido]]&lt;Tabela3[[#This Row],[Valor]],Tabela3[[#This Row],[Valor]]-Tabela3[[#This Row],[Recebido]],0)</f>
        <v>31</v>
      </c>
      <c r="L2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3" spans="1:12">
      <c r="A23" s="4">
        <f t="shared" si="0"/>
        <v>22</v>
      </c>
      <c r="B23" s="2">
        <v>45006</v>
      </c>
      <c r="C23" s="5">
        <f>Tabela3[[#This Row],[Data Emissão]]+10</f>
        <v>45016</v>
      </c>
      <c r="D23" s="5" t="str">
        <f>TEXT(Tabela3[[#This Row],[Data Vencimento]],"mmm")</f>
        <v>mar</v>
      </c>
      <c r="E23" t="s">
        <v>13</v>
      </c>
      <c r="F23" t="s">
        <v>28</v>
      </c>
      <c r="G23" s="3">
        <v>297</v>
      </c>
      <c r="H23" s="2">
        <v>45019</v>
      </c>
      <c r="I23" t="s">
        <v>53</v>
      </c>
      <c r="J23" s="3">
        <v>323</v>
      </c>
      <c r="K23" s="6">
        <f>IF(Tabela3[[#This Row],[Recebido]]&lt;Tabela3[[#This Row],[Valor]],Tabela3[[#This Row],[Valor]]-Tabela3[[#This Row],[Recebido]],0)</f>
        <v>0</v>
      </c>
      <c r="L2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4" spans="1:12">
      <c r="A24" s="4">
        <f t="shared" si="0"/>
        <v>23</v>
      </c>
      <c r="B24" s="2">
        <v>45006</v>
      </c>
      <c r="C24" s="5">
        <f>Tabela3[[#This Row],[Data Emissão]]+10</f>
        <v>45016</v>
      </c>
      <c r="D24" s="5" t="str">
        <f>TEXT(Tabela3[[#This Row],[Data Vencimento]],"mmm")</f>
        <v>mar</v>
      </c>
      <c r="E24" t="s">
        <v>4</v>
      </c>
      <c r="F24" t="s">
        <v>17</v>
      </c>
      <c r="G24" s="3">
        <v>137</v>
      </c>
      <c r="H24" s="2">
        <v>45019</v>
      </c>
      <c r="I24" t="s">
        <v>52</v>
      </c>
      <c r="J24" s="3">
        <v>160</v>
      </c>
      <c r="K24" s="6">
        <f>IF(Tabela3[[#This Row],[Recebido]]&lt;Tabela3[[#This Row],[Valor]],Tabela3[[#This Row],[Valor]]-Tabela3[[#This Row],[Recebido]],0)</f>
        <v>0</v>
      </c>
      <c r="L2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5" spans="1:12">
      <c r="A25" s="4">
        <f t="shared" si="0"/>
        <v>24</v>
      </c>
      <c r="B25" s="2">
        <v>45007</v>
      </c>
      <c r="C25" s="5">
        <f>Tabela3[[#This Row],[Data Emissão]]+10</f>
        <v>45017</v>
      </c>
      <c r="D25" s="5" t="str">
        <f>TEXT(Tabela3[[#This Row],[Data Vencimento]],"mmm")</f>
        <v>abr</v>
      </c>
      <c r="E25" t="s">
        <v>10</v>
      </c>
      <c r="F25" t="s">
        <v>34</v>
      </c>
      <c r="G25" s="3">
        <v>421</v>
      </c>
      <c r="H25" s="2">
        <v>45018</v>
      </c>
      <c r="I25" t="s">
        <v>52</v>
      </c>
      <c r="J25" s="3">
        <v>460</v>
      </c>
      <c r="K25" s="6">
        <f>IF(Tabela3[[#This Row],[Recebido]]&lt;Tabela3[[#This Row],[Valor]],Tabela3[[#This Row],[Valor]]-Tabela3[[#This Row],[Recebido]],0)</f>
        <v>0</v>
      </c>
      <c r="L2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6" spans="1:12">
      <c r="A26" s="4">
        <f t="shared" si="0"/>
        <v>25</v>
      </c>
      <c r="B26" s="2">
        <v>45010</v>
      </c>
      <c r="C26" s="5">
        <f>Tabela3[[#This Row],[Data Emissão]]+10</f>
        <v>45020</v>
      </c>
      <c r="D26" s="5" t="str">
        <f>TEXT(Tabela3[[#This Row],[Data Vencimento]],"mmm")</f>
        <v>abr</v>
      </c>
      <c r="E26" t="s">
        <v>4</v>
      </c>
      <c r="F26" t="s">
        <v>11</v>
      </c>
      <c r="G26" s="3">
        <v>134</v>
      </c>
      <c r="H26" s="2">
        <v>45023</v>
      </c>
      <c r="I26" t="s">
        <v>51</v>
      </c>
      <c r="J26" s="3">
        <v>144</v>
      </c>
      <c r="K26" s="6">
        <f>IF(Tabela3[[#This Row],[Recebido]]&lt;Tabela3[[#This Row],[Valor]],Tabela3[[#This Row],[Valor]]-Tabela3[[#This Row],[Recebido]],0)</f>
        <v>0</v>
      </c>
      <c r="L2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7" spans="1:12">
      <c r="A27" s="4">
        <f t="shared" si="0"/>
        <v>26</v>
      </c>
      <c r="B27" s="2">
        <v>45012</v>
      </c>
      <c r="C27" s="5">
        <f>Tabela3[[#This Row],[Data Emissão]]+10</f>
        <v>45022</v>
      </c>
      <c r="D27" s="5" t="str">
        <f>TEXT(Tabela3[[#This Row],[Data Vencimento]],"mmm")</f>
        <v>abr</v>
      </c>
      <c r="E27" t="s">
        <v>19</v>
      </c>
      <c r="F27" t="s">
        <v>28</v>
      </c>
      <c r="G27" s="3">
        <v>499</v>
      </c>
      <c r="H27" s="2">
        <v>45019</v>
      </c>
      <c r="I27" t="s">
        <v>50</v>
      </c>
      <c r="J27" s="3">
        <v>468</v>
      </c>
      <c r="K27" s="6">
        <f>IF(Tabela3[[#This Row],[Recebido]]&lt;Tabela3[[#This Row],[Valor]],Tabela3[[#This Row],[Valor]]-Tabela3[[#This Row],[Recebido]],0)</f>
        <v>31</v>
      </c>
      <c r="L2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28" spans="1:12">
      <c r="A28" s="4">
        <f t="shared" si="0"/>
        <v>27</v>
      </c>
      <c r="B28" s="2">
        <v>45015</v>
      </c>
      <c r="C28" s="5">
        <f>Tabela3[[#This Row],[Data Emissão]]+10</f>
        <v>45025</v>
      </c>
      <c r="D28" s="5" t="str">
        <f>TEXT(Tabela3[[#This Row],[Data Vencimento]],"mmm")</f>
        <v>abr</v>
      </c>
      <c r="E28" t="s">
        <v>10</v>
      </c>
      <c r="F28" t="s">
        <v>11</v>
      </c>
      <c r="G28" s="3">
        <v>172</v>
      </c>
      <c r="H28" s="2">
        <v>45028</v>
      </c>
      <c r="I28" t="s">
        <v>51</v>
      </c>
      <c r="J28" s="3">
        <v>207</v>
      </c>
      <c r="K28" s="6">
        <f>IF(Tabela3[[#This Row],[Recebido]]&lt;Tabela3[[#This Row],[Valor]],Tabela3[[#This Row],[Valor]]-Tabela3[[#This Row],[Recebido]],0)</f>
        <v>0</v>
      </c>
      <c r="L2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29" spans="1:12">
      <c r="A29" s="4">
        <f t="shared" si="0"/>
        <v>28</v>
      </c>
      <c r="B29" s="2">
        <v>45021</v>
      </c>
      <c r="C29" s="5">
        <f>Tabela3[[#This Row],[Data Emissão]]+10</f>
        <v>45031</v>
      </c>
      <c r="D29" s="5" t="str">
        <f>TEXT(Tabela3[[#This Row],[Data Vencimento]],"mmm")</f>
        <v>abr</v>
      </c>
      <c r="E29" t="s">
        <v>16</v>
      </c>
      <c r="F29" t="s">
        <v>22</v>
      </c>
      <c r="G29" s="3">
        <v>198</v>
      </c>
      <c r="H29" s="2">
        <v>45032</v>
      </c>
      <c r="I29" t="s">
        <v>52</v>
      </c>
      <c r="J29" s="3">
        <v>193</v>
      </c>
      <c r="K29" s="6">
        <f>IF(Tabela3[[#This Row],[Recebido]]&lt;Tabela3[[#This Row],[Valor]],Tabela3[[#This Row],[Valor]]-Tabela3[[#This Row],[Recebido]],0)</f>
        <v>5</v>
      </c>
      <c r="L2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0" spans="1:12">
      <c r="A30" s="4">
        <f t="shared" si="0"/>
        <v>29</v>
      </c>
      <c r="B30" s="2">
        <v>45023</v>
      </c>
      <c r="C30" s="5">
        <f>Tabela3[[#This Row],[Data Emissão]]+10</f>
        <v>45033</v>
      </c>
      <c r="D30" s="5" t="str">
        <f>TEXT(Tabela3[[#This Row],[Data Vencimento]],"mmm")</f>
        <v>abr</v>
      </c>
      <c r="E30" t="s">
        <v>19</v>
      </c>
      <c r="F30" t="s">
        <v>28</v>
      </c>
      <c r="G30" s="3">
        <v>334</v>
      </c>
      <c r="H30" s="2">
        <v>45028</v>
      </c>
      <c r="I30" t="s">
        <v>53</v>
      </c>
      <c r="J30" s="3">
        <v>343</v>
      </c>
      <c r="K30" s="6">
        <f>IF(Tabela3[[#This Row],[Recebido]]&lt;Tabela3[[#This Row],[Valor]],Tabela3[[#This Row],[Valor]]-Tabela3[[#This Row],[Recebido]],0)</f>
        <v>0</v>
      </c>
      <c r="L3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31" spans="1:12">
      <c r="A31" s="4">
        <f t="shared" si="0"/>
        <v>30</v>
      </c>
      <c r="B31" s="2">
        <v>45033</v>
      </c>
      <c r="C31" s="5">
        <f>Tabela3[[#This Row],[Data Emissão]]+10</f>
        <v>45043</v>
      </c>
      <c r="D31" s="5" t="str">
        <f>TEXT(Tabela3[[#This Row],[Data Vencimento]],"mmm")</f>
        <v>abr</v>
      </c>
      <c r="E31" t="s">
        <v>13</v>
      </c>
      <c r="F31" t="s">
        <v>32</v>
      </c>
      <c r="G31" s="3">
        <v>277</v>
      </c>
      <c r="H31" s="2">
        <v>45044</v>
      </c>
      <c r="I31" t="s">
        <v>50</v>
      </c>
      <c r="J31" s="3">
        <v>266</v>
      </c>
      <c r="K31" s="6">
        <f>IF(Tabela3[[#This Row],[Recebido]]&lt;Tabela3[[#This Row],[Valor]],Tabela3[[#This Row],[Valor]]-Tabela3[[#This Row],[Recebido]],0)</f>
        <v>11</v>
      </c>
      <c r="L3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2" spans="1:12">
      <c r="A32" s="4">
        <f t="shared" si="0"/>
        <v>31</v>
      </c>
      <c r="B32" s="2">
        <v>45033</v>
      </c>
      <c r="C32" s="5">
        <f>Tabela3[[#This Row],[Data Emissão]]+10</f>
        <v>45043</v>
      </c>
      <c r="D32" s="5" t="str">
        <f>TEXT(Tabela3[[#This Row],[Data Vencimento]],"mmm")</f>
        <v>abr</v>
      </c>
      <c r="E32" t="s">
        <v>19</v>
      </c>
      <c r="F32" t="s">
        <v>14</v>
      </c>
      <c r="G32" s="3">
        <v>297</v>
      </c>
      <c r="H32" s="2">
        <v>45033</v>
      </c>
      <c r="I32" t="s">
        <v>50</v>
      </c>
      <c r="J32" s="3">
        <v>260</v>
      </c>
      <c r="K32" s="6">
        <f>IF(Tabela3[[#This Row],[Recebido]]&lt;Tabela3[[#This Row],[Valor]],Tabela3[[#This Row],[Valor]]-Tabela3[[#This Row],[Recebido]],0)</f>
        <v>37</v>
      </c>
      <c r="L3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33" spans="1:12">
      <c r="A33" s="4">
        <f t="shared" si="0"/>
        <v>32</v>
      </c>
      <c r="B33" s="2">
        <v>45033</v>
      </c>
      <c r="C33" s="5">
        <f>Tabela3[[#This Row],[Data Emissão]]+10</f>
        <v>45043</v>
      </c>
      <c r="D33" s="5" t="str">
        <f>TEXT(Tabela3[[#This Row],[Data Vencimento]],"mmm")</f>
        <v>abr</v>
      </c>
      <c r="E33" t="s">
        <v>19</v>
      </c>
      <c r="F33" t="s">
        <v>24</v>
      </c>
      <c r="G33" s="3">
        <v>263</v>
      </c>
      <c r="H33" s="2">
        <v>45037</v>
      </c>
      <c r="I33" t="s">
        <v>53</v>
      </c>
      <c r="J33" s="3">
        <v>264</v>
      </c>
      <c r="K33" s="6">
        <f>IF(Tabela3[[#This Row],[Recebido]]&lt;Tabela3[[#This Row],[Valor]],Tabela3[[#This Row],[Valor]]-Tabela3[[#This Row],[Recebido]],0)</f>
        <v>0</v>
      </c>
      <c r="L3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34" spans="1:12">
      <c r="A34" s="4">
        <f t="shared" ref="A34:A65" si="1">ROW()-1</f>
        <v>33</v>
      </c>
      <c r="B34" s="2">
        <v>45040</v>
      </c>
      <c r="C34" s="5">
        <f>Tabela3[[#This Row],[Data Emissão]]+10</f>
        <v>45050</v>
      </c>
      <c r="D34" s="5" t="str">
        <f>TEXT(Tabela3[[#This Row],[Data Vencimento]],"mmm")</f>
        <v>mai</v>
      </c>
      <c r="E34" t="s">
        <v>16</v>
      </c>
      <c r="F34" t="s">
        <v>34</v>
      </c>
      <c r="G34" s="3">
        <v>284</v>
      </c>
      <c r="H34" s="2">
        <v>45055</v>
      </c>
      <c r="I34" t="s">
        <v>51</v>
      </c>
      <c r="J34" s="3">
        <v>273</v>
      </c>
      <c r="K34" s="6">
        <f>IF(Tabela3[[#This Row],[Recebido]]&lt;Tabela3[[#This Row],[Valor]],Tabela3[[#This Row],[Valor]]-Tabela3[[#This Row],[Recebido]],0)</f>
        <v>11</v>
      </c>
      <c r="L3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5" spans="1:12">
      <c r="A35" s="4">
        <f t="shared" si="1"/>
        <v>34</v>
      </c>
      <c r="B35" s="2">
        <v>45048</v>
      </c>
      <c r="C35" s="5">
        <f>Tabela3[[#This Row],[Data Emissão]]+10</f>
        <v>45058</v>
      </c>
      <c r="D35" s="5" t="str">
        <f>TEXT(Tabela3[[#This Row],[Data Vencimento]],"mmm")</f>
        <v>mai</v>
      </c>
      <c r="E35" t="s">
        <v>4</v>
      </c>
      <c r="F35" t="s">
        <v>5</v>
      </c>
      <c r="G35" s="3">
        <v>155</v>
      </c>
      <c r="H35" s="2">
        <v>45053</v>
      </c>
      <c r="I35" t="s">
        <v>52</v>
      </c>
      <c r="J35" s="3">
        <v>164</v>
      </c>
      <c r="K35" s="6">
        <f>IF(Tabela3[[#This Row],[Recebido]]&lt;Tabela3[[#This Row],[Valor]],Tabela3[[#This Row],[Valor]]-Tabela3[[#This Row],[Recebido]],0)</f>
        <v>0</v>
      </c>
      <c r="L3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36" spans="1:12">
      <c r="A36" s="4">
        <f t="shared" si="1"/>
        <v>35</v>
      </c>
      <c r="B36" s="2">
        <v>45051</v>
      </c>
      <c r="C36" s="5">
        <f>Tabela3[[#This Row],[Data Emissão]]+10</f>
        <v>45061</v>
      </c>
      <c r="D36" s="5" t="str">
        <f>TEXT(Tabela3[[#This Row],[Data Vencimento]],"mmm")</f>
        <v>mai</v>
      </c>
      <c r="E36" t="s">
        <v>19</v>
      </c>
      <c r="F36" t="s">
        <v>32</v>
      </c>
      <c r="G36" s="3">
        <v>408</v>
      </c>
      <c r="H36" s="2">
        <v>45062</v>
      </c>
      <c r="I36" t="s">
        <v>50</v>
      </c>
      <c r="J36" s="3">
        <v>447</v>
      </c>
      <c r="K36" s="6">
        <f>IF(Tabela3[[#This Row],[Recebido]]&lt;Tabela3[[#This Row],[Valor]],Tabela3[[#This Row],[Valor]]-Tabela3[[#This Row],[Recebido]],0)</f>
        <v>0</v>
      </c>
      <c r="L3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7" spans="1:12">
      <c r="A37" s="4">
        <f t="shared" si="1"/>
        <v>36</v>
      </c>
      <c r="B37" s="2">
        <v>45052</v>
      </c>
      <c r="C37" s="5">
        <f>Tabela3[[#This Row],[Data Emissão]]+10</f>
        <v>45062</v>
      </c>
      <c r="D37" s="5" t="str">
        <f>TEXT(Tabela3[[#This Row],[Data Vencimento]],"mmm")</f>
        <v>mai</v>
      </c>
      <c r="E37" t="s">
        <v>7</v>
      </c>
      <c r="F37" t="s">
        <v>32</v>
      </c>
      <c r="G37" s="3">
        <v>277</v>
      </c>
      <c r="H37" s="2">
        <v>45066</v>
      </c>
      <c r="I37" t="s">
        <v>50</v>
      </c>
      <c r="J37" s="3">
        <v>309</v>
      </c>
      <c r="K37" s="6">
        <f>IF(Tabela3[[#This Row],[Recebido]]&lt;Tabela3[[#This Row],[Valor]],Tabela3[[#This Row],[Valor]]-Tabela3[[#This Row],[Recebido]],0)</f>
        <v>0</v>
      </c>
      <c r="L3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38" spans="1:12">
      <c r="A38" s="4">
        <f t="shared" si="1"/>
        <v>37</v>
      </c>
      <c r="B38" s="2">
        <v>45053</v>
      </c>
      <c r="C38" s="5">
        <f>Tabela3[[#This Row],[Data Emissão]]+10</f>
        <v>45063</v>
      </c>
      <c r="D38" s="5" t="str">
        <f>TEXT(Tabela3[[#This Row],[Data Vencimento]],"mmm")</f>
        <v>mai</v>
      </c>
      <c r="E38" t="s">
        <v>19</v>
      </c>
      <c r="F38" t="s">
        <v>24</v>
      </c>
      <c r="G38" s="3">
        <v>236</v>
      </c>
      <c r="H38" s="2">
        <v>45054</v>
      </c>
      <c r="I38" t="s">
        <v>50</v>
      </c>
      <c r="J38" s="3">
        <v>203</v>
      </c>
      <c r="K38" s="6">
        <f>IF(Tabela3[[#This Row],[Recebido]]&lt;Tabela3[[#This Row],[Valor]],Tabela3[[#This Row],[Valor]]-Tabela3[[#This Row],[Recebido]],0)</f>
        <v>33</v>
      </c>
      <c r="L3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39" spans="1:12">
      <c r="A39" s="4">
        <f t="shared" si="1"/>
        <v>38</v>
      </c>
      <c r="B39" s="2">
        <v>45054</v>
      </c>
      <c r="C39" s="5">
        <f>Tabela3[[#This Row],[Data Emissão]]+10</f>
        <v>45064</v>
      </c>
      <c r="D39" s="5" t="str">
        <f>TEXT(Tabela3[[#This Row],[Data Vencimento]],"mmm")</f>
        <v>mai</v>
      </c>
      <c r="E39" t="s">
        <v>13</v>
      </c>
      <c r="F39" t="s">
        <v>8</v>
      </c>
      <c r="G39" s="3">
        <v>266</v>
      </c>
      <c r="H39" s="2">
        <v>45068</v>
      </c>
      <c r="I39" t="s">
        <v>53</v>
      </c>
      <c r="J39" s="3">
        <v>264</v>
      </c>
      <c r="K39" s="6">
        <f>IF(Tabela3[[#This Row],[Recebido]]&lt;Tabela3[[#This Row],[Valor]],Tabela3[[#This Row],[Valor]]-Tabela3[[#This Row],[Recebido]],0)</f>
        <v>2</v>
      </c>
      <c r="L3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40" spans="1:12">
      <c r="A40" s="4">
        <f t="shared" si="1"/>
        <v>39</v>
      </c>
      <c r="B40" s="2">
        <v>45059</v>
      </c>
      <c r="C40" s="5">
        <f>Tabela3[[#This Row],[Data Emissão]]+10</f>
        <v>45069</v>
      </c>
      <c r="D40" s="5" t="str">
        <f>TEXT(Tabela3[[#This Row],[Data Vencimento]],"mmm")</f>
        <v>mai</v>
      </c>
      <c r="E40" t="s">
        <v>10</v>
      </c>
      <c r="F40" t="s">
        <v>22</v>
      </c>
      <c r="G40" s="3">
        <v>338</v>
      </c>
      <c r="H40" s="2">
        <v>45068</v>
      </c>
      <c r="I40" t="s">
        <v>52</v>
      </c>
      <c r="J40" s="3">
        <v>362</v>
      </c>
      <c r="K40" s="6">
        <f>IF(Tabela3[[#This Row],[Recebido]]&lt;Tabela3[[#This Row],[Valor]],Tabela3[[#This Row],[Valor]]-Tabela3[[#This Row],[Recebido]],0)</f>
        <v>0</v>
      </c>
      <c r="L4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41" spans="1:12">
      <c r="A41" s="4">
        <f t="shared" si="1"/>
        <v>40</v>
      </c>
      <c r="B41" s="2">
        <v>45059</v>
      </c>
      <c r="C41" s="5">
        <f>Tabela3[[#This Row],[Data Emissão]]+10</f>
        <v>45069</v>
      </c>
      <c r="D41" s="5" t="str">
        <f>TEXT(Tabela3[[#This Row],[Data Vencimento]],"mmm")</f>
        <v>mai</v>
      </c>
      <c r="E41" t="s">
        <v>7</v>
      </c>
      <c r="F41" t="s">
        <v>32</v>
      </c>
      <c r="G41" s="3">
        <v>107</v>
      </c>
      <c r="H41" s="2">
        <v>45071</v>
      </c>
      <c r="I41" t="s">
        <v>53</v>
      </c>
      <c r="J41" s="3">
        <v>141</v>
      </c>
      <c r="K41" s="6">
        <f>IF(Tabela3[[#This Row],[Recebido]]&lt;Tabela3[[#This Row],[Valor]],Tabela3[[#This Row],[Valor]]-Tabela3[[#This Row],[Recebido]],0)</f>
        <v>0</v>
      </c>
      <c r="L4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42" spans="1:12">
      <c r="A42" s="4">
        <f t="shared" si="1"/>
        <v>41</v>
      </c>
      <c r="B42" s="2">
        <v>45061</v>
      </c>
      <c r="C42" s="5">
        <f>Tabela3[[#This Row],[Data Emissão]]+10</f>
        <v>45071</v>
      </c>
      <c r="D42" s="5" t="str">
        <f>TEXT(Tabela3[[#This Row],[Data Vencimento]],"mmm")</f>
        <v>mai</v>
      </c>
      <c r="E42" t="s">
        <v>10</v>
      </c>
      <c r="F42" t="s">
        <v>17</v>
      </c>
      <c r="G42" s="3">
        <v>377</v>
      </c>
      <c r="H42" s="2">
        <v>45076</v>
      </c>
      <c r="I42" t="s">
        <v>51</v>
      </c>
      <c r="J42" s="3">
        <v>343</v>
      </c>
      <c r="K42" s="6">
        <f>IF(Tabela3[[#This Row],[Recebido]]&lt;Tabela3[[#This Row],[Valor]],Tabela3[[#This Row],[Valor]]-Tabela3[[#This Row],[Recebido]],0)</f>
        <v>34</v>
      </c>
      <c r="L4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43" spans="1:12">
      <c r="A43" s="4">
        <f t="shared" si="1"/>
        <v>42</v>
      </c>
      <c r="B43" s="2">
        <v>45068</v>
      </c>
      <c r="C43" s="5">
        <f>Tabela3[[#This Row],[Data Emissão]]+10</f>
        <v>45078</v>
      </c>
      <c r="D43" s="5" t="str">
        <f>TEXT(Tabela3[[#This Row],[Data Vencimento]],"mmm")</f>
        <v>jun</v>
      </c>
      <c r="E43" t="s">
        <v>10</v>
      </c>
      <c r="F43" t="s">
        <v>30</v>
      </c>
      <c r="G43" s="3">
        <v>109</v>
      </c>
      <c r="H43" s="2">
        <v>45069</v>
      </c>
      <c r="I43" t="s">
        <v>51</v>
      </c>
      <c r="J43" s="3">
        <v>133</v>
      </c>
      <c r="K43" s="6">
        <f>IF(Tabela3[[#This Row],[Recebido]]&lt;Tabela3[[#This Row],[Valor]],Tabela3[[#This Row],[Valor]]-Tabela3[[#This Row],[Recebido]],0)</f>
        <v>0</v>
      </c>
      <c r="L4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44" spans="1:12">
      <c r="A44" s="4">
        <f t="shared" si="1"/>
        <v>43</v>
      </c>
      <c r="B44" s="2">
        <v>45072</v>
      </c>
      <c r="C44" s="5">
        <f>Tabela3[[#This Row],[Data Emissão]]+10</f>
        <v>45082</v>
      </c>
      <c r="D44" s="5" t="str">
        <f>TEXT(Tabela3[[#This Row],[Data Vencimento]],"mmm")</f>
        <v>jun</v>
      </c>
      <c r="E44" t="s">
        <v>13</v>
      </c>
      <c r="F44" t="s">
        <v>14</v>
      </c>
      <c r="G44" s="3">
        <v>175</v>
      </c>
      <c r="H44" s="2">
        <v>45075</v>
      </c>
      <c r="I44" t="s">
        <v>53</v>
      </c>
      <c r="J44" s="3">
        <v>143</v>
      </c>
      <c r="K44" s="6">
        <f>IF(Tabela3[[#This Row],[Recebido]]&lt;Tabela3[[#This Row],[Valor]],Tabela3[[#This Row],[Valor]]-Tabela3[[#This Row],[Recebido]],0)</f>
        <v>32</v>
      </c>
      <c r="L4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45" spans="1:12">
      <c r="A45" s="4">
        <f t="shared" si="1"/>
        <v>44</v>
      </c>
      <c r="B45" s="2">
        <v>45074</v>
      </c>
      <c r="C45" s="5">
        <f>Tabela3[[#This Row],[Data Emissão]]+10</f>
        <v>45084</v>
      </c>
      <c r="D45" s="5" t="str">
        <f>TEXT(Tabela3[[#This Row],[Data Vencimento]],"mmm")</f>
        <v>jun</v>
      </c>
      <c r="E45" t="s">
        <v>7</v>
      </c>
      <c r="F45" t="s">
        <v>20</v>
      </c>
      <c r="G45" s="3">
        <v>438</v>
      </c>
      <c r="H45" s="2">
        <v>45078</v>
      </c>
      <c r="I45" t="s">
        <v>53</v>
      </c>
      <c r="J45" s="3">
        <v>476</v>
      </c>
      <c r="K45" s="6">
        <f>IF(Tabela3[[#This Row],[Recebido]]&lt;Tabela3[[#This Row],[Valor]],Tabela3[[#This Row],[Valor]]-Tabela3[[#This Row],[Recebido]],0)</f>
        <v>0</v>
      </c>
      <c r="L4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46" spans="1:12">
      <c r="A46" s="4">
        <f t="shared" si="1"/>
        <v>45</v>
      </c>
      <c r="B46" s="2">
        <v>45078</v>
      </c>
      <c r="C46" s="5">
        <f>Tabela3[[#This Row],[Data Emissão]]+10</f>
        <v>45088</v>
      </c>
      <c r="D46" s="5" t="str">
        <f>TEXT(Tabela3[[#This Row],[Data Vencimento]],"mmm")</f>
        <v>jun</v>
      </c>
      <c r="E46" t="s">
        <v>13</v>
      </c>
      <c r="F46" t="s">
        <v>20</v>
      </c>
      <c r="G46" s="3">
        <v>168</v>
      </c>
      <c r="H46" s="2">
        <v>45089</v>
      </c>
      <c r="I46" t="s">
        <v>50</v>
      </c>
      <c r="J46" s="3">
        <v>184</v>
      </c>
      <c r="K46" s="6">
        <f>IF(Tabela3[[#This Row],[Recebido]]&lt;Tabela3[[#This Row],[Valor]],Tabela3[[#This Row],[Valor]]-Tabela3[[#This Row],[Recebido]],0)</f>
        <v>0</v>
      </c>
      <c r="L4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47" spans="1:12">
      <c r="A47" s="4">
        <f t="shared" si="1"/>
        <v>46</v>
      </c>
      <c r="B47" s="2">
        <v>45079</v>
      </c>
      <c r="C47" s="5">
        <f>Tabela3[[#This Row],[Data Emissão]]+10</f>
        <v>45089</v>
      </c>
      <c r="D47" s="5" t="str">
        <f>TEXT(Tabela3[[#This Row],[Data Vencimento]],"mmm")</f>
        <v>jun</v>
      </c>
      <c r="E47" t="s">
        <v>16</v>
      </c>
      <c r="F47" t="s">
        <v>30</v>
      </c>
      <c r="G47" s="3">
        <v>267</v>
      </c>
      <c r="H47" s="2">
        <v>45082</v>
      </c>
      <c r="I47" t="s">
        <v>51</v>
      </c>
      <c r="J47" s="3">
        <v>263</v>
      </c>
      <c r="K47" s="6">
        <f>IF(Tabela3[[#This Row],[Recebido]]&lt;Tabela3[[#This Row],[Valor]],Tabela3[[#This Row],[Valor]]-Tabela3[[#This Row],[Recebido]],0)</f>
        <v>4</v>
      </c>
      <c r="L4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48" spans="1:12">
      <c r="A48" s="4">
        <f t="shared" si="1"/>
        <v>47</v>
      </c>
      <c r="B48" s="2">
        <v>45091</v>
      </c>
      <c r="C48" s="5">
        <f>Tabela3[[#This Row],[Data Emissão]]+10</f>
        <v>45101</v>
      </c>
      <c r="D48" s="5" t="str">
        <f>TEXT(Tabela3[[#This Row],[Data Vencimento]],"mmm")</f>
        <v>jun</v>
      </c>
      <c r="E48" t="s">
        <v>10</v>
      </c>
      <c r="F48" t="s">
        <v>34</v>
      </c>
      <c r="G48" s="3">
        <v>432</v>
      </c>
      <c r="H48" s="2">
        <v>45103</v>
      </c>
      <c r="I48" t="s">
        <v>51</v>
      </c>
      <c r="J48" s="3">
        <v>393</v>
      </c>
      <c r="K48" s="6">
        <f>IF(Tabela3[[#This Row],[Recebido]]&lt;Tabela3[[#This Row],[Valor]],Tabela3[[#This Row],[Valor]]-Tabela3[[#This Row],[Recebido]],0)</f>
        <v>39</v>
      </c>
      <c r="L4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49" spans="1:12">
      <c r="A49" s="4">
        <f t="shared" si="1"/>
        <v>48</v>
      </c>
      <c r="B49" s="2">
        <v>45094</v>
      </c>
      <c r="C49" s="5">
        <f>Tabela3[[#This Row],[Data Emissão]]+10</f>
        <v>45104</v>
      </c>
      <c r="D49" s="5" t="str">
        <f>TEXT(Tabela3[[#This Row],[Data Vencimento]],"mmm")</f>
        <v>jun</v>
      </c>
      <c r="E49" t="s">
        <v>4</v>
      </c>
      <c r="F49" t="s">
        <v>26</v>
      </c>
      <c r="G49" s="3">
        <v>134</v>
      </c>
      <c r="H49" s="2">
        <v>45107</v>
      </c>
      <c r="I49" t="s">
        <v>51</v>
      </c>
      <c r="J49" s="3">
        <v>129</v>
      </c>
      <c r="K49" s="6">
        <f>IF(Tabela3[[#This Row],[Recebido]]&lt;Tabela3[[#This Row],[Valor]],Tabela3[[#This Row],[Valor]]-Tabela3[[#This Row],[Recebido]],0)</f>
        <v>5</v>
      </c>
      <c r="L4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50" spans="1:12">
      <c r="A50" s="4">
        <f t="shared" si="1"/>
        <v>49</v>
      </c>
      <c r="B50" s="2">
        <v>45097</v>
      </c>
      <c r="C50" s="5">
        <f>Tabela3[[#This Row],[Data Emissão]]+10</f>
        <v>45107</v>
      </c>
      <c r="D50" s="5" t="str">
        <f>TEXT(Tabela3[[#This Row],[Data Vencimento]],"mmm")</f>
        <v>jun</v>
      </c>
      <c r="E50" t="s">
        <v>19</v>
      </c>
      <c r="F50" t="s">
        <v>36</v>
      </c>
      <c r="G50" s="3">
        <v>365</v>
      </c>
      <c r="H50" s="2">
        <v>45111</v>
      </c>
      <c r="I50" t="s">
        <v>50</v>
      </c>
      <c r="J50" s="3">
        <v>333</v>
      </c>
      <c r="K50" s="6">
        <f>IF(Tabela3[[#This Row],[Recebido]]&lt;Tabela3[[#This Row],[Valor]],Tabela3[[#This Row],[Valor]]-Tabela3[[#This Row],[Recebido]],0)</f>
        <v>32</v>
      </c>
      <c r="L5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51" spans="1:12">
      <c r="A51" s="4">
        <f t="shared" si="1"/>
        <v>50</v>
      </c>
      <c r="B51" s="2">
        <v>45098</v>
      </c>
      <c r="C51" s="5">
        <f>Tabela3[[#This Row],[Data Emissão]]+10</f>
        <v>45108</v>
      </c>
      <c r="D51" s="5" t="str">
        <f>TEXT(Tabela3[[#This Row],[Data Vencimento]],"mmm")</f>
        <v>jul</v>
      </c>
      <c r="E51" t="s">
        <v>16</v>
      </c>
      <c r="F51" t="s">
        <v>11</v>
      </c>
      <c r="G51" s="3">
        <v>436</v>
      </c>
      <c r="H51" s="2">
        <v>45114</v>
      </c>
      <c r="I51" t="s">
        <v>51</v>
      </c>
      <c r="J51" s="3">
        <v>452</v>
      </c>
      <c r="K51" s="6">
        <f>IF(Tabela3[[#This Row],[Recebido]]&lt;Tabela3[[#This Row],[Valor]],Tabela3[[#This Row],[Valor]]-Tabela3[[#This Row],[Recebido]],0)</f>
        <v>0</v>
      </c>
      <c r="L5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52" spans="1:12">
      <c r="A52" s="4">
        <f t="shared" si="1"/>
        <v>51</v>
      </c>
      <c r="B52" s="2">
        <v>45099</v>
      </c>
      <c r="C52" s="5">
        <f>Tabela3[[#This Row],[Data Emissão]]+10</f>
        <v>45109</v>
      </c>
      <c r="D52" s="5" t="str">
        <f>TEXT(Tabela3[[#This Row],[Data Vencimento]],"mmm")</f>
        <v>jul</v>
      </c>
      <c r="E52" t="s">
        <v>19</v>
      </c>
      <c r="F52" t="s">
        <v>20</v>
      </c>
      <c r="G52" s="3">
        <v>266</v>
      </c>
      <c r="H52" s="2">
        <v>45112</v>
      </c>
      <c r="I52" t="s">
        <v>53</v>
      </c>
      <c r="J52" s="3">
        <v>231</v>
      </c>
      <c r="K52" s="6">
        <f>IF(Tabela3[[#This Row],[Recebido]]&lt;Tabela3[[#This Row],[Valor]],Tabela3[[#This Row],[Valor]]-Tabela3[[#This Row],[Recebido]],0)</f>
        <v>35</v>
      </c>
      <c r="L5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53" spans="1:12">
      <c r="A53" s="4">
        <f t="shared" si="1"/>
        <v>52</v>
      </c>
      <c r="B53" s="2">
        <v>45106</v>
      </c>
      <c r="C53" s="5">
        <f>Tabela3[[#This Row],[Data Emissão]]+10</f>
        <v>45116</v>
      </c>
      <c r="D53" s="5" t="str">
        <f>TEXT(Tabela3[[#This Row],[Data Vencimento]],"mmm")</f>
        <v>jul</v>
      </c>
      <c r="E53" t="s">
        <v>10</v>
      </c>
      <c r="F53" t="s">
        <v>5</v>
      </c>
      <c r="G53" s="3">
        <v>476</v>
      </c>
      <c r="H53" s="2">
        <v>45115</v>
      </c>
      <c r="I53" t="s">
        <v>51</v>
      </c>
      <c r="J53" s="3">
        <v>478</v>
      </c>
      <c r="K53" s="6">
        <f>IF(Tabela3[[#This Row],[Recebido]]&lt;Tabela3[[#This Row],[Valor]],Tabela3[[#This Row],[Valor]]-Tabela3[[#This Row],[Recebido]],0)</f>
        <v>0</v>
      </c>
      <c r="L5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54" spans="1:12">
      <c r="A54" s="4">
        <f t="shared" si="1"/>
        <v>53</v>
      </c>
      <c r="B54" s="2">
        <v>45108</v>
      </c>
      <c r="C54" s="5">
        <f>Tabela3[[#This Row],[Data Emissão]]+10</f>
        <v>45118</v>
      </c>
      <c r="D54" s="5" t="str">
        <f>TEXT(Tabela3[[#This Row],[Data Vencimento]],"mmm")</f>
        <v>jul</v>
      </c>
      <c r="E54" t="s">
        <v>13</v>
      </c>
      <c r="F54" t="s">
        <v>24</v>
      </c>
      <c r="G54" s="3">
        <v>198</v>
      </c>
      <c r="H54" s="2">
        <v>45113</v>
      </c>
      <c r="I54" t="s">
        <v>53</v>
      </c>
      <c r="J54" s="3">
        <v>193</v>
      </c>
      <c r="K54" s="6">
        <f>IF(Tabela3[[#This Row],[Recebido]]&lt;Tabela3[[#This Row],[Valor]],Tabela3[[#This Row],[Valor]]-Tabela3[[#This Row],[Recebido]],0)</f>
        <v>5</v>
      </c>
      <c r="L5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55" spans="1:12">
      <c r="A55" s="4">
        <f t="shared" si="1"/>
        <v>54</v>
      </c>
      <c r="B55" s="2">
        <v>45109</v>
      </c>
      <c r="C55" s="5">
        <f>Tabela3[[#This Row],[Data Emissão]]+10</f>
        <v>45119</v>
      </c>
      <c r="D55" s="5" t="str">
        <f>TEXT(Tabela3[[#This Row],[Data Vencimento]],"mmm")</f>
        <v>jul</v>
      </c>
      <c r="E55" t="s">
        <v>16</v>
      </c>
      <c r="F55" t="s">
        <v>5</v>
      </c>
      <c r="G55" s="3">
        <v>251</v>
      </c>
      <c r="H55" s="2">
        <v>45120</v>
      </c>
      <c r="I55" t="s">
        <v>51</v>
      </c>
      <c r="J55" s="3">
        <v>215</v>
      </c>
      <c r="K55" s="6">
        <f>IF(Tabela3[[#This Row],[Recebido]]&lt;Tabela3[[#This Row],[Valor]],Tabela3[[#This Row],[Valor]]-Tabela3[[#This Row],[Recebido]],0)</f>
        <v>36</v>
      </c>
      <c r="L5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56" spans="1:12">
      <c r="A56" s="4">
        <f t="shared" si="1"/>
        <v>55</v>
      </c>
      <c r="B56" s="2">
        <v>45113</v>
      </c>
      <c r="C56" s="5">
        <f>Tabela3[[#This Row],[Data Emissão]]+10</f>
        <v>45123</v>
      </c>
      <c r="D56" s="5" t="str">
        <f>TEXT(Tabela3[[#This Row],[Data Vencimento]],"mmm")</f>
        <v>jul</v>
      </c>
      <c r="E56" t="s">
        <v>13</v>
      </c>
      <c r="F56" t="s">
        <v>24</v>
      </c>
      <c r="G56" s="3">
        <v>188</v>
      </c>
      <c r="H56" s="2">
        <v>45117</v>
      </c>
      <c r="I56" t="s">
        <v>50</v>
      </c>
      <c r="J56" s="3">
        <v>204</v>
      </c>
      <c r="K56" s="6">
        <f>IF(Tabela3[[#This Row],[Recebido]]&lt;Tabela3[[#This Row],[Valor]],Tabela3[[#This Row],[Valor]]-Tabela3[[#This Row],[Recebido]],0)</f>
        <v>0</v>
      </c>
      <c r="L5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57" spans="1:12">
      <c r="A57" s="4">
        <f t="shared" si="1"/>
        <v>56</v>
      </c>
      <c r="B57" s="2">
        <v>45114</v>
      </c>
      <c r="C57" s="5">
        <f>Tabela3[[#This Row],[Data Emissão]]+10</f>
        <v>45124</v>
      </c>
      <c r="D57" s="5" t="str">
        <f>TEXT(Tabela3[[#This Row],[Data Vencimento]],"mmm")</f>
        <v>jul</v>
      </c>
      <c r="E57" t="s">
        <v>7</v>
      </c>
      <c r="F57" t="s">
        <v>36</v>
      </c>
      <c r="G57" s="3">
        <v>269</v>
      </c>
      <c r="H57" s="2">
        <v>45120</v>
      </c>
      <c r="I57" t="s">
        <v>50</v>
      </c>
      <c r="J57" s="3">
        <v>236</v>
      </c>
      <c r="K57" s="6">
        <f>IF(Tabela3[[#This Row],[Recebido]]&lt;Tabela3[[#This Row],[Valor]],Tabela3[[#This Row],[Valor]]-Tabela3[[#This Row],[Recebido]],0)</f>
        <v>33</v>
      </c>
      <c r="L5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58" spans="1:12">
      <c r="A58" s="4">
        <f t="shared" si="1"/>
        <v>57</v>
      </c>
      <c r="B58" s="2">
        <v>45124</v>
      </c>
      <c r="C58" s="5">
        <f>Tabela3[[#This Row],[Data Emissão]]+10</f>
        <v>45134</v>
      </c>
      <c r="D58" s="5" t="str">
        <f>TEXT(Tabela3[[#This Row],[Data Vencimento]],"mmm")</f>
        <v>jul</v>
      </c>
      <c r="E58" t="s">
        <v>16</v>
      </c>
      <c r="F58" t="s">
        <v>17</v>
      </c>
      <c r="G58" s="3">
        <v>477</v>
      </c>
      <c r="H58" s="2">
        <v>45125</v>
      </c>
      <c r="I58" t="s">
        <v>52</v>
      </c>
      <c r="J58" s="3">
        <v>484</v>
      </c>
      <c r="K58" s="6">
        <f>IF(Tabela3[[#This Row],[Recebido]]&lt;Tabela3[[#This Row],[Valor]],Tabela3[[#This Row],[Valor]]-Tabela3[[#This Row],[Recebido]],0)</f>
        <v>0</v>
      </c>
      <c r="L5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59" spans="1:12">
      <c r="A59" s="4">
        <f t="shared" si="1"/>
        <v>58</v>
      </c>
      <c r="B59" s="2">
        <v>45132</v>
      </c>
      <c r="C59" s="5">
        <f>Tabela3[[#This Row],[Data Emissão]]+10</f>
        <v>45142</v>
      </c>
      <c r="D59" s="5" t="str">
        <f>TEXT(Tabela3[[#This Row],[Data Vencimento]],"mmm")</f>
        <v>ago</v>
      </c>
      <c r="E59" t="s">
        <v>10</v>
      </c>
      <c r="F59" t="s">
        <v>22</v>
      </c>
      <c r="G59" s="3">
        <v>348</v>
      </c>
      <c r="H59" s="2">
        <v>45147</v>
      </c>
      <c r="I59" t="s">
        <v>51</v>
      </c>
      <c r="J59" s="3">
        <v>310</v>
      </c>
      <c r="K59" s="6">
        <f>IF(Tabela3[[#This Row],[Recebido]]&lt;Tabela3[[#This Row],[Valor]],Tabela3[[#This Row],[Valor]]-Tabela3[[#This Row],[Recebido]],0)</f>
        <v>38</v>
      </c>
      <c r="L5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60" spans="1:12">
      <c r="A60" s="4">
        <f t="shared" si="1"/>
        <v>59</v>
      </c>
      <c r="B60" s="2">
        <v>45138</v>
      </c>
      <c r="C60" s="5">
        <f>Tabela3[[#This Row],[Data Emissão]]+10</f>
        <v>45148</v>
      </c>
      <c r="D60" s="5" t="str">
        <f>TEXT(Tabela3[[#This Row],[Data Vencimento]],"mmm")</f>
        <v>ago</v>
      </c>
      <c r="E60" t="s">
        <v>7</v>
      </c>
      <c r="F60" t="s">
        <v>28</v>
      </c>
      <c r="G60" s="3">
        <v>131</v>
      </c>
      <c r="H60" s="2">
        <v>45142</v>
      </c>
      <c r="I60" t="s">
        <v>53</v>
      </c>
      <c r="J60" s="3">
        <v>145</v>
      </c>
      <c r="K60" s="6">
        <f>IF(Tabela3[[#This Row],[Recebido]]&lt;Tabela3[[#This Row],[Valor]],Tabela3[[#This Row],[Valor]]-Tabela3[[#This Row],[Recebido]],0)</f>
        <v>0</v>
      </c>
      <c r="L6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1" spans="1:12">
      <c r="A61" s="4">
        <f t="shared" si="1"/>
        <v>60</v>
      </c>
      <c r="B61" s="2">
        <v>45140</v>
      </c>
      <c r="C61" s="5">
        <f>Tabela3[[#This Row],[Data Emissão]]+10</f>
        <v>45150</v>
      </c>
      <c r="D61" s="5" t="str">
        <f>TEXT(Tabela3[[#This Row],[Data Vencimento]],"mmm")</f>
        <v>ago</v>
      </c>
      <c r="E61" t="s">
        <v>10</v>
      </c>
      <c r="F61" t="s">
        <v>26</v>
      </c>
      <c r="G61" s="3">
        <v>294</v>
      </c>
      <c r="H61" s="2">
        <v>45142</v>
      </c>
      <c r="I61" t="s">
        <v>52</v>
      </c>
      <c r="J61" s="3">
        <v>290</v>
      </c>
      <c r="K61" s="6">
        <f>IF(Tabela3[[#This Row],[Recebido]]&lt;Tabela3[[#This Row],[Valor]],Tabela3[[#This Row],[Valor]]-Tabela3[[#This Row],[Recebido]],0)</f>
        <v>4</v>
      </c>
      <c r="L6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2" spans="1:12">
      <c r="A62" s="4">
        <f t="shared" si="1"/>
        <v>61</v>
      </c>
      <c r="B62" s="2">
        <v>45143</v>
      </c>
      <c r="C62" s="5">
        <f>Tabela3[[#This Row],[Data Emissão]]+10</f>
        <v>45153</v>
      </c>
      <c r="D62" s="5" t="str">
        <f>TEXT(Tabela3[[#This Row],[Data Vencimento]],"mmm")</f>
        <v>ago</v>
      </c>
      <c r="E62" t="s">
        <v>19</v>
      </c>
      <c r="F62" t="s">
        <v>8</v>
      </c>
      <c r="G62" s="3">
        <v>148</v>
      </c>
      <c r="H62" s="2">
        <v>45153</v>
      </c>
      <c r="I62" t="s">
        <v>50</v>
      </c>
      <c r="J62" s="3">
        <v>124</v>
      </c>
      <c r="K62" s="6">
        <f>IF(Tabela3[[#This Row],[Recebido]]&lt;Tabela3[[#This Row],[Valor]],Tabela3[[#This Row],[Valor]]-Tabela3[[#This Row],[Recebido]],0)</f>
        <v>24</v>
      </c>
      <c r="L6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3" spans="1:12">
      <c r="A63" s="4">
        <f t="shared" si="1"/>
        <v>62</v>
      </c>
      <c r="B63" s="2">
        <v>45145</v>
      </c>
      <c r="C63" s="5">
        <f>Tabela3[[#This Row],[Data Emissão]]+10</f>
        <v>45155</v>
      </c>
      <c r="D63" s="5" t="str">
        <f>TEXT(Tabela3[[#This Row],[Data Vencimento]],"mmm")</f>
        <v>ago</v>
      </c>
      <c r="E63" t="s">
        <v>10</v>
      </c>
      <c r="F63" t="s">
        <v>30</v>
      </c>
      <c r="G63" s="3">
        <v>396</v>
      </c>
      <c r="H63" s="2">
        <v>45148</v>
      </c>
      <c r="I63" t="s">
        <v>52</v>
      </c>
      <c r="J63" s="3">
        <v>364</v>
      </c>
      <c r="K63" s="6">
        <f>IF(Tabela3[[#This Row],[Recebido]]&lt;Tabela3[[#This Row],[Valor]],Tabela3[[#This Row],[Valor]]-Tabela3[[#This Row],[Recebido]],0)</f>
        <v>32</v>
      </c>
      <c r="L6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4" spans="1:12">
      <c r="A64" s="4">
        <f t="shared" si="1"/>
        <v>63</v>
      </c>
      <c r="B64" s="2">
        <v>45152</v>
      </c>
      <c r="C64" s="5">
        <f>Tabela3[[#This Row],[Data Emissão]]+10</f>
        <v>45162</v>
      </c>
      <c r="D64" s="5" t="str">
        <f>TEXT(Tabela3[[#This Row],[Data Vencimento]],"mmm")</f>
        <v>ago</v>
      </c>
      <c r="E64" t="s">
        <v>19</v>
      </c>
      <c r="F64" t="s">
        <v>8</v>
      </c>
      <c r="G64" s="3">
        <v>353</v>
      </c>
      <c r="H64" s="2">
        <v>45160</v>
      </c>
      <c r="I64" t="s">
        <v>53</v>
      </c>
      <c r="J64" s="3">
        <v>325</v>
      </c>
      <c r="K64" s="6">
        <f>IF(Tabela3[[#This Row],[Recebido]]&lt;Tabela3[[#This Row],[Valor]],Tabela3[[#This Row],[Valor]]-Tabela3[[#This Row],[Recebido]],0)</f>
        <v>28</v>
      </c>
      <c r="L6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5" spans="1:12">
      <c r="A65" s="4">
        <f t="shared" si="1"/>
        <v>64</v>
      </c>
      <c r="B65" s="2">
        <v>45152</v>
      </c>
      <c r="C65" s="5">
        <f>Tabela3[[#This Row],[Data Emissão]]+10</f>
        <v>45162</v>
      </c>
      <c r="D65" s="5" t="str">
        <f>TEXT(Tabela3[[#This Row],[Data Vencimento]],"mmm")</f>
        <v>ago</v>
      </c>
      <c r="E65" t="s">
        <v>13</v>
      </c>
      <c r="F65" t="s">
        <v>8</v>
      </c>
      <c r="G65" s="3">
        <v>436</v>
      </c>
      <c r="H65" s="2">
        <v>45157</v>
      </c>
      <c r="I65" t="s">
        <v>50</v>
      </c>
      <c r="J65" s="3">
        <v>476</v>
      </c>
      <c r="K65" s="6">
        <f>IF(Tabela3[[#This Row],[Recebido]]&lt;Tabela3[[#This Row],[Valor]],Tabela3[[#This Row],[Valor]]-Tabela3[[#This Row],[Recebido]],0)</f>
        <v>0</v>
      </c>
      <c r="L6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6" spans="1:12">
      <c r="A66" s="4">
        <f t="shared" ref="A66:A97" si="2">ROW()-1</f>
        <v>65</v>
      </c>
      <c r="B66" s="2">
        <v>45152</v>
      </c>
      <c r="C66" s="5">
        <f>Tabela3[[#This Row],[Data Emissão]]+10</f>
        <v>45162</v>
      </c>
      <c r="D66" s="5" t="str">
        <f>TEXT(Tabela3[[#This Row],[Data Vencimento]],"mmm")</f>
        <v>ago</v>
      </c>
      <c r="E66" t="s">
        <v>16</v>
      </c>
      <c r="F66" t="s">
        <v>26</v>
      </c>
      <c r="G66" s="3">
        <v>386</v>
      </c>
      <c r="H66" s="2">
        <v>45159</v>
      </c>
      <c r="I66" t="s">
        <v>52</v>
      </c>
      <c r="J66" s="3">
        <v>393</v>
      </c>
      <c r="K66" s="6">
        <f>IF(Tabela3[[#This Row],[Recebido]]&lt;Tabela3[[#This Row],[Valor]],Tabela3[[#This Row],[Valor]]-Tabela3[[#This Row],[Recebido]],0)</f>
        <v>0</v>
      </c>
      <c r="L6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67" spans="1:12">
      <c r="A67" s="4">
        <f t="shared" si="2"/>
        <v>66</v>
      </c>
      <c r="B67" s="2">
        <v>45155</v>
      </c>
      <c r="C67" s="5">
        <f>Tabela3[[#This Row],[Data Emissão]]+10</f>
        <v>45165</v>
      </c>
      <c r="D67" s="5" t="str">
        <f>TEXT(Tabela3[[#This Row],[Data Vencimento]],"mmm")</f>
        <v>ago</v>
      </c>
      <c r="E67" t="s">
        <v>19</v>
      </c>
      <c r="F67" t="s">
        <v>36</v>
      </c>
      <c r="G67" s="3">
        <v>170</v>
      </c>
      <c r="H67" s="2">
        <v>45170</v>
      </c>
      <c r="I67" t="s">
        <v>53</v>
      </c>
      <c r="J67" s="3">
        <v>206</v>
      </c>
      <c r="K67" s="6">
        <f>IF(Tabela3[[#This Row],[Recebido]]&lt;Tabela3[[#This Row],[Valor]],Tabela3[[#This Row],[Valor]]-Tabela3[[#This Row],[Recebido]],0)</f>
        <v>0</v>
      </c>
      <c r="L6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68" spans="1:12">
      <c r="A68" s="4">
        <f t="shared" si="2"/>
        <v>67</v>
      </c>
      <c r="B68" s="2">
        <v>45159</v>
      </c>
      <c r="C68" s="5">
        <f>Tabela3[[#This Row],[Data Emissão]]+10</f>
        <v>45169</v>
      </c>
      <c r="D68" s="5" t="str">
        <f>TEXT(Tabela3[[#This Row],[Data Vencimento]],"mmm")</f>
        <v>ago</v>
      </c>
      <c r="E68" t="s">
        <v>4</v>
      </c>
      <c r="F68" t="s">
        <v>30</v>
      </c>
      <c r="G68" s="3">
        <v>137</v>
      </c>
      <c r="H68" s="2">
        <v>45174</v>
      </c>
      <c r="I68" t="s">
        <v>52</v>
      </c>
      <c r="J68" s="3">
        <v>173</v>
      </c>
      <c r="K68" s="6">
        <f>IF(Tabela3[[#This Row],[Recebido]]&lt;Tabela3[[#This Row],[Valor]],Tabela3[[#This Row],[Valor]]-Tabela3[[#This Row],[Recebido]],0)</f>
        <v>0</v>
      </c>
      <c r="L6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69" spans="1:12">
      <c r="A69" s="4">
        <f t="shared" si="2"/>
        <v>68</v>
      </c>
      <c r="B69" s="2">
        <v>45160</v>
      </c>
      <c r="C69" s="5">
        <f>Tabela3[[#This Row],[Data Emissão]]+10</f>
        <v>45170</v>
      </c>
      <c r="D69" s="5" t="str">
        <f>TEXT(Tabela3[[#This Row],[Data Vencimento]],"mmm")</f>
        <v>set</v>
      </c>
      <c r="E69" t="s">
        <v>13</v>
      </c>
      <c r="F69" t="s">
        <v>32</v>
      </c>
      <c r="G69" s="3">
        <v>486</v>
      </c>
      <c r="H69" s="2">
        <v>45174</v>
      </c>
      <c r="I69" t="s">
        <v>53</v>
      </c>
      <c r="J69" s="3">
        <v>487</v>
      </c>
      <c r="K69" s="6">
        <f>IF(Tabela3[[#This Row],[Recebido]]&lt;Tabela3[[#This Row],[Valor]],Tabela3[[#This Row],[Valor]]-Tabela3[[#This Row],[Recebido]],0)</f>
        <v>0</v>
      </c>
      <c r="L6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70" spans="1:12">
      <c r="A70" s="4">
        <f t="shared" si="2"/>
        <v>69</v>
      </c>
      <c r="B70" s="2">
        <v>45161</v>
      </c>
      <c r="C70" s="5">
        <f>Tabela3[[#This Row],[Data Emissão]]+10</f>
        <v>45171</v>
      </c>
      <c r="D70" s="5" t="str">
        <f>TEXT(Tabela3[[#This Row],[Data Vencimento]],"mmm")</f>
        <v>set</v>
      </c>
      <c r="E70" t="s">
        <v>10</v>
      </c>
      <c r="F70" t="s">
        <v>17</v>
      </c>
      <c r="G70" s="3">
        <v>266</v>
      </c>
      <c r="H70" s="2"/>
      <c r="J70" s="3"/>
      <c r="K70" s="6">
        <f>IF(Tabela3[[#This Row],[Recebido]]&lt;Tabela3[[#This Row],[Valor]],Tabela3[[#This Row],[Valor]]-Tabela3[[#This Row],[Recebido]],0)</f>
        <v>266</v>
      </c>
      <c r="L7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Atrasado</v>
      </c>
    </row>
    <row r="71" spans="1:12">
      <c r="A71" s="4">
        <f t="shared" si="2"/>
        <v>70</v>
      </c>
      <c r="B71" s="2">
        <v>45161</v>
      </c>
      <c r="C71" s="5">
        <f>Tabela3[[#This Row],[Data Emissão]]+10</f>
        <v>45171</v>
      </c>
      <c r="D71" s="5" t="str">
        <f>TEXT(Tabela3[[#This Row],[Data Vencimento]],"mmm")</f>
        <v>set</v>
      </c>
      <c r="E71" t="s">
        <v>10</v>
      </c>
      <c r="F71" t="s">
        <v>26</v>
      </c>
      <c r="G71" s="3">
        <v>144</v>
      </c>
      <c r="H71" s="2">
        <v>45171</v>
      </c>
      <c r="I71" t="s">
        <v>51</v>
      </c>
      <c r="J71" s="3">
        <v>120</v>
      </c>
      <c r="K71" s="6">
        <f>IF(Tabela3[[#This Row],[Recebido]]&lt;Tabela3[[#This Row],[Valor]],Tabela3[[#This Row],[Valor]]-Tabela3[[#This Row],[Recebido]],0)</f>
        <v>24</v>
      </c>
      <c r="L7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72" spans="1:12">
      <c r="A72" s="4">
        <f t="shared" si="2"/>
        <v>71</v>
      </c>
      <c r="B72" s="2">
        <v>45170</v>
      </c>
      <c r="C72" s="5">
        <f>Tabela3[[#This Row],[Data Emissão]]+10</f>
        <v>45180</v>
      </c>
      <c r="D72" s="5" t="str">
        <f>TEXT(Tabela3[[#This Row],[Data Vencimento]],"mmm")</f>
        <v>set</v>
      </c>
      <c r="E72" t="s">
        <v>13</v>
      </c>
      <c r="F72" t="s">
        <v>28</v>
      </c>
      <c r="G72" s="3">
        <v>209</v>
      </c>
      <c r="H72" s="2">
        <v>45185</v>
      </c>
      <c r="I72" t="s">
        <v>50</v>
      </c>
      <c r="J72" s="3">
        <v>202</v>
      </c>
      <c r="K72" s="6">
        <f>IF(Tabela3[[#This Row],[Recebido]]&lt;Tabela3[[#This Row],[Valor]],Tabela3[[#This Row],[Valor]]-Tabela3[[#This Row],[Recebido]],0)</f>
        <v>7</v>
      </c>
      <c r="L7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73" spans="1:12">
      <c r="A73" s="4">
        <f t="shared" si="2"/>
        <v>72</v>
      </c>
      <c r="B73" s="2">
        <v>45170</v>
      </c>
      <c r="C73" s="5">
        <f>Tabela3[[#This Row],[Data Emissão]]+10</f>
        <v>45180</v>
      </c>
      <c r="D73" s="5" t="str">
        <f>TEXT(Tabela3[[#This Row],[Data Vencimento]],"mmm")</f>
        <v>set</v>
      </c>
      <c r="E73" t="s">
        <v>4</v>
      </c>
      <c r="F73" t="s">
        <v>30</v>
      </c>
      <c r="G73" s="3">
        <v>451</v>
      </c>
      <c r="H73" s="2"/>
      <c r="J73" s="3"/>
      <c r="K73" s="6">
        <f>IF(Tabela3[[#This Row],[Recebido]]&lt;Tabela3[[#This Row],[Valor]],Tabela3[[#This Row],[Valor]]-Tabela3[[#This Row],[Recebido]],0)</f>
        <v>451</v>
      </c>
      <c r="L7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Atrasado</v>
      </c>
    </row>
    <row r="74" spans="1:12">
      <c r="A74" s="4">
        <f t="shared" si="2"/>
        <v>73</v>
      </c>
      <c r="B74" s="2">
        <v>45171</v>
      </c>
      <c r="C74" s="5">
        <f>Tabela3[[#This Row],[Data Emissão]]+10</f>
        <v>45181</v>
      </c>
      <c r="D74" s="5" t="str">
        <f>TEXT(Tabela3[[#This Row],[Data Vencimento]],"mmm")</f>
        <v>set</v>
      </c>
      <c r="E74" t="s">
        <v>4</v>
      </c>
      <c r="F74" t="s">
        <v>17</v>
      </c>
      <c r="G74" s="3">
        <v>142</v>
      </c>
      <c r="H74" s="2">
        <v>45178</v>
      </c>
      <c r="I74" t="s">
        <v>51</v>
      </c>
      <c r="J74" s="3">
        <v>167</v>
      </c>
      <c r="K74" s="6">
        <f>IF(Tabela3[[#This Row],[Recebido]]&lt;Tabela3[[#This Row],[Valor]],Tabela3[[#This Row],[Valor]]-Tabela3[[#This Row],[Recebido]],0)</f>
        <v>0</v>
      </c>
      <c r="L7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75" spans="1:12">
      <c r="A75" s="4">
        <f t="shared" si="2"/>
        <v>74</v>
      </c>
      <c r="B75" s="2">
        <v>45171</v>
      </c>
      <c r="C75" s="5">
        <f>Tabela3[[#This Row],[Data Emissão]]+10</f>
        <v>45181</v>
      </c>
      <c r="D75" s="5" t="str">
        <f>TEXT(Tabela3[[#This Row],[Data Vencimento]],"mmm")</f>
        <v>set</v>
      </c>
      <c r="E75" t="s">
        <v>4</v>
      </c>
      <c r="F75" t="s">
        <v>34</v>
      </c>
      <c r="G75" s="3">
        <v>217</v>
      </c>
      <c r="H75" s="2">
        <v>45183</v>
      </c>
      <c r="I75" t="s">
        <v>51</v>
      </c>
      <c r="J75" s="3">
        <v>257</v>
      </c>
      <c r="K75" s="6">
        <f>IF(Tabela3[[#This Row],[Recebido]]&lt;Tabela3[[#This Row],[Valor]],Tabela3[[#This Row],[Valor]]-Tabela3[[#This Row],[Recebido]],0)</f>
        <v>0</v>
      </c>
      <c r="L7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76" spans="1:12">
      <c r="A76" s="4">
        <f t="shared" si="2"/>
        <v>75</v>
      </c>
      <c r="B76" s="2">
        <v>45178</v>
      </c>
      <c r="C76" s="5">
        <f>Tabela3[[#This Row],[Data Emissão]]+10</f>
        <v>45188</v>
      </c>
      <c r="D76" s="5" t="str">
        <f>TEXT(Tabela3[[#This Row],[Data Vencimento]],"mmm")</f>
        <v>set</v>
      </c>
      <c r="E76" t="s">
        <v>16</v>
      </c>
      <c r="F76" t="s">
        <v>17</v>
      </c>
      <c r="G76" s="3">
        <v>429</v>
      </c>
      <c r="H76" s="2">
        <v>45187</v>
      </c>
      <c r="I76" t="s">
        <v>51</v>
      </c>
      <c r="J76" s="3">
        <v>446</v>
      </c>
      <c r="K76" s="6">
        <f>IF(Tabela3[[#This Row],[Recebido]]&lt;Tabela3[[#This Row],[Valor]],Tabela3[[#This Row],[Valor]]-Tabela3[[#This Row],[Recebido]],0)</f>
        <v>0</v>
      </c>
      <c r="L7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77" spans="1:12">
      <c r="A77" s="4">
        <f t="shared" si="2"/>
        <v>76</v>
      </c>
      <c r="B77" s="2">
        <v>45180</v>
      </c>
      <c r="C77" s="5">
        <f>Tabela3[[#This Row],[Data Emissão]]+10</f>
        <v>45190</v>
      </c>
      <c r="D77" s="5" t="str">
        <f>TEXT(Tabela3[[#This Row],[Data Vencimento]],"mmm")</f>
        <v>set</v>
      </c>
      <c r="E77" t="s">
        <v>7</v>
      </c>
      <c r="F77" t="s">
        <v>24</v>
      </c>
      <c r="G77" s="3">
        <v>335</v>
      </c>
      <c r="H77" s="2">
        <v>45187</v>
      </c>
      <c r="I77" t="s">
        <v>53</v>
      </c>
      <c r="J77" s="3">
        <v>372</v>
      </c>
      <c r="K77" s="6">
        <f>IF(Tabela3[[#This Row],[Recebido]]&lt;Tabela3[[#This Row],[Valor]],Tabela3[[#This Row],[Valor]]-Tabela3[[#This Row],[Recebido]],0)</f>
        <v>0</v>
      </c>
      <c r="L7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78" spans="1:12">
      <c r="A78" s="4">
        <f t="shared" si="2"/>
        <v>77</v>
      </c>
      <c r="B78" s="2">
        <v>45182</v>
      </c>
      <c r="C78" s="5">
        <f>Tabela3[[#This Row],[Data Emissão]]+10</f>
        <v>45192</v>
      </c>
      <c r="D78" s="5" t="str">
        <f>TEXT(Tabela3[[#This Row],[Data Vencimento]],"mmm")</f>
        <v>set</v>
      </c>
      <c r="E78" t="s">
        <v>4</v>
      </c>
      <c r="F78" t="s">
        <v>22</v>
      </c>
      <c r="G78" s="3">
        <v>344</v>
      </c>
      <c r="H78" s="2">
        <v>45198</v>
      </c>
      <c r="I78" t="s">
        <v>51</v>
      </c>
      <c r="J78" s="3">
        <v>348</v>
      </c>
      <c r="K78" s="6">
        <f>IF(Tabela3[[#This Row],[Recebido]]&lt;Tabela3[[#This Row],[Valor]],Tabela3[[#This Row],[Valor]]-Tabela3[[#This Row],[Recebido]],0)</f>
        <v>0</v>
      </c>
      <c r="L7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79" spans="1:12">
      <c r="A79" s="4">
        <f t="shared" si="2"/>
        <v>78</v>
      </c>
      <c r="B79" s="2">
        <v>45182</v>
      </c>
      <c r="C79" s="5">
        <f>Tabela3[[#This Row],[Data Emissão]]+10</f>
        <v>45192</v>
      </c>
      <c r="D79" s="5" t="str">
        <f>TEXT(Tabela3[[#This Row],[Data Vencimento]],"mmm")</f>
        <v>set</v>
      </c>
      <c r="E79" t="s">
        <v>19</v>
      </c>
      <c r="F79" t="s">
        <v>32</v>
      </c>
      <c r="G79" s="3">
        <v>190</v>
      </c>
      <c r="H79" s="2">
        <v>45198</v>
      </c>
      <c r="I79" t="s">
        <v>53</v>
      </c>
      <c r="J79" s="3">
        <v>223</v>
      </c>
      <c r="K79" s="6">
        <f>IF(Tabela3[[#This Row],[Recebido]]&lt;Tabela3[[#This Row],[Valor]],Tabela3[[#This Row],[Valor]]-Tabela3[[#This Row],[Recebido]],0)</f>
        <v>0</v>
      </c>
      <c r="L7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80" spans="1:12">
      <c r="A80" s="4">
        <f t="shared" si="2"/>
        <v>79</v>
      </c>
      <c r="B80" s="2">
        <v>45182</v>
      </c>
      <c r="C80" s="5">
        <f>Tabela3[[#This Row],[Data Emissão]]+10</f>
        <v>45192</v>
      </c>
      <c r="D80" s="5" t="str">
        <f>TEXT(Tabela3[[#This Row],[Data Vencimento]],"mmm")</f>
        <v>set</v>
      </c>
      <c r="E80" t="s">
        <v>7</v>
      </c>
      <c r="F80" t="s">
        <v>8</v>
      </c>
      <c r="G80" s="3">
        <v>243</v>
      </c>
      <c r="H80" s="2"/>
      <c r="J80" s="3"/>
      <c r="K80" s="6">
        <f>IF(Tabela3[[#This Row],[Recebido]]&lt;Tabela3[[#This Row],[Valor]],Tabela3[[#This Row],[Valor]]-Tabela3[[#This Row],[Recebido]],0)</f>
        <v>243</v>
      </c>
      <c r="L8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Atrasado</v>
      </c>
    </row>
    <row r="81" spans="1:12">
      <c r="A81" s="4">
        <f t="shared" si="2"/>
        <v>80</v>
      </c>
      <c r="B81" s="2">
        <v>45182</v>
      </c>
      <c r="C81" s="5">
        <f>Tabela3[[#This Row],[Data Emissão]]+10</f>
        <v>45192</v>
      </c>
      <c r="D81" s="5" t="str">
        <f>TEXT(Tabela3[[#This Row],[Data Vencimento]],"mmm")</f>
        <v>set</v>
      </c>
      <c r="E81" t="s">
        <v>4</v>
      </c>
      <c r="F81" t="s">
        <v>22</v>
      </c>
      <c r="G81" s="3">
        <v>492</v>
      </c>
      <c r="H81" s="2">
        <v>45197</v>
      </c>
      <c r="I81" t="s">
        <v>52</v>
      </c>
      <c r="J81" s="3">
        <v>479</v>
      </c>
      <c r="K81" s="6">
        <f>IF(Tabela3[[#This Row],[Recebido]]&lt;Tabela3[[#This Row],[Valor]],Tabela3[[#This Row],[Valor]]-Tabela3[[#This Row],[Recebido]],0)</f>
        <v>13</v>
      </c>
      <c r="L8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82" spans="1:12">
      <c r="A82" s="4">
        <f t="shared" si="2"/>
        <v>81</v>
      </c>
      <c r="B82" s="2">
        <v>45191</v>
      </c>
      <c r="C82" s="5">
        <f>Tabela3[[#This Row],[Data Emissão]]+10</f>
        <v>45201</v>
      </c>
      <c r="D82" s="5" t="str">
        <f>TEXT(Tabela3[[#This Row],[Data Vencimento]],"mmm")</f>
        <v>out</v>
      </c>
      <c r="E82" t="s">
        <v>16</v>
      </c>
      <c r="F82" t="s">
        <v>11</v>
      </c>
      <c r="G82" s="3">
        <v>491</v>
      </c>
      <c r="H82" s="2">
        <v>45199</v>
      </c>
      <c r="I82" t="s">
        <v>52</v>
      </c>
      <c r="J82" s="3">
        <v>469</v>
      </c>
      <c r="K82" s="6">
        <f>IF(Tabela3[[#This Row],[Recebido]]&lt;Tabela3[[#This Row],[Valor]],Tabela3[[#This Row],[Valor]]-Tabela3[[#This Row],[Recebido]],0)</f>
        <v>22</v>
      </c>
      <c r="L8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83" spans="1:12">
      <c r="A83" s="4">
        <f t="shared" si="2"/>
        <v>82</v>
      </c>
      <c r="B83" s="2">
        <v>45193</v>
      </c>
      <c r="C83" s="5">
        <f>Tabela3[[#This Row],[Data Emissão]]+10</f>
        <v>45203</v>
      </c>
      <c r="D83" s="5" t="str">
        <f>TEXT(Tabela3[[#This Row],[Data Vencimento]],"mmm")</f>
        <v>out</v>
      </c>
      <c r="E83" t="s">
        <v>10</v>
      </c>
      <c r="F83" t="s">
        <v>5</v>
      </c>
      <c r="G83" s="3">
        <v>245</v>
      </c>
      <c r="H83" s="2">
        <v>45205</v>
      </c>
      <c r="I83" t="s">
        <v>52</v>
      </c>
      <c r="J83" s="3">
        <v>211</v>
      </c>
      <c r="K83" s="6">
        <f>IF(Tabela3[[#This Row],[Recebido]]&lt;Tabela3[[#This Row],[Valor]],Tabela3[[#This Row],[Valor]]-Tabela3[[#This Row],[Recebido]],0)</f>
        <v>34</v>
      </c>
      <c r="L8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84" spans="1:12">
      <c r="A84" s="4">
        <f t="shared" si="2"/>
        <v>83</v>
      </c>
      <c r="B84" s="2">
        <v>45194</v>
      </c>
      <c r="C84" s="5">
        <f>Tabela3[[#This Row],[Data Emissão]]+10</f>
        <v>45204</v>
      </c>
      <c r="D84" s="5" t="str">
        <f>TEXT(Tabela3[[#This Row],[Data Vencimento]],"mmm")</f>
        <v>out</v>
      </c>
      <c r="E84" t="s">
        <v>4</v>
      </c>
      <c r="F84" t="s">
        <v>26</v>
      </c>
      <c r="G84" s="3">
        <v>116</v>
      </c>
      <c r="H84" s="2"/>
      <c r="J84" s="3"/>
      <c r="K84" s="6">
        <f>IF(Tabela3[[#This Row],[Recebido]]&lt;Tabela3[[#This Row],[Valor]],Tabela3[[#This Row],[Valor]]-Tabela3[[#This Row],[Recebido]],0)</f>
        <v>116</v>
      </c>
      <c r="L8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Atrasado</v>
      </c>
    </row>
    <row r="85" spans="1:12">
      <c r="A85" s="4">
        <f t="shared" si="2"/>
        <v>84</v>
      </c>
      <c r="B85" s="2">
        <v>45195</v>
      </c>
      <c r="C85" s="5">
        <f>Tabela3[[#This Row],[Data Emissão]]+10</f>
        <v>45205</v>
      </c>
      <c r="D85" s="5" t="str">
        <f>TEXT(Tabela3[[#This Row],[Data Vencimento]],"mmm")</f>
        <v>out</v>
      </c>
      <c r="E85" t="s">
        <v>7</v>
      </c>
      <c r="F85" t="s">
        <v>36</v>
      </c>
      <c r="G85" s="3">
        <v>203</v>
      </c>
      <c r="H85" s="2">
        <v>45203</v>
      </c>
      <c r="I85" t="s">
        <v>53</v>
      </c>
      <c r="J85" s="3">
        <v>228</v>
      </c>
      <c r="K85" s="6">
        <f>IF(Tabela3[[#This Row],[Recebido]]&lt;Tabela3[[#This Row],[Valor]],Tabela3[[#This Row],[Valor]]-Tabela3[[#This Row],[Recebido]],0)</f>
        <v>0</v>
      </c>
      <c r="L8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86" spans="1:12">
      <c r="A86" s="4">
        <f t="shared" si="2"/>
        <v>85</v>
      </c>
      <c r="B86" s="2">
        <v>45213</v>
      </c>
      <c r="C86" s="5">
        <f>Tabela3[[#This Row],[Data Emissão]]+10</f>
        <v>45223</v>
      </c>
      <c r="D86" s="5" t="str">
        <f>TEXT(Tabela3[[#This Row],[Data Vencimento]],"mmm")</f>
        <v>out</v>
      </c>
      <c r="E86" t="s">
        <v>4</v>
      </c>
      <c r="F86" t="s">
        <v>5</v>
      </c>
      <c r="G86" s="3">
        <v>490</v>
      </c>
      <c r="H86" s="2">
        <v>45254</v>
      </c>
      <c r="I86" t="s">
        <v>51</v>
      </c>
      <c r="J86" s="3">
        <v>499</v>
      </c>
      <c r="K86" s="6">
        <f>IF(Tabela3[[#This Row],[Recebido]]&lt;Tabela3[[#This Row],[Valor]],Tabela3[[#This Row],[Valor]]-Tabela3[[#This Row],[Recebido]],0)</f>
        <v>0</v>
      </c>
      <c r="L8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87" spans="1:12">
      <c r="A87" s="4">
        <f t="shared" si="2"/>
        <v>86</v>
      </c>
      <c r="B87" s="2">
        <v>45214</v>
      </c>
      <c r="C87" s="5">
        <f>Tabela3[[#This Row],[Data Emissão]]+10</f>
        <v>45224</v>
      </c>
      <c r="D87" s="5" t="str">
        <f>TEXT(Tabela3[[#This Row],[Data Vencimento]],"mmm")</f>
        <v>out</v>
      </c>
      <c r="E87" t="s">
        <v>7</v>
      </c>
      <c r="F87" t="s">
        <v>8</v>
      </c>
      <c r="G87" s="3">
        <v>113</v>
      </c>
      <c r="H87" s="2"/>
      <c r="J87" s="3"/>
      <c r="K87" s="6">
        <f>IF(Tabela3[[#This Row],[Recebido]]&lt;Tabela3[[#This Row],[Valor]],Tabela3[[#This Row],[Valor]]-Tabela3[[#This Row],[Recebido]],0)</f>
        <v>113</v>
      </c>
      <c r="L8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Atrasado</v>
      </c>
    </row>
    <row r="88" spans="1:12">
      <c r="A88" s="4">
        <f t="shared" si="2"/>
        <v>87</v>
      </c>
      <c r="B88" s="2">
        <v>45246</v>
      </c>
      <c r="C88" s="5">
        <f>Tabela3[[#This Row],[Data Emissão]]+10</f>
        <v>45256</v>
      </c>
      <c r="D88" s="5" t="str">
        <f>TEXT(Tabela3[[#This Row],[Data Vencimento]],"mmm")</f>
        <v>nov</v>
      </c>
      <c r="E88" t="s">
        <v>10</v>
      </c>
      <c r="F88" t="s">
        <v>11</v>
      </c>
      <c r="G88" s="3">
        <v>379</v>
      </c>
      <c r="H88" s="2">
        <v>45251</v>
      </c>
      <c r="I88" t="s">
        <v>52</v>
      </c>
      <c r="J88" s="3">
        <v>423</v>
      </c>
      <c r="K88" s="6">
        <f>IF(Tabela3[[#This Row],[Recebido]]&lt;Tabela3[[#This Row],[Valor]],Tabela3[[#This Row],[Valor]]-Tabela3[[#This Row],[Recebido]],0)</f>
        <v>0</v>
      </c>
      <c r="L8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89" spans="1:12">
      <c r="A89" s="4">
        <f t="shared" si="2"/>
        <v>88</v>
      </c>
      <c r="B89" s="2">
        <v>45247</v>
      </c>
      <c r="C89" s="5">
        <f>Tabela3[[#This Row],[Data Emissão]]+10</f>
        <v>45257</v>
      </c>
      <c r="D89" s="5" t="str">
        <f>TEXT(Tabela3[[#This Row],[Data Vencimento]],"mmm")</f>
        <v>nov</v>
      </c>
      <c r="E89" t="s">
        <v>13</v>
      </c>
      <c r="F89" t="s">
        <v>14</v>
      </c>
      <c r="G89" s="3">
        <v>162</v>
      </c>
      <c r="H89" s="2">
        <v>45257</v>
      </c>
      <c r="I89" t="s">
        <v>50</v>
      </c>
      <c r="J89" s="3">
        <v>135</v>
      </c>
      <c r="K89" s="6">
        <f>IF(Tabela3[[#This Row],[Recebido]]&lt;Tabela3[[#This Row],[Valor]],Tabela3[[#This Row],[Valor]]-Tabela3[[#This Row],[Recebido]],0)</f>
        <v>27</v>
      </c>
      <c r="L8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90" spans="1:12">
      <c r="A90" s="4">
        <f t="shared" si="2"/>
        <v>89</v>
      </c>
      <c r="B90" s="2">
        <v>45248</v>
      </c>
      <c r="C90" s="5">
        <f>Tabela3[[#This Row],[Data Emissão]]+10</f>
        <v>45258</v>
      </c>
      <c r="D90" s="5" t="str">
        <f>TEXT(Tabela3[[#This Row],[Data Vencimento]],"mmm")</f>
        <v>nov</v>
      </c>
      <c r="E90" t="s">
        <v>16</v>
      </c>
      <c r="F90" t="s">
        <v>17</v>
      </c>
      <c r="G90" s="3">
        <v>437</v>
      </c>
      <c r="H90" s="2">
        <v>45256</v>
      </c>
      <c r="I90" t="s">
        <v>51</v>
      </c>
      <c r="J90" s="3">
        <v>527</v>
      </c>
      <c r="K90" s="6">
        <f>IF(Tabela3[[#This Row],[Recebido]]&lt;Tabela3[[#This Row],[Valor]],Tabela3[[#This Row],[Valor]]-Tabela3[[#This Row],[Recebido]],0)</f>
        <v>0</v>
      </c>
      <c r="L9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91" spans="1:12">
      <c r="A91" s="4">
        <f t="shared" si="2"/>
        <v>90</v>
      </c>
      <c r="B91" s="2">
        <v>45249</v>
      </c>
      <c r="C91" s="5">
        <f>Tabela3[[#This Row],[Data Emissão]]+10</f>
        <v>45259</v>
      </c>
      <c r="D91" s="5" t="str">
        <f>TEXT(Tabela3[[#This Row],[Data Vencimento]],"mmm")</f>
        <v>nov</v>
      </c>
      <c r="E91" t="s">
        <v>19</v>
      </c>
      <c r="F91" t="s">
        <v>20</v>
      </c>
      <c r="G91" s="3">
        <v>272</v>
      </c>
      <c r="H91" s="2">
        <v>45260</v>
      </c>
      <c r="I91" t="s">
        <v>53</v>
      </c>
      <c r="J91" s="3">
        <v>345</v>
      </c>
      <c r="K91" s="6">
        <f>IF(Tabela3[[#This Row],[Recebido]]&lt;Tabela3[[#This Row],[Valor]],Tabela3[[#This Row],[Valor]]-Tabela3[[#This Row],[Recebido]],0)</f>
        <v>0</v>
      </c>
      <c r="L9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2" spans="1:12">
      <c r="A92" s="4">
        <f t="shared" si="2"/>
        <v>91</v>
      </c>
      <c r="B92" s="2">
        <v>45250</v>
      </c>
      <c r="C92" s="5">
        <f>Tabela3[[#This Row],[Data Emissão]]+10</f>
        <v>45260</v>
      </c>
      <c r="D92" s="5" t="str">
        <f>TEXT(Tabela3[[#This Row],[Data Vencimento]],"mmm")</f>
        <v>nov</v>
      </c>
      <c r="E92" t="s">
        <v>4</v>
      </c>
      <c r="F92" t="s">
        <v>22</v>
      </c>
      <c r="G92" s="3">
        <v>201</v>
      </c>
      <c r="H92" s="2">
        <v>45261</v>
      </c>
      <c r="I92" t="s">
        <v>52</v>
      </c>
      <c r="J92" s="3">
        <v>243</v>
      </c>
      <c r="K92" s="6">
        <f>IF(Tabela3[[#This Row],[Recebido]]&lt;Tabela3[[#This Row],[Valor]],Tabela3[[#This Row],[Valor]]-Tabela3[[#This Row],[Recebido]],0)</f>
        <v>0</v>
      </c>
      <c r="L9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3" spans="1:12">
      <c r="A93" s="4">
        <f t="shared" si="2"/>
        <v>92</v>
      </c>
      <c r="B93" s="2">
        <v>45251</v>
      </c>
      <c r="C93" s="5">
        <f>Tabela3[[#This Row],[Data Emissão]]+10</f>
        <v>45261</v>
      </c>
      <c r="D93" s="5" t="str">
        <f>TEXT(Tabela3[[#This Row],[Data Vencimento]],"mmm")</f>
        <v>dez</v>
      </c>
      <c r="E93" t="s">
        <v>7</v>
      </c>
      <c r="F93" t="s">
        <v>24</v>
      </c>
      <c r="G93" s="3">
        <v>328</v>
      </c>
      <c r="H93" s="2">
        <v>45256</v>
      </c>
      <c r="I93" t="s">
        <v>50</v>
      </c>
      <c r="J93" s="3">
        <v>346</v>
      </c>
      <c r="K93" s="6">
        <f>IF(Tabela3[[#This Row],[Recebido]]&lt;Tabela3[[#This Row],[Valor]],Tabela3[[#This Row],[Valor]]-Tabela3[[#This Row],[Recebido]],0)</f>
        <v>0</v>
      </c>
      <c r="L9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94" spans="1:12">
      <c r="A94" s="4">
        <f t="shared" si="2"/>
        <v>93</v>
      </c>
      <c r="B94" s="2">
        <v>45252</v>
      </c>
      <c r="C94" s="5">
        <f>Tabela3[[#This Row],[Data Emissão]]+10</f>
        <v>45262</v>
      </c>
      <c r="D94" s="5" t="str">
        <f>TEXT(Tabela3[[#This Row],[Data Vencimento]],"mmm")</f>
        <v>dez</v>
      </c>
      <c r="E94" t="s">
        <v>10</v>
      </c>
      <c r="F94" t="s">
        <v>26</v>
      </c>
      <c r="G94" s="3">
        <v>170</v>
      </c>
      <c r="H94" s="2">
        <v>45259</v>
      </c>
      <c r="I94" t="s">
        <v>51</v>
      </c>
      <c r="J94" s="3">
        <v>140</v>
      </c>
      <c r="K94" s="6">
        <f>IF(Tabela3[[#This Row],[Recebido]]&lt;Tabela3[[#This Row],[Valor]],Tabela3[[#This Row],[Valor]]-Tabela3[[#This Row],[Recebido]],0)</f>
        <v>30</v>
      </c>
      <c r="L9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95" spans="1:12">
      <c r="A95" s="4">
        <f t="shared" si="2"/>
        <v>94</v>
      </c>
      <c r="B95" s="2">
        <v>45253</v>
      </c>
      <c r="C95" s="5">
        <f>Tabela3[[#This Row],[Data Emissão]]+10</f>
        <v>45263</v>
      </c>
      <c r="D95" s="5" t="str">
        <f>TEXT(Tabela3[[#This Row],[Data Vencimento]],"mmm")</f>
        <v>dez</v>
      </c>
      <c r="E95" t="s">
        <v>13</v>
      </c>
      <c r="F95" t="s">
        <v>28</v>
      </c>
      <c r="G95" s="3">
        <v>362</v>
      </c>
      <c r="H95" s="2">
        <v>45264</v>
      </c>
      <c r="I95" t="s">
        <v>53</v>
      </c>
      <c r="J95" s="3">
        <v>417</v>
      </c>
      <c r="K95" s="6">
        <f>IF(Tabela3[[#This Row],[Recebido]]&lt;Tabela3[[#This Row],[Valor]],Tabela3[[#This Row],[Valor]]-Tabela3[[#This Row],[Recebido]],0)</f>
        <v>0</v>
      </c>
      <c r="L9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6" spans="1:12">
      <c r="A96" s="4">
        <f t="shared" si="2"/>
        <v>95</v>
      </c>
      <c r="B96" s="2">
        <v>45254</v>
      </c>
      <c r="C96" s="5">
        <f>Tabela3[[#This Row],[Data Emissão]]+10</f>
        <v>45264</v>
      </c>
      <c r="D96" s="5" t="str">
        <f>TEXT(Tabela3[[#This Row],[Data Vencimento]],"mmm")</f>
        <v>dez</v>
      </c>
      <c r="E96" t="s">
        <v>16</v>
      </c>
      <c r="F96" t="s">
        <v>30</v>
      </c>
      <c r="G96" s="3">
        <v>410</v>
      </c>
      <c r="H96" s="2">
        <v>45265</v>
      </c>
      <c r="I96" t="s">
        <v>52</v>
      </c>
      <c r="J96" s="3">
        <v>402</v>
      </c>
      <c r="K96" s="6">
        <f>IF(Tabela3[[#This Row],[Recebido]]&lt;Tabela3[[#This Row],[Valor]],Tabela3[[#This Row],[Valor]]-Tabela3[[#This Row],[Recebido]],0)</f>
        <v>8</v>
      </c>
      <c r="L9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7" spans="1:12">
      <c r="A97" s="4">
        <f t="shared" si="2"/>
        <v>96</v>
      </c>
      <c r="B97" s="2">
        <v>45255</v>
      </c>
      <c r="C97" s="5">
        <f>Tabela3[[#This Row],[Data Emissão]]+10</f>
        <v>45265</v>
      </c>
      <c r="D97" s="5" t="str">
        <f>TEXT(Tabela3[[#This Row],[Data Vencimento]],"mmm")</f>
        <v>dez</v>
      </c>
      <c r="E97" t="s">
        <v>19</v>
      </c>
      <c r="F97" t="s">
        <v>32</v>
      </c>
      <c r="G97" s="3">
        <v>309</v>
      </c>
      <c r="H97" s="2">
        <v>45266</v>
      </c>
      <c r="I97" t="s">
        <v>50</v>
      </c>
      <c r="J97" s="3">
        <v>338</v>
      </c>
      <c r="K97" s="6">
        <f>IF(Tabela3[[#This Row],[Recebido]]&lt;Tabela3[[#This Row],[Valor]],Tabela3[[#This Row],[Valor]]-Tabela3[[#This Row],[Recebido]],0)</f>
        <v>0</v>
      </c>
      <c r="L9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98" spans="1:12">
      <c r="A98" s="4">
        <f t="shared" ref="A98:A113" si="3">ROW()-1</f>
        <v>97</v>
      </c>
      <c r="B98" s="2">
        <v>45256</v>
      </c>
      <c r="C98" s="5">
        <f>Tabela3[[#This Row],[Data Emissão]]+10</f>
        <v>45266</v>
      </c>
      <c r="D98" s="5" t="str">
        <f>TEXT(Tabela3[[#This Row],[Data Vencimento]],"mmm")</f>
        <v>dez</v>
      </c>
      <c r="E98" t="s">
        <v>4</v>
      </c>
      <c r="F98" t="s">
        <v>34</v>
      </c>
      <c r="G98" s="3">
        <v>494</v>
      </c>
      <c r="H98" s="2">
        <v>45265</v>
      </c>
      <c r="I98" t="s">
        <v>51</v>
      </c>
      <c r="J98" s="3">
        <v>544</v>
      </c>
      <c r="K98" s="6">
        <f>IF(Tabela3[[#This Row],[Recebido]]&lt;Tabela3[[#This Row],[Valor]],Tabela3[[#This Row],[Valor]]-Tabela3[[#This Row],[Recebido]],0)</f>
        <v>0</v>
      </c>
      <c r="L9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99" spans="1:12">
      <c r="A99" s="4">
        <f t="shared" si="3"/>
        <v>98</v>
      </c>
      <c r="B99" s="2">
        <v>45257</v>
      </c>
      <c r="C99" s="5">
        <f>Tabela3[[#This Row],[Data Emissão]]+10</f>
        <v>45267</v>
      </c>
      <c r="D99" s="5" t="str">
        <f>TEXT(Tabela3[[#This Row],[Data Vencimento]],"mmm")</f>
        <v>dez</v>
      </c>
      <c r="E99" t="s">
        <v>7</v>
      </c>
      <c r="F99" t="s">
        <v>36</v>
      </c>
      <c r="G99" s="3">
        <v>224</v>
      </c>
      <c r="H99" s="2">
        <v>45263</v>
      </c>
      <c r="I99" t="s">
        <v>53</v>
      </c>
      <c r="J99" s="3">
        <v>211</v>
      </c>
      <c r="K99" s="6">
        <f>IF(Tabela3[[#This Row],[Recebido]]&lt;Tabela3[[#This Row],[Valor]],Tabela3[[#This Row],[Valor]]-Tabela3[[#This Row],[Recebido]],0)</f>
        <v>13</v>
      </c>
      <c r="L9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0" spans="1:12">
      <c r="A100" s="4">
        <f t="shared" si="3"/>
        <v>99</v>
      </c>
      <c r="B100" s="2">
        <v>45258</v>
      </c>
      <c r="C100" s="5">
        <f>Tabela3[[#This Row],[Data Emissão]]+10</f>
        <v>45268</v>
      </c>
      <c r="D100" s="5" t="str">
        <f>TEXT(Tabela3[[#This Row],[Data Vencimento]],"mmm")</f>
        <v>dez</v>
      </c>
      <c r="E100" t="s">
        <v>10</v>
      </c>
      <c r="F100" t="s">
        <v>5</v>
      </c>
      <c r="G100" s="3">
        <v>346</v>
      </c>
      <c r="H100" s="2">
        <v>45270</v>
      </c>
      <c r="I100" t="s">
        <v>52</v>
      </c>
      <c r="J100" s="3">
        <v>437</v>
      </c>
      <c r="K100" s="6">
        <f>IF(Tabela3[[#This Row],[Recebido]]&lt;Tabela3[[#This Row],[Valor]],Tabela3[[#This Row],[Valor]]-Tabela3[[#This Row],[Recebido]],0)</f>
        <v>0</v>
      </c>
      <c r="L10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01" spans="1:12">
      <c r="A101" s="4">
        <f t="shared" si="3"/>
        <v>100</v>
      </c>
      <c r="B101" s="2">
        <v>45259</v>
      </c>
      <c r="C101" s="5">
        <f>Tabela3[[#This Row],[Data Emissão]]+10</f>
        <v>45269</v>
      </c>
      <c r="D101" s="5" t="str">
        <f>TEXT(Tabela3[[#This Row],[Data Vencimento]],"mmm")</f>
        <v>dez</v>
      </c>
      <c r="E101" t="s">
        <v>13</v>
      </c>
      <c r="F101" t="s">
        <v>8</v>
      </c>
      <c r="G101" s="3">
        <v>178</v>
      </c>
      <c r="H101" s="2">
        <v>45264</v>
      </c>
      <c r="I101" t="s">
        <v>50</v>
      </c>
      <c r="J101" s="3">
        <v>150</v>
      </c>
      <c r="K101" s="6">
        <f>IF(Tabela3[[#This Row],[Recebido]]&lt;Tabela3[[#This Row],[Valor]],Tabela3[[#This Row],[Valor]]-Tabela3[[#This Row],[Recebido]],0)</f>
        <v>28</v>
      </c>
      <c r="L10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2" spans="1:12">
      <c r="A102" s="4">
        <f t="shared" si="3"/>
        <v>101</v>
      </c>
      <c r="B102" s="2">
        <v>45260</v>
      </c>
      <c r="C102" s="5">
        <f>Tabela3[[#This Row],[Data Emissão]]+10</f>
        <v>45270</v>
      </c>
      <c r="D102" s="5" t="str">
        <f>TEXT(Tabela3[[#This Row],[Data Vencimento]],"mmm")</f>
        <v>dez</v>
      </c>
      <c r="E102" t="s">
        <v>16</v>
      </c>
      <c r="F102" t="s">
        <v>11</v>
      </c>
      <c r="G102" s="3">
        <v>182</v>
      </c>
      <c r="H102" s="2">
        <v>45265</v>
      </c>
      <c r="I102" t="s">
        <v>51</v>
      </c>
      <c r="J102" s="3">
        <v>227</v>
      </c>
      <c r="K102" s="6">
        <f>IF(Tabela3[[#This Row],[Recebido]]&lt;Tabela3[[#This Row],[Valor]],Tabela3[[#This Row],[Valor]]-Tabela3[[#This Row],[Recebido]],0)</f>
        <v>0</v>
      </c>
      <c r="L10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3" spans="1:12">
      <c r="A103" s="4">
        <f t="shared" si="3"/>
        <v>102</v>
      </c>
      <c r="B103" s="2">
        <v>45261</v>
      </c>
      <c r="C103" s="5">
        <f>Tabela3[[#This Row],[Data Emissão]]+10</f>
        <v>45271</v>
      </c>
      <c r="D103" s="5" t="str">
        <f>TEXT(Tabela3[[#This Row],[Data Vencimento]],"mmm")</f>
        <v>dez</v>
      </c>
      <c r="E103" t="s">
        <v>19</v>
      </c>
      <c r="F103" t="s">
        <v>14</v>
      </c>
      <c r="G103" s="3">
        <v>243</v>
      </c>
      <c r="H103" s="2">
        <v>45267</v>
      </c>
      <c r="I103" t="s">
        <v>53</v>
      </c>
      <c r="J103" s="3">
        <v>258</v>
      </c>
      <c r="K103" s="6">
        <f>IF(Tabela3[[#This Row],[Recebido]]&lt;Tabela3[[#This Row],[Valor]],Tabela3[[#This Row],[Valor]]-Tabela3[[#This Row],[Recebido]],0)</f>
        <v>0</v>
      </c>
      <c r="L10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4" spans="1:12">
      <c r="A104" s="4">
        <f t="shared" si="3"/>
        <v>103</v>
      </c>
      <c r="B104" s="2">
        <v>45262</v>
      </c>
      <c r="C104" s="5">
        <f>Tabela3[[#This Row],[Data Emissão]]+10</f>
        <v>45272</v>
      </c>
      <c r="D104" s="5" t="str">
        <f>TEXT(Tabela3[[#This Row],[Data Vencimento]],"mmm")</f>
        <v>dez</v>
      </c>
      <c r="E104" t="s">
        <v>4</v>
      </c>
      <c r="F104" t="s">
        <v>17</v>
      </c>
      <c r="G104" s="3">
        <v>266</v>
      </c>
      <c r="H104" s="2">
        <v>45274</v>
      </c>
      <c r="I104" t="s">
        <v>52</v>
      </c>
      <c r="J104" s="3">
        <v>292</v>
      </c>
      <c r="K104" s="6">
        <f>IF(Tabela3[[#This Row],[Recebido]]&lt;Tabela3[[#This Row],[Valor]],Tabela3[[#This Row],[Valor]]-Tabela3[[#This Row],[Recebido]],0)</f>
        <v>0</v>
      </c>
      <c r="L104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com Atraso</v>
      </c>
    </row>
    <row r="105" spans="1:12">
      <c r="A105" s="4">
        <f t="shared" si="3"/>
        <v>104</v>
      </c>
      <c r="B105" s="2">
        <v>45263</v>
      </c>
      <c r="C105" s="5">
        <f>Tabela3[[#This Row],[Data Emissão]]+10</f>
        <v>45273</v>
      </c>
      <c r="D105" s="5" t="str">
        <f>TEXT(Tabela3[[#This Row],[Data Vencimento]],"mmm")</f>
        <v>dez</v>
      </c>
      <c r="E105" t="s">
        <v>7</v>
      </c>
      <c r="F105" t="s">
        <v>20</v>
      </c>
      <c r="G105" s="3">
        <v>444</v>
      </c>
      <c r="H105" s="2">
        <v>45270</v>
      </c>
      <c r="I105" t="s">
        <v>50</v>
      </c>
      <c r="J105" s="3">
        <v>452</v>
      </c>
      <c r="K105" s="6">
        <f>IF(Tabela3[[#This Row],[Recebido]]&lt;Tabela3[[#This Row],[Valor]],Tabela3[[#This Row],[Valor]]-Tabela3[[#This Row],[Recebido]],0)</f>
        <v>0</v>
      </c>
      <c r="L105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Pago no Prazo</v>
      </c>
    </row>
    <row r="106" spans="1:12">
      <c r="A106" s="4">
        <f t="shared" si="3"/>
        <v>105</v>
      </c>
      <c r="B106" s="2">
        <v>45264</v>
      </c>
      <c r="C106" s="5">
        <f>Tabela3[[#This Row],[Data Emissão]]+10</f>
        <v>45274</v>
      </c>
      <c r="D106" s="5" t="str">
        <f>TEXT(Tabela3[[#This Row],[Data Vencimento]],"mmm")</f>
        <v>dez</v>
      </c>
      <c r="E106" t="s">
        <v>10</v>
      </c>
      <c r="F106" t="s">
        <v>22</v>
      </c>
      <c r="G106" s="3">
        <v>461</v>
      </c>
      <c r="H106" s="2"/>
      <c r="I106" t="s">
        <v>51</v>
      </c>
      <c r="J106" s="3">
        <v>558</v>
      </c>
      <c r="K106" s="6">
        <f>IF(Tabela3[[#This Row],[Recebido]]&lt;Tabela3[[#This Row],[Valor]],Tabela3[[#This Row],[Valor]]-Tabela3[[#This Row],[Recebido]],0)</f>
        <v>0</v>
      </c>
      <c r="L106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07" spans="1:12">
      <c r="A107" s="4">
        <f t="shared" si="3"/>
        <v>106</v>
      </c>
      <c r="B107" s="2">
        <v>45265</v>
      </c>
      <c r="C107" s="5">
        <f>Tabela3[[#This Row],[Data Emissão]]+10</f>
        <v>45275</v>
      </c>
      <c r="D107" s="5" t="str">
        <f>TEXT(Tabela3[[#This Row],[Data Vencimento]],"mmm")</f>
        <v>dez</v>
      </c>
      <c r="E107" t="s">
        <v>13</v>
      </c>
      <c r="F107" t="s">
        <v>24</v>
      </c>
      <c r="G107" s="3">
        <v>414</v>
      </c>
      <c r="H107" s="2"/>
      <c r="I107" t="s">
        <v>53</v>
      </c>
      <c r="J107" s="3">
        <v>394</v>
      </c>
      <c r="K107" s="6">
        <f>IF(Tabela3[[#This Row],[Recebido]]&lt;Tabela3[[#This Row],[Valor]],Tabela3[[#This Row],[Valor]]-Tabela3[[#This Row],[Recebido]],0)</f>
        <v>20</v>
      </c>
      <c r="L107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08" spans="1:12">
      <c r="A108" s="4">
        <f t="shared" si="3"/>
        <v>107</v>
      </c>
      <c r="B108" s="2">
        <v>45266</v>
      </c>
      <c r="C108" s="5">
        <f>Tabela3[[#This Row],[Data Emissão]]+10</f>
        <v>45276</v>
      </c>
      <c r="D108" s="5" t="str">
        <f>TEXT(Tabela3[[#This Row],[Data Vencimento]],"mmm")</f>
        <v>dez</v>
      </c>
      <c r="E108" t="s">
        <v>16</v>
      </c>
      <c r="F108" t="s">
        <v>26</v>
      </c>
      <c r="G108" s="3">
        <v>276</v>
      </c>
      <c r="H108" s="2"/>
      <c r="I108" t="s">
        <v>52</v>
      </c>
      <c r="J108" s="3">
        <v>272</v>
      </c>
      <c r="K108" s="6">
        <f>IF(Tabela3[[#This Row],[Recebido]]&lt;Tabela3[[#This Row],[Valor]],Tabela3[[#This Row],[Valor]]-Tabela3[[#This Row],[Recebido]],0)</f>
        <v>4</v>
      </c>
      <c r="L108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09" spans="1:12">
      <c r="A109" s="4">
        <f t="shared" si="3"/>
        <v>108</v>
      </c>
      <c r="B109" s="2">
        <v>45267</v>
      </c>
      <c r="C109" s="5">
        <f>Tabela3[[#This Row],[Data Emissão]]+10</f>
        <v>45277</v>
      </c>
      <c r="D109" s="5" t="str">
        <f>TEXT(Tabela3[[#This Row],[Data Vencimento]],"mmm")</f>
        <v>dez</v>
      </c>
      <c r="E109" t="s">
        <v>19</v>
      </c>
      <c r="F109" t="s">
        <v>28</v>
      </c>
      <c r="G109" s="3">
        <v>290</v>
      </c>
      <c r="H109" s="2"/>
      <c r="I109" t="s">
        <v>50</v>
      </c>
      <c r="J109" s="3">
        <v>346</v>
      </c>
      <c r="K109" s="6">
        <f>IF(Tabela3[[#This Row],[Recebido]]&lt;Tabela3[[#This Row],[Valor]],Tabela3[[#This Row],[Valor]]-Tabela3[[#This Row],[Recebido]],0)</f>
        <v>0</v>
      </c>
      <c r="L109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10" spans="1:12">
      <c r="A110" s="4">
        <f t="shared" si="3"/>
        <v>109</v>
      </c>
      <c r="B110" s="2">
        <v>45268</v>
      </c>
      <c r="C110" s="5">
        <f>Tabela3[[#This Row],[Data Emissão]]+10</f>
        <v>45278</v>
      </c>
      <c r="D110" s="5" t="str">
        <f>TEXT(Tabela3[[#This Row],[Data Vencimento]],"mmm")</f>
        <v>dez</v>
      </c>
      <c r="E110" t="s">
        <v>4</v>
      </c>
      <c r="F110" t="s">
        <v>30</v>
      </c>
      <c r="G110" s="3">
        <v>191</v>
      </c>
      <c r="H110" s="2"/>
      <c r="I110" t="s">
        <v>51</v>
      </c>
      <c r="J110" s="3">
        <v>163</v>
      </c>
      <c r="K110" s="6">
        <f>IF(Tabela3[[#This Row],[Recebido]]&lt;Tabela3[[#This Row],[Valor]],Tabela3[[#This Row],[Valor]]-Tabela3[[#This Row],[Recebido]],0)</f>
        <v>28</v>
      </c>
      <c r="L110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11" spans="1:12">
      <c r="A111" s="4">
        <f t="shared" si="3"/>
        <v>110</v>
      </c>
      <c r="B111" s="2">
        <v>45269</v>
      </c>
      <c r="C111" s="5">
        <f>Tabela3[[#This Row],[Data Emissão]]+10</f>
        <v>45279</v>
      </c>
      <c r="D111" s="5" t="str">
        <f>TEXT(Tabela3[[#This Row],[Data Vencimento]],"mmm")</f>
        <v>dez</v>
      </c>
      <c r="E111" t="s">
        <v>7</v>
      </c>
      <c r="F111" t="s">
        <v>32</v>
      </c>
      <c r="G111" s="3">
        <v>415</v>
      </c>
      <c r="H111" s="2"/>
      <c r="I111" t="s">
        <v>53</v>
      </c>
      <c r="J111" s="3">
        <v>421</v>
      </c>
      <c r="K111" s="6">
        <f>IF(Tabela3[[#This Row],[Recebido]]&lt;Tabela3[[#This Row],[Valor]],Tabela3[[#This Row],[Valor]]-Tabela3[[#This Row],[Recebido]],0)</f>
        <v>0</v>
      </c>
      <c r="L111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12" spans="1:12">
      <c r="A112" s="4">
        <f t="shared" si="3"/>
        <v>111</v>
      </c>
      <c r="B112" s="2">
        <v>45270</v>
      </c>
      <c r="C112" s="5">
        <f>Tabela3[[#This Row],[Data Emissão]]+10</f>
        <v>45280</v>
      </c>
      <c r="D112" s="5" t="str">
        <f>TEXT(Tabela3[[#This Row],[Data Vencimento]],"mmm")</f>
        <v>dez</v>
      </c>
      <c r="E112" t="s">
        <v>10</v>
      </c>
      <c r="F112" t="s">
        <v>34</v>
      </c>
      <c r="G112" s="3">
        <v>366</v>
      </c>
      <c r="H112" s="2"/>
      <c r="I112" t="s">
        <v>52</v>
      </c>
      <c r="J112" s="3">
        <v>398</v>
      </c>
      <c r="K112" s="6">
        <f>IF(Tabela3[[#This Row],[Recebido]]&lt;Tabela3[[#This Row],[Valor]],Tabela3[[#This Row],[Valor]]-Tabela3[[#This Row],[Recebido]],0)</f>
        <v>0</v>
      </c>
      <c r="L112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  <row r="113" spans="1:12">
      <c r="A113" s="4">
        <f t="shared" si="3"/>
        <v>112</v>
      </c>
      <c r="B113" s="2">
        <v>45271</v>
      </c>
      <c r="C113" s="5">
        <f>Tabela3[[#This Row],[Data Emissão]]+10</f>
        <v>45281</v>
      </c>
      <c r="D113" s="5" t="str">
        <f>TEXT(Tabela3[[#This Row],[Data Vencimento]],"mmm")</f>
        <v>dez</v>
      </c>
      <c r="E113" t="s">
        <v>13</v>
      </c>
      <c r="F113" t="s">
        <v>36</v>
      </c>
      <c r="G113" s="3">
        <v>469</v>
      </c>
      <c r="H113" s="2"/>
      <c r="I113" t="s">
        <v>50</v>
      </c>
      <c r="J113" s="3">
        <v>520</v>
      </c>
      <c r="K113" s="6">
        <f>IF(Tabela3[[#This Row],[Recebido]]&lt;Tabela3[[#This Row],[Valor]],Tabela3[[#This Row],[Valor]]-Tabela3[[#This Row],[Recebido]],0)</f>
        <v>0</v>
      </c>
      <c r="L113" s="7" t="str">
        <f ca="1">IF(Tabela3[[#This Row],[Data Pagamento]]&lt;&gt;"",IF(Tabela3[[#This Row],[Data Pagamento]]&gt;Tabela3[[#This Row],[Data Vencimento]],"Pago com Atraso","Pago no Prazo"),IF(Tabela3[[#This Row],[Data Vencimento]]&lt;TODAY(),"Atrasado","Pendente"))</f>
        <v>Pendente</v>
      </c>
    </row>
  </sheetData>
  <dataValidations count="1">
    <dataValidation type="list" allowBlank="1" showInputMessage="1" showErrorMessage="1" sqref="I2:I113" xr:uid="{58982E2C-BC44-4677-AE7F-6E5BDBF95083}">
      <formula1>"PIX,Boleto,Dinheiro,Cheque"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4088F4-7F67-452A-8927-1A226797D840}">
          <x14:formula1>
            <xm:f>Cadastros!$A$2:$A$16</xm:f>
          </x14:formula1>
          <xm:sqref>E2:E113</xm:sqref>
        </x14:dataValidation>
        <x14:dataValidation type="list" allowBlank="1" showInputMessage="1" showErrorMessage="1" xr:uid="{CC46D30D-E973-44DC-8EB7-BDAEC218C5E8}">
          <x14:formula1>
            <xm:f>Cadastros!$D$2:$D$615</xm:f>
          </x14:formula1>
          <xm:sqref>F2:F113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76283-2B04-4F55-BD58-79D849FC7B03}">
  <dimension ref="A1:M9"/>
  <sheetViews>
    <sheetView showGridLines="0" zoomScale="120" zoomScaleNormal="120" workbookViewId="0">
      <selection activeCell="J2" sqref="J2"/>
    </sheetView>
  </sheetViews>
  <sheetFormatPr defaultRowHeight="14.45" zeroHeight="1"/>
  <cols>
    <col min="1" max="1" width="42.140625" customWidth="1"/>
    <col min="2" max="13" width="10.7109375" customWidth="1"/>
  </cols>
  <sheetData>
    <row r="1" spans="1:13" s="11" customFormat="1" ht="25.15" customHeight="1">
      <c r="A1" s="12" t="s">
        <v>54</v>
      </c>
      <c r="B1" s="12" t="s">
        <v>55</v>
      </c>
      <c r="C1" s="12" t="s">
        <v>56</v>
      </c>
      <c r="D1" s="12" t="s">
        <v>57</v>
      </c>
      <c r="E1" s="12" t="s">
        <v>58</v>
      </c>
      <c r="F1" s="12" t="s">
        <v>59</v>
      </c>
      <c r="G1" s="12" t="s">
        <v>60</v>
      </c>
      <c r="H1" s="12" t="s">
        <v>61</v>
      </c>
      <c r="I1" s="12" t="s">
        <v>62</v>
      </c>
      <c r="J1" s="12" t="s">
        <v>63</v>
      </c>
      <c r="K1" s="12" t="s">
        <v>64</v>
      </c>
      <c r="L1" s="12" t="s">
        <v>65</v>
      </c>
      <c r="M1" s="12" t="s">
        <v>66</v>
      </c>
    </row>
    <row r="2" spans="1:13" s="11" customFormat="1" ht="25.15" customHeight="1">
      <c r="A2" s="21" t="s">
        <v>67</v>
      </c>
      <c r="B2" s="13">
        <f ca="1">COUNTIFS(Registro!$L:$L,"Pendente",Registro!$D:$D,'Resumo Geral'!B$1)+COUNTIFS(Registro!$L:$L,"Atrasado",Registro!$D:$D,'Resumo Geral'!B$1)</f>
        <v>0</v>
      </c>
      <c r="C2" s="13">
        <f ca="1">COUNTIFS(Registro!$L:$L,"Pendente",Registro!$D:$D,'Resumo Geral'!C$1)+COUNTIFS(Registro!$L:$L,"Atrasado",Registro!$D:$D,'Resumo Geral'!C$1)</f>
        <v>0</v>
      </c>
      <c r="D2" s="13">
        <f ca="1">COUNTIFS(Registro!$L:$L,"Pendente",Registro!$D:$D,'Resumo Geral'!D$1)+COUNTIFS(Registro!$L:$L,"Atrasado",Registro!$D:$D,'Resumo Geral'!D$1)</f>
        <v>0</v>
      </c>
      <c r="E2" s="13">
        <f ca="1">COUNTIFS(Registro!$L:$L,"Pendente",Registro!$D:$D,'Resumo Geral'!E$1)+COUNTIFS(Registro!$L:$L,"Atrasado",Registro!$D:$D,'Resumo Geral'!E$1)</f>
        <v>0</v>
      </c>
      <c r="F2" s="13">
        <f ca="1">COUNTIFS(Registro!$L:$L,"Pendente",Registro!$D:$D,'Resumo Geral'!F$1)+COUNTIFS(Registro!$L:$L,"Atrasado",Registro!$D:$D,'Resumo Geral'!F$1)</f>
        <v>0</v>
      </c>
      <c r="G2" s="13">
        <f ca="1">COUNTIFS(Registro!$L:$L,"Pendente",Registro!$D:$D,'Resumo Geral'!G$1)+COUNTIFS(Registro!$L:$L,"Atrasado",Registro!$D:$D,'Resumo Geral'!G$1)</f>
        <v>0</v>
      </c>
      <c r="H2" s="13">
        <f ca="1">COUNTIFS(Registro!$L:$L,"Pendente",Registro!$D:$D,'Resumo Geral'!H$1)+COUNTIFS(Registro!$L:$L,"Atrasado",Registro!$D:$D,'Resumo Geral'!H$1)</f>
        <v>0</v>
      </c>
      <c r="I2" s="13">
        <f ca="1">COUNTIFS(Registro!$L:$L,"Pendente",Registro!$D:$D,'Resumo Geral'!I$1)+COUNTIFS(Registro!$L:$L,"Atrasado",Registro!$D:$D,'Resumo Geral'!I$1)</f>
        <v>0</v>
      </c>
      <c r="J2" s="13">
        <f ca="1">COUNTIFS(Registro!$L:$L,"Pendente",Registro!$D:$D,'Resumo Geral'!J$1)+COUNTIFS(Registro!$L:$L,"Atrasado",Registro!$D:$D,'Resumo Geral'!J$1)</f>
        <v>3</v>
      </c>
      <c r="K2" s="13">
        <f ca="1">COUNTIFS(Registro!$L:$L,"Pendente",Registro!$D:$D,'Resumo Geral'!K$1)+COUNTIFS(Registro!$L:$L,"Atrasado",Registro!$D:$D,'Resumo Geral'!K$1)</f>
        <v>2</v>
      </c>
      <c r="L2" s="13">
        <f ca="1">COUNTIFS(Registro!$L:$L,"Pendente",Registro!$D:$D,'Resumo Geral'!L$1)+COUNTIFS(Registro!$L:$L,"Atrasado",Registro!$D:$D,'Resumo Geral'!L$1)</f>
        <v>0</v>
      </c>
      <c r="M2" s="13">
        <f ca="1">COUNTIFS(Registro!$L:$L,"Pendente",Registro!$D:$D,'Resumo Geral'!M$1)+COUNTIFS(Registro!$L:$L,"Atrasado",Registro!$D:$D,'Resumo Geral'!M$1)</f>
        <v>8</v>
      </c>
    </row>
    <row r="3" spans="1:13" s="11" customFormat="1" ht="25.15" customHeight="1">
      <c r="A3" s="21" t="s">
        <v>68</v>
      </c>
      <c r="B3" s="14">
        <f ca="1">SUMIFS(Registro!$G:$G,Registro!$L:$L,"Pendente",Registro!$D:$D,'Resumo Geral'!B$1)+SUMIFS(Registro!$G:$G,Registro!$L:$L,"Atrasado",Registro!$D:$D,'Resumo Geral'!B$1)</f>
        <v>0</v>
      </c>
      <c r="C3" s="14">
        <f ca="1">SUMIFS(Registro!$G:$G,Registro!$L:$L,"Pendente",Registro!$D:$D,'Resumo Geral'!C$1)+SUMIFS(Registro!$G:$G,Registro!$L:$L,"Atrasado",Registro!$D:$D,'Resumo Geral'!C$1)</f>
        <v>0</v>
      </c>
      <c r="D3" s="14">
        <f ca="1">SUMIFS(Registro!$G:$G,Registro!$L:$L,"Pendente",Registro!$D:$D,'Resumo Geral'!D$1)+SUMIFS(Registro!$G:$G,Registro!$L:$L,"Atrasado",Registro!$D:$D,'Resumo Geral'!D$1)</f>
        <v>0</v>
      </c>
      <c r="E3" s="14">
        <f ca="1">SUMIFS(Registro!$G:$G,Registro!$L:$L,"Pendente",Registro!$D:$D,'Resumo Geral'!E$1)+SUMIFS(Registro!$G:$G,Registro!$L:$L,"Atrasado",Registro!$D:$D,'Resumo Geral'!E$1)</f>
        <v>0</v>
      </c>
      <c r="F3" s="14">
        <f ca="1">SUMIFS(Registro!$G:$G,Registro!$L:$L,"Pendente",Registro!$D:$D,'Resumo Geral'!F$1)+SUMIFS(Registro!$G:$G,Registro!$L:$L,"Atrasado",Registro!$D:$D,'Resumo Geral'!F$1)</f>
        <v>0</v>
      </c>
      <c r="G3" s="14">
        <f ca="1">SUMIFS(Registro!$G:$G,Registro!$L:$L,"Pendente",Registro!$D:$D,'Resumo Geral'!G$1)+SUMIFS(Registro!$G:$G,Registro!$L:$L,"Atrasado",Registro!$D:$D,'Resumo Geral'!G$1)</f>
        <v>0</v>
      </c>
      <c r="H3" s="14">
        <f ca="1">SUMIFS(Registro!$G:$G,Registro!$L:$L,"Pendente",Registro!$D:$D,'Resumo Geral'!H$1)+SUMIFS(Registro!$G:$G,Registro!$L:$L,"Atrasado",Registro!$D:$D,'Resumo Geral'!H$1)</f>
        <v>0</v>
      </c>
      <c r="I3" s="14">
        <f ca="1">SUMIFS(Registro!$G:$G,Registro!$L:$L,"Pendente",Registro!$D:$D,'Resumo Geral'!I$1)+SUMIFS(Registro!$G:$G,Registro!$L:$L,"Atrasado",Registro!$D:$D,'Resumo Geral'!I$1)</f>
        <v>0</v>
      </c>
      <c r="J3" s="14">
        <f ca="1">SUMIFS(Registro!$G:$G,Registro!$L:$L,"Pendente",Registro!$D:$D,'Resumo Geral'!J$1)+SUMIFS(Registro!$G:$G,Registro!$L:$L,"Atrasado",Registro!$D:$D,'Resumo Geral'!J$1)</f>
        <v>960</v>
      </c>
      <c r="K3" s="14">
        <f ca="1">SUMIFS(Registro!$G:$G,Registro!$L:$L,"Pendente",Registro!$D:$D,'Resumo Geral'!K$1)+SUMIFS(Registro!$G:$G,Registro!$L:$L,"Atrasado",Registro!$D:$D,'Resumo Geral'!K$1)</f>
        <v>229</v>
      </c>
      <c r="L3" s="14">
        <f ca="1">SUMIFS(Registro!$G:$G,Registro!$L:$L,"Pendente",Registro!$D:$D,'Resumo Geral'!L$1)+SUMIFS(Registro!$G:$G,Registro!$L:$L,"Atrasado",Registro!$D:$D,'Resumo Geral'!L$1)</f>
        <v>0</v>
      </c>
      <c r="M3" s="14">
        <f ca="1">SUMIFS(Registro!$G:$G,Registro!$L:$L,"Pendente",Registro!$D:$D,'Resumo Geral'!M$1)+SUMIFS(Registro!$G:$G,Registro!$L:$L,"Atrasado",Registro!$D:$D,'Resumo Geral'!M$1)</f>
        <v>2882</v>
      </c>
    </row>
    <row r="4" spans="1:13" s="11" customFormat="1" ht="25.15" customHeight="1">
      <c r="A4" s="22" t="s">
        <v>69</v>
      </c>
      <c r="B4" s="15">
        <f ca="1">COUNTIFS(Registro!$L:$L,"Pago no Prazo",Registro!$D:$D,'Resumo Geral'!B$1)+COUNTIFS(Registro!$L:$L,"Pago com Atraso",Registro!$D:$D,'Resumo Geral'!B$1)</f>
        <v>5</v>
      </c>
      <c r="C4" s="15">
        <f ca="1">COUNTIFS(Registro!$L:$L,"Pago no Prazo",Registro!$D:$D,'Resumo Geral'!C$1)+COUNTIFS(Registro!$L:$L,"Pago com Atraso",Registro!$D:$D,'Resumo Geral'!C$1)</f>
        <v>10</v>
      </c>
      <c r="D4" s="15">
        <f ca="1">COUNTIFS(Registro!$L:$L,"Pago no Prazo",Registro!$D:$D,'Resumo Geral'!D$1)+COUNTIFS(Registro!$L:$L,"Pago com Atraso",Registro!$D:$D,'Resumo Geral'!D$1)</f>
        <v>8</v>
      </c>
      <c r="E4" s="15">
        <f ca="1">COUNTIFS(Registro!$L:$L,"Pago no Prazo",Registro!$D:$D,'Resumo Geral'!E$1)+COUNTIFS(Registro!$L:$L,"Pago com Atraso",Registro!$D:$D,'Resumo Geral'!E$1)</f>
        <v>9</v>
      </c>
      <c r="F4" s="15">
        <f ca="1">COUNTIFS(Registro!$L:$L,"Pago no Prazo",Registro!$D:$D,'Resumo Geral'!F$1)+COUNTIFS(Registro!$L:$L,"Pago com Atraso",Registro!$D:$D,'Resumo Geral'!F$1)</f>
        <v>9</v>
      </c>
      <c r="G4" s="15">
        <f ca="1">COUNTIFS(Registro!$L:$L,"Pago no Prazo",Registro!$D:$D,'Resumo Geral'!G$1)+COUNTIFS(Registro!$L:$L,"Pago com Atraso",Registro!$D:$D,'Resumo Geral'!G$1)</f>
        <v>8</v>
      </c>
      <c r="H4" s="15">
        <f ca="1">COUNTIFS(Registro!$L:$L,"Pago no Prazo",Registro!$D:$D,'Resumo Geral'!H$1)+COUNTIFS(Registro!$L:$L,"Pago com Atraso",Registro!$D:$D,'Resumo Geral'!H$1)</f>
        <v>8</v>
      </c>
      <c r="I4" s="15">
        <f ca="1">COUNTIFS(Registro!$L:$L,"Pago no Prazo",Registro!$D:$D,'Resumo Geral'!I$1)+COUNTIFS(Registro!$L:$L,"Pago com Atraso",Registro!$D:$D,'Resumo Geral'!I$1)</f>
        <v>10</v>
      </c>
      <c r="J4" s="15">
        <f ca="1">COUNTIFS(Registro!$L:$L,"Pago no Prazo",Registro!$D:$D,'Resumo Geral'!J$1)+COUNTIFS(Registro!$L:$L,"Pago com Atraso",Registro!$D:$D,'Resumo Geral'!J$1)</f>
        <v>10</v>
      </c>
      <c r="K4" s="15">
        <f ca="1">COUNTIFS(Registro!$L:$L,"Pago no Prazo",Registro!$D:$D,'Resumo Geral'!K$1)+COUNTIFS(Registro!$L:$L,"Pago com Atraso",Registro!$D:$D,'Resumo Geral'!K$1)</f>
        <v>4</v>
      </c>
      <c r="L4" s="15">
        <f ca="1">COUNTIFS(Registro!$L:$L,"Pago no Prazo",Registro!$D:$D,'Resumo Geral'!L$1)+COUNTIFS(Registro!$L:$L,"Pago com Atraso",Registro!$D:$D,'Resumo Geral'!L$1)</f>
        <v>5</v>
      </c>
      <c r="M4" s="15">
        <f ca="1">COUNTIFS(Registro!$L:$L,"Pago no Prazo",Registro!$D:$D,'Resumo Geral'!M$1)+COUNTIFS(Registro!$L:$L,"Pago com Atraso",Registro!$D:$D,'Resumo Geral'!M$1)</f>
        <v>13</v>
      </c>
    </row>
    <row r="5" spans="1:13" s="11" customFormat="1" ht="25.15" customHeight="1">
      <c r="A5" s="22" t="s">
        <v>70</v>
      </c>
      <c r="B5" s="16">
        <f ca="1">SUMIFS(Registro!$G:$G,Registro!$L:$L,"Pago no Prazo",Registro!$D:$D,'Resumo Geral'!B$1)+SUMIFS(Registro!$G:$G,Registro!$L:$L,"Pago com Atraso",Registro!$D:$D,'Resumo Geral'!B$1)</f>
        <v>1307</v>
      </c>
      <c r="C5" s="16">
        <f ca="1">SUMIFS(Registro!$G:$G,Registro!$L:$L,"Pago no Prazo",Registro!$D:$D,'Resumo Geral'!C$1)+SUMIFS(Registro!$G:$G,Registro!$L:$L,"Pago com Atraso",Registro!$D:$D,'Resumo Geral'!C$1)</f>
        <v>2753</v>
      </c>
      <c r="D5" s="16">
        <f ca="1">SUMIFS(Registro!$G:$G,Registro!$L:$L,"Pago no Prazo",Registro!$D:$D,'Resumo Geral'!D$1)+SUMIFS(Registro!$G:$G,Registro!$L:$L,"Pago com Atraso",Registro!$D:$D,'Resumo Geral'!D$1)</f>
        <v>2438</v>
      </c>
      <c r="E5" s="16">
        <f ca="1">SUMIFS(Registro!$G:$G,Registro!$L:$L,"Pago no Prazo",Registro!$D:$D,'Resumo Geral'!E$1)+SUMIFS(Registro!$G:$G,Registro!$L:$L,"Pago com Atraso",Registro!$D:$D,'Resumo Geral'!E$1)</f>
        <v>2595</v>
      </c>
      <c r="F5" s="16">
        <f ca="1">SUMIFS(Registro!$G:$G,Registro!$L:$L,"Pago no Prazo",Registro!$D:$D,'Resumo Geral'!F$1)+SUMIFS(Registro!$G:$G,Registro!$L:$L,"Pago com Atraso",Registro!$D:$D,'Resumo Geral'!F$1)</f>
        <v>2448</v>
      </c>
      <c r="G5" s="16">
        <f ca="1">SUMIFS(Registro!$G:$G,Registro!$L:$L,"Pago no Prazo",Registro!$D:$D,'Resumo Geral'!G$1)+SUMIFS(Registro!$G:$G,Registro!$L:$L,"Pago com Atraso",Registro!$D:$D,'Resumo Geral'!G$1)</f>
        <v>2088</v>
      </c>
      <c r="H5" s="16">
        <f ca="1">SUMIFS(Registro!$G:$G,Registro!$L:$L,"Pago no Prazo",Registro!$D:$D,'Resumo Geral'!H$1)+SUMIFS(Registro!$G:$G,Registro!$L:$L,"Pago com Atraso",Registro!$D:$D,'Resumo Geral'!H$1)</f>
        <v>2561</v>
      </c>
      <c r="I5" s="16">
        <f ca="1">SUMIFS(Registro!$G:$G,Registro!$L:$L,"Pago no Prazo",Registro!$D:$D,'Resumo Geral'!I$1)+SUMIFS(Registro!$G:$G,Registro!$L:$L,"Pago com Atraso",Registro!$D:$D,'Resumo Geral'!I$1)</f>
        <v>2799</v>
      </c>
      <c r="J5" s="16">
        <f ca="1">SUMIFS(Registro!$G:$G,Registro!$L:$L,"Pago no Prazo",Registro!$D:$D,'Resumo Geral'!J$1)+SUMIFS(Registro!$G:$G,Registro!$L:$L,"Pago com Atraso",Registro!$D:$D,'Resumo Geral'!J$1)</f>
        <v>2988</v>
      </c>
      <c r="K5" s="16">
        <f ca="1">SUMIFS(Registro!$G:$G,Registro!$L:$L,"Pago no Prazo",Registro!$D:$D,'Resumo Geral'!K$1)+SUMIFS(Registro!$G:$G,Registro!$L:$L,"Pago com Atraso",Registro!$D:$D,'Resumo Geral'!K$1)</f>
        <v>1429</v>
      </c>
      <c r="L5" s="16">
        <f ca="1">SUMIFS(Registro!$G:$G,Registro!$L:$L,"Pago no Prazo",Registro!$D:$D,'Resumo Geral'!L$1)+SUMIFS(Registro!$G:$G,Registro!$L:$L,"Pago com Atraso",Registro!$D:$D,'Resumo Geral'!L$1)</f>
        <v>1451</v>
      </c>
      <c r="M5" s="16">
        <f ca="1">SUMIFS(Registro!$G:$G,Registro!$L:$L,"Pago no Prazo",Registro!$D:$D,'Resumo Geral'!M$1)+SUMIFS(Registro!$G:$G,Registro!$L:$L,"Pago com Atraso",Registro!$D:$D,'Resumo Geral'!M$1)</f>
        <v>3956</v>
      </c>
    </row>
    <row r="6" spans="1:13" s="11" customFormat="1" ht="25.15" customHeight="1">
      <c r="A6" s="23" t="s">
        <v>71</v>
      </c>
      <c r="B6" s="17">
        <f ca="1">COUNTIFS(Registro!$L:$L,"Pago com Atraso",Registro!$D:$D,'Resumo Geral'!B$1)</f>
        <v>3</v>
      </c>
      <c r="C6" s="17">
        <f ca="1">COUNTIFS(Registro!$L:$L,"Pago com Atraso",Registro!$D:$D,'Resumo Geral'!C$1)</f>
        <v>5</v>
      </c>
      <c r="D6" s="17">
        <f ca="1">COUNTIFS(Registro!$L:$L,"Pago com Atraso",Registro!$D:$D,'Resumo Geral'!D$1)</f>
        <v>4</v>
      </c>
      <c r="E6" s="17">
        <f ca="1">COUNTIFS(Registro!$L:$L,"Pago com Atraso",Registro!$D:$D,'Resumo Geral'!E$1)</f>
        <v>5</v>
      </c>
      <c r="F6" s="17">
        <f ca="1">COUNTIFS(Registro!$L:$L,"Pago com Atraso",Registro!$D:$D,'Resumo Geral'!F$1)</f>
        <v>6</v>
      </c>
      <c r="G6" s="17">
        <f ca="1">COUNTIFS(Registro!$L:$L,"Pago com Atraso",Registro!$D:$D,'Resumo Geral'!G$1)</f>
        <v>4</v>
      </c>
      <c r="H6" s="17">
        <f ca="1">COUNTIFS(Registro!$L:$L,"Pago com Atraso",Registro!$D:$D,'Resumo Geral'!H$1)</f>
        <v>3</v>
      </c>
      <c r="I6" s="17">
        <f ca="1">COUNTIFS(Registro!$L:$L,"Pago com Atraso",Registro!$D:$D,'Resumo Geral'!I$1)</f>
        <v>3</v>
      </c>
      <c r="J6" s="17">
        <f ca="1">COUNTIFS(Registro!$L:$L,"Pago com Atraso",Registro!$D:$D,'Resumo Geral'!J$1)</f>
        <v>6</v>
      </c>
      <c r="K6" s="17">
        <f ca="1">COUNTIFS(Registro!$L:$L,"Pago com Atraso",Registro!$D:$D,'Resumo Geral'!K$1)</f>
        <v>2</v>
      </c>
      <c r="L6" s="17">
        <f ca="1">COUNTIFS(Registro!$L:$L,"Pago com Atraso",Registro!$D:$D,'Resumo Geral'!L$1)</f>
        <v>2</v>
      </c>
      <c r="M6" s="17">
        <f ca="1">COUNTIFS(Registro!$L:$L,"Pago com Atraso",Registro!$D:$D,'Resumo Geral'!M$1)</f>
        <v>5</v>
      </c>
    </row>
    <row r="7" spans="1:13" s="11" customFormat="1" ht="25.15" customHeight="1">
      <c r="A7" s="23" t="s">
        <v>72</v>
      </c>
      <c r="B7" s="18">
        <f ca="1">SUMIFS(Registro!$G:$G,Registro!$L:$L,"Pago com Atraso",Registro!$D:$D,'Resumo Geral'!B$1)</f>
        <v>801</v>
      </c>
      <c r="C7" s="18">
        <f ca="1">SUMIFS(Registro!$G:$G,Registro!$L:$L,"Pago com Atraso",Registro!$D:$D,'Resumo Geral'!C$1)</f>
        <v>1190</v>
      </c>
      <c r="D7" s="18">
        <f ca="1">SUMIFS(Registro!$G:$G,Registro!$L:$L,"Pago com Atraso",Registro!$D:$D,'Resumo Geral'!D$1)</f>
        <v>937</v>
      </c>
      <c r="E7" s="18">
        <f ca="1">SUMIFS(Registro!$G:$G,Registro!$L:$L,"Pago com Atraso",Registro!$D:$D,'Resumo Geral'!E$1)</f>
        <v>1202</v>
      </c>
      <c r="F7" s="18">
        <f ca="1">SUMIFS(Registro!$G:$G,Registro!$L:$L,"Pago com Atraso",Registro!$D:$D,'Resumo Geral'!F$1)</f>
        <v>1719</v>
      </c>
      <c r="G7" s="18">
        <f ca="1">SUMIFS(Registro!$G:$G,Registro!$L:$L,"Pago com Atraso",Registro!$D:$D,'Resumo Geral'!G$1)</f>
        <v>1099</v>
      </c>
      <c r="H7" s="18">
        <f ca="1">SUMIFS(Registro!$G:$G,Registro!$L:$L,"Pago com Atraso",Registro!$D:$D,'Resumo Geral'!H$1)</f>
        <v>953</v>
      </c>
      <c r="I7" s="18">
        <f ca="1">SUMIFS(Registro!$G:$G,Registro!$L:$L,"Pago com Atraso",Registro!$D:$D,'Resumo Geral'!I$1)</f>
        <v>655</v>
      </c>
      <c r="J7" s="18">
        <f ca="1">SUMIFS(Registro!$G:$G,Registro!$L:$L,"Pago com Atraso",Registro!$D:$D,'Resumo Geral'!J$1)</f>
        <v>1938</v>
      </c>
      <c r="K7" s="18">
        <f ca="1">SUMIFS(Registro!$G:$G,Registro!$L:$L,"Pago com Atraso",Registro!$D:$D,'Resumo Geral'!K$1)</f>
        <v>735</v>
      </c>
      <c r="L7" s="18">
        <f ca="1">SUMIFS(Registro!$G:$G,Registro!$L:$L,"Pago com Atraso",Registro!$D:$D,'Resumo Geral'!L$1)</f>
        <v>473</v>
      </c>
      <c r="M7" s="18">
        <f ca="1">SUMIFS(Registro!$G:$G,Registro!$L:$L,"Pago com Atraso",Registro!$D:$D,'Resumo Geral'!M$1)</f>
        <v>1693</v>
      </c>
    </row>
    <row r="8" spans="1:13" s="11" customFormat="1" ht="25.15" customHeight="1">
      <c r="A8" s="24" t="s">
        <v>73</v>
      </c>
      <c r="B8" s="19">
        <f ca="1">COUNTIFS(Registro!$L:$L,"Atrasado",Registro!$D:$D,'Resumo Geral'!B$1)</f>
        <v>0</v>
      </c>
      <c r="C8" s="19">
        <f ca="1">COUNTIFS(Registro!$L:$L,"Atrasado",Registro!$D:$D,'Resumo Geral'!C$1)</f>
        <v>0</v>
      </c>
      <c r="D8" s="19">
        <f ca="1">COUNTIFS(Registro!$L:$L,"Atrasado",Registro!$D:$D,'Resumo Geral'!D$1)</f>
        <v>0</v>
      </c>
      <c r="E8" s="19">
        <f ca="1">COUNTIFS(Registro!$L:$L,"Atrasado",Registro!$D:$D,'Resumo Geral'!E$1)</f>
        <v>0</v>
      </c>
      <c r="F8" s="19">
        <f ca="1">COUNTIFS(Registro!$L:$L,"Atrasado",Registro!$D:$D,'Resumo Geral'!F$1)</f>
        <v>0</v>
      </c>
      <c r="G8" s="19">
        <f ca="1">COUNTIFS(Registro!$L:$L,"Atrasado",Registro!$D:$D,'Resumo Geral'!G$1)</f>
        <v>0</v>
      </c>
      <c r="H8" s="19">
        <f ca="1">COUNTIFS(Registro!$L:$L,"Atrasado",Registro!$D:$D,'Resumo Geral'!H$1)</f>
        <v>0</v>
      </c>
      <c r="I8" s="19">
        <f ca="1">COUNTIFS(Registro!$L:$L,"Atrasado",Registro!$D:$D,'Resumo Geral'!I$1)</f>
        <v>0</v>
      </c>
      <c r="J8" s="19">
        <f ca="1">COUNTIFS(Registro!$L:$L,"Atrasado",Registro!$D:$D,'Resumo Geral'!J$1)</f>
        <v>3</v>
      </c>
      <c r="K8" s="19">
        <f ca="1">COUNTIFS(Registro!$L:$L,"Atrasado",Registro!$D:$D,'Resumo Geral'!K$1)</f>
        <v>2</v>
      </c>
      <c r="L8" s="19">
        <f ca="1">COUNTIFS(Registro!$L:$L,"Atrasado",Registro!$D:$D,'Resumo Geral'!L$1)</f>
        <v>0</v>
      </c>
      <c r="M8" s="19">
        <f ca="1">COUNTIFS(Registro!$L:$L,"Atrasado",Registro!$D:$D,'Resumo Geral'!M$1)</f>
        <v>0</v>
      </c>
    </row>
    <row r="9" spans="1:13" s="11" customFormat="1" ht="25.15" customHeight="1">
      <c r="A9" s="24" t="s">
        <v>74</v>
      </c>
      <c r="B9" s="20">
        <f ca="1">SUMIFS(Registro!$G:$G,Registro!$L:$L,"Atrasado",Registro!$D:$D,'Resumo Geral'!B$1)</f>
        <v>0</v>
      </c>
      <c r="C9" s="20">
        <f ca="1">SUMIFS(Registro!$G:$G,Registro!$L:$L,"Atrasado",Registro!$D:$D,'Resumo Geral'!C$1)</f>
        <v>0</v>
      </c>
      <c r="D9" s="20">
        <f ca="1">SUMIFS(Registro!$G:$G,Registro!$L:$L,"Atrasado",Registro!$D:$D,'Resumo Geral'!D$1)</f>
        <v>0</v>
      </c>
      <c r="E9" s="20">
        <f ca="1">SUMIFS(Registro!$G:$G,Registro!$L:$L,"Atrasado",Registro!$D:$D,'Resumo Geral'!E$1)</f>
        <v>0</v>
      </c>
      <c r="F9" s="20">
        <f ca="1">SUMIFS(Registro!$G:$G,Registro!$L:$L,"Atrasado",Registro!$D:$D,'Resumo Geral'!F$1)</f>
        <v>0</v>
      </c>
      <c r="G9" s="20">
        <f ca="1">SUMIFS(Registro!$G:$G,Registro!$L:$L,"Atrasado",Registro!$D:$D,'Resumo Geral'!G$1)</f>
        <v>0</v>
      </c>
      <c r="H9" s="20">
        <f ca="1">SUMIFS(Registro!$G:$G,Registro!$L:$L,"Atrasado",Registro!$D:$D,'Resumo Geral'!H$1)</f>
        <v>0</v>
      </c>
      <c r="I9" s="20">
        <f ca="1">SUMIFS(Registro!$G:$G,Registro!$L:$L,"Atrasado",Registro!$D:$D,'Resumo Geral'!I$1)</f>
        <v>0</v>
      </c>
      <c r="J9" s="20">
        <f ca="1">SUMIFS(Registro!$G:$G,Registro!$L:$L,"Atrasado",Registro!$D:$D,'Resumo Geral'!J$1)</f>
        <v>960</v>
      </c>
      <c r="K9" s="20">
        <f ca="1">SUMIFS(Registro!$G:$G,Registro!$L:$L,"Atrasado",Registro!$D:$D,'Resumo Geral'!K$1)</f>
        <v>229</v>
      </c>
      <c r="L9" s="20">
        <f ca="1">SUMIFS(Registro!$G:$G,Registro!$L:$L,"Atrasado",Registro!$D:$D,'Resumo Geral'!L$1)</f>
        <v>0</v>
      </c>
      <c r="M9" s="20">
        <f ca="1">SUMIFS(Registro!$G:$G,Registro!$L:$L,"Atrasado",Registro!$D:$D,'Resumo Geral'!M$1)</f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4E84D-B61A-480C-B36C-ABC2EAC90C2B}">
  <dimension ref="A1:H58"/>
  <sheetViews>
    <sheetView workbookViewId="0">
      <selection activeCell="B9" sqref="B9"/>
    </sheetView>
  </sheetViews>
  <sheetFormatPr defaultRowHeight="14.45"/>
  <cols>
    <col min="1" max="1" width="17.28515625" bestFit="1" customWidth="1"/>
    <col min="2" max="2" width="18.140625" bestFit="1" customWidth="1"/>
    <col min="3" max="3" width="9.28515625" customWidth="1"/>
    <col min="4" max="4" width="17.28515625" bestFit="1" customWidth="1"/>
    <col min="5" max="5" width="13.28515625" bestFit="1" customWidth="1"/>
    <col min="6" max="6" width="9.28515625" customWidth="1"/>
    <col min="7" max="7" width="23.28515625" bestFit="1" customWidth="1"/>
    <col min="8" max="8" width="20.85546875" bestFit="1" customWidth="1"/>
    <col min="10" max="10" width="17.28515625" bestFit="1" customWidth="1"/>
    <col min="11" max="11" width="13.28515625" bestFit="1" customWidth="1"/>
  </cols>
  <sheetData>
    <row r="1" spans="1:8">
      <c r="A1" s="25" t="s">
        <v>75</v>
      </c>
      <c r="B1" s="25"/>
      <c r="D1" s="27" t="s">
        <v>76</v>
      </c>
      <c r="E1" s="27"/>
      <c r="G1" s="26" t="s">
        <v>77</v>
      </c>
      <c r="H1" s="26"/>
    </row>
    <row r="3" spans="1:8">
      <c r="A3" s="9" t="s">
        <v>49</v>
      </c>
      <c r="B3" t="s">
        <v>78</v>
      </c>
      <c r="D3" s="9" t="s">
        <v>79</v>
      </c>
      <c r="E3" t="s">
        <v>80</v>
      </c>
      <c r="G3" s="9" t="s">
        <v>49</v>
      </c>
      <c r="H3" t="s">
        <v>81</v>
      </c>
    </row>
    <row r="4" spans="1:8">
      <c r="D4" s="10" t="s">
        <v>50</v>
      </c>
      <c r="E4">
        <v>28</v>
      </c>
    </row>
    <row r="5" spans="1:8">
      <c r="A5" s="9" t="s">
        <v>79</v>
      </c>
      <c r="B5" t="s">
        <v>82</v>
      </c>
      <c r="D5" s="10" t="s">
        <v>51</v>
      </c>
      <c r="E5">
        <v>27</v>
      </c>
      <c r="G5" s="9" t="s">
        <v>79</v>
      </c>
      <c r="H5" t="s">
        <v>83</v>
      </c>
    </row>
    <row r="6" spans="1:8">
      <c r="A6" s="10" t="s">
        <v>19</v>
      </c>
      <c r="B6">
        <v>1</v>
      </c>
      <c r="D6" s="10" t="s">
        <v>53</v>
      </c>
      <c r="E6">
        <v>26</v>
      </c>
      <c r="G6" s="10" t="s">
        <v>8</v>
      </c>
      <c r="H6" s="8">
        <v>356</v>
      </c>
    </row>
    <row r="7" spans="1:8">
      <c r="A7" s="10" t="s">
        <v>16</v>
      </c>
      <c r="B7">
        <v>1</v>
      </c>
      <c r="D7" s="10" t="s">
        <v>52</v>
      </c>
      <c r="E7">
        <v>26</v>
      </c>
      <c r="G7" s="10" t="s">
        <v>17</v>
      </c>
      <c r="H7" s="8">
        <v>266</v>
      </c>
    </row>
    <row r="8" spans="1:8">
      <c r="A8" s="10" t="s">
        <v>13</v>
      </c>
      <c r="B8">
        <v>2</v>
      </c>
      <c r="D8" s="10" t="s">
        <v>84</v>
      </c>
      <c r="E8">
        <v>107</v>
      </c>
      <c r="G8" s="10" t="s">
        <v>26</v>
      </c>
      <c r="H8" s="8">
        <v>116</v>
      </c>
    </row>
    <row r="9" spans="1:8">
      <c r="A9" s="10" t="s">
        <v>4</v>
      </c>
      <c r="B9">
        <v>3</v>
      </c>
      <c r="G9" s="10" t="s">
        <v>30</v>
      </c>
      <c r="H9" s="8">
        <v>451</v>
      </c>
    </row>
    <row r="10" spans="1:8">
      <c r="A10" s="10" t="s">
        <v>10</v>
      </c>
      <c r="B10">
        <v>3</v>
      </c>
      <c r="G10" s="10" t="s">
        <v>84</v>
      </c>
      <c r="H10" s="8">
        <v>1189</v>
      </c>
    </row>
    <row r="11" spans="1:8">
      <c r="A11" s="10" t="s">
        <v>7</v>
      </c>
      <c r="B11">
        <v>3</v>
      </c>
    </row>
    <row r="12" spans="1:8">
      <c r="A12" s="10" t="s">
        <v>84</v>
      </c>
      <c r="B12">
        <v>13</v>
      </c>
    </row>
    <row r="14" spans="1:8">
      <c r="D14" s="9" t="s">
        <v>79</v>
      </c>
      <c r="E14" t="s">
        <v>82</v>
      </c>
    </row>
    <row r="15" spans="1:8">
      <c r="D15" s="10" t="s">
        <v>81</v>
      </c>
      <c r="E15">
        <v>5</v>
      </c>
      <c r="G15" s="9" t="s">
        <v>49</v>
      </c>
      <c r="H15" t="s">
        <v>81</v>
      </c>
    </row>
    <row r="16" spans="1:8">
      <c r="D16" s="10" t="s">
        <v>85</v>
      </c>
      <c r="E16">
        <v>48</v>
      </c>
    </row>
    <row r="17" spans="1:8">
      <c r="D17" s="10" t="s">
        <v>86</v>
      </c>
      <c r="E17">
        <v>51</v>
      </c>
      <c r="G17" s="9" t="s">
        <v>42</v>
      </c>
      <c r="H17" t="s">
        <v>87</v>
      </c>
    </row>
    <row r="18" spans="1:8">
      <c r="A18" s="9" t="s">
        <v>49</v>
      </c>
      <c r="B18" t="s">
        <v>78</v>
      </c>
      <c r="D18" s="10" t="s">
        <v>48</v>
      </c>
      <c r="E18">
        <v>8</v>
      </c>
      <c r="G18" t="s">
        <v>7</v>
      </c>
      <c r="H18">
        <v>2</v>
      </c>
    </row>
    <row r="19" spans="1:8">
      <c r="D19" s="10" t="s">
        <v>84</v>
      </c>
      <c r="E19">
        <v>112</v>
      </c>
      <c r="G19" t="s">
        <v>4</v>
      </c>
      <c r="H19">
        <v>2</v>
      </c>
    </row>
    <row r="20" spans="1:8">
      <c r="A20" s="9" t="s">
        <v>79</v>
      </c>
      <c r="B20" t="s">
        <v>82</v>
      </c>
      <c r="G20" t="s">
        <v>10</v>
      </c>
      <c r="H20">
        <v>1</v>
      </c>
    </row>
    <row r="21" spans="1:8">
      <c r="A21" s="10" t="s">
        <v>88</v>
      </c>
      <c r="B21">
        <v>8</v>
      </c>
      <c r="G21" t="s">
        <v>84</v>
      </c>
      <c r="H21">
        <v>5</v>
      </c>
    </row>
    <row r="22" spans="1:8">
      <c r="A22" s="10" t="s">
        <v>89</v>
      </c>
      <c r="B22">
        <v>3</v>
      </c>
    </row>
    <row r="23" spans="1:8">
      <c r="A23" s="10" t="s">
        <v>90</v>
      </c>
      <c r="B23">
        <v>2</v>
      </c>
    </row>
    <row r="24" spans="1:8">
      <c r="A24" s="10" t="s">
        <v>84</v>
      </c>
      <c r="B24">
        <v>13</v>
      </c>
    </row>
    <row r="25" spans="1:8">
      <c r="D25" s="9" t="s">
        <v>79</v>
      </c>
      <c r="E25" t="s">
        <v>83</v>
      </c>
    </row>
    <row r="26" spans="1:8">
      <c r="D26" s="10" t="s">
        <v>14</v>
      </c>
      <c r="E26" s="8">
        <v>2158</v>
      </c>
    </row>
    <row r="27" spans="1:8">
      <c r="D27" s="10" t="s">
        <v>28</v>
      </c>
      <c r="E27" s="8">
        <v>2263</v>
      </c>
    </row>
    <row r="28" spans="1:8">
      <c r="D28" s="10" t="s">
        <v>24</v>
      </c>
      <c r="E28" s="8">
        <v>2281</v>
      </c>
    </row>
    <row r="29" spans="1:8">
      <c r="D29" s="10" t="s">
        <v>11</v>
      </c>
      <c r="E29" s="8">
        <v>2398</v>
      </c>
    </row>
    <row r="30" spans="1:8">
      <c r="D30" s="10" t="s">
        <v>32</v>
      </c>
      <c r="E30" s="8">
        <v>2469</v>
      </c>
    </row>
    <row r="31" spans="1:8">
      <c r="D31" s="10" t="s">
        <v>34</v>
      </c>
      <c r="E31" s="8">
        <v>2524</v>
      </c>
    </row>
    <row r="32" spans="1:8">
      <c r="D32" s="10" t="s">
        <v>17</v>
      </c>
      <c r="E32" s="8">
        <v>2531</v>
      </c>
    </row>
    <row r="33" spans="4:5">
      <c r="D33" s="10" t="s">
        <v>20</v>
      </c>
      <c r="E33" s="8">
        <v>2628</v>
      </c>
    </row>
    <row r="34" spans="4:5">
      <c r="D34" s="10" t="s">
        <v>5</v>
      </c>
      <c r="E34" s="8">
        <v>2744</v>
      </c>
    </row>
    <row r="35" spans="4:5">
      <c r="D35" s="10" t="s">
        <v>22</v>
      </c>
      <c r="E35" s="8">
        <v>2774</v>
      </c>
    </row>
    <row r="36" spans="4:5">
      <c r="D36" s="10" t="s">
        <v>84</v>
      </c>
      <c r="E36" s="8">
        <v>24770</v>
      </c>
    </row>
    <row r="45" spans="4:5">
      <c r="D45" s="9" t="s">
        <v>79</v>
      </c>
      <c r="E45" t="s">
        <v>83</v>
      </c>
    </row>
    <row r="46" spans="4:5">
      <c r="D46" s="10" t="s">
        <v>91</v>
      </c>
      <c r="E46" s="8">
        <v>1307</v>
      </c>
    </row>
    <row r="47" spans="4:5">
      <c r="D47" s="10" t="s">
        <v>92</v>
      </c>
      <c r="E47" s="8">
        <v>2753</v>
      </c>
    </row>
    <row r="48" spans="4:5">
      <c r="D48" s="10" t="s">
        <v>93</v>
      </c>
      <c r="E48" s="8">
        <v>2438</v>
      </c>
    </row>
    <row r="49" spans="4:5">
      <c r="D49" s="10" t="s">
        <v>94</v>
      </c>
      <c r="E49" s="8">
        <v>2595</v>
      </c>
    </row>
    <row r="50" spans="4:5">
      <c r="D50" s="10" t="s">
        <v>95</v>
      </c>
      <c r="E50" s="8">
        <v>2448</v>
      </c>
    </row>
    <row r="51" spans="4:5">
      <c r="D51" s="10" t="s">
        <v>96</v>
      </c>
      <c r="E51" s="8">
        <v>2088</v>
      </c>
    </row>
    <row r="52" spans="4:5">
      <c r="D52" s="10" t="s">
        <v>97</v>
      </c>
      <c r="E52" s="8">
        <v>2561</v>
      </c>
    </row>
    <row r="53" spans="4:5">
      <c r="D53" s="10" t="s">
        <v>98</v>
      </c>
      <c r="E53" s="8">
        <v>2799</v>
      </c>
    </row>
    <row r="54" spans="4:5">
      <c r="D54" s="10" t="s">
        <v>89</v>
      </c>
      <c r="E54" s="8">
        <v>3948</v>
      </c>
    </row>
    <row r="55" spans="4:5">
      <c r="D55" s="10" t="s">
        <v>90</v>
      </c>
      <c r="E55" s="8">
        <v>1658</v>
      </c>
    </row>
    <row r="56" spans="4:5">
      <c r="D56" s="10" t="s">
        <v>99</v>
      </c>
      <c r="E56" s="8">
        <v>1451</v>
      </c>
    </row>
    <row r="57" spans="4:5">
      <c r="D57" s="10" t="s">
        <v>88</v>
      </c>
      <c r="E57" s="8">
        <v>6838</v>
      </c>
    </row>
    <row r="58" spans="4:5">
      <c r="D58" s="10" t="s">
        <v>84</v>
      </c>
      <c r="E58" s="8">
        <v>32884</v>
      </c>
    </row>
  </sheetData>
  <mergeCells count="3">
    <mergeCell ref="A1:B1"/>
    <mergeCell ref="G1:H1"/>
    <mergeCell ref="D1:E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89FE2-96DA-417C-BF1F-F1ED18B89BCD}">
  <dimension ref="A1"/>
  <sheetViews>
    <sheetView showGridLines="0" showRowColHeaders="0" tabSelected="1" zoomScaleNormal="100" workbookViewId="0">
      <selection activeCell="X23" sqref="X23"/>
    </sheetView>
  </sheetViews>
  <sheetFormatPr defaultRowHeight="14.45"/>
  <sheetData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2015-06-05T18:17:20Z</dcterms:created>
  <dcterms:modified xsi:type="dcterms:W3CDTF">2023-11-14T20:11:03Z</dcterms:modified>
  <cp:category/>
  <cp:contentStatus/>
</cp:coreProperties>
</file>