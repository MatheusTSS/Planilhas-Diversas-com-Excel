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charts/chartEx1.xml" ContentType="application/vnd.ms-office.chartex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e Quinta/Modelos de Planilha/Planilha de Estoque/"/>
    </mc:Choice>
  </mc:AlternateContent>
  <xr:revisionPtr revIDLastSave="112" documentId="13_ncr:1_{E4778C72-1D99-4989-95BE-92D57A941F29}" xr6:coauthVersionLast="47" xr6:coauthVersionMax="47" xr10:uidLastSave="{B9FBD121-9922-49DB-AE6E-BA5376150CB3}"/>
  <bookViews>
    <workbookView xWindow="-108" yWindow="-108" windowWidth="23256" windowHeight="13176" tabRatio="555" firstSheet="2" activeTab="2" xr2:uid="{70EA39EB-2504-44A4-B7B6-433C9105C4DA}"/>
  </bookViews>
  <sheets>
    <sheet name="Cadastros" sheetId="3" r:id="rId1"/>
    <sheet name="Movimentação Estoque" sheetId="17" r:id="rId2"/>
    <sheet name="Dashboard" sheetId="18" r:id="rId3"/>
    <sheet name="Análises" sheetId="21" state="hidden" r:id="rId4"/>
  </sheets>
  <definedNames>
    <definedName name="_xlchart.v5.0" hidden="1">Análises!$I$3:$J$3</definedName>
    <definedName name="_xlchart.v5.1" hidden="1">Análises!$I$4:$J$13</definedName>
    <definedName name="_xlchart.v5.2" hidden="1">Análises!$K$3</definedName>
    <definedName name="_xlchart.v5.3" hidden="1">Análises!$K$4:$K$13</definedName>
    <definedName name="SegmentaçãodeDados_Meses__Data_Movimentação">#N/A</definedName>
    <definedName name="SegmentaçãodeDados_Produto">#N/A</definedName>
  </definedNames>
  <calcPr calcId="191028"/>
  <pivotCaches>
    <pivotCache cacheId="538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1" l="1" a="1"/>
  <c r="I4" i="21" s="1"/>
  <c r="J4" i="21" a="1"/>
  <c r="J4" i="21" s="1"/>
  <c r="K4" i="21" a="1"/>
  <c r="K4" i="21" s="1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L60" i="17"/>
  <c r="L61" i="17"/>
  <c r="L62" i="17"/>
  <c r="L63" i="17"/>
  <c r="L37" i="17"/>
  <c r="L70" i="17"/>
  <c r="L34" i="17"/>
  <c r="L47" i="17"/>
  <c r="L39" i="17"/>
  <c r="L41" i="17"/>
  <c r="L6" i="17"/>
  <c r="L21" i="17"/>
  <c r="L28" i="17"/>
  <c r="L18" i="17"/>
  <c r="L38" i="17"/>
  <c r="L53" i="17"/>
  <c r="L50" i="17"/>
  <c r="L66" i="17"/>
  <c r="L12" i="17"/>
  <c r="L54" i="17"/>
  <c r="L45" i="17"/>
  <c r="L43" i="17"/>
  <c r="L48" i="17"/>
  <c r="L69" i="17"/>
  <c r="L67" i="17"/>
  <c r="L23" i="17"/>
  <c r="L17" i="17"/>
  <c r="L22" i="17"/>
  <c r="L32" i="17"/>
  <c r="L13" i="17"/>
  <c r="L14" i="17"/>
  <c r="L20" i="17"/>
  <c r="L71" i="17"/>
  <c r="L59" i="17"/>
  <c r="L7" i="17"/>
  <c r="L56" i="17"/>
  <c r="L46" i="17"/>
  <c r="L57" i="17"/>
  <c r="L52" i="17"/>
  <c r="L49" i="17"/>
  <c r="L31" i="17"/>
  <c r="L15" i="17"/>
  <c r="L8" i="17"/>
  <c r="L19" i="17"/>
  <c r="L11" i="17"/>
  <c r="L65" i="17"/>
  <c r="L25" i="17"/>
  <c r="L24" i="17"/>
  <c r="L40" i="17"/>
  <c r="L26" i="17"/>
  <c r="L42" i="17"/>
  <c r="L51" i="17"/>
  <c r="L64" i="17"/>
  <c r="L29" i="17"/>
  <c r="L30" i="17"/>
  <c r="L33" i="17"/>
  <c r="L44" i="17"/>
  <c r="L36" i="17"/>
  <c r="L16" i="17"/>
  <c r="L9" i="17"/>
  <c r="L68" i="17"/>
  <c r="L35" i="17"/>
  <c r="L55" i="17"/>
  <c r="L72" i="17"/>
  <c r="L58" i="17"/>
  <c r="L10" i="17"/>
  <c r="L27" i="17"/>
  <c r="J60" i="17"/>
  <c r="J61" i="17"/>
  <c r="J62" i="17"/>
  <c r="J63" i="17"/>
  <c r="J37" i="17"/>
  <c r="J70" i="17"/>
  <c r="J34" i="17"/>
  <c r="J47" i="17"/>
  <c r="J39" i="17"/>
  <c r="J41" i="17"/>
  <c r="J6" i="17"/>
  <c r="J21" i="17"/>
  <c r="J28" i="17"/>
  <c r="J18" i="17"/>
  <c r="J38" i="17"/>
  <c r="J53" i="17"/>
  <c r="J50" i="17"/>
  <c r="J66" i="17"/>
  <c r="J12" i="17"/>
  <c r="J54" i="17"/>
  <c r="J45" i="17"/>
  <c r="J43" i="17"/>
  <c r="J48" i="17"/>
  <c r="J69" i="17"/>
  <c r="J67" i="17"/>
  <c r="J23" i="17"/>
  <c r="J17" i="17"/>
  <c r="J22" i="17"/>
  <c r="J32" i="17"/>
  <c r="J13" i="17"/>
  <c r="J14" i="17"/>
  <c r="J20" i="17"/>
  <c r="J71" i="17"/>
  <c r="J59" i="17"/>
  <c r="J7" i="17"/>
  <c r="J56" i="17"/>
  <c r="J46" i="17"/>
  <c r="J57" i="17"/>
  <c r="J52" i="17"/>
  <c r="J49" i="17"/>
  <c r="J31" i="17"/>
  <c r="J15" i="17"/>
  <c r="J8" i="17"/>
  <c r="J19" i="17"/>
  <c r="J11" i="17"/>
  <c r="J65" i="17"/>
  <c r="J25" i="17"/>
  <c r="J24" i="17"/>
  <c r="J40" i="17"/>
  <c r="J26" i="17"/>
  <c r="J42" i="17"/>
  <c r="J51" i="17"/>
  <c r="J64" i="17"/>
  <c r="J29" i="17"/>
  <c r="J30" i="17"/>
  <c r="J33" i="17"/>
  <c r="J44" i="17"/>
  <c r="J36" i="17"/>
  <c r="J16" i="17"/>
  <c r="J9" i="17"/>
  <c r="J68" i="17"/>
  <c r="J35" i="17"/>
  <c r="J55" i="17"/>
  <c r="J72" i="17"/>
  <c r="J58" i="17"/>
  <c r="J10" i="17"/>
  <c r="J27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<sst xmlns="http://schemas.openxmlformats.org/spreadsheetml/2006/main" count="227" uniqueCount="72">
  <si>
    <t>Nº</t>
  </si>
  <si>
    <t>Nome do Produto</t>
  </si>
  <si>
    <t>Estoque Mínimo</t>
  </si>
  <si>
    <t xml:space="preserve">Data de Cadastro </t>
  </si>
  <si>
    <t>Unidade de Medida</t>
  </si>
  <si>
    <t>Nome do Fornecedor</t>
  </si>
  <si>
    <t>E-mail</t>
  </si>
  <si>
    <t>Telefone</t>
  </si>
  <si>
    <t>UF Fornecedor</t>
  </si>
  <si>
    <t>Farol Dianteiro</t>
  </si>
  <si>
    <t>Un</t>
  </si>
  <si>
    <t>FAIT</t>
  </si>
  <si>
    <t>logistica@fait.com</t>
  </si>
  <si>
    <t>MG</t>
  </si>
  <si>
    <t>Luz de seta</t>
  </si>
  <si>
    <t>Wagenvolks</t>
  </si>
  <si>
    <t>logistica@wagenvolks.com</t>
  </si>
  <si>
    <t>BA</t>
  </si>
  <si>
    <t>Óleo de câmbio</t>
  </si>
  <si>
    <t>ml</t>
  </si>
  <si>
    <t>Berry</t>
  </si>
  <si>
    <t>logistica@berry.com</t>
  </si>
  <si>
    <t>AM</t>
  </si>
  <si>
    <t>Tinta automotiva</t>
  </si>
  <si>
    <t>Oster Lubrificantes</t>
  </si>
  <si>
    <t>logistica@oster lubrificantes.com</t>
  </si>
  <si>
    <t>RS</t>
  </si>
  <si>
    <t>Lubrificante wl</t>
  </si>
  <si>
    <t>Fish Lubrificantes</t>
  </si>
  <si>
    <t>logistica@fish lubrificantes.com</t>
  </si>
  <si>
    <t>GO</t>
  </si>
  <si>
    <t>Disco de freio</t>
  </si>
  <si>
    <t>Luminosa Peças</t>
  </si>
  <si>
    <t>logistica@luminosa peças.com</t>
  </si>
  <si>
    <t>SP</t>
  </si>
  <si>
    <t>Kit reparo pneu</t>
  </si>
  <si>
    <t>Pneu suv aro 17</t>
  </si>
  <si>
    <t>Filtro ar condicionado</t>
  </si>
  <si>
    <t>Filtro de óleo</t>
  </si>
  <si>
    <t>Produto</t>
  </si>
  <si>
    <t>Data Movimentação</t>
  </si>
  <si>
    <t>Qtde.</t>
  </si>
  <si>
    <t>Tipo Movimentação</t>
  </si>
  <si>
    <t>Custo Unitário</t>
  </si>
  <si>
    <t>Data Validade</t>
  </si>
  <si>
    <t>Fornecedor</t>
  </si>
  <si>
    <t>Custo Total</t>
  </si>
  <si>
    <t>Preço Unitário</t>
  </si>
  <si>
    <t>Preço Total</t>
  </si>
  <si>
    <t>UF Destino</t>
  </si>
  <si>
    <t>PR</t>
  </si>
  <si>
    <t>TO</t>
  </si>
  <si>
    <t>PE</t>
  </si>
  <si>
    <t>MS</t>
  </si>
  <si>
    <t>Saída</t>
  </si>
  <si>
    <t>Rótulos de Linha</t>
  </si>
  <si>
    <t>Despesas</t>
  </si>
  <si>
    <t>Receitas</t>
  </si>
  <si>
    <t>Produtos Vendidos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</si>
  <si>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</si>
  <si>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</si>
  <si>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</si>
  <si>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</si>
  <si>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</si>
  <si>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</si>
  <si>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</si>
  <si>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</si>
  <si>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</si>
  <si>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</si>
  <si>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</si>
  <si>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</si>
  <si>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Quantidade em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</si>
</sst>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(00\)\ 00000\-0000"/>
    <numFmt numFmtId="165" formatCode="&quot;R$&quot;\ #,##0.00"/>
    <numFmt numFmtId="166" formatCode="&quot;R$&quot;\ #,##0"/>
  </numFmts>
  <fonts count="6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22"/>
      <color theme="0"/>
      <name val="Montserrat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Montserrat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1" fontId="1" fillId="0" borderId="0" xfId="0" applyNumberFormat="1" applyFont="1" applyAlignment="1">
      <alignment horizontal="center" vertical="center" wrapText="1"/>
    </xf>
    <xf numFmtId="166" fontId="0" fillId="0" borderId="0" xfId="0" applyNumberFormat="1"/>
    <xf numFmtId="0" fontId="1" fillId="0" borderId="0" xfId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4" borderId="0" xfId="0" applyFill="1"/>
    <xf numFmtId="0" fontId="0" fillId="5" borderId="0" xfId="0" applyFill="1"/>
    <xf numFmtId="164" fontId="0" fillId="5" borderId="0" xfId="0" applyNumberFormat="1" applyFill="1"/>
    <xf numFmtId="1" fontId="0" fillId="0" borderId="0" xfId="0" applyNumberFormat="1"/>
    <xf numFmtId="0" fontId="0" fillId="6" borderId="0" xfId="0" applyFill="1"/>
    <xf numFmtId="0" fontId="2" fillId="4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37">
    <dxf>
      <font>
        <strike val="0"/>
        <outline val="0"/>
        <shadow val="0"/>
        <u val="none"/>
        <vertAlign val="baseline"/>
        <sz val="11"/>
        <name val="Montserrat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165" formatCode="&quot;R$&quot;\ #,##0.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165" formatCode="&quot;R$&quot;\ #,##0.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165" formatCode="&quot;R$&quot;\ #,##0.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167" formatCode="dd/mm/yyyy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165" formatCode="&quot;R$&quot;\ #,##0.00"/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ont>
        <color theme="2" tint="-0.749961851863155"/>
      </font>
      <fill>
        <patternFill>
          <bgColor theme="1" tint="0.24994659260841701"/>
        </patternFill>
      </fill>
    </dxf>
    <dxf>
      <font>
        <color theme="2" tint="-0.749961851863155"/>
      </font>
      <fill>
        <patternFill>
          <bgColor theme="2" tint="-0.749961851863155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Montserrat"/>
        <scheme val="none"/>
      </font>
      <numFmt numFmtId="167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numFmt numFmtId="166" formatCode="&quot;R$&quot;\ #,##0"/>
    </dxf>
    <dxf>
      <numFmt numFmtId="1" formatCode="0"/>
    </dxf>
    <dxf>
      <numFmt numFmtId="1" formatCode="0"/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1" tint="0.14996795556505021"/>
        </patternFill>
      </fill>
    </dxf>
    <dxf>
      <font>
        <sz val="9"/>
        <color theme="0"/>
        <name val="Montserrat"/>
        <scheme val="none"/>
      </font>
      <fill>
        <patternFill patternType="solid">
          <bgColor theme="3" tint="-0.499984740745262"/>
        </patternFill>
      </fill>
    </dxf>
    <dxf>
      <font>
        <b/>
        <sz val="11"/>
        <color theme="1"/>
      </font>
    </dxf>
    <dxf>
      <font>
        <color theme="0"/>
        <name val="Montserrat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Estilo de Linha do Tempo 1" pivot="0" table="0" count="8" xr9:uid="{FC60AEA7-4D72-4573-B783-947872EEBB73}">
      <tableStyleElement type="wholeTable" dxfId="36"/>
      <tableStyleElement type="headerRow" dxfId="35"/>
    </tableStyle>
    <tableStyle name="Estilo de Segmentação de Dados 1" pivot="0" table="0" count="4" xr9:uid="{242DF2DB-2CF0-4ED5-AF39-B88F1D7DC56A}">
      <tableStyleElement type="wholeTable" dxfId="34"/>
    </tableStyle>
    <tableStyle name="Estilo de Tabela 1" pivot="0" count="3" xr9:uid="{7F4B9CC1-E4FA-4277-9C07-D7647C89182F}">
      <tableStyleElement type="headerRow" dxfId="33"/>
      <tableStyleElement type="firstRowStripe" dxfId="32"/>
      <tableStyleElement type="secondRowStripe" dxfId="31"/>
    </tableStyle>
  </tableStyles>
  <colors>
    <mruColors>
      <color rgb="FFAC75D5"/>
      <color rgb="FF8C3FC5"/>
      <color rgb="FFFF7989"/>
      <color rgb="FFAE78D6"/>
      <color rgb="FFBC8FDD"/>
      <color rgb="FFCC0000"/>
      <color rgb="FFFFFFFF"/>
      <color rgb="FF84DC95"/>
      <color rgb="FFFFE575"/>
    </mruColors>
  </colors>
  <extLst>
    <ext xmlns:x14="http://schemas.microsoft.com/office/spreadsheetml/2009/9/main" uri="{46F421CA-312F-682f-3DD2-61675219B42D}">
      <x14:dxfs count="3">
        <dxf>
          <font>
            <sz val="9"/>
            <color theme="0"/>
            <name val="Montserrat"/>
          </font>
          <fill>
            <patternFill>
              <bgColor rgb="FF7030A0"/>
            </patternFill>
          </fill>
        </dxf>
        <dxf>
          <font>
            <sz val="9"/>
          </font>
          <fill>
            <patternFill>
              <bgColor rgb="FFAC75D5"/>
            </patternFill>
          </fill>
        </dxf>
        <dxf>
          <font>
            <sz val="9"/>
            <color theme="0"/>
            <name val="Montserrat"/>
            <scheme val="none"/>
          </font>
          <fill>
            <patternFill>
              <bgColor rgb="FF7030A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3" tint="0.39994506668294322"/>
            </patternFill>
          </fill>
        </dxf>
        <dxf>
          <fill>
            <patternFill patternType="solid">
              <fgColor theme="0"/>
              <bgColor theme="3" tint="0.79998168889431442"/>
            </patternFill>
          </fill>
        </dxf>
        <dxf>
          <font>
            <sz val="7"/>
            <color theme="0"/>
            <name val="Montserrat"/>
            <scheme val="none"/>
          </font>
        </dxf>
        <dxf>
          <font>
            <sz val="7"/>
            <color theme="0"/>
            <name val="Montserrat"/>
            <scheme val="none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Estoque.xlsx]Análises!Tabela dinâmica2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6"/>
              </a:gs>
              <a:gs pos="100000">
                <a:srgbClr val="0070C0"/>
              </a:gs>
            </a:gsLst>
            <a:lin ang="2700000" scaled="1"/>
            <a:tileRect/>
          </a:gra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</c:pivotFmt>
      <c:pivotFmt>
        <c:idx val="10"/>
        <c:spPr>
          <a:gradFill flip="none" rotWithShape="1">
            <a:gsLst>
              <a:gs pos="100000">
                <a:srgbClr val="BC8FDD"/>
              </a:gs>
              <a:gs pos="52000">
                <a:srgbClr val="7030A0"/>
              </a:gs>
            </a:gsLst>
            <a:lin ang="2700000" scaled="1"/>
            <a:tileRect/>
          </a:gra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</c:pivotFmt>
      <c:pivotFmt>
        <c:idx val="11"/>
        <c:spPr>
          <a:gradFill flip="none" rotWithShape="1">
            <a:gsLst>
              <a:gs pos="100000">
                <a:srgbClr val="8C3FC5"/>
              </a:gs>
              <a:gs pos="21000">
                <a:schemeClr val="accent2">
                  <a:lumMod val="75000"/>
                </a:schemeClr>
              </a:gs>
            </a:gsLst>
            <a:lin ang="2700000" scaled="1"/>
            <a:tileRect/>
          </a:gra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</c:pivotFmt>
      <c:pivotFmt>
        <c:idx val="12"/>
        <c:spPr>
          <a:gradFill flip="none" rotWithShape="1">
            <a:gsLst>
              <a:gs pos="100000">
                <a:srgbClr val="8C3FC5"/>
              </a:gs>
              <a:gs pos="0">
                <a:srgbClr val="CC0000"/>
              </a:gs>
            </a:gsLst>
            <a:lin ang="2700000" scaled="1"/>
            <a:tileRect/>
          </a:gra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</c:pivotFmt>
      <c:pivotFmt>
        <c:idx val="13"/>
        <c:spPr>
          <a:gradFill flip="none" rotWithShape="1">
            <a:gsLst>
              <a:gs pos="0">
                <a:schemeClr val="accent5"/>
              </a:gs>
              <a:gs pos="100000">
                <a:srgbClr val="CC0000"/>
              </a:gs>
            </a:gsLst>
            <a:lin ang="2700000" scaled="1"/>
            <a:tileRect/>
          </a:gra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</c:pivotFmt>
      <c:pivotFmt>
        <c:idx val="14"/>
        <c:spPr>
          <a:gradFill>
            <a:gsLst>
              <a:gs pos="0">
                <a:schemeClr val="accent4">
                  <a:lumMod val="75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5400000" scaled="1"/>
          </a:gra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</c:pivotFmt>
      <c:pivotFmt>
        <c:idx val="15"/>
        <c:spPr>
          <a:gradFill>
            <a:gsLst>
              <a:gs pos="0">
                <a:schemeClr val="bg2">
                  <a:lumMod val="10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</c:pivotFmt>
      <c:pivotFmt>
        <c:idx val="16"/>
        <c:spPr>
          <a:gradFill>
            <a:gsLst>
              <a:gs pos="100000">
                <a:srgbClr val="FF0000"/>
              </a:gs>
              <a:gs pos="0">
                <a:schemeClr val="accent4">
                  <a:lumMod val="40000"/>
                  <a:lumOff val="60000"/>
                </a:schemeClr>
              </a:gs>
            </a:gsLst>
            <a:lin ang="2700000" scaled="1"/>
          </a:gra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</c:pivotFmt>
      <c:pivotFmt>
        <c:idx val="17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6">
                  <a:lumMod val="50000"/>
                </a:schemeClr>
              </a:gs>
            </a:gsLst>
            <a:lin ang="2700000" scaled="1"/>
          </a:gra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</c:pivotFmt>
      <c:pivotFmt>
        <c:idx val="18"/>
        <c:spPr>
          <a:gradFill>
            <a:gsLst>
              <a:gs pos="100000">
                <a:srgbClr val="FF0000"/>
              </a:gs>
              <a:gs pos="0">
                <a:schemeClr val="accent4">
                  <a:lumMod val="75000"/>
                </a:schemeClr>
              </a:gs>
            </a:gsLst>
            <a:lin ang="2700000" scaled="1"/>
          </a:gra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</c:pivotFmt>
      <c:pivotFmt>
        <c:idx val="19"/>
        <c:spPr>
          <a:gradFill>
            <a:gsLst>
              <a:gs pos="100000">
                <a:srgbClr val="FF0000"/>
              </a:gs>
              <a:gs pos="0">
                <a:schemeClr val="accent4">
                  <a:lumMod val="75000"/>
                </a:schemeClr>
              </a:gs>
            </a:gsLst>
            <a:lin ang="2700000" scaled="1"/>
          </a:gradFill>
          <a:ln w="19050">
            <a:noFill/>
          </a:ln>
          <a:effectLst>
            <a:glow rad="50800">
              <a:srgbClr val="7030A0">
                <a:alpha val="49000"/>
              </a:srgbClr>
            </a:glo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Análises!$B$21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glow rad="50800">
                <a:srgbClr val="7030A0">
                  <a:alpha val="49000"/>
                </a:srgbClr>
              </a:glow>
            </a:effectLst>
          </c:spPr>
          <c:dPt>
            <c:idx val="0"/>
            <c:bubble3D val="0"/>
            <c:spPr>
              <a:gradFill flip="none" rotWithShape="1">
                <a:gsLst>
                  <a:gs pos="0">
                    <a:schemeClr val="accent6"/>
                  </a:gs>
                  <a:gs pos="100000">
                    <a:srgbClr val="0070C0"/>
                  </a:gs>
                </a:gsLst>
                <a:lin ang="2700000" scaled="1"/>
                <a:tileRect/>
              </a:gradFill>
              <a:ln w="19050">
                <a:noFill/>
              </a:ln>
              <a:effectLst>
                <a:glow rad="50800">
                  <a:srgbClr val="7030A0">
                    <a:alpha val="49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7970-4925-8DDB-C7B7871F8E2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100000">
                    <a:srgbClr val="BC8FDD"/>
                  </a:gs>
                  <a:gs pos="52000">
                    <a:srgbClr val="7030A0"/>
                  </a:gs>
                </a:gsLst>
                <a:lin ang="2700000" scaled="1"/>
                <a:tileRect/>
              </a:gradFill>
              <a:ln w="19050">
                <a:noFill/>
              </a:ln>
              <a:effectLst>
                <a:glow rad="50800">
                  <a:srgbClr val="7030A0">
                    <a:alpha val="49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7970-4925-8DDB-C7B7871F8E29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100000">
                    <a:srgbClr val="8C3FC5"/>
                  </a:gs>
                  <a:gs pos="21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n w="19050">
                <a:noFill/>
              </a:ln>
              <a:effectLst>
                <a:glow rad="50800">
                  <a:srgbClr val="7030A0">
                    <a:alpha val="49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7970-4925-8DDB-C7B7871F8E29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100000">
                    <a:srgbClr val="8C3FC5"/>
                  </a:gs>
                  <a:gs pos="0">
                    <a:srgbClr val="CC0000"/>
                  </a:gs>
                </a:gsLst>
                <a:lin ang="2700000" scaled="1"/>
                <a:tileRect/>
              </a:gradFill>
              <a:ln w="19050">
                <a:noFill/>
              </a:ln>
              <a:effectLst>
                <a:glow rad="50800">
                  <a:srgbClr val="7030A0">
                    <a:alpha val="49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7970-4925-8DDB-C7B7871F8E29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chemeClr val="accent5"/>
                  </a:gs>
                  <a:gs pos="100000">
                    <a:srgbClr val="CC0000"/>
                  </a:gs>
                </a:gsLst>
                <a:lin ang="2700000" scaled="1"/>
                <a:tileRect/>
              </a:gradFill>
              <a:ln w="19050">
                <a:noFill/>
              </a:ln>
              <a:effectLst>
                <a:glow rad="50800">
                  <a:srgbClr val="7030A0">
                    <a:alpha val="49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7970-4925-8DDB-C7B7871F8E29}"/>
              </c:ext>
            </c:extLst>
          </c:dPt>
          <c:cat>
            <c:strRef>
              <c:f>Análises!$A$22:$A$26</c:f>
              <c:strCache>
                <c:ptCount val="5"/>
                <c:pt idx="0">
                  <c:v>Disco de freio</c:v>
                </c:pt>
                <c:pt idx="1">
                  <c:v>Lubrificante wl</c:v>
                </c:pt>
                <c:pt idx="2">
                  <c:v>Óleo de câmbio</c:v>
                </c:pt>
                <c:pt idx="3">
                  <c:v>Pneu suv aro 17</c:v>
                </c:pt>
                <c:pt idx="4">
                  <c:v>Kit reparo pneu</c:v>
                </c:pt>
              </c:strCache>
            </c:strRef>
          </c:cat>
          <c:val>
            <c:numRef>
              <c:f>Análises!$B$22:$B$26</c:f>
              <c:numCache>
                <c:formatCode>0</c:formatCode>
                <c:ptCount val="5"/>
                <c:pt idx="0">
                  <c:v>27</c:v>
                </c:pt>
                <c:pt idx="1">
                  <c:v>19</c:v>
                </c:pt>
                <c:pt idx="2">
                  <c:v>15</c:v>
                </c:pt>
                <c:pt idx="3">
                  <c:v>14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F47-49FF-814D-146657436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1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Estoque.xlsx]Análises!Tabela dinâmica1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8C3FC5"/>
            </a:solidFill>
            <a:round/>
          </a:ln>
          <a:effectLst>
            <a:glow rad="127000">
              <a:srgbClr val="8C3FC5">
                <a:alpha val="48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BC8FDD"/>
            </a:solidFill>
            <a:round/>
          </a:ln>
          <a:effectLst>
            <a:glow rad="127000">
              <a:srgbClr val="8C3FC5">
                <a:alpha val="48000"/>
              </a:srgbClr>
            </a:glow>
            <a:outerShdw blurRad="63500" sx="102000" sy="102000" algn="ctr" rotWithShape="0">
              <a:srgbClr val="FF0000">
                <a:alpha val="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Análises!$B$3</c:f>
              <c:strCache>
                <c:ptCount val="1"/>
                <c:pt idx="0">
                  <c:v>Despesas</c:v>
                </c:pt>
              </c:strCache>
            </c:strRef>
          </c:tx>
          <c:spPr>
            <a:ln w="28575" cap="rnd">
              <a:solidFill>
                <a:srgbClr val="8C3FC5"/>
              </a:solidFill>
              <a:round/>
            </a:ln>
            <a:effectLst>
              <a:glow rad="127000">
                <a:srgbClr val="8C3FC5">
                  <a:alpha val="48000"/>
                </a:srgbClr>
              </a:glow>
            </a:effectLst>
          </c:spPr>
          <c:marker>
            <c:symbol val="none"/>
          </c:marker>
          <c:cat>
            <c:strRef>
              <c:f>Análises!$A$4:$A$15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Análises!$B$4:$B$15</c:f>
              <c:numCache>
                <c:formatCode>"R$"\ #,##0</c:formatCode>
                <c:ptCount val="12"/>
                <c:pt idx="0">
                  <c:v>4696</c:v>
                </c:pt>
                <c:pt idx="1">
                  <c:v>3225</c:v>
                </c:pt>
                <c:pt idx="2">
                  <c:v>2478</c:v>
                </c:pt>
                <c:pt idx="3">
                  <c:v>5617</c:v>
                </c:pt>
                <c:pt idx="4">
                  <c:v>456</c:v>
                </c:pt>
                <c:pt idx="5">
                  <c:v>1792</c:v>
                </c:pt>
                <c:pt idx="6">
                  <c:v>7441</c:v>
                </c:pt>
                <c:pt idx="7">
                  <c:v>3188</c:v>
                </c:pt>
                <c:pt idx="8">
                  <c:v>957</c:v>
                </c:pt>
                <c:pt idx="9">
                  <c:v>4242</c:v>
                </c:pt>
                <c:pt idx="10">
                  <c:v>3535</c:v>
                </c:pt>
                <c:pt idx="11">
                  <c:v>145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53-4C74-BFED-43C74E39C032}"/>
            </c:ext>
          </c:extLst>
        </c:ser>
        <c:ser>
          <c:idx val="1"/>
          <c:order val="1"/>
          <c:tx>
            <c:strRef>
              <c:f>Análises!$C$3</c:f>
              <c:strCache>
                <c:ptCount val="1"/>
                <c:pt idx="0">
                  <c:v>Receitas</c:v>
                </c:pt>
              </c:strCache>
            </c:strRef>
          </c:tx>
          <c:spPr>
            <a:ln w="28575" cap="rnd">
              <a:solidFill>
                <a:srgbClr val="BC8FDD"/>
              </a:solidFill>
              <a:round/>
            </a:ln>
            <a:effectLst>
              <a:glow rad="127000">
                <a:srgbClr val="8C3FC5">
                  <a:alpha val="48000"/>
                </a:srgbClr>
              </a:glow>
              <a:outerShdw blurRad="63500" sx="102000" sy="102000" algn="ctr" rotWithShape="0">
                <a:srgbClr val="FF0000">
                  <a:alpha val="0"/>
                </a:srgbClr>
              </a:outerShdw>
            </a:effectLst>
          </c:spPr>
          <c:marker>
            <c:symbol val="none"/>
          </c:marker>
          <c:cat>
            <c:strRef>
              <c:f>Análises!$A$4:$A$15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Análises!$C$4:$C$15</c:f>
              <c:numCache>
                <c:formatCode>"R$"\ #,##0</c:formatCode>
                <c:ptCount val="12"/>
                <c:pt idx="0">
                  <c:v>2330</c:v>
                </c:pt>
                <c:pt idx="1">
                  <c:v>1878</c:v>
                </c:pt>
                <c:pt idx="2">
                  <c:v>2392</c:v>
                </c:pt>
                <c:pt idx="3">
                  <c:v>3378</c:v>
                </c:pt>
                <c:pt idx="4">
                  <c:v>278</c:v>
                </c:pt>
                <c:pt idx="5">
                  <c:v>1881</c:v>
                </c:pt>
                <c:pt idx="6">
                  <c:v>2521</c:v>
                </c:pt>
                <c:pt idx="7">
                  <c:v>1364</c:v>
                </c:pt>
                <c:pt idx="8">
                  <c:v>992</c:v>
                </c:pt>
                <c:pt idx="9">
                  <c:v>2467</c:v>
                </c:pt>
                <c:pt idx="10">
                  <c:v>1796</c:v>
                </c:pt>
                <c:pt idx="11">
                  <c:v>340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53-4C74-BFED-43C74E39C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778160"/>
        <c:axId val="2096930720"/>
      </c:lineChart>
      <c:catAx>
        <c:axId val="197677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930720"/>
        <c:crosses val="autoZero"/>
        <c:auto val="1"/>
        <c:lblAlgn val="ctr"/>
        <c:lblOffset val="100"/>
        <c:noMultiLvlLbl val="0"/>
      </c:catAx>
      <c:valAx>
        <c:axId val="209693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7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glow rad="127000">
        <a:srgbClr val="FF0000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effectLst>
              <a:glow rad="127000">
                <a:srgbClr val="7030A0"/>
              </a:glow>
            </a:effectLst>
          </cx:spPr>
        </cx:plotSurface>
        <cx:series layoutId="regionMap" uniqueId="{B051E509-6587-4B03-9612-96505E66548D}">
          <cx:spPr>
            <a:effectLst>
              <a:glow rad="76200">
                <a:srgbClr val="7030A0">
                  <a:alpha val="70000"/>
                </a:srgbClr>
              </a:glow>
            </a:effectLst>
          </cx:spPr>
          <cx:dataId val="0"/>
          <cx:layoutPr>
            <cx:geography cultureLanguage="pt-BR" cultureRegion="BR" attribution="Da plataforma Bing">
              <cx:geoCache provider="{E9337A44-BEBE-4D9F-B70C-5C5E7DAFC167}">
                <cx:binary>3HvZkttIsuWvyPQ8UCE2BKKt65p1YOGSzH1Rpl5gqVywRwAI7H9zbT6lf2ycqVaJYrGSt8pmHqZo
aVrIBBy+HT/uHvzn0/iPp+LlsfkwloUy/3gaf/2YtG31j19+MU/JS/loPpXpU6ONfm0/PenyF/36
mj69/PLcPA6pin/BNqK/PCWPTfsyfvyvf8Ld4he90U+PbarVZffSTFcvpita885nBz/68KQ71W4v
j+FOv36UzaNJi48fHp/LVPmpaZv0qUW/fry6/vjhRbVpO91M1cuvH3/6/OOHX/Zv/rsH+VDAs7bd
M1xrEfuTTQTDwv34odAq/v4+Q58wcgSBD+23F/4u9OyxhAuvUv1h0Tyq55cPz/rDdQfP+cfP9PZE
j8/PzYsxoM7b3wdv8ZMq3zT9A6OkRnvfzOXprSLy6k3zX352x3/9c+8NsMXeOzse2zfcsY/+pw77
1+l7xvmzDvuEMMZCCPTNLzY4ZtdxDjgUUQcjTg467l/l46zVo3nvkQ7768eVe27a6vc3cJP813s2
+ZNuQviT4Bhyh4if/UPcT8xGmAjOwYnb13ep3xJLPibp4/e3DiX4Yef857I9z2xV+ht4ZnH+nkH+
rGecT46wCbeZ81uC7CYQFZ8wc4lru+43/wAyfoO2bw5a6PTf//0X0uf7dXsu2ur2N3DRRfDdSodi
9k+6yP1kuwyqD/9P7bHRXg7RTwIwjsAvfXMR/y78m4suXhr1WH7tnvT39w891OFE2r12z1VbHf8G
rjpdvGeVP+kqJMAVrkOh5nzLpj1XUfJJEObA7/ynHJHvwr+56jSFWvRh8dI8pn8hp36+es9dWz3/
Bu66vvhusUNB/CfdhcknRohwhOsedheAI3Zdx7W/JdaWFu6C3/W//7f+cPHYFX8hs3av3XPVVse/
gasugIT+MQv+s65inyixKWAg/Y8vfgbBbZ1yKUMIsuvb67vw/4DgI9Dzf//39zcPBc8fIOD3C/ec
tNXub+Ckm/+rZMIGJ9j8Jzb3E5lwPxGbEQZc4rd8282nG+gboZVTfwH7di7dc9RWw7+Bo06v34vd
P5tN9ifIFQrJ9M0P+5SC0U8OchASQPzeXlDHdh11+thuG15tjP7LDe+he+y5bqvz/4eu2wW9nx7/
z44jkP2JvL3221pGPuE3v/AfrH3XP9+HJX/8JIfB7vt1Pz31j9nL/5sxwx+PIH6b1fiP7WPwNuTZ
mUK8/+mbgjCL2rv0vYr0zVqr518/Yua4wKJ/Gx5tb/JTAuzy4t9d9vJoWhgmYfGJUOpiwZgg2EEc
ZhPDy9tHFH0CFCSEUxsTSjj7+EHppk1+/WgDgeRvJQw7zOE2587HD0Z3288s8YkCcYTyBhcSVzjU
/W3kdqGLKdbqN5v85/8fVFde6FS15tePyP74ofr2a1sdHSoQPBgEENwUAQmiFD5/eryCsd72t/+X
yOdC5Qm/tyKn9ObZtr0cNZ3ko8g8Ny9WprLvJkFkPeOT3I2gH/jNYIfEgyI/iwcOjLmDoWAgysi2
9d8V30VdNc0puhy8IRgcmXi11560cvZoaDY0tGXlFaedPCIVkOsdqRTvSWUIm6oe+D1d5Fdk6awK
OYQ0xMs4zLz3ReHf2ZdRIjAXLngZ7MvJzwpmqpkUS9BltukC7g9eu4mXiZf5rl/45alzka7Eejgn
Xuyl4THrbn33k2/3ZO/5ljaOaduO32ukcmk36WdVJjC4eteB2+ffkeEgm0EQuoLZLgSrEHsyUEcs
ZUC/6BSF5bL2Sq+Vxs+usLRl7B8159YzvxPHBYwjOHWRLfbMaeEuETaIqwN3gQPzyJaJz8+6hT4V
V8rPwl72XnmKFmzNvPZ2XJTnZRiH80MaZgt7yf0j2u9ZGOKWQaNHHYe7YAYI4J+9O81Dx+c8y2T5
ah6tMuwui9C9qBqJJpk+sLv5S1NLOz4Sv4BCPxlhK1UQKMscgMVFGJBjN2lyRBEXxk5l3nXnY+MO
EgvsjYO6LtB8jtoJ2sD3nPx7LcUWagCtHEwBmPa01OVMiqovUlknlQ1j8OTStG7y8L4QtAcFYEuQ
IhwM7JBjSuk2aXeQSIsIxcQBKY0f2t5sRQ800AsSy9Eb/GzCV6N1zbwksIjMjxj0oII7ogGkd0X3
bdrpOtoqKPo5sPu6CtrK4eERDfdg501D4L0O0C7AO2xvLbCjYYsdjTuLJVJt3LWbemiZL3pPLHDv
FevsiNPQ9qF3U2Vrz11p2yjakVZ1rOa1AGmD1/vjZsZv8sgiWZax/z/IhYPaCWxDWrrQgpG9qGSR
it2Eg7xslS7H6ziwPOMjr7/Cy6O6HZO1Z8m+zOsYtE9ksYqXDZJZ6PptMPmmk83CLN/326HAdIgD
gMMpsgnZQvyOIXOndFnt2IlMuRX5ptFCElRXyxZeC9Vl1cn78vZr8lucbOdHLuWIujDU+1lg6nb2
LGoQaBF8qcfpodEt8iuebLQ1B5lpuSznKOhRumwTfAzRf48uAtoCmE69oTphe3Fj8XqMUNsm0gR2
0kjGrlB0XkfXLCzCfDGEJXNk3dcySU77QkaSLo8ZHB17hD0DOHOps3GER8ALky/5fBZNQbwswsR/
Gp7qG6rPK30yB6Wf+q53xPjbMN1LG1CfYY5h5gO5uscNGlI1QxKPiWz9IXDH2yrUC+71wXhXGn/2
1NloZLU4VkneMPsdsWwvyJoZ87kXwzex40YLW/Z0fCT+vKS+HaqSfqapLFc01CsVVGdlmF/Mdwot
09S/bRfdkZhHW0z//fO4HGb+FHOI+p9jkFKjcIb6RDqn7L6oZO3FQS/1vfuEN3SZhvWxoD8AV2D3
HwK3GL2TZfOU53XdgcDWr1bquVuUixSAvzISAwk8FmKHvfxD2h5Y9dY8uLQGc+tkVJ6lsosoRqdF
I8yxeDpmyD2o0gONXKcHvSaAYTswwP2S615SCU4N7M/mmB0PQONPdtxLX1fMqFAtaFasyisV9sun
2avO+sVxMvYHafrDiHtpWjadzZsYVAOkeG036ZIv03XpOatoOXvFWbasr8tr5UVHTLq97e9Ck2EE
fRVyoK/aS5W8xm1SasjQ2SEojKL8ZkzKJ6tMViZSjd/mjfDmwr14HxgORsyO1K3dd+Kzw1irTE1Q
TscswVJg42g5cSa8uM9z/31h5KAXd6TtMRKTdDnrS9Bx8FA4z2EbScSykAbjchs7xSMJxGu2xOE4
PuoVCYorOxQLiqW7HDbpQ3der+owrWR7tBqiw48mbORwh2Jww8+GKISamjICcM5WzaoM+mXt90Hs
laHy/myjtq2EDBrU32TtpalATtqrpEtknq2iRRUmYep17sIOWy8P3eB9o+ODZWdH2l6qDnOLHM1B
szrIa4/mn1HnEf1gqgvRLDnx8jNRAxI6Mn2rRQJaHUfiVMYKkDEJpirz86r3Jr+FZu5YhTgYf1w4
MEWwOSZvD78Tf06NVKLt6F6kV4Ke6+JLMdy8r//BvNqRsJfOxAJeF4OEtuhlFYVuygJl37ScyTq9
Yc3t+9KO6bNXZ8moiZOP1r3ltkHXndqOkfn0+r6M/W7xLXx+aLTP3IyJYtGz6B6CZ20W+WJLfo+z
0QP8kEHD9d0zb7m845lWF45OOus+J5XH21UB7R91I+BH6/e1OZx5O4L2QKFEam4GO37okkl95lVR
L1hb2R6FY1KDHDFyr0iWxr7BGnw2V41opZor5ZnK6TdHnuVgWfvtWSjaundHaa4GI4a8SSRdlGeF
8atwXLay88fZ0xfaPz7MONTP7JiZvvWPOxJTUZRoQPUWEoegG/0SsLAKonNoMWZg/cfy7X2vQkf9
s4Junkx1wUHBYWzuxx4FAiZihjyyYpTv25IepD47ttxPvKbtNJ1AVOu7C26dj+2KuE9u+TkeCznz
K84Tr3JimZcyDyI/9aawOiuWPT61JgB8GNzlqT8Xcroe+6/VLIGh9o7kjpww/Fyg0Wev6b1lYExx
0V9SCgQu9v8aVu9osZfQWRe1EybgH7ooLsogWnXh4EdSrdOjY6DDzOOHrLep204s5G5tuiQDi5kA
hZATV/RuaxnumU1LH3ixLB0a9miVycY7ruq2wv2OgMAQ1oGhD3Ty28H8bux3orZMmYr7ambSFrd2
ORyJiLca+p6Ebfbt6AcTf1TrMrq31+ZMX6bBAKT4dWvNxhuWOlSLbjrCOA6n145Se2U9KbLaGoro
vtjA8AWSKw7EmfiCwxaYo/78fsQfxP4dWXvgoS1utKWi+yRTMo6W9Lyrl+9LQAehf0fEXi23JgGJ
mrv32YauE68IISVWKES+eesr+iA5qVfdzXwa+8fo6TFL7o9EDZtVL5o3oEKhY11/h0ZTeoKsj9ef
N6x9J1rEnjkbkU0m3grEi+GuiL/OWXdijFQh+NAbvcaRccc2yfQ/6ROPuFLs2Xka2pmlI8huoF2u
RCYT0kjij8s3lCo/I3KZZ7JAy3ZxdAp0JA/FHkSns5MU5Qyyt626Re+2rTrwQz82Pnltr4gDZeGo
0IMs6UdgbY+D7Kamgrlgq7M3hdvNSL1yIrIwVuA+mgUMoaSSxVVVrBzrVuNxYc6P910HK5PrMJsy
ButbZ6//YaweVTbze4W0P3LtNW3kR4mWiXVs0HxM0l7PE6k5cibO7xlplq511ts8iIbEnzE50tId
E7SHqEp0w9zH7r1rOBDqpe2O0nauSHxMocPR+sN0e7iKigkRY8R9Xr869EKxGze/PAI8W+v/Phl/
E7E/LM+KWvM4qb4Ro+0UowvVGUC2d2wXcrgI/oiDfZzRdtE5kasT2Yf6TEHJhQ2M8PgyWqUeDBeU
r/3Bt17p8fHrQcKyI3kPcOy6bpWyQHK26h63PGzbCLHXTOZ+7B8bzh+GN9h3cDAqLH7sPacxI2Ld
JO79lvdhz3gdldZb6xVJAjPA/DoKjtr2YKD8kLk9sryb5VZcYxtr8OIYRosvU3O33UU4/hR28/aH
ho1n+X+FcmLMOYE1iy24s4elTeu2Ka/nRHZuUn92R9T4cz2yNRAOGrizyYL3Y/UQfsLKlREKu2nu
brfMu0oOcCq+MXN0z2lgei2jOTvCY44J2ANoYjlZ1uDonuVUjs6DZTVHBGxvsJ9sPzQQ9p6AeUBF
RkUKw65sM7soGKxzpDeZfTnN4ghEHey+dmXtAT9zMkqiCGSR4qYakc/KG42Ql/bdNSzlT9jALxzV
epTcMa6OCbffnP+TqswmDjSZNhMM1shkHyLhAGLVtKiVfYZZHvYxbbGH46mA6mq51VdVNvWTFkmb
SVd1/BGbOjVyNk71MDZT7fMeZ7cd/Amr4Fi7jt+oqFI+bDbMHSWdczPV3YiCNkoxkVU855cWbyru
J5Edn7SG9Zlk2w2o70QOv8AZHh0vbRFrobiTFph31VF6UqdV9lzrqDBewvhwk9RqXDjZjLFXCGRp
qVgKpK+CFcMyLuIy9XTRO/dukbPXWQ+dCsqqKZcTGu0haKI4QUHOh1avU0KS2zmJ4Dn5ON+kYmAG
vD71VDJsGND8rB5OWUzJWQftQewrwrPHmbi69Kwc4V62tlHnttWNd8SQUp8SRqbCb8t4KKQaU9ef
sD1uUOHEC6vETRrQkbmWlxRjf+k6cQyECowe+ZaKbbJs0pkW3liS7gT1ZDifJptmss0H1fqdPU1u
MIy4uZiz3tzDsY9ukHOE+UpXbLrOmG47H7Zz6mywhyyXWdXZz6Ttse117ZghmVYorwPai/gupm5+
FcdZlfu9IdbJHMMyFs5nTOXKage0th023FTJ1CzSvnciz3BeXyVVl54zq9LiomV04p5VdtVdxHj3
gkiPNoxN9Gvaxw1Q8AmCltdNdpk0SZ1Lt8khNrTtvFqYVdB0dhFrzk1eWRdpMxSnuWXbzyqpSSHF
XM2jzK2RLWdHRScOG9WVngveLQudilT2BdG+Y40qlpajh0tBUXpRZKoWkuYlfWRxbkvlQpS5luX6
huPigQz9a9Rb7ESJVvktSa3aI7QiL44p7afEOGKtqkwsyFgrQJQMmluSuNf9ZBiWNHXEXcGJAcar
4sLTUV913ozAS9ZU1l0Aey/3kpm2fEBz7Z6Rzqq+9gpBE+0OuPRU2/fKG+MRXXLDy5OhZgwihyJ1
W1XzfN3kPYS9m6fiwaqLAXyonSUs8NplNozUkoSl0ISrweJS5GN66ZTlvGEtRxeQVcUyzTMH0L1J
xHVXxs15meY3bT2ZsOzrmsu0xb0VmGlqUUjEUDw0s6ZnPKnT+96ZyBolOT9XFatrmcUd6JWPkzcB
rnu4JHpJKip8XcfWEDZZVZ1ZiPan3B5gleTQCYUTc3ovmUnqO3kPFUwknMqe2O2S0gp2LiNzQoM7
GGtXLhWywzpKpVva+aLjRf0QO3bTyJTk4pr0trkWzTD5E+37UzNTs6msFGafLgByLmmC2TLWhPjD
PA4vcY/cU9yz2ZaTcsdJUprqEkBANGdxCdtFQ4di0xhn8iNe5Lk0ST4+dLMZPfgvVPiKl4uSsvxi
rJLoYSg5DXN35Ishq+tVOURmjeaJeH2Bx6VpLFRCeFUxlXCySVQyTRQOCs2cM964nd+xXACIt2Uu
Z8WB2BqbrASvIHUmVDyMTKWVp93RfojztA+I1WanIq7ZS44j9yYRSkA0J2U/SDimZW2asZ/Fqe6R
+BI5rjX5jPPqc6yHxuddi1PfqkfyMMEsoZdwVMScjvFcnw2GoKtWu9Npjns3lgKpeOWWKb0VqY0X
SVs7yC9QhWp40jpe0yQmgWs3zPU7t2DKT2BC8LVywwyg67YaY9n25qXM8UnTNnXQcfNsWuyTSASV
sk4dK/ccO/saK+3VUypJ35xl2PWFM9zOU3FW9mENZ0lEDO1TooFrBJbgvg34SPt5kk5CXi3WyKhy
K6mbuPHaBgXGAcSrLT1I1pprln8Z4npNaLkRPA2KWLxYBbSgEEmIP1uEN16VkJOi7DYFuqE5TDIa
dMehg4J0knYCR6NQVshOBLZy10k9nAtVBTOFXXcHiTy7lxC/myImnyvTrOG0yqpN2hUXfAOFb9HG
jszs5LIaUslV5HVF7WVJfFGxM1SUS8tNQup+oal1WlaudMxZ0w4yGZMwrrLzggw3JvpsW7Bp7dIv
aPgclZBTxPZL68FxMm+CIcWUvminko5VwY3v2DB52C69pHooMHp0yjxMGfIifNY655yf9OXKafOw
JolHwDlZ/VQwiMoxu+t05wTWaPmascqPHfq1m7OFI5JA17UfCcsfilYmTvxa5ZUsW5b5mES9FzUR
rLXa/qoRM/O5W6Kgy7pnXaZJWHIY1TfNcjal31ix30NH2Mxf52ZcFom1LBANxHzRirsGzu+0ikoq
uiDG0XPW26WESfJGzNaT21ZnKc7uYJKQBnBsOICDHkZmg0tSL7Op9cVUPAVEjqXr5vbFyNPGR87Q
SDeFDVVWuLd2xS8b6N9Q2nijSfy+sANG2aa09XUkqhM2otWg9CVLb3pGFq7IwpyUV1VC/W6OpTHx
SadKr86Mh/PYax0CR3Lm5JzgOHCjbpEm+I7VdDMNbgg1tQIzqTWixOdYrVTEF5GaVpXFntloc1nN
9AKGhJI0KKRpGephOkdTt8x7iJ1xyD1t0ItJk8XUjyunql5RU17azKyyGltgFbLsiGFeXUXZMm+K
+qyI1fOUTfkiy1wfxxVbDwW9BgK4qvqu9K2yNvfzNKOADskXKNuDLAZSPXJjX6RGXMRwliE3KmRZ
D2pV9hjUVufPMbQYQCldq2N+lahmyUSDFiNX9sk8R/Ru4MmJkzYnXI9yqtqQaGcdYzT7qV2ZEGUt
lRme3Nup7JOnqYXiq0aUemJAL02awlAU15WvOIFRm00sv+lT7s2MJkD9EtA1rsiJVegcagi09aqu
3dsoNTRkcETrvGlwIuHgHw2VEJ7iuZDWYMol7rt0rae89LRKC2+Y81aWjEENcbhXRFkJFSda84EM
ktfJisQIuFLRfi27ctlVYsPbaktfAKGoZdWyhyq9SFlEAYIndjFGrRXaxH22q0Fs3AKJDZ1SJV0z
6Ezquhm/2qVwz0CdBAiKOxdrO8sDjWAqmpECjpG2nG7qyYkeNZ3npWsrckGgnVpGg2vBPmQasxuw
NH5w627J+y4sEZlCrbqgG5i9HmIBPIsxdV7iXq+G2h2J50blHI407xfumOIvGapgEEIhEzy36tuv
TSMKsxirFAfpmKsVLBOL1YhM65Vi7iWf2LzsNXK+Tq2VLpII9d7YpdOmMHVSy9g09iWM7Wjls2zK
BilsTW/zNk9geqbFJu9q+KMtYPUZw3umsyMwPU4SJYeuMEE+anehiYEzQ8MY4YeBVfDPWFVqbXdV
FeRUuYs+wuoMD8YsGx7jUNNOSDhJReRo28kDGRPkC7u2y5OEG7Ts4oSubDCX8seGN7e5PdQPSdMV
pe8UFrIlwkmzjGsC1QXp9Gs7NcaVLUJoneeZu+j6CPbPSk1VCGeZ48sxbeellbZFMILvOknZ7N5i
XrZXfTGoM2DkaFnWGE7JxqnTSNsl8ei55TwlHpDdjgELs8f7QSfpWV/q2IROpeJ1Uo36FVdRexJZ
k5NKas/jTVXZznPbziQ0OYZ8Q5FoV/EEp3Nlo+LqvNMxutO25bw0fGBaQm/cFbImdvzSu5iedq6V
b+Y0t1YJTCOuh1rXnSzrcl5YWWedqKonm7gz4i7tTX1hmCYLG+juI3ZGeudwHd2ZvGi+Fk1WF9Lg
NJoksO78RGkUnXTCalYmtTkQA1p2gQBmxyWJk3ndpln3oAoqHiC6YO3fWHSJ68he0KzCUOHLbiph
wdZWVwlXMFedo/jc2IUVuhbSp9DN10Cha/hN27TzqRr4CQwKy5MSNdCNVAR7xKUzRExlZ0w6eBRq
kVQAjmYgMD5k1HYTKDh94vp6zit2Dg/l+H0toluVN/UK864OKqfqoOoPLZwRn7MEuJkqlnA6M7sS
pjKbYTLjbZFodtJbNIbbIYOUx4psXvWpW6zbkXdPTZLyfBFpYn+FmQM+GU2bprKo0Ba2sJpOoCIO
4Ku6S+9Tu57XWUtqaGxokftTrrvnmhczdHXTEAdpF3dX0wjd5xKOBDKvKjt8WzZT9VQzimATa9fd
WdwSswZYUpe1hUFe0T7BbdWXyI6mG9fE6jHOEPdrmvHUG6F18VqY4wHpqJxNoxvblZ2dCxijt3N/
a3WiPB9jaq1xx8vQBmSUGaKtE8KX3LN7ihJnaXQLjbF2Rs2gP+qdr24bWxs4c+SuLGtmRLZJjn1T
5cqnjnY3dqvpOh8d2Pd1Tl3CWAv3xWWfj00Iy4T8stZTdD5MTfzUDE27QEOZfobvHqCrrIROc64i
62yIBD1jkxFXTkOiz6rD8ASZ3Qk4FQNTC8+yp25dWlP2kuuchZOh3W3q9NVSVEl8SnKHQRfCtDeO
szmpK83qdTEiLms3mmUFQHzCnAS22mJQz8KaYR2Zmmm4b6HTuG5QHW2aroMB9NRQfA99arnQpaMu
HN1XQNqwCy10W9yKWgybkqHkhGEnf3S5rgLdKjdwBz2Eg1MUV5Yu7KWB0pbC4mJ7EBfEBkk6mNd+
rs1zV9UPJnXthSotc2uzEV+rubUKiawUJUByMdCbvirb2RN02g47ug4D10wcO/caMakNrK6LGHgr
j5/suB3CXlANc+ChrH088pJLqyBxJqNMWF/jHoBa2mNlIzjmY4orgyd6a1gOa/60mFuvgvgeghgp
tdbtaJ3Aydj0xJ55Ovqaqg4msLRAwDT6eiZSF0nq+IrFzufBgvNKUsEKQywQniJ6ksR5E4e5yaZp
xU2RnceO2z9hOmnjzQYnN9xMrZIjo6ry1DTbarU9Cn+TudGI4dyBpbtTYZH6eiwK95VB+b8Ys3EI
NYm7Wbr96OJ1MvQVkm2U6ViShBnIT7CD8NDI+JrHkXVX2m4aB5MVubVUrdu40P/3BVurvkpnmUf2
VG8KYD1CQqymJ3MrnExy2MCeT3ELB/GLnq6s3p2h9x/nDiglNyddk+ErM/UAGS6t1HmxXGYUwwi3
A+YXy8GBw/Ii1f0FcMzpgolieG3Z5H6ZS+KsB+iZb3XapRuVAvPSeT+ftTGF722Qnlw0zK5ugU/R
ME5SezHQvEBeAuOolVCmCup0ZGezNWMk57lKBhmlZQeMvq8BCw1Tk2ScZJcNJxXzujGrgLFhpn1o
yemXscmtpYidftVXhH/WptD3TWQP0BziWN+bDDXrEisrl0De+VkKZ4e/OKjLv5Rdmp/EEY1kCV8s
XlBEM/hn5SDhZaRuoZIZGBDBXZryCqusXo4RBfiEb1qEFZ2qddZk5haE24ssh5bKyxPWnjqk7hdF
nbZwPp7nFnxXJ/s/7F1HluQ4lrzL7NEPBAgS3MyCwukyPFRGig1fVApqrXmbOcCcYi42xsisSg+G
d7Brejubeq+yq/M7QODjCzP7HFckqvTw0IU4mdkwcbvxxYT+/wRSAg5NiOA+Yz7/PHmNcQS6/2vY
U3YzjHmP0DzHXWOTEZv4M3nqcJm/54XsH1O1a+26RJPWLHEfXEUgeaJ4rMxKGRmCLi5v8hhwqFr6
zU7tO+8cySr5osJHfsvbFn+jV3DjrkGi/CWL2mxv6LL5XnhsAuVM7VHzMurRavOgDOz3C9qL1qtU
AJiGBIKmcRWQVQoNn9cVbUX3mk4OaEzMuAAvPGGf4j1xKgd97PDTv9B6fQ2Ge2NwiTBSBy0BgevF
oOcm3G7dbovIzolyZx16tyATvbW26MexTtWFZ2Q/G54GswOJFmfUO8mjjgY3wivH23aOYhlP2ZSc
UM8CPv3v9p3e/opFJXpK24ED/Dj/is5WwZ2am6GADWjoOA9AA9INLTqTTQ8/OUDJz1r4Lwbg7c+a
908O29e8GKvQD34pR/31r/95+lOO6kW76Pefz9pTv//tXHzPHprq+/fm9Fws/8vZ3l//Kcz9sj+z
/F79yxvK4T8hFf6UuPon/+O/xjhUqDpjg/6i5rxhHDp18T//XYXg3T6AI/2X4MDM5Pv1//2Tdij/
AfLAjF/XVYNpukCz4jftUAI5I6nGOXI4g8HiL94hUfR/SEMxwDkAvxA8+pmt+CfvkIGuqCDTk+hP
gRPMhfG3eIeLzo0AsHMmE6kMJEsGusiic1NTFJaSEWkjvPaP9sBv+33vDMf6fqbF9YWJmk9wrz/R
9eblAhnyxvKij4PSYsunYAot+aF1qKOCcuhFZmcGfxieRQtT3Khmb3MrAqTAFo2drzYX54blRStn
+QuWDXz4fTWkKBVbvZU+j4OtAF0ffi+/tnbUbFBHsFF2uTgmv67MK5rnosGOjhE+qK7quL2QiYF+
wmvHqMuQqV0FML0HOH/zqAQmfcq/lFbQgF41OM1dUlkIc7NVGN28m5drXRhe8ho8gxe+18Bwm/1g
9INfPytNbcoJxUTvTlNXyCuLtu1ymWLhIBGU84D0OTpDzYQiuUBc2Cn+Pk6Rgq/s6GvPD6rjvKMz
AJ2jXYsMcdED1+NMmZPP+gV8UnxO992WnMje+4P8bbjbiy2EB7itVAfqfUnG6P1UElnClnoaLYCN
q51qiW39ndygtsgRUDyNj8DZnfmteHx/mctrOq/y0vLc4b0Aoo2KEiGehGWSnRW+85QMiEJuqTqx
hF/8vecbeyohmgMdKhA8OSCldLGnFK0L9CrhFGZADyC7VrQJ3eQg9sXe36yB0Oaf/upkLowtut+j
GHPhDzDGwQDxcoJK56+n6qei3rVr9+Y8zjYEKJMCJG4Fwcnr7QuMqPCR94AS6/TOGFqaaio1OLId
kLJgqxVIT01QCsK/DUL7uZUXlhcfzuvrsijn1c2oCV8eZhBaeBw3sef6n0I7cN8/J8vu+Bt7i0+n
B5Po6VwGDI7TRmyUrXyMd9zKN+vXYenAX07JxdIWHy7H4UOzG5vqRRwFgSxtd6E6AXomeqlZePka
FKB95ezxyTuh+9Ft3l/rykdd4r09ZM6jh8KVWU23hobDqoPq3Hz894zgJb68eACIiCBRYCQcWyvm
rc312lFluHLlrl6CF2ajoWpcLAnMKjL5tOtgRm2ehqQ2w1CsOco3T898By5MLE7ihACjlAwmhk37
lBVm5G0ioKN2M623u9GlFX9GlytwlN70VzZxZXXa4voN3SjSnMM0QSVoQro3dZ/f/0yLjOOXy/q9
Om2xuh7oAQVNlJ/3DPVra/pDuy3t9phvxgNLVzZzcfSgx0IV5DYGsPxMndUUX5+KNm1i6vtKZDFg
3hsjtCm4GiMg/u+vasXMMqsJjaZJhlCg8UVPfviDF988/vy+icXD8nMlQkK3U1cRVC6fNF8hIsw8
9NYS8FlqZDKAqnvnOP4SA93wvqnFAfxpapYMQGCrQiBvcQr6OGWJzLFpHZirdfLUAK1iQOOi4Dfv
G7q6bReGFmeha8pZZIOCJlCHdm/oB63vd0MmVvzP2nrmn3HxJmdAqBTeiPVo02B1fWCl6o0RAxtO
Def9BS3uz5udm3/JhaWSqMOkqbAUe/VdzNK7IKhWjtqaifmcXJgICWnLSIeJFFgTFn1pxMpHuXbQ
VAVse/GCcWOLkFBWNWqBI7gbI7idOkQTGv2uGFCGi7/1zd/kCM7X89LWwmlTFI0NmmExZRXaSqaY
Yy6tslZW9uzlN1+ELi/fRWUcRxlegEu2OAEKp/Gg5DyyqFuPgFQ5QWDTH4C526nr91b1I7wFO/AG
4O99eEtt7RDa5RrP9NopROyLy6sq0EWmi8MeeN3cIQkjKzuSrbAR4Dzne/+7Aap0fyRfJqex0F5w
3z+QyzDjZeWXVhcr7yt0+4IgwtfcR7czG9KwtHO+Y0Ceavfv21pb4OLwt4UfdB1BQ6CT0skjcKyn
0gK2x5q8H+9bWj4iP1clKLaSSfj3pfTFSEIgJGkTWcoZBKBNfvLdxtFd35pRpmvp57ULIS6MLQ5p
z8pSoEcVWoFWOVSotkJBk2GPUcLOTbFKC5q96+KsQukC5wMZrQY+/eL+MWGMIo/q2ErBZdrEh/I0
E1ij595Gg98NV0G08wl4z95ieR3KvX7SDrFFASeqq+9KCuqHJ1auoHLFb71a1rzsC7/lozAsG6V6
WZaE3sxm5hfqX4Yf9NhZmlnc/wuc/Csn8pXNxZXrC0m4YLA5uo2dPapW/oVF5hRYaE7gqMxUlt4a
D2syQm8A2LjdEGhCOwmQFyA89YWPZoPHCYBcaGP8aB2W2opdusRCmVNa7Way6t1cs1glWswf6s2H
1FHKlciuIXa1qNNAn2FAx4vFlndie3TV98KZ9j9Xus4pv3pqABaC2IEAp/ml8nrxOVms57nujbHV
sG9ph9A+aOwk4eb7F/3aoQFtTAgpGGpvs+Le5aFJJqEnRY7SFmCH5pSiWxauxKPXngbGgeVWIMA4
B4uLc9nwFr2qRsPx34fb9AafCsINjanf6QegyB4Hi7jTKbaNXb7Vb8HSXLkX146oSjVMBAB8HYn8
wrxkuUJZArRZ2swQGcVKo8RKy3yPhuGKqWufTEVigTcIah0oZL7eTK3rO4OINLGMof8oCsiG+fQ5
5OqKmasrgroVtNEgcAVNkNdmwmIqlYhiRd0IXJ54ythz4XV7w//+/tl4CUOX5x0C3BKRCtBrEJx5
bQjgWV71fhBb/KzuJzuw6g/kXjXlGV/sQ39YIxtc275Lc4tL3WZQV+hagjcn5J+m1NsWbHRzAMj+
zWUt9k/KKByAeYmsaBc8htvpAHI5GjKz+883kOVa+VxsUXCc31KGSid0uRDtQz9nXvfFTUY7esB/
AzxTYWsuOTAIK3FTc9U7OK5hM9jlvXGYe0LeNnv2Hpp9G5ohM1NwSazMmfkrYm0Hrp2gy1+0+LAp
+p/TwJPYUj1HDSx/yw9yp3/xiBlDIWnMzQEu1cnu/I26Wvdd1Ere7MbiK48xighcwHb+w1DsZtef
cpSf1McKaDAnB+bS7BzvE3diFKFiK/ui797//Nc8HqqkKtdUzgAvWfiDujKMhMVRbOl16M4N1zZc
izCum0BfAjURVGJfXq+LD16ncNv6gCUGAMvzY2ncvb+ENzyrlxMFRUZVBSVgVnl7faL40Hdjy5FB
qAVqaXjprWkb78V2ZmI328GaLPGkZiYEKVbO8tUremF4cXDEEMJdVHpkEXA45GfGbit9jcd/9XBe
2FgckAj4zQyIwDmMr3aKDcBECOEu1fSZyfdkLw/owFjVJl1JH65+tAuzC6/AI9GFcQ+zTUvsKVQB
O1k5eVdPviFxAziFIPSyPq8hYKnLVs6Zgr+ddXD8HXHRk11ZyNXgaI6PEDbogEhpizcdb32REM2L
rOFT9Eid+BA0OB/EmZtItDPTr8OHcPVkXNs+TdV0iP0j4jO0xZEMW/AM9LyMwYWrHeBgQZi03z/1
V84e4nWkdqqBQhOV8/Ze3KopHJsgEuhRyfoJCBazVwA86FbaNVeWcWlkqeRTcQMLCTSQgOqnQDu0
3Uruf+3qcrQvMBhGcKhFLiPXsa5Y6zc0tLLEesmsXAaxxEeTZfB8k+WZzMzPoQ3hltV3aPZsi+cc
UAQ0T+ZmqqbzxcWK2zQgOZ3Tx42/NQ6RnVrDZtZ/yh6IJY/pCYjeD8nzaKdAmVvBqfXN9EFb2YBr
XxECcsji8AugOrg4J6xoNQrwUGjV2nTEm+m2AXsgHnH+/mGRGrTSkMLqYBMuzExFqfCKQdEw0pFs
Uc/sAXkU0+qeXjsvl3YWDjGrphjdQ9jRFZPep6k92RAAfaxuS1fusvPM0OQuf+qZmfxhnHpbWMNJ
Of0Lam1XchN++UMWHxevvVRHjh/Cz8ax2bTOYGuWiC2UmIJNtiXCTB8HNwOx7Ca1RwjkqXfRh7VY
+5rrefUrlk7U7/wwAgzf0s+IK4DEmMXFPHu6YTtmQJkPIHxQZVd7S9cP1e+vvXANyK21OJwXjwqV
FSkRgICGXWblSrL0RsIB7+7F8gRd8NwnLRIKaAJAZG6KXXUM79ub/n6CL4dzhRKf+AE27o6hAWQW
pzUtqPfXiPFEr92fovXq4AMLZ5XygQcbr7yNojXdlytP76v1LRIYmfqJlsSwkUDZL4tGC5SjKAAh
LFvZyfevjVgSqAsAMToywNBIWxAPTkW1EkVc3y0DSBNM2VIgk/l6t9jUdBWcIXxddOReaOdoxvE+
/z8t47eVhZeRXBRlGeG1GIrPAANaVeXb7/uxa4U4fJLfJhYORhsz4DcTmNDumAUOCNqZNqqokPQC
nvpuTYTw+nf5bW3hRUgyeCmFfIaV5n/Eym1VfHh/OWt//8I/FBxFnWneMPAfQJNA6Zvcv2/h6hEG
GVlDGQ/k/GVrRRoAOIP4CCnbTrE4lNOa9itpPvuoKL5vaN6KN6/phaHFCUs7I/K6EFs1AKvDvaMU
SNfyH76eWE1drMTd14/BhbXFSetKATaojmWprr8tztMBpb0PBXJWDU09lBXfX9vV23NhbXHoemVE
mmbAWtsc6+QmqTb1WjeZXT0KFzYWR82XWtJVEjaYW+zoPr1XnQTyMMQRTu+WbmoBbQ3gYHqLVBj6
d5vC8jfr7+bar1gcSEirDlyp8Cv0SQFDl5qsTTbvb+aVsJ/Li4UuHqexrgtBa5gYEHbNNVnhguq6
3oi4Gt7JWblfoC6EcZGvXV7IoK9WZrAjzt1xVmnVnXgnzdGeWxHrmi9Xd+7C3PxzLsLxOoPMTtfh
LRwhfIsW8/T1/W27epEv/v7Z/sXfP4kq9/uUYDmMbUlSOGDvO0odmiRcsXQ1Jsespb92bnG5wlzP
Rdtg51RX2ZzQvXT0A0lN3x32c0Q+45i0e0ipb99f4doOLm6Z2iNHNFo8glqkma2fmYb/8L6Fq/cY
ssmYo/cCC1vEK4lCPC+I8I2CUZiEnQVrTU/98r6RGZ751hOiaQ750/mpXcbakYcqS+ih7zaDB6Pj
cDudVZdafJM6sePvq22zz/QZPuk9qJt0I8HTOK81/655Y0zvkQglpNCx2NenBU6/1CKKlQqAl3rw
7CX6EFpyitRj97c1e+Yw8NLY4sPxFui9eP5wtQDftn5MOVZurGzr1VN5aWXhIMc6G3hWwErzqd+P
UECj+9HRLH4gznjbjObw5Fsd1MLWqlfXDo0BUhwmgeA1RuXy9VZqBXxZo2Ir9eRYR09JdxymT+8f
mavPGaYDQp4D7UXUyBY+Mav7ZJJzFowWnHR71/9iQCVLSZD9UuQHa2naGyX/ly+mgBqHSixywmXw
PDQjyHfzY9N8HffavnXJDfRRvkDH3JlFjws3ze33l3h9F39bXHhj6iW0iwh2UQUsvRq/FypEDIJx
JQhZ4O+1uZrKMbfvr4UtvHBjKKkoPARUtdPA6Wfn6kgd+iF3YwsTPu69M7UrC53/2/YByuTO+2uc
H8dlCHRpfOGix0atDDIHJSKID3lOj7VRbnkTgTRs2G2JJH8YjZUCzRsp+uWKFzfd69Wi8wIYHfcQ
pcSolPmR8y0wtFbc89UvqLK5/QGgJCZAvL4HASh7fhnMtzxM3R46/n4HAnrGrPc38fpdUDGvBN03
zJtYVosx7WbuwCGQjBRiYbqG5ZUlHp2m/5CXGjBi0/00Ap6mR+NdAEpcHNDS1LThx/s/49pjBDTS
X79i4dMClvWGNyPAo/iDzs9Jef/v/f0Lr5KRoecgcYeWb7TPXkifklaulMXXljAf14uIIWz8Xzlf
HUEBmT4U0Upldc3AwmtBpEWPKgV7VNT5UZBoBwz22vG++pAJNCbmeUrgSSwuNAQsqF+1CHtaq8VE
mfRZzqBje25uoy9UosowOXOX6v9Q2ceIceTLOIMY0/FS+rjYvLwcwVXHJ4Ks6w8OfBAY1SAw+ivV
v2stxUszy652GzWVH/c4Bl7Gn2IMUWjItPdVVMPbYFNHIP32pDtkJb838EJA2yW6SSvPqgK/WXFe
V6/37wW/tK0vFtwVNfiJzZy/VaPV+V+g6w2FnHDFQV+/3RdmFl6knjjgZBoW3O+lO0flxWFuNaJM
5aw39uZL+sYhXxhbHB58tww6OfiIfvEjHagF6Qwa493xx5WbsLZ5C8/v1a1GKuj2WB1DWTUpTTE+
9+Oa5vxVKwBiKhhFNk/iXviMsgriNpwAQmLapyb7BGqbNYbcft8xsXlT3mzahZWF21CUwmjCAAdh
xqXPeNlKO2mRHTrFgz84eWwihAVcwWk3UFMxE+iKgSYLRuEAjRjPMh7f/zlra174mFTjhTJB8sxK
4iPNEYQBoK9nf7xv5Hps+eea52GKr11lrHg+mYCVs+RpfKqBx8g2clfbhjtZfM5OAfIiG2M1Drvq
QKGdjxAdDQAAJV6bZbhwP1G8kYjdeIisQBXOytKuBCUYbIYcGHAWJB5LFCBaR80wCGwgg95S7QSs
JC6Iz8KtQfsJTXQwS99sayo3AgM+rCkPG5tBlMOGCMRoQZkJW9DT3KKQsNvSoQEjokuU26Ivu4ei
7eVKlHEtngEQDShg1KwwomjZEJmMvJniBJ+CufM8gdSd3HIXYcDIWuP7ysl6ZWjxwqe9Hnd6hto8
nbR+RtdDYsKGAAtdcXmYNfbmRoGoN88LBEblpUX9+jOPoV/2kT9AvKxgim95fjhmDgb5JQy6TKqH
Wg4U3kroQ0kDEkwaoQ8VZld8HvEw9Wanx0yzgg4qNKZeD/IwtaKCElw8boVAxVtCe+hTxXFRIB4B
Kbti8uIbjJ2TwswMUu/A74UCXIg2q5TldDeoxiwW0GGenaZAcUb0or8LNTiVUE/Lm5aj0q1EJPuB
BxAaIFPjo8yqS22fD7y3h6HFNA0IEFhZnRC7KVXF7mU5bgNIo1gl/rFpWkghRShUQKxh0DdDBtUS
lLWHXDGVMuGN1eeytjD1MFagTwGMi82nODzLqZFAjELs5AkyN/0GKPp0F4bp+CUlZXdAmxC5eqJr
/oe8N5ocAgKNAl2SlJ+kMX418hZNcagRgBbdMJe34QAVpTA+Y/4A+np+zsw6Bxhu6tVui5EVDLM6
khbJf9rXvqlW3bhTO7X8mtIOf6oMlQDWPRmPlQzGrUJrJGYQXTC9qmZHJrOJmFDd7em2SarqU02K
4Bt0LovtUAXsvmkVKAakan2elIqClxVV5bMAEjF3IBk2oLQxtcNkosBSmXoC8UOtnlUb2DBAioAp
p5RN2hnQ5BCM9RAaRBvfw5wAVxig3g/+OHV2EScl70yRZUmzh4QJ112lwGX6rhd9UUN/ROjiKAwv
6Y8RZyIBuwhwU0cEnBknBaRusYlEOZaHSR8zVm9kSXw1MJVpaksb00XRkksbfZNGEJAzoybikcNp
yj91RMFlNKbIbkZ8M9PT6bijcVGG5tiwvrcwbUa4DbbvMKWxeIjaUJolwLnbttZ9h8dR7wo9gqBD
ROI7FmbJbZCW2knXZPIpQj/2XivbzO7ncDgtO/XehzTDHqoZ0DryUmWbxSK5VSIIcYEv0N4KQUqo
mLXMDGoOpZy8i7RdU+vSYWEoP3uk49DA4HWWO1VmqI/l0Id7IsbImtJCbIiow++65mELmVbXVh3l
GF4CyaZdHE0js1o9ru4lWPU7WkKeSwdE/VtAWGW3etveJECiDGbaEbaFyBwUeqYwOulDXNo9HlvP
RG8ysWbVbycrxviR6x0UA/sU0jUKkT6kUhiDbE7DB9VWMaRwl6QCiolazI6l1ycHoEwHK4wgVG7m
epkOjxDIUd0p9nv9pqi89hx4ZfSJ8JrdyK5jlsxHQIWyJLEg+VRuRVtMGDjBjeZLnmSGU6lxVjs6
ScB3aWXWH6JRZ89qNkHiJA68J1oWSrcfxRCcolCLCnPwjeaA2haL3HAI8o9pn/s7XKPUCfu83BYF
49hZXXyEvkJ4lwUkup0BI3f1SMA116mCyCAtaGKKuH1RM+I3rK2MW7gAzVSVPN+ouo+RThQqbTw1
ciAXhLFLI+qdAqjqPPDMS2/gi8Yj8Ru503wtPKo0JTaFcsG27tHJreEIf5R+129orzQu5C59t6bU
cL3OL09jPDVOFtPgvvOTzA79gW47fUzcJod6JnRrGjev1MBNWpEdg1BQK2KQwlSLpscWQa5oJ5tU
sXQjrfdBrFZonHfBhrEKClRd2Lq9IqN9BBWcTTZyb9OHDGWThqUqmBhQQzY9EPAzU1Hr+kceeZNu
dizQN3ETxUcv08l9r2tQizCG8UPZzjJyBTQPow1S7OJceV1qhmAIY14Ni0DFyiY3JEZhJ0GTIPzy
aHyUtPZPYR9O92lLqicKvpsPST0NgkrjNDldJJu9mo/Zt2lKuo8Y5m3YdZG0+97Ioaam+6DdDqEa
fOxbo92HPoFEWZFKzeGj1tzWaql/pnmLHmEPZQw7T9Tk0ddiQOBaHjGTFCA0ZJgG+cjbTJjAG7TP
RREmFIoZsfZBZMHwuSIppFIZi0RmxXludJtKQIzMzxvIpIZBH9yHilRslY7RJslHSNJDx6VxNT8f
b/vpc1+ktdvQaPiq0qx3szENYozUq5SPflUkmh3K0PsgIF6CmCkJxGOkFsotvLkCBY6CQhsPlRcg
Tb2bJOeJJVqvhqrLpDQOSXEETb1nbOdHLNmTuq02HcnavVYbWWspI9QHfRDunEnpIc0oqszRvNE4
VuAOFWCfG2IXKR45dSOUzxCP5we9r+gu4032ByYa+BsC4SIoaGRin0JKdxPIMbpp4QXByw1SSL+F
XnouolHZQY9Y3XsCXocXQlpN0nbbvIkGl7SN/jhIvAxaziHcMBiADvT1SREZ3Zaihoqplnh2P9MC
+qSqN3nUFqc4zzxID+OAVS1EjZSOQfVu6ocvooL8ayN88dTlQexqwSSfAQcEMwPTM1xBKw0uDLcP
A7u8jdpM034qOm0nOrXbGZHUE4j49Xlh1n38JJsxNaMJspKZUqdOSaFKnSa48gPkf8065ZXDkzb5
7Pl6fJhi7YHj7YHaaDpgHhd8ho87DDnkQGT70tcAYwO4yCFUlFuNGCiJT4kKqEZWSlP1YrnlRqU6
WemFu7arZtksXpebCYjJ7xkjwClmMhmetSTgJyDUqxNRZfp9wl2ARnEeQd8XEazkhO+hrMn/dked
ASgNHAk3pERlYg4vL/LlQp2AHRq6xMIMgM0QHBjJtyH5+8CA2QpgeEAogcOzzBAkcso2kn5q0ZFC
BuYGvNqV8PRKRg4TYJYCjv4CwlokIX7uV1me0cSqbGrNKmynZGM4/UbBq3GI9mtlxCuYmNf2Frny
iEG1jTJi48QZRHl+nEwM5QJNQQcpw4HAAfQC/xzN9f+KJP+hMDYDJ/+5Iombh//zX/V//NI3eREi
+fl/+SVEoop/QLMA5QRMDUbxHI2xv4RI5vn1SBiBq5WYoCx12PlLh4T9A0rrYBFg0LGC8pyKr/in
DomCAegGeJRoP819Ew4A+J+iK7c/Cw3vzT8H6eJ1+jQL7YOyB8kgjBdgwGIsbpqiwoXK2EcSpOcQ
j42H2Ct2ed34Ofh0WVY1m0olwVfVnwho/LoSfKNeXBUu0qPWPxC/0jG1aeCj4aZ11elO06L/bA96
n3f3UH4e4JBAQCzHQwUYuJ0REgiovXYTLp0nlWJfK0aB7MnDxE+LVzkU/khWIIuSZMhVl+f9AJp0
lZe5Gddk7O2sG5L+HKqkR2hSoDREUUgLRsjfxoiGbMl68pXrKV5DQGAJsu8OfJQWuU8vwPLGPztk
P1LJnwWb6mKDxxiCTTwOh0e1YfG44VCNzfCSo9+Mx2bQpw9QoIOCWs5GyJmhgV/1TozxRxBBnviY
Oiph+HPS0FngTOTDIyDF0XM8qkVlR1XB4J+nzqtM6C+OEzK+ZlTwJ7HqbYiaD3/kIyS5bIz+TJqD
OsaZizew+aTSuoPWNELCabK6JjcKS2sm/UYiZQihc+59J0Wf9Mh+Yq0/UkiNCQsCxVFjk3CQ/ZF5
STnaPMo9xE2ph2RQ1i20lf1k8PGL4/4RWssltJEi+O8NnUYhnXIYK2oDykv0c1vl3hcPSVK0qfG3
oCqRGNN0hH5PeFfJobqN9RBa67oibzohb3mc3g5S3qbS45CugTo6VLsKOXzTyajjD0DY/RZMkKd2
kkyLm3uvJflwU1LP+6a3VV0fPIP2PhQNQwMqkAkr2V0mdESmE+7N6EQVH+l+YDUGxN5jBiXmzMWF
kWnQ2NUqSHRD83HYVAHhEvm8X58hjZfQjQ8da82Clin0XlMs10AdzaPBvieYUNQcSQCNbATGcwAR
eZGi3Sg9L7hTVmzMdrXQO30vhOg0R2tjvT4hjKySU5M2hEKIWlNzLNHvNSrMF8VRHDba7VpMMUP4
mJUaVNK9BOLsfkYgrqwX+AMVCRY2G3zAxvR7SAJBNaGexfEqpOOnXErYyiG9DqA2pnEjyABvRAS3
wosjCCWHepWbOchTOONSeNrGFznU9OpMAW+Rt1BswzgSI43aHY00qKNGmLWdfoSqLjEwKDSERrQR
Zmn3JW9RidtOAVZo5jX0MS21zERj+RA1jZ1uhHT6tqoHgASKPsfooiCSA4R50hSpPvCnQ2qiuDTw
o4b1zmuiFAQOnyq38BjDXvEgp2CNigDj0E+heYYeFgT33YSm0a3MiiCyUTYhwwEJN2pBtRYbN8hZ
yZNBijiylTSvZhdSdlDGhdQdbizkW9WHmrZlhTEBOUaNdZ3fIoLPx6DdVOARlfboJw23PT6OxYfU
HwMUVwUJcxCjaIffK9Iyvh2LvIdMYNWrH1tG1cQWBaSC7bLPvMAmAeXFMYZiVOwQPQ+Mx8gzppSY
GKPWyD04HNTfBNrgtR9IWeWItHpJie5EGpaFnB1JgVkwpFZ3UI5v+ad6YuVBraROoDNJ9GnbyBYj
MsDNzNRtnjEPQwsx8BeTa0qIuNq6l1Y3PFA1YpfUVzENPYf/dIaxh3+UaqyVzhgEOWhzg25Mrl7U
9I9Y78JkV+OfYCqoJUvAhiRGBlJLh7AK4KJUax96gWIO9LRztdu0XdFL18DkUkwn1PTpI9EQIUNK
WjU2UGQaBwsNQAy5CA2R7+sgU+lpVOFG91XbYdIGrXP/m5/Aobk1MmZMZdZRTzPjOCbxJqccvo1m
VPXv1Z7nyb5GKesY9wX0F2d5y74eOKT5A8w9yAA9UQeU1TZ1Srj3KIPW/6YXoX7Pm1zEyMhLDddk
Qi7ugYWhThjewFSIrEuRQs4OgWtUPE/QrOzueIMKwNlTG1Tr9Ap9TYuLfpZjB7ErfTAayIYHbjQm
FCdCglkWHfgQZvwmwEnVkSeDNbM1WJ5CEhIzgz/DTbXdJm0U+THHgBPQTLMU1n2IitbPw0gONdNK
qMCXJVQY75soBGSVyCr6aBh5kkCfN4DA7oiCUeKGnIzjc6G2cQDRkhjZYxw00zypMdeVYwhOLsJ+
Y0yTM659xfAjeZ2bWgTKwRNlBarCgdElxrEPISPpNsFIOweqh71ynOJ+aJwoQe/lAGYRS10K6XxI
q0dZTjaQ8q9DTMLC0JnyrAcKGdxJG8rqaz534sx2EBB1L8qYl/BzlBh2GpFwMvW4xtwGJKOhjrpX
gtemHQoZ42HVQiQoqUYa/GAoPhr1DwquXLrVk4pm1jTHB6ZhqIkPYBbxQxugnY7f0SZQ+KnrjQ7T
wCTvEyeoocN4MGQ+7xROVZ2cK13Kwg2URK0SDBTIMPRhZEUFxDZwZQzjF9ICPQ8f5asz6kB9BI1h
PAmmwOSVaas1QweVq6lrOhOy6XFzEk0XaiZmLqRfUfYO+Q3BNAHywHLJoc0NqXso90c4fWbpe4zZ
STcNUHoG49dza22YmEurJvH2aYdi6LkdkSlu06THN+urserveNWk3Y5h9Kh3ywdopp56CQ2cUy18
nJS6mzJgI4eBBMdahK12IBjN0UK5ucGEEDXjvbrvMvytd1AowxwjCfUA/M3AqnyGiiQiCpR94N6R
/0Xs3IVcUW/w2VodOt++H9xmNMZcAKGMU7rz4zKFILHsFQvakqR1MhnmBlaS8OSJirETWyOrdOYU
hMW9HRY1RhUgatEqyKeXkwiglgyXCmlqiOP+8b/kfddy28gW7RfhFHJ4RSJBUqJyekHJsoycM77+
rpaPR2ALwz6273268zA1VZ7yZjd2d++w9lqBOEkohbUxcmelKZsUOjbAcF1B6afkLgU5kLYx+NhB
YR9nmuR9hMr//+QNb0WXt/V08x5ERb5MAiQ0Xv89aTDr1yZK6f+fTV2oSf9B5E/aTQZAZySn+Cdl
UP4j8uhcYoBbAHEhxAmQZ/7KGCTpPxrIDFVMsGt4D4GB+p2MgUI3ISEBbEQD/ZIqopWnfhni7vyu
nOZIuCYNzAFc8+APxOwxpolktznILo9mUnrBgolRfTYJIQ2w9VDcRtsE/TyJSmv/kkaP7lgCD4Hi
A6hMMLgkGgD5Ueb+3xHOwTJAjViuqmBwCozj1ODFXxLOUb0zWQWlAZiUdBQDATvCSk/LLP/3aBFF
Ou1U0bPDtCok7cBzB2YFHJhlgSfO6ylXQqDGDmC8t1FdPwTbENAT3SYEmOpV5Bm74Yg+GqTEWYQO
JKVd9OCxaiQmiqgTNBs4DzSqB/83LIkry8TBlOFH/EeuTi3TSAC4SkLtifOhUjyjK2klAqiXtBHj
tHqCAK7kHyY0OKpZ3Cc6a6E0XQz6vAq8iZQJkNujjECZ/yuSRsqXAASBM2FX8S+UFFBQOP2iA6ic
p3BQUcsXa6cP3pFHumo4mh1EM1RBNhGsmD4q7H6oOVkyenKdb/ImcdBQKfP3TmKhFckZXXzl//4e
XJIKuvM4yxSeY87mVkNIVlsCWkla8b3uj4tL+7+1lBNSUQo99cUC5Udj3mVdn/hgDt2UGLlDrfYB
agqam9rJhfLSga/uLbvT3cTt9iyMKQFmnFscBdyoRaFqoQFSo4itOeGsWnltXCZtaNeV7gQhaMtF
wx16FoyJuvxB9/bxkf/Z1I9jvajLFkmK3hdZsnCbvBpv/ozbPz1ql+JtrQMuAwEys8YDELj4X87v
9tpmG4QhCEQUqJrp1GZzvIbgO6wxYMilpH+N/htI72UQ8E8mn1UMa/TJ+Vjo0hy1wYmRKVMZVWhc
is0e9fnnpKkEExTqoOgEjdZoQRvuoHIZ6NWhNKJwLLg+Y7n0aDBE4RpNLbBcUYcQoD6b0DaBbE0P
+sB3Kdid31uazefnag0dSAMV3ClI4E/PbppIAJdXKjbXq1N3cqK9gBFu/YDam/8m2uWG/aKvHU9j
YZJ6YlVoGOGChska3ivIL1HIihlosAtZlcTzIv5BaROPDWViDpI4hRJhg/J+X9qtrPc7EOanGx2J
mdsVQ/g69Y1iNsgiTFlNHWWceQZKlHpqfv4EAWPQKhBIODbk0lycl0HoNFFu5cYaMXiM3D4Cx1te
mJNQv57/hCvbKfHA9OD6RfsNqKdTQ+XAlSgUtI0VGf6NUPf7IRrdvzNBPSZh3AjNJMIEoF7RbpwC
wUumdmSdPCrU+7llMlDzGCUB9xE9EWCobStEBDLQ2ujr9qZ/LVvdRofoCvSljQtQuF7Vl1CesEDY
wSJdWt1Fmcw0gcUf34xeYohyWdN0OPUgmDOrtH4AJMH7g21c2KDOWoFmEfR3+gZycAh95pew1Mzz
FladbmGB8vtEGCU+7GDBkGIUd0tzmDUbQAOGmbU7Eq1LNA5wwEB4RLoUS+fWIDWjAMfbWFAJcbVK
Pja9v0umES9AD8kHP+DvfMF4bCByAq4iNykzBsB39XNpABDjVQIRBB0s571ajlM+44CXVxz3lGms
qZg1X5R4DGuBvQWdEpWKIZq5RfnExw2iv+SAkxUmof6SAduRt9Em8yRnfJgvwn0gmM2jf8OiT177
jkj1dXSCAHCDosPp/upF3cZGosBTlO++GtioH5oQYGJ8xnUrOLO4IEGIRHNE6AmqPLyGNQaB6nLh
s4GYTZE7+7xPrjqLhDP9ywz1fs+SABBGCjMtGqFExrq4DzbxZe5MW5nhFiuRKKj9kfAC9ikD2U59
NahtopOShVDKlnbaSEh9HzioXUYBi1mVzhM/7qqlJWpREHpUemi44Hp/y+9K1GJEC4G9avNP7eu4
KVorfNExR1ru2ERPa5+NBLY8yRTBD0dd+APUnyphyPFkyxUa17WjKdExyFXn/HejE7WfS0RJAdRw
uBAhW3DqhJKcc3UnQISHzAJLW/1qtAlsObS1m9LJH6NDdZCs1ElHcHhMULNhPKA0odt/7WOTobdH
kKvUOn2pMJoswzoRcT70NmryDuBPuZ3sAkd8JnUHcH5uChQ9b8SDCtwGb7Kowlb9CVnEr59AvQqT
Okr6UOInyMFFgKkqH02WsH4tBZ8Rh7EMUQdeaHSIVBFDEjAu4W0nPUb1sQH0+4++6eeCqIsbwu5K
WhI7safvxJ180yPm6y7R/LjE0JoTH2PebKEZgwYZQhf2NO+6U+HZADcLGYWlp5DiechGA6yYgCHP
buuJoIUZt/k+uzdANlC+ima7IdPXNWjwxe1vQpN/epRqkJFDCdBwemi/VRvA8XgYr+UHPb5sknu5
uzq/w6uHU0fpCKgbKJPwVPaQ92HW+JD3tVpMcekl6BM432qL1/NWaLDHx0pU4Ol1YD5gik4SUvTg
9SjB9aPchnfxdw7CtlvwA0Aj97mxK68P3NiB3ucjw+zaq4jQnExvkS6PTp2HpBZEjkcHETMMvDU8
CHbsclayj5zkHnp5TnIFPjUUbdCZ/5P4TBU+5mFFgTD6nF5GRqoiFRKwYG3k70WAXcygaliPPjll
VG4tgS/LAG0bSkUg/Dw1MuMdLHk9+nnjTXirpotxO1+S4ezgid+y5hrXfGVpjjqMTVhMhtHDHaE+
vkcZ9LkV1U3cTYxZr1UzBuAskgTKZNT6TlcFuSu+hEQ73l2gKIvGQHR7H09P512DHm/58EiMQcAp
IWwD4ntywy3yHcgSpMrgjzUmROuDdkS/z2o28rOynRxU91zdzg6Co+zQD7Mnr95U7rCt3fO/Ye0S
Xf4E6vUP1Br6aNFUWxokUyPtruIdyeitaGSccZFliHr8owHCZLOMtaYevyGvIqZ30HR2CA0ToUwB
+9JNi+kr8jxC05EwMmDGpTwYHqsaRNNb/Nx2ku4ioSZgM+pc5AnSXOBDauTvnNs/RTfVzeCUdnlQ
G1e+j64h12cXluYUB1WypgZ60BbEQsWtccWa7FsLyQ0BTQIBiCecUcoBxrKVssSYa9RHRKfwK0sB
Fu38BxbJF6QP6NIG9YX1oFSVqOZrhCTxleb1T/JOBI1CCqneB/i3pT8LG7AtXmMIOvuO3qPjO5IX
OqOTOmy+5dXAdvlrKDfIi3nsKxkrJrdhc5mCag/CwZc8VE0KxiDcV49DY0IDJ50Gml4FTAunp2tM
oetcCyqYxYHt05Sd6kPx8iXrHhkb/PWCJ3ag1WhIGj4inXhUbYwhbyTiID7UN+NBfb2AuqjDV5Zg
Jw6hItZt+RZBl+fffkxDmyLkcFOTdxWr3rAHuVZiQFLEBd3DB58n5ihO142OU1hIftDjg9de9yO/
Ew7dBvqkG4SB29KNHN/uXDJKlWNatVURsTBrSV+3/uQn0JIQYcWHsk5+AlDMZHAvfCInPrV9j0T7
6QjVN0T7DkukZ+VCPbVLnexCgBRpGoXg1L7WPO2Y3oVW4qg7/T73Zlu8r+DttvEy2K3VgGAPZPgQ
ZLLCHZMn8+u5Pv0d1Juv81DznXSsH4C2uTAvCLmMb4MfSnExcgCiDcMWGIWS9S3XeeT1UET6kphm
OvLSmYt6KzHG44in3zG00ub4uLSkomdWM9ZX+GmOOscZggtfDpIe51jfRFvlkZDrZ57wQYrbb9g+
xVof5dWxXNdDrse91beDpw2hK0sJhhYkzEYwnqqvFybU5oDtRCCqoKNJt4H6MMyGvqiwk0HvgZzM
DpHMJWDozKE+xxoq/xpoQBcMzJkqKhbAqNKXB5htQEQ9SUAxRco2qn3I0apgxvI76f78NbVmiBBF
I8RGf0elH71hSHK/jPTeAn7uOHXNW9EGtdlUHIuobiXNx7A6CPhQUQBSF2jZ0/tH1JOoShKlR+1C
zxz1h7ZN7dBWvR59b9UUn+rX6ba5jX4Bq/9VP2slTzo1TF34bY0KKYZAMPKHIbCbVrK0N+ONd3I7
cAwLONrbCoCNJ/Ep+y7iucFIFOOpXd3ixcKpM5G0pZQ1AhBpFaiL6wl3S/ajzN7Of8eV7sPpKqmD
MCKxGVBeJCevre3xKXmFQvgmtDGlyrnJXXPXblg54NphX3zRD1T0Ik4dW7GBkDgxOUbbsklexSxh
JPMrvTKyLIRBYFcgZNxkcxc2GowvAOaL0DNEXvZWe6ULdWnexLlLrPFagyT1DgQ0jxpGyVh0cevf
7dM05bC9EpVGOuFo+KCwUuvMEueHqRkY3rG6iRqv6pDxBTBFohYozIbqQ8G5t4DzDtxgSARb6Fr7
vHesLmVhhFrKENdT3BQ4AhJh4K0bG+rU93zPqhmumtFJexHtLwFZ7enHGg1fybOmxVrC/BH4Xkjd
Q/y51UNGCMewQ6dh05Sipof+jAWl4xz98AgzlsNLlP9+/9BAEqbwWBBa8jxP3Ry9POr1VDWw0yIf
CXLMBH+PgUHgBBRY4JDnP9JahKYCMoP+EzjnUUgmrrLwdeAU+0SUYC43zMkabe6p2wROYg2ueuAs
UC5di5A32zQ2NGSkd4Uzm33NcvqVcgjWvPgRtD9CmjlSFPwIMCLmnuxUFy1v+t/7nfgmWYUd7nwr
OFbb80snjnGajBCj6LmhPglgIZ3whCrB7IEi3RLDHKPm2nWvd3Y7RI5Wv4s4ETw3A6J5f96o8DVC
h1XQWUm6RLrh9CM75nOeVTFe9MHq7WA2FcPsI5PoDrb78LF5E3aiK7u6azwUR4URTdC0Ksg2YVwF
XRywO5Ah4alXIYBaSFiXMN44RY5QKUX5B7PhneUfoTNtlResAuzaA4weBI9BMIHwWBuUxanQMFLA
4XTGXn8YrKiyDIyqIA1BlIEOgp2ak0uYpNnp3codd2KZvhfSCVmXDsuCijGR6bZoq9+/4EjXRYCs
I+m9f/AbLI6OX0V8kFc5gouK28ZT+a2feHcsWPWf1YUQ1WNA9z628fSEgo1pmOci7a3S9wIVRcLy
9rxPrtxsoOP/NEBlCLGsxOGICQOMDvupCWD7D6WYHjKtnBmXDcuQdLqSOel9SSuwYalqPAwFt0eh
GQTto8+ws4IfgJ+jlIQ4VgTyhNY2nFFwSfqwxKV20HfFzveEDVGPYavvrEVAJ5aom8tooi6Dbjve
6wtUvEFk6NtcY0owR/JpyWOTWK+kBCcWqWe1B0y0jyZYbEodms8lSADkwAEA/BBN+kvKMxls6UnI
n7cGxtxIcZAnN9fpZ2uKIktFA58tPJQemAW3vkdkYPsH8X+gH1m/IAkcVsJXAvKCKneCCULQ5hpZ
yIS5kbvK6Zxg2yFjzUFoKJvKRpkgeCLaCVGbZoRFazm7irG6f2xTOXsE+Gg9gEPCSg/4mhvjKOof
lRPfli7nS+E68rLeDDzxKXfyC93qn74DB88o964ddwHsSyB5WWuNc0MdVVqHe6so4rdO7DZ5LGzP
H3iWCerAi8HAY0qYvPldZXL9CxcyDKwd9OUaqIMeC6DXDA0Y6JsWDFOibGZDfgHXZAD51s7CB0YH
xX6QetISFr4cK2GZwo6mfRsTdBhBHYMO1WbEeF+GutYfbBtaqRIK8ajGf6HgCfi6V+MOb1lXuclc
O7rhnrewum+QwIImlCwoCo17CmDBEMkcli88p0NopsETBgr+zgZ1Y4mDIusYZEddaq6OyVTve2hK
+picOm9mLbpCr4IIhgmYoaYz79IAUUKM0X0rR+hp9cXA2VnChQ4YUdI9UFS1rSqFcK23anvTNRF3
fd782k7CKqhJVSAwFDKjuwxrp6KEtC9Oj1Xn0nsjCQ+5Wu5Arvl63gy5bOkYEkEcNHzQUgMdHmWm
TeUqTuMZQsfFZVVflllkDsZ2KFgZ6dpyAIQFQFcGuA6TAqfLScCcWYIPpbP4694WLWSg32K7NyNI
+NSXw4EUuVgVhLUPuDRJvTNikybtEAjdB3yA8FFLG8HJXObc+9oZXtqh8h01zLVRU7A0AlNojyVv
R7t2r2Flo6PvExszWTZf2hh5Zdz2a7fg0jD1rEkt5jHmge8sAx0VnYCAS9ZnIxfpV/f4/GxUDFrr
GHMdydq025/a4rIXeJ3N25nLDnhXo/vPBSF1PHUSzNTVEiYMO0Q9yOPM7h0EVxBEqh9UN8H+aYwT
vvbhoJqCOgkWiK48tTiw6IC/i5RdtZh3YpCiyGFo8mPp+NwEKosf50/aalywMEcDmNuk6AQlJlXe
2gTKQgZ+GbU0p3kpNobTOtmVnLq48kW7Tn5fOuQjBlpapyIDkNCMTT+h5CuiImu2gPBYklx8SzHU
bDMWSv4q2mmWpqjXmQdiCAx4qJ4TtnvC9EZKlf5TDHp21uFbu1aWpqh3OulmKP82MGXUvu5KYrWT
SZyXYOaS8Xaufz4FeRLYCpAy0aKYaiNKKaCIYENzBFd/BSPI7M5oSoVunZniPRj9gV8R3bEC5z0L
fLC6zIVtylPrlqgBa7A9gWAsUA1oad/P8cP577YaPGJtv1ao0MdvGIYCsJUOybXgqlbktG72Srrn
ghkfR9zVk2sQ5mqcfEshBUSTfWmv3Wlk0gqVbgJfkalLG0P7QyJPHO40sbLAYgYhEBb1yupmLkxQ
97Wmt0EVyegnZX3ipJ1qTorqdCODRmatBqsuV0LfznwKvqQMK2mfUi+Ynfw7GTJSvciTdnpt9z8I
Y3XosFKA1VLU0i7lK8YQRWk9wK58TRI6YNa2oavaA4oy9YZUKtgZHWNHacepMUXPiQAwWwAFmWDO
kkF6OBuMDSW/+8ut8vnZaABOy+lhK8UwknqKK23brYLnHFRdm/OnYPURWuwfDcTGbD5k0ch3045g
drOLjebMG9UULNJk1ZgACobD05CfXCyGYhZgLumAGwHjG6jRzq9o/eugcU/qdpjJou5IECYNgT77
nYUapekXnDn3ry2zDsuyQta5qCWVqFkbUworchuBXFsS620GIotLVQUd4vkFrdbkUCwnOSbyeYEW
eIvTQom5gTzct4X5AmY2iBQnjv5s4AZuPOU+3t3+NufwzwcU6CXRwFaikEWdK0ym1ujvoR2u1BI+
0sXUKHZf/dCCjhHWrZZk0Ov7ZYlu+MeF1KLGCUux13rqxjDTZ3T77R50rrboau/1PcvpVz/ewiIV
HEQQ5ei7GRbb/DkaoBHe3TB7bSwbVFRQtUgZlQxP9ZjwW1G5zEGBI2W/P4CAgZfFSihnl8EeIdQc
AUuEAwpZaP6mudmy9mv10C6sUM6OLg7cPcd+qU0C7gRoafZ35318ta2xXAjZzsV5EuvBBz8RTIQe
qKdbW4DKSHMv74j2ge6VjvzE28Ox/TE6RPYGwSvrIWF9L+ol5uOkFRoBOzkpncMTQb2hcCaBNSu5
WpwDCBEDRJCU1jG/ebrQsW/5QgLzJdIn7Wm48D2I1e96pwYQN79gCfetPiILY9SuEjEfoxZgLPXG
A8kJxx23Ebc6o0Sx/ggv7FCbp0ZxPvrEDUko1UagnQY0K3drBIjxPivNzP2RXui8c95p1mOOhVkq
tGnUUggKhVz1t8YbAaZJ33LghISN/EYENyuvtfh99e28VbKWLw+zTiCXGIbBfDwVNsq12hNljh4c
kMIm4b5PnIFz4fXcj/N2VsB35Gx/GqJuKVBKgihMgSHuVnBDq8T7zDvpUX7Wv2v30b18hJgA5JyD
p/yivtA8gpeddrikXf2S1Xr7lzv687dQt5lcVaAmjkk6tent6RWEIP/Nc8KtshuhVsOEHq677qdF
6mbreTw+XQSLhP2AMw2XO0bbQP3ovMmg1CajESP0tUOb92STj8wCTH/CfXYVXpY3zXHYss7S6gVB
yB01KB1Awon6HCRzBlsSbqiSv8qG61jbawKjZb3u0Asb1Dansj+pKXmY5E12WfBWhsqKMFnqcbAx
G3pNAjLB4zxWCXs9wljYpTY7nQFimEPYbZyxMDlootw0jVnexmBPNxvJArQ2NYPnwKqgYcvEUKx+
6oV16krM+RbkYAmsz+V1Aqbf8q4bvTC/MqqrcdhLoMphnKy1I6yhfw3EuaARFRjqDp7bFLTGBvLL
HWjCrsenwRHAhlBYyebjv1wgxKDvGlxFh/BGsRIXb477P0FaycbSlwnKA7jDQA8B+B31S2LQgTeZ
iBIQPviNHUFXddyqt+kNigeuD2H58wtf7bMtzVFJWpxo+TQpH+bSK0ywOu0WvFF38Y7pUatbjFkm
zCXq0GyUqdMih/7U8pzUQYlA3mnQ+ttWG98zGlO50Daq2xzT6/y+24eMdIbs15f9BExNBQsLOJJB
2XgSRvQlOIjaEC9CEkGKj9uE1YiQCG7cvU3+78/zEdaST2NUiKyCQK6vYxirY+mpSvLnPinvwZDN
SGjWjsfCDB0fo+caRFDFJGVCyUVnzetc8A5uWTiWtfuN9AyJWBD643TBJy86nQMxGII8cEpL5Pgn
meN3ssXwQXKHfflEqL4jnxGBJdSo97Ot6zFuebTHMRK1kZ1xi+l+dAhBPwI1Q1ZUR66Oc8YoN2ya
COG3BGMBD7q+IN1pUfP8lwuiLu0QcSPopVCGA0GhI1q5LewJog4El056zaoA0lrFH3kZaV782j7q
qvZnYxgC0vwHhM9OM8jxlS6icqL6LdsdRiD4uxL1TlN0iZwQG/rD+nzUZR3oWjzqBBMwYJ5Nc6tN
vZ2vM4/ckprHvLBWvx/ognGSyYQQLZsUjmWVzyVSX/8ivdN303txn1gaBLeng/AKAm47+Xb+a7IM
UsurtCAJKxFhR6h8n8CgJs6syirLAh2TC12c9RlckkteRM6bZUYTY/W6QLkAUEEBE7kfUxSLTKrp
s2kaexI29vFTm6B0NAEvG1WzmRQAWquGLSa8W4usHvLKlA6uw4Vh6hwUYhM2uQjD4rXwRNyy9kBS
aGFMY1/eJvfCY7+HjDlUUAavh8NuuwOGk1z/Jn5pWHHU6h5DNBJCJaB5wqz16TNQKSAM7330meun
3hV/oKxgzY/1tsexKHDXQKPpyOpOrb48C5PUTZMEgjGVFWAAeRWDv7ePIR4LPHZRPzdzkX9X1DZX
vYEzMlZGuXJva+ipo0KD2WSUkalXSC4lCKRlHGLGbLYEMCUqY+ClbWr/9sEAlxOSHoS+RC2dctui
A/Vgl0UD8GD8PRpxjj6rt+dNrK5kYYLEFAvPDRXfH9QsBOqsk7dcJICeFAItmeacN7MyR4RjsbBD
BV1GoyWjzMOOjJGbEqlqcqi8zA4dNqx7ZV7s1BYVkEhBKwmdAFu924rIYnovR+ZUbrONcpHeGk70
3pqjJVjhtgX+yLgzCtzbJZNuY63ZgTVjBhccEpi8oOlRwNg/FJB0HKz4oO5yOw9Nzsq3BuhdkURC
fcDf9g5miqzuGwgXXPXGx4Tdnq3LvPZ8nfwOau+TWEo4pHVI6iz/OtgiwfmW2tHNsJlNdTCFzMTs
yaa/6SuzueViR2F48b98+899oL5HouZjP2rYB8ISX9wI++iCFNabI7u3s+bOqoESj0b4AMF0curO
BvJ3tQ5mbLmS2X55MzTPoy6b552ZZYT8+eLMlIMqB5wMI1kngX0Y1JvhxtfcvzNCHUy+1xowdvMY
18nCm5kfX4SmfM+D6Q/MgKsOUFeMBKMcTIU29YwZFg4y71Bmyg4Fx3laOl6jQMLwgZUHEiDQTzPU
d+miLACDNcwQAAMpiv3sFbGKpmtfBmE7EMuKDDovg3oQjCBHJ6KHGU25GaM7vvFi1qzYugkVf70C
JmWUJU4//qx3Zc9N0gA6d9TY6vtiuvWV1/PfnnxbKoKG/37aoL49AOg9NONho0fM1wSPuQDRqjE1
I47xaLMWQ90McxboxVzCkA/erzbcQwH31pBYSpUsK9T574SpEtBYwxsTb7nCwziAmaTCHxzK5Z5R
T3KiZzFYe2Ekg/qRDi1kCNVZ3FAwzBBH/fdPAyKn08/fxmIRRgVZy/hNb3wLFCabP/j4mH5FmRMU
nTLtYHEgzAk6bIOlgGH4GPFC6mRdUFmRhKEaXq4b77y91a+zsEc5W9BUfgMRYKwo2RbBrdrxZsqz
CHJYRihHE+aMjyFwhCFiKGql9WirPojKeAYslPwtXz7OYimUozWJgnhYwNbNYNGDcNKjMnStWc5Q
+lV9wjsSfTu/d2tFeHyoz49FeV00GlkuDlhXAIH2S3RW92A6cNutKJhqZw5AMfWbafubCu0kH11Y
Rch96oRNATW+dobVtpYvlBmoIh/0+F28MyQ3kBn40TWPNzB2L+MCJ7NDlH+A3rtvDAFBdjjvwwni
PRWrprP22ZYWKOcAeX3H96D0snI5MEWwarfyywy+88mPbIlZOlhzRcjVEPpbhGWYFjjdvIGXimKa
yHo8cPvb/EVlAVaDvqf6BAVFiz3g/ZENnLglylUi0I+GiroceFPIL1rEC/6MuaKwnJElANsyKXeQ
AXGi5hLlNCuGmkgaganfL0ylb72ucOQmc7n+CiQkph6n26q57zTIPFWzW8nSsRXL7QQmImU+lv77
OEZWXX8rlWkPDnQz6+704bka1NsQzXeAQ2yjPoZdYk75VZ48TjWEkJvbuX07fwq+eAjWh1ksFFwU
FFQh+HK6vjBp5VYo4Y6hJBxGuT3UIisa+gqNgg3sHS4+uCBmFqiv5rdAYeWZinDooj7IluCpiGSL
HUlv5bfZAfzraGwU63+IntdWt7RMeWcC6RaIyCKmUC9yj38AUAkK0rIZ3BVegOA9sllNj39ZK6AU
igCCwC/kV8rYVcU0Yq3DDmNPokNm8RUgbDRL2tWYBwJK5DJAQj1sWaW7r6nTxzZ/mhZPPyVw/0kp
dDAdvApPGMsd7fSq9GqXDBg0G9GJARLQLCG0mjdwbURX8Vbeh+CdYGX2Xy9W6odQcSmXVdiXHj8k
9NCWfk22AubVG7veo3VrKZZ0j76Mfd6Nv1wMMImwCxOfELYlnffTtY8K8EVRbCB3aKuLPLnvh+lu
SBlP1Ed3gb4MUCgCryBuIKDkqcMilZHcKhGsNE7AOWL7LYusBENm0IvbAieGtjFIE0dbPBDhYJHR
NCanhDZuiNDtFADmQx2YuomyXtEmtI0R62nfZt8bOqctQqhEMsphK0cG+Hxg1sExCxpqnvz54sKT
Q07JI95H3UKDUkijbEWeRZ+wakLBKlCGQT2bHo/XUCz3ZejaWrkuvQx+f4SSIiPU+/Is4arBYDam
16Boh6YK5Q/QMlKisIKJUgEFvHA1Cq3pt+DxSsC2J7MmgVet6cDHY6IaaQVNyl7OKhfqeTJamcHb
cus70dyZlfgeQpWyUir3vK9/zcmxOBHFCcyE4B0Ezd7pJ4I8vN8Zaob98+d7JRi/Q+DyJm7z6zpv
n/lRdOdZdANjdktJ2wkla7pm5aydmKeucy2ESnhQwnwh8nY6t/Y8tKbA6u2yrFBX99Sqgwod2BG6
9ArUhfZFDHFdw2JsJbmKqEN1shYq6oQKaD30BtYCUtXuB1TA7HErelJjdk8YGMXUAWtshLUsKujU
oz6TUz0fLR6V1Z47Eh0PkXWGv4JmiIeI8BHwk5BEl8qlQePa6Uh2wXzolZ5kB7v2o04UIEZis4Ws
LgkspBi1B0geylOn7giwpAESOdDtJp2+B629VejdVaXOzvlv9bUkRxa1sEP5XRFPkyyE3YjhNcmE
0KUr2B3wQJimtrjAVG1lgwbSpX+LDTVRm9wErckeqmAtlnLL2i/ykIfGi5UK9ZaPhNCssvwxlitG
5M6yQzlm2HT9EJBNrZqDoN1w8a0+MwoIKw/KyX5SrhgZeRZmfgMn4UAz3UoaVEiz+yZMNzWXb85/
vLWnE8aQ/QBmCgy5QRmbZQjAgo9qtDqFoNVqhEUg2N+8ZbINeWur/zEchmPsGM9dwHgKvoJEPvzm
l2mDzrgGsQ6MaoDpytGO+gac3tvoItpFm/BVB+oJRIT7esNqqax/v0+j1AlMoXQ2oLkwWgNq2dn0
NMjv47BlbCpxgi+31z+bCk7H05OnSz0YmAaUf1IMxBA+O+GbDiaPx3RfHQQr3Y4X0167ggQSu1C/
9oZ/fs8vXDpJropyEJFNbQMOb2o0iLeCzNUMv1n3UaJQaUggG6Z1UMdpNLRUxjEYyskck2eueOO1
GyF8Z+zk+nI+7VBRT5IF2cir2MlpN/2YHAnolqQyMY57zV1Xd2R8X2JR9P7LffZpk7jQItLSwB1S
aYS0nzAlVI1ZY3RiSw5FesQk8LG4a4Bq2ZiEL7OwQRdxE1cmMus/CJ0J8RLhgCeRJT31qSbaAPkw
XAMxOODbbh+BBWNmfMbV07CwQV3d0P4d+CipETLooN4EOSYGVsxwVBjP+aq3yCoeCV1HD4EuiHd6
GxZBX41g7tdeg6w6ZLmVt1BgDuWKsaLVo7cwRTlMKWdKnCcwpdej+g76gsQGzaF0kLMigggflOQ9
buShq+aDCOm8s65v5gfWEbCdL+Q2iVEPUOzEO9hqQBfzL5Ky6xL+T4wA7oWRAIjEgMn81DnnKmha
X8L6hmIyu/ah7l6loGJczasr+TTyAb9anABdj8Wma+EWuQEVuew6Q1Wl0W/+YLvA/wIICA945Jca
WNkPPgBsCPHkd025SLS3ePqDnImwu/wyoZ1ulibXxlQLiP/zuTKHEorsOovmb3WrQJEhiBhIRJmG
jgfaWgeyA4FqHx9m461TYlODZM35rSIflXpPIGtAxLgQO0IVgnq0Ql+BrjanQXYNzCJc5AjiCHZg
VcmN4nuqlhJ/EZScn9uTUvQjSlkQlbOzsCz+wC8AxwA7FdqB4O+nOWSK0tDUkdeRT7UoT0ClZtCg
B+j+/mLB+Q7KBwSo6D5Qi9W0nK+hNjcBVxWhPhKhrRVu2SS6K3cSoZb/xwz1RmspVJQ5iZgZ9hFu
dEV64eWHemDUJlYeMHJQ0aYncbhA+4cqlpwaCcWE1paRW5JQPCSBzohJvw4dEJr8hRHqUpgGseUn
H2vp3fiqeZS8n03pxkquowpaqyaHYl7hxduoNPntD3Y59ms7/PQX0DeGH4ga9E+xTGMbe1njgvh9
nwAaIN/1Tn4DWixoLqNBH27La3QPlO/nXWZ1kyFhJwDIjubOR5C7uK8iTdS0gEvBvIyRveJeGnrG
AWQZoE55qoaznxXZZKGw4YDhxZFYR3zNAvhKQXMCaAOOEeWOBadEc1HNuA3nyuPH6aIbDcZtuHJV
6UsTJOde7BIcSERRG6GvWMa3tTybRpW9CPrIeIFZKyF/vjAzFUYI9VWsJEb8GYQ3enZ9/muvndzl
Osg6FwaU2CjqPsA6VIi5AhXbPOQo/utCZGlpyCjure8Z5lmhrk6ydurDZ21eFWmGcDpTerMMLyH+
inoVY0Fr1zuRCvhlhDq+Xcln4GKGEa3ytBkDujUhQ95F8bcUYtVVGlt5w5z2ZqyMPrHy2BiFkcJo
grbua301XWAUugGGJ70s9+BNucsdSOv2rL7U1wkM3BQgC0CmiYRTlemqxNxhAjDL+NEKHrij4k4X
xX27T/fjzthID6jPPrPI51ciQh28ZyKwwGA4AZHFqbvg6RcajqQqUpiZavjOyclWGSAXn1Zma7yK
Uumd908SVdCv9dIg5Z8iP5V6SAx2jWQm/GwW/V2rD3YX7tXg+e9skbOyOAuqOGs5KHXwFcvZUoM7
zAOauvgq8Rh96BlnYfVgKyIg2qhdAUBHVdlbreHbFOxmVptCHJpH6Fkwgtu1+hhYL0HqANJZwqpI
vf0xBM27ToRTNs7kBPtqB1K8G3+LXM8VHw1Wprd6BBbWqDs30IR0yiHBayWDZubde919m8Pf5xgk
Do9yMI+CAJJKuqpeF3kd1jzyuPZpSs3+jjS7DDS7MOoTeRCdtzLgxVk6jms+CCwNqnqIPICGp5aG
XlcmFKqMjKsuUjdsuYtivowKPgOLxSBvWsicbc974tpmgjgIVDQC5lGA0Dv1xK6RmzLtJATCMtSp
RVRyQtQDZZ4R66yaAZM5kT01wO9NneY41ltZajkcruKKn2SoZ2dWyySM+2hY02cY4Tx5kBHZQw7z
dDW6MI1FUyKiGjC8Im5yT7utD7rVoW8YWtJ+9CrgrZKDtBt3lce9zE4GGQtQgGxYWg9rhw4JDCQz
MAiCLgaVwgQAxRrGXE0Wdtxq49tZfzr/3dYN4EoG+ZhMatOnK/VHAOEHcYQweRc7cl3ZlcK4D9c+
GaH5/GWB8kUh7xMM0Pwf0q5rSW4dS34RI0iC9pWuTDu1VUkvDFl67/H1m+jdO81CcQtXmpi4MQ+K
6CwQBwcHx2QCYUhUR+r3ZgUBhPTn9WVsZRMtVJTQFcA61dAYeb6OqEjkDiJwC1xHeSie1G8NmkZ+
xKy0Od1WoG0L79HZ711H3VyaqaPND8cb0+Xs31fuV01ICRoqgIY4avX8Ncq/FaXg821uEMRF0OyK
JC0uMA4D5I55jvYKEA9Tp27Q2koECOwvXBi7jRgZHCIqCozcKiZDoRhbgI2xaT3WRzwEyScxg/LW
x0JVEXxpJhirQJB4vpCmX5QmzdDYHULqTcn1fSepn5pIC67vySUTBBzuGoc7MlI5hfVsxYvbB8iR
GMdhV7nGQb9Lc8feVUEUiL6faGFckGhHsj6EVYL5xjIrnAFXv1PW4V01kqfrS9syBaR8YN4mQiiT
r56GcY6JJzlbXCTuXs28fh3s/PE6xFZBAF/vA4N7JbRw5MhpYJfGYPJJUAYYN+tBrh29zje1T13Z
myMXgm/2F5Fw2ObqkDdD7RmjDhfZBRTS28m0YYYtzdxF/jWIpn839wmk9jZBagHpLc7OpczqNHXo
wTY8SN6UVo5d/6SS4B68ZGBn5rdC4cycxmUeInWLZXizl+zLYPjGVKkoG8zcjYVTnNSH+Im4TVCB
AH5O/esbKFokZ/11UqhqbTI/WP2M60NpYopqEFzCzKB5hwHeVtahhNlEvHnPT3LfT1bf9sPiLhCP
SMbarczFSdDkmCifdK3cpSKFJREgd8K0qcb4ooWdCyXSgCu52rcKmiwyuT2GC3moifqja//m0b9e
Jed4x7obSmoCVIJ2SgEy3wRyxX++WSsIvssrzzujQ8p4cRNsU238jOcfGlo8roNsnas1CHczyrky
NH0FEHTHBmFXPk32X1TVmKIg8rjooQQrGwexFJZUKiWDqF/U+YtSvxHldH0VmyaAwTnk1zEjBJ3y
c5vD3WUr0YLdiONvo9459vzbBqtzsjROOj+S6eU63NYxQrT1HzjuFOdqry/RDLiquTe0T3Nyp7Z/
Xue11hDcKZJUtWwsqKG61Pxeyr+UGToxrd8Jsj7sh16c1dVCuKNjzWUr5SH8QeFIee12Te2Y9q3g
1hB9Le6ohGabZZOMr9WABM8Mv1T9SS4FmVQBBs+Dn9sgHw51hqG+DMjwKfOrZQrWsfWxbAstkQgj
oZekceuI7KhaeugHuFn5MzMqpwEFfhU5WSPYlK0jucLhmbdCTYsMSwJOTX4XUAQfRLWoTQBkQjWm
V4jhDe411vTk/wCs4rmGU+mEZE5b24Eo4T8I3JGnUl3QKcJ2MF6LzEbXQPo87nMH+jePi5fuoXLr
y3/TwojM0Qcq95awUQ8ede39ch29tAaVhrIfHfSjv7WlT6DrDnK2f8FwyY7i+SFSFTTfgaocLYxo
7GKfexXno6EtMZM4oW5smkjqmIuRhI4RSanqECgAYfCtUKC8jokwKCpOcWvk7pRmS+rGaraAaz9U
lwRzBgXJbvJKtSKM9A/ZCZLL9XIrmY2EubXGiATR4qXHZD8azW/QGsPzgQ93CqgQV60UQ+6U0dhZ
szcV+x5sVDbt/MKudxYKsNed5hYi68gG7y2aFC3+ORTqRpxDRYS66pwEkvbaKmmQLz+bOLrL497t
9c67Dnj5cnl/FkNUEmwQyK9wRlghH6XovU1dLU9/yGPlRmijbdIfIybJ7Tl3s7DdKyJCm8uzBVCw
MBNdx2sG/3duDERailFKY9k1o2/a9JKWn68v6vJk4e/rEDmFbBkxUe47//uYSZ+kBJk9dwTxG0S4
P8lW9KBqonnbS18HGIweoAsNrZiGxV0/0aKPkdZR6tpV5PbIRsVd4o9kp0N34y8WhOqXZoKWGQ0N
HFJVakZvSiYSlLjimlD3uu6xlySBLWxuywqFu+ikPKuUxbZwRpHsml6M/vkvVoG4HrcClnDRWWPU
IYRrUoJ0gqbbOykuii9JKU1uiTtDlJncSIRC6had6goEWVRsEGcDRlln4UzQPZC9gXYkoPsMk63m
jkKtTswDKULjM7uyVJZg2gUaanfQXwy6neXRnfqjvGfd/6Lc5EYf+tnieE6ViCZqltupjBdS+hJr
bvFkgBUqfu6Pg7d4NYgn3sRcrBtFUoaKTmDw1cEOed6jFDKwptTkDBW55W9Z4uZfzBtQe6aYHW5a
Dwz781sVxP7kEEc9zr/EzVkbJ/vsJ3C3F5UomRYNP0FadI8Wp36qPeiE/XG8f75Q7gU/lw2JamY7
I3Kj81CgqUcQuYrWwY7i6joctKToSIt1NPWPethXauwsliBE2rhykXQi+B8ElphSzjlGlbc06iGr
6xrt02KOTjYscOnISqGkXBUCD/WehOcu+DM0LtyvcH9Is90w42jZBFPszv+rj0YgThTuxgMjgZX8
xps8+6jcQOuC3EbH/GY6VS/0a+1Khwgam0Kq8I1qGfYSiTkbU5GgVbqQwIhjLaaFAafjIvpY3sVK
ISleORjCbB0Las3pXSHY3Y1L9QyT8z3DhExhmQBz7jD+lDeQ5C1iVIuz4pOU5p8T9vlLy/Q1xBPX
XezGlbRG5v3QEFI51ge48NAuArX9pqXJztJ+50UkuCs2ssVn35V3QYtqVF2aYo26M3rUg2S5L/mW
5EgUzYWKW9/3YH8fMbf/cn2Fm98WvkdGHIluHl5XUTHLAVTpuAoZZUO3k3yy6w7qXjSzrW6e0BUO
5wPUxlryUsX6qt/9LUgTvVB3wjvwJfvFPQoYSOuNewus6WitqdpDiyw5bhYbtEVJIIrZN+5ltP19
LJlzFjmRk8JusKmSnt7NSXdTCjmGN1o2sZ0rDN5Z1EpXhjM+q/1s7aD4BIGYn4rD5MXl5wQTV3vT
zzE5WvpjA0IhxoDW7evXP68GMEV1FJlxYFEO0LmP3kjaNNQQuXCj5q2KDzQEV7WeCLz7xhkhmGhR
UQ0CvwDo1s79Yj7JY1umhuyGBbwuZNqmGdpW1e9QF9HLvbcAcE7xDIrbuTjqkKAAl6+btP2jWuV3
5mR0zgQuKqeNKZLqRfKYtgQ1xbAISFR+uX5WNl4TrM8RPC2IGSFdxoWNxbiAYQvDXq6eLD7EXHfR
mJbO3FXeWMkZhsUl9PNZggO6cXDOQLkoMkmbfMZIpuwOdeos05Mef27MPxZ0YQqkaHvEonQ4PIuL
A4wkaUluAqSbNE8NMSRRdAIz2Th15L0dCpr0FnIZ3N6ZmNK2WsPG3jXR5zmvviyG4l/fny1LVFSw
4iEJjPcl3w0Y1hBTSRqYR64oXm8lDrUiV+5qJ9FFH2xzV1ZQ3GriJKrxgGVQKsYE5h+j8gWzHoIg
YBMEM9l44bO0CV+fmvNQVqYKJyvKu8yTY/LckeaLLcl/fssxnXNM5KBYjpc592il07yoZYit0eTq
birke7zSTmScvmbtn+eZ8IhcQXGGphRVJmPuDQHnEO5SUDZplSX4altWsIbg/FGhFF2kDlgNvJKX
VaqjKkgthKkTTj/+3N5gA4gGQaqCKhF3NEmaRXiE4dRYvYnO8dlZ5seUprt6FJHRbLQzsl71Dygu
BDLrIs/HGFDTsbhHDxZGdmung3h4tcvQxhgdDS9/w+WJZMqv/pV8ur7QLUNcofNhUKxVkN9k6GN/
Morv03BKMkEFZ8s94DMStBSDWx5D5ue3CP6hCXt0A7pZT/1MzQ6pHQsgtp55qATIMlQhbDR88Y0v
RUK7MLcMjOg/Z/fTPePNxAlG1EGgA59CYUfy9INV+X/+8XQkcFmRD2OYfINIPZJY0xoZrZrh56p9
lQZQvGh/cYLXGNzXg3RvUUs5MGpoxbVU96Ywdxv48FlU+NraJ0zkIuXIOODQJHi+T/JgNlDWUVCy
rNPHDE8hayoFD61tCPQIyWgyQQc7d80unaTQOVlQ5mra71FYfF5MEZspO5l8IKFjMvofCO7kDsTu
kKQDhNK0r6WR3cwZBJ0s+thn/ZehVw+oSv2Xq+JOcDFQJUGggr7rwnLsnjp0+ZsrdrUqvoNSybKo
nghWFXbf0+5eqwVWtjFPjJwm5L0I64dDuZrz3pA/xNO4HHGA8EhRwZIQYTiuuo33+VeRuvVG08Q5
FufGk0aZkqwBVueDRaZxisyJPUbpRlwolSPSBCv39YO6dXGsV8eZtlkvtjQtQFSkr0R6IMkLrsFJ
NHC+ad0aVB5Y1R+dadw3jGIZpfgYPCEzFJTDHq8g0VAvYbWUC+teQXCfzkZJou5zQLSdPzQu9eiL
BU5TEy90jwZWA4JvUDz8BHcNHrZgpb4D28RTCUZssivvyyeUzpmqpO2JPOFW8gD287F2/gs3yqgX
FdyU7uQHCYSR++gXniSH7rAcWrdEYk+kgbG9px+IvGO0pFFXG/a1Y8sx5lfsiDOaFookgl5U9oeu
fXP2Q1YZKA2JIbNoAbRkn8EAWoIHMBSR9GxjgBkFssUgD+Arzo0alnFlTuhbU6tdVN8VCvFIKghq
RCDcQiRrUuaQ+Sl0WxykvnwYFXTOt4rAHW6leFGvQFEG7VdgfVG5cwDmxjmjloqdoYq10+M4xQTs
nBzKplDcqh2UnS0Z8U3E8vIyzeSHlCjNyzga2t2YQmjp+tnfyr8go4y2RtYwgPFxzj3bI0oFso79
s+7Mh8nXvgWZHx1t1/yKCS1QsuiuvB9TT4DKTuKF1Xygvp/kldV0rQZxjoJ9hKB5U93lbrzRfcOJ
n7TgfZRUEMdtngZEICqUZ9CQyLckVlTLGlphkei/cNqwdJqpdZTwNjQFL+WNXCm+5gcQt7mhXZlV
auEmsgvQuVjUU/pfurZ4IQhXJGHldxMN5JfQoFZB32xwAUOq1ak+SPiK2i55kiAjftuB7z1/iD3b
LX/n9wrLot/Ie1GTyTvp+cX2rYD5MGJQprY3ARx9qw+Vz9JVY6AdZw+cwNMr46pWQF5keNqzDsWs
lpHy+uRIUI7Gu3Qv0s/Y4PXBlbn6OZwNV9hdBQJaOLp38Uv+UwOdjxlUR9YZPAW76tjvMc3ja7fp
vnWbT0XQPyaB6BLdDrLRCcjaYnC6+XSQqrVyinlW1uyo7Ywj9cx9Ai0J/Z7sqDscrKAQqrlvXakG
Yd0+6Ee1Zb4+Ce4yNYoSC/ed9rO1npJBxJi0GfisEPi2KN3ulYLaJi6uB2jV70tv/G6/mjuIH/8S
ZUq3/C9IezB9wxQxLshNUZqkYz7hISTT8GcjK7f1XAdRIXJ4mzBwA+gGxn/wfOf3lVqUvZ0mgClo
G8DnH3NF9jBnLnLzzOb4IwJhxf/gsN+x8nC9WcjD0AGn86XctY79A6Yo3MqlhdPfZC5j6I2Ix8SH
3hlHRLnezZADbxWWi4UIr61zR3RW8rmIdcK6QpSTEui3dB970S09Lp7uzq9JICLC3fywK0DuEA71
UNVLAUC5sR8KzICprXpLTRFd/ZYrX62LJ+IOq0mu8hwwyIY5/RjuKlkNygmKaVHnCG4p9o0u9vBj
SfwAbCtJRoGRdTzI9gaYXZOb6S27YVMj2V24p279LX9abo197GuiMpjgY/JDiEpTTOaUsI9JKXFm
rd0VnWQ5iVwGgjVuI2mogKCB1AZ51rmddpNiLCmFnU4uahM57g+msVj70Yvi4kntLg5IFUTWuem4
9A9QLtbSoiYm6sJA69BplNnRDcGNL1oWdzXWuhZZzWjAcSVR6wwkv02L9EspiZ6Gm8d8tRLumNWN
jGxYBpyh/NmbP1rDN7NTOh4VInvm+L1PBOH2tkdeAXLHbLIsGtMEgHjivBUQu6BQlWEcLX9BN43k
OKhoTExMIQGHUPXcNMJBQfdDyI4a2G/SwcA82ww6BRHF1OZWISsFCkmMSaEN5hxmjmW9hqPGKaPq
t44o+1AdiRNmf+WgoJ2NsXmooyIDco7TKXNZlKyLuB7jIMzfFAX9DXQShLbv8fuF0/iA4ZMRoYXM
dVoDpvPjT4x2Rn5DBQpKt/QA1xFYeMuDg/7efA0fZM1FLeVv6nwEMl//LPTdhFZXjzzoU0nqEUPY
NqL3/LtV1+51r7HRWg/TWEFwprHgrRvV4JCDepd2RP78Lfs2HkCiiOpttOs8PBtyJwxMcFaG38ud
qLy3mRVew3MmYwwp0WgFeG033tZ422fUKT02zdd50i69BzEtFKZap/k3PTqbzmu1di6CGBebxgh/
kW26w5Wj37YvTFzS8DqvCJ34JrwRTzdtPhoNG12EmG9CzyU/G2YhIzg1bJaAMeEwobLq1+g0Hpui
KV9FScKNyRPsLuMpw+EH2zxf71sgGhaHaJBxycP0O/40grbxXXu3cBN3RLPDqb0BFUTp9TvR7b7p
C1bInDvVqzCx6AjTlbTKawg06sidXQrkj7ZA0IuLOiZKS2A658o+oUKkQq9anNACnELpSxk+t9Hh
+gnZClPWGNwB6RYlzocGGAbEC8f+ziQDKqcvoah1XbQW7iTIWVS2g45RHaL/KuvPlXqfz4JQdsve
MYcEtiAUfFBB4PdEtktlLGHvU64EpaKCzvfx+sfadCdrCM41Q6GjkZIR5t0sfn2bggHXS3ymXd8p
OFjGgxpIrcv8ZvVJ3TeKv+xFLuX6IlFIPb8c9KSpLNBeskGaZ4v8bMun60vceqp/rBCMoOd/f8m6
pW1YP3s+Kk6eN14GaqIhQkdyFBix7lxH21wNxmVZZsdSwOV/jkZSLR4ji1l4OD2GS/PVMiXRiPim
hYNmGkPNeF0gdXSOEUZSN2QNnMTYSx5ts5vGtI95q/jhn0/14UG4QuIMcAZT7tzIA1JUxS8tOQ0Z
UrfV9+tfbPMcrTA4C2x6uiAGguMxJWimy0X/2Pc2OC2q5O060LatfyC9//vqdtbIFNdNBaT4YGo+
jSEUiPaYu/pGfah+GI60+JrqaPvcHRz7OUUbkMjUBUvl75KurAtMouAHRNED1W5ocheLotRN+8Ow
A6r3BvIhJmftioa2imJCvq2qfyt4pxltLIhARAichQ9ZqOgSOFTcIoXQbZejceMk2CgRBOdam1KX
FkMFROsZR/Nh+EZ/LL/1E+tRS2PH8sDs0EZO+oa2ftC1vc5+5SWYaMXQnWCtm295Jvzxz+dkv3Rl
MpNuFT3SWwh3HhFt+d0OWtZH/b7xDMc+FoH5iQpeTxtT9zhyK0RmQytEpWrDJYOyI6ono1fiA9Su
9Sg9a0fNbdzw0BZO/X1+Kt8YKzkLd4bbBl0nLtPIZapt13diM0eNqxoN+Hj4oA2b2+yqjqaiXpCa
BwfA7YSurj3xWC7FBnlD/Wb9oG8zdAik4DrspoPDrQf/yVR5+Sio1mYrsdlsZZwnRyss3EJ5nox6
V2p/Tl3GvvYHEufg4mEpjEHC5YOhll090Z3dFYdKnv3rC9q8g1YwnI8rY6s3Zgu3LB4oLqbcPdV+
y5oXebKDohDMiLG/xb+CVkviE/wg4Fui91fQchxB0RBBE4n48l4Uqgr2iO9skNGTOyYsLrZjzUnS
06DGIHt5TETL2fSZH5+OcBao2YsUWmysTm7BpTR3aUAIpBxMpRcY3SYQiNMR5INUA8M05wevBXdC
JsUAmpcMBB7EM7IR3W+qwBQ2v9sKhltPVUNXA/OIeAvbsOZs6PdpY92TuMHn0+ff1+1uGwy9UyZY
05ne2/ma0lzNInVCpFBjd9DX4Ko69ZYR3Om760CbHhsjNP8AsR+y8lphLYdWSnCz1RXY/ce8d7VM
efnvMLiwZ0r7eTLZrOiQoxUAmzQvfz7uzBLgcHPouUexk49F40xv0lqFDSxa5Sz0xehE9bdNK1sh
cFYmWWNXR2z+XhkmR01iB3qj4NumgotLBMNZWdeisJizl7KUj86kfm1QYbcGURlsEwXMMBqKYGCj
uQitUSmlFsETqAobJ66+grTZKXQRSfKWQ8MkGFgd8AzCHBC374kZa105IqSxBzDkz9X8NJUaVpXS
Q6OHAdHV33Or1k4YSk9/bnFrZO52qHWIT0INAOuzw6BPuzs1m0VZRbYTvLteY3BXw0CTBpPLwJiO
1o54yTEEgbgfPhgBSnf3IpbAzQsdiQxoA4N/5HKwLteV0FpGwi509PcaTnUMDwn6ISQkGCgaXYhf
PAzfRXHU1v3Hegg0zHGBKYZvkx0qKBBgvANv5bHDE4LOh3qQvi/Fcq+39YMliy6NLb+3xuPCthoT
kca8AI9q5kNbhI+6lQXzLPlG1/p/YyMfS2NnZOX59FTtcRECysTwlK6d6Ly/DrBZ3lwvhvOtfaHT
SqtVlnKz983b/JI/13vNsRzTtx66T0zPwxJY5ZY7X0NyR24ay7rULRhl393l6amuRXHXZmC9RuCO
1iLH0AetsKjOr75Nb2y8z3anwPjxvyLtkSeqPm57kY994s6ZblWROjNAMH+ByuWfqRNRWCT4cnwO
uugaajQKatHoHYHyGW4RUcpmEwGTvqDyY6t5L8mvDC6ZTRs8pwjJ7bzeW5l8A42F3XWT24bArJWG
mgCmLNi/ryAavaeRwcIGYzE8pcH8l9471yE2PYLyAcEdG9XqGoz+AiJXFQ8rcUz9sU9aZ1yI0/UC
c950B5g2QkERJXtonJ2vJ7aGJl4kfLKuNZ1WekDk5U7297IWpDdFOJxRJ7M+QY8SviDu2BgdpJl1
SLG7sp3u5SkTJAe3/cJqVbxFt5FhFqznDmJGLxnyF7mbQPCHCSmlb6q5X25zKE2IJuO27nwLjMSq
Cl15E7fI+bfsh6Gx6gwFxFr5pKa9E7e/5vHlunFsYyAZDXEztNjo3H6FUifLWYxLKhxDz6q/0c50
urYUxEibuwUjw0w2arDoUDpfCYSDhwLSTcjG0MR2hjg7FGF+jGuMiQ30+fqK2N+6uOXRQGcY6D4D
ZR9n7pDemoxFZxdgLmOjEkwSCiYWtxBQogApFvKCGI3ibok5rw1rLO0FwkUZhNJGR7N7//oiNp32
GoPblyhP0R8rhUgWvw/RqX7ujZ8pmmyiL0zWhDUjCRC3LGGNyJ2oEpT5yxxJrB4yDzvVVX0FzRQY
Tzwmt9YDRkb+xZT0ZskHQkmMXQzz5xd9gmlf9Gk/RRg4VcLIi8JRd6R20d18yvcQv5P9Rpp3sV4c
G8m8m6XkiPm+2FGHWeBO3i2QsxrMvCrosMK4NsZ/OatJMFeiEAop8Ph28MPWIbE/fso9fIADmP3Q
65W+LQin8JhwS581s8TQnaa/hr1IOm7DuPBDMEOFoQh8Ev5dlPfj3KQEX4SOFpqiw+pT2MoC69rY
ajCqoi8T/eRMqodzZ9ai1EtFU6SyaO1BMCpRa79Zfl43qI0oACCYyADRIyj4CFvo+maLIgoeE4Ck
hx7q3eO+9c2jmOZvK8w+w+F2DswmqlLVDOdWGVztd+wmfuiFwXJCp6lHjxm4Bf9G7Qi9JHAuoJ9C
mpvwYwx1oY26lMzUNa32pR7it2q2bg29fbv+Ebd36gOGO5RQXG1iswFMN1JnVDJHJXhNVKIZ/g3/
fLYaziB65OurugWTSl8lB7OdblIlvk/1CLJlqeCkbZoFuG1ANqHITMbu3CzQxdgZPQRyQSrYB3Z0
r1u9Y4e7qY290nhJJttrs931j8h85cXZXkFyL/SlagjJIhkfMfzcm7FDQUaeWIyDP1CgunodbPP8
rsDI+frSQVOqpsX6bA1pph5jwX9OSA7TwyAneJFxrmxeAZDWi22UOfIYsjRhJNdwc7C5pRJUa1Mh
m/DmajANgrlXMN4RnqFKwn0Ns8Cn6wPrEZzkJSrijuTmvwePuPqbuu9k5y9KN1jffzB5tqpqkuwC
c8dY35g70viLFs92JNqmTYtHkwxaijGuiqnY823qwepkk6Vh57e/kfvUQeu4l6lNoMmiDrvNM8yo
TpFSMQgKRedQVKkwvjXgammmVzr/SJJvsvly3eg2LXwFwbkJtdO1MYxy6ipZ52r9V2N4SdLUNUsb
/HVZ8N+Bcc6izRskoyqsR7ViyVEG81Mt229ybbw0SpTuzPjPuZ5Z356G4V8wc4ALnDtS3dTJaGtn
jOOy5Gi56kpztZMXYZfgpk2scLgbCy1a6KMgFWNLSFWv+mafWJ+g5IP6f3DVH/Wb7KW+WLRUBMtd
YFZK5U4OAUsry9VnwwnlNysB/XIiOs5bZgJyaXDiGgq0Xfj0nj02TUXaHkZfNJlTTOnoIBf4rbHL
O4TTiRMNksDbb9n+GpEzzLLMsw7ZPBBfxPE+zrNncyZ+F4nUtLfcFMuNInADmyyUn86PmDkUc5Sr
sJCJmHkA+qfeLbr28brdi0A485iQ9zdDiEC7UoYeIahkVbLga4kQOEvQe70z7AlOKezS72NfPNXl
cvjvFsGMcRWVYeq8UKQcEJZ5ypSb2Xi+/ve3InqoZXxsBeft+nYE4RtzrOVtf0s8uq/3yhFt4NCc
xAiYex1t6+iAdoBRwxI8LXlelRqi46qUw7yqcreQz4V1IxU3XfUXz1d4nw8YLoCARKJa5GmLx8E4
HMe0R7AseWR+7BWR5NHWuw+aB+BqQHyO+JKv9cVRnsdRC9ovwlpBJNWP1OhQpzEjEHbzuN219GgV
n+oQAad8k2PKNEwGpxpEg4zsYHIxExSJQLdoYOYG9DGck7dCe1kMS2HPEP3FGDNnAhOuNiS7pXzt
TIwbhqIYdMNVABHj4SrCGpB2c2d47soh1WcdgaGNEVr1YPeoQEyCM/xez75c1wcKd4hjvVTtNgXK
HMyJoz2hAvAgPcynZPYUUCYXO/l58Mwj5CiDMICsm4NZnlNRwH4zrxSK7m0ceKzZgkNGeIUmEs6w
lgzyJLWE3S7s0ZHnz0QXHMeNaPsMgPuobV/KBNEvDkho7EFe66v2rU1LR42PRYZW0tYK0NT0x4fy
DJP7xPMYNSo4LxABF6kHTkbwJkNnXLGh+Pf9OpLo83H+khgxyDAXIOlGP9xHdWb5CPOFcQHbhUub
+dglzmcug96VWg+Y/kRO/QEy5j551H4QSGlgxErg0kRr4vwnKclQ2xN2rJdbpxg/GyJdlc1zpqHb
A08HzHrzxfceAcAcJSBi1ArIwk+nLBsDE2MX17dmwzNj8AhHmTFPQSqL8x+KNUHpAWo0bhUVnqK/
qiYNdOWQSqJAfiOmWQPxnWaxKel9nMFR5XromP0EQnzJyeZjMcW3tnAaUbAsvq0sKW1bUnosyxxt
sBLdR2Xn9cq+MgV+aqv5G68SaPCht0zB2B/3/eaphf66NcIMQOZuYgbItaGp5uIFtrcewJ6FxAZU
QIIFj2fPPoiKiJvLtJCYM8HXiXlSzm0oQ4wrykQ+oDBOBMw3cayCaOV+pJHA2t+LNBdna4XEOQti
FUlImTXWtHfrWfdKBS0hyuemaG9i6VNm5I5FIQgs/bxun5unYIXLuY4mobYGX4Hvm5NfpdQ4FTgS
jdwMrsOIPiT791W4Vc2aWlsD8jdVhV5HaTgsdY+mp9qfY5Gk2+aKMNtkEQT3eNVye2ZQQvWIslSR
KR9KIjtKlYG6SrCgbRR4DbTDwjJ5NiE91eVGYk8IWfuiTG96heby5Mf1j3Y5/gPfhEQsNKLRQ4wl
ccafz8uCTu0lwt3cYp4kO477HnxqrC9aNJB5Wdo5x+J7uOYWxJKqBaz/q9KH8WP+A1LiLiNftFQP
7Q+2shcr7VxaPgfMJcJoWqdQ0WoiZzli5hT5UWWHqQ7k9kVLfHeBZ2eMIYHNEfEaPinIXc6NUB01
Uw9tcBYwX2KrXmwZmAiY/PzFDDqH7iU/3I++4tpvJc3vVCgc7f4Ft+TFLYpfAYlNcBnj9Yl5Tc4+
FTPsR2uGjMIYLH6Y3EmFmx0lv/XVoE9O/2Jn2Qfkl70G5FyLNhu5YcoAZBwjOfGG3bgfMSKdVr54
puPSZlFsQrTMqDOZaOpF2UlRu7qZzJO2y57I3jiAADDQAnX/F5NPHBLnU7TW6Pp+ME+VUmYQ70s+
oxdI0Nh4eSrOMXiNnthO68jo8x7fbvJBJm6gDtS5Be4fxpkL0jVNdpbYSTzRi+4iYOWAucVVmimV
RQvgMCWZt5TFcEg0aiNZO1mGi4pfv1eSSHkICQ3v6lIaBf7t8v3KfoBm4vHFWmgu1InkCFLc7ZL1
74clPCIDFCS7/EY/1scoqD7/qafj0LjlmjHVkekEWnyL+ChQ9tZLdiAuo10W3enClXGRZTh1Td3M
wGIU+pF1UwfzPrldgizcRacEBa3ra2M//ez4saXBi4PnyYAr51W4w5KGxmKaJ520e0u6H2XTD6fY
oyoRxBAXVxIHxJ1zqOoppOvsU9b8hnRGqb9YmSAaEy2Fc6ClPUwUoyYnC8VxNdlDktiRjScSidrv
RDicNeh6M5cpNU+lUnmzWbltj0JWXDmxJEK6+s3QrsohhZ02LKFZgCeEfrINGLspO1EvsG4RCGdw
rIoR5wpAkmVwM4KSgdn5mpV41w3tsgK4NgAshksy0q5Co4QKnDkY3krUQsIAswvaAarl3nhvWm72
BYkazKBMTiRYIrOt/9fIAc1FKpot0WIcAa31b3MOdaJENOW07YpRlUa9h+AKJ9y9qXdQCWljcFXh
1KoYihw0FGB6B2liBx2EXvYc+kJXsemFV5jckZIWW8/nzDqlt9oxdnNECeNBCRSv2xU7TEf68U1z
GF7oHZQkBYd584N+IGuczczjAg4pgg8qKa1Dy8Wh4xeBuVwEIsxcVhCcuUwRRvxGDD+9+0E2Zkq/
G58aTHdUwXKjikgOeLcLZTEMjuElhduEadDa3FGL87SRpjw85bcyyLoKP/Lte/srgh5UpUX3CZe1
u8Divh6RZEuJ5PAEyVSnDgMr0f1SfulN3WmSF719FXxJbrMu4LgviZl6pamK8CQfu/vqMfGn3qt/
T14IRoVpj6Hd3SDSERYhcueNSEaatmp40jPNmY0vkvCBz/ksbkkgBTiPlSvJ7CqpDE8xuH+jcK89
CGXhuLN1gcDF/V0XRvaoh6f0gOgC5D1kF+/F0e/WOlCFJoR1W8kGXyQmc0WMbJZOktX7w3Ang0k5
W35f339muSvn976SNQZn2X2VG1U8SKeM1K7ZH/K6dTQL0+GxoP1uey3ICzPmHBNUrOd7UiglbSc5
+hI3ZToGs6pYT3jooCmoq41RUILhmQnfFwUeT0uHngxeK/zbUxmIVHax8hjeKUGxbxDzIgj20ifo
ZDti9okte0aOB+TLiJAgWsod2MFupK5I7FNNdUe2X+ViEuTh3n8vv0lI9KHZhxVIUPQ7/3iSOsS2
jPU0vrVT/e6bjqYu8x4ilXf2E9gEgtEBR9+dstNBgta/zrvioYBmJf0CZvadLJxA3thKcGujnxbj
tGgO4rcS/boguYODspMnW3uo8q+5SElt44ueIbB/X2VcJgoB5I6GJ4yddiPU06moiHrhY8m71hAx
WCMjU1k+B2gwf6OSBP38dTIGId0R/XuqEcdajONkte5oCCzyfYfOdvAdECKP6JNDeZMvCRkI1mpa
dYYzuBWY8wPoYBy71+89VAL9GPunPoy/MR+av7HhzPyRZUniu6UVXMx8RhJJJbbuj5/BrtXVh+3M
CvXjCT9DrZ4bBCH5MB6qPIEYY+tUmepGqeWURr4rrfFIpxHjfXaQWLKTEVDi1tqh6D6b87e0rp2i
KUXkvxe7zn4cBN5BhG8QHUMy5z9OrayhTIrecLS7KHfk2C3u7QAtPlrtTIqHnNhB9XJoxR3+0ANy
sNzhiqhlTtP/kHYly3HjWPCLGMEVJK9ca5NkyZYs+8KwJTf3fefXT6JmusVCsQvdnoNPinAWwIeH
h7dkRrCFDKRCQ/zN1FWnlH8uoc45xptGt1ofY9UNXFIjK1hf0u4DMCqSjA60oULYCrbYtZac8hzH
lXNHsw8txFHVJnBxaIxzN1ujFjqz160EIgboA7JKqXHH5ZiZL7f3kLo4xrzx0sY3o1IGyPgxe1jM
taT3JXZMXZrwaYB8AyS1EkeTwtjSsyz5LLb/cuaCmjIobsm5LxHlCZY7JhbmoYyRT7DaDGFLct9N
hLOo6++F2oeMQUDQQoNHmS2fIt0W6pKSEytPoJlQJNquH6BTSJZDS4bnWDZ2Q5rubm/k9RkAJk3y
4cWNyg5L/aP1Sh9PY0asAtWCxcztincRX3+qCwR24mKgCnJhhFW1mvyc1BgYj+K7RBAPsVHfi0b6
fntBV5eFAuUDtFgrYITBRcw2Tulo0tJJXWtWUhl3REe3igFplqIXMuc20MbOoYMT7YiYRqWFDeYW
DifNKDDIq1ltID+DaHGvKDwKEx4ENZiV90zJ0NBgWbPgv0YrJYvXR9nb7WVcH1moDNNpAZAkQuqT
7WlDa0eRVXKmWUYUik6sBA4kyk8Qs0MKe8Eg/79EA2MqQYkK4tDoacMpulxRKBJj7JNetkg93kOQ
OoLiSukLw1i7QqcIHLTz8PGFm0DFUoZpg2uQ6rqJ1FhWGxiPilLWUOxBupz41V61lR1l6sE/t/CK
T4WXPpr35WHZGSfl0cDjuHmcPcWWLflYPMv3oRML4KHi5davPivzqxgvCUHsSDYjUbT6Hi0F9Utu
KJyFXx0CDV0gmMxQDXRsgZ+M2Wa9Gvp+bCTRKpfFStPsScrf8cr7cftjXq8DFXnM5usIECF2wKqd
5mkumCQDAmneyjq3ZDJx1nHlETWQtEC1A5O+cLyYy7j8frU+1Yaal42FdOGnqW+9JOwraA6SA+hk
v+BQH9tanjhBy/XmoXwKEUAT6tEICthmY6FNFTM2Yoz/Lt+n4BsBCV888HJpV8cODFIo0YJGCvNO
9Lq8XNncG0IVETTHjmG2U6LRKkForrc/+4mnP8nmgiAjDqEQhM0g5oIoMTIKl1CiiqHmalYAZQeP
xmHax4fha7erMJ1IWSmau2Sy/iVbFYvJFsjqujFTlWLG0h5H0A7nYx/PnA91LpxfHm+sDIMP6O8k
JgacmeMdNlEUVkkxWujix5zFm/wjx/xJeZfekXf9+0k59Kf5NO+HZ/lr5o/Yao55Xr3K6c4CWpIx
1YMwjTXPUKEUoxR/H++0Y7dL98STjzx/cX0KkBHHYBJNQKE9gk0GFYJSSCNt9lmqIr7rg1B/gcpc
dEfSbv7UqELio2FS/WSoDY+AkKXsO39HPAERJkOHhwYnl7ajCjPSQwLMdPZ7V6OSXKI1oH1MseLv
JijlztMSbn8SDt2juEvuoOSnxY5z289cP6+xz1B9wLwZHvOQAmEOSySXPbp2yGCRu8WjI0aDpduN
S+ehcyh0cDOZNF/D2tUaj/mu+aikeUqAp1kgccJ5Cf0cb4HK55U72Cz0eX8x0wD5I1QA1asgQgmD
DFE59rdzDL9cwDGauvlz64kmssKW5usHwxuP1VvOS5lu+Z81MLPEKdPJoNcAbtT/zjZEBgRrxC/Q
EOZ8vQ13SvkrNQSY8OJXnHKh1mrYzRDudJiX72YQ6BByEVpHDIaS87K6TpvCUJAfwH2PAIPShFya
azsrrdRjDsCq57E/GSTUO8sogxbs20R7koMS/OaZMbhKK9Ye6sqSq+MNeB8XlWEvRsz9Pdc3JFSG
RQjXUuprzLYyrlfRo3KpR1wlmMqa3iZH83o/POhuMuPbhp+SXXQod5zDwsFkiakLNc0lVQImVeQw
S4sgWR2AthZqjDKlkPfQ+ePfxtzygwQd23jwnavZzGts6OQuTwJcYoZsHIKscAI9/SLkuS8l+h+G
0D1qYASZMJPE8b+bS13h0r+vwrumr7PKaOlNbYI+AMI9c8TrrOMtjbli1EXol7zG0opWBQt/Px0m
3LTWJFSntq+obk/52qgh+Esz3tOMejXWC613lfG9mTSOahICWtFmK9N+DYFqacOrOSWW2PFoEjZ9
LOIdDW3R0MZGw8XlXrZ1J0ixkuCWRMmIlhwwxGDTcpjpZ66wJ5yR7y2vsIZjPt3c51HbEnw6cypc
IwFLqIZlFZF72zK3LeRjVcznK3LRbKsEq5rC9LhE3XcZ7VscK2Tbr89OfL0W5kOpEPIZOg0gg1fs
4yeQ7LtSYGuuWKIRGFUN5IJ3POY/3sKYK7GOoSMz5MBMlq+p8tRKP29vHNcemAtCiec8VdDwY3Xe
6Cpe5kzH+A6Cqla9z8Gsypv54G4i4yprs0/aWYdBNI7xODmKE7rdsTrWTombF2TbO4nD5MZD1Jmq
TVAaOEoEK0ShC+k/yqx50MBBb2WWZLdf5KMABc7bu7pt9ehpwi2FfJLObOpQZoleVFikMCfeHD+2
MnG14vNtkM2ggkAmABOgGFXD2/fyKCeDoOdLgQd842mfjUe0F4GaLvJ0F/I+KLegidcDubIzfePg
Uhdx5bBWuIwLkdK5LAVQRf7PhWSgHTYcoFrUhYQez2Q2N3MFx7gQnVSLKOaAS8XvgvbQTl9FlSfq
uG0kKxDGgchz2UDeDCDFCcLw4HGG7HihI/yklH6hXRfWPyBxpmZwayMZh9JP5RxJ9AP26OSVPNWW
a8vE4AGSFqVv7EdvRoDoUwai7G7kRYab78W1+TCuRVdTs6/Pn7Gx0vsA0u70S6J93c9qu8YLp8EU
+8wJIbiozNEYgxpNVHSj50eqdjz6Isj1HUrlPP2hHKAnBmpbHtvS5g1LlRoxwk/V1hmfIw55HBc5
QtMkIKFjBJlrNqOvKdU3SJ9GVlZpvMbzTbf9gcg2nlcNSXWzFwZLEgga23vMf5sxUhm3T+L2yfhr
Xed38youyutyMbQG61KqRz0UQXtUWqL09hsgmNlAHRId5xJhPlg4BuO0xAFKgWFeo7CTD/YwqMSt
jWl0b0NtBmErKOY7BU2eEKMFVKWhkoTu16iLLELeDBU2Mv4sq89Cxcsdbu7hByZ7O6Rqq0lpDcxS
wZ0HcocQeaCFO1K8aRCEkm0j0YQZLsa/JFqVojfagNkrs7e06cnsq5fbu7e5khUE403I0gxVuwCi
nfR7LTEOKZoiYyLbt2G2XeUKh/EbtRhmUdsDJzs1XnhPDpj79sj7YBPEDOKJXxf+G0RU37FzYExT
mc0b4jorUpQO0XDa7MXnZVfasR+eUGrYN49Urq7nZXy4kMxm9ktbTU16hlQ8xQHbiUd9VOfSYn9l
I830yNnW7c/3sUhmW0V5RKtYed5W6VVGbJLbJti4CIY5ejDLoqn+NPiQs3X/T1zmfM+RpjdtTnFj
Swa3buEhj266PbQL2r0CKXa6wbyEyMZiDRUPKDzqaO+5wpx0JZr1WaklSoYY+YQIuypTd6Ua/nF7
cRunDiR3mHmA06f1AcZwEgyPTLFRzVah55Lsqma1VK4ahrPJ6Ymm5sDc5JDugDgfxiKRxGarK0tO
8kmX09mqIJhTf6pNbZb8cVE69W4WwiR8k+I8JpyTuLGJSH1gBhNNLSgjsvS8QixoIwk7aDa2md1I
b5nY2ErCe/RvoqDZGfxjYB9G+v8yygzSJZDBKzlbej8btiDXmqvOleDqprx4tz/Xxj2NXhQVzCkG
JtCu1LyoNrCOTNmMGn2dAkAUX8sl6n0DraJQ8g7a3SQPxL8NuvXpzkYI1Tok6dkOilifIINSQY9a
nGZ/qRV7CvN9KKIWIb7eRtpKW5lrKCZg15CDM02QSlu6gIFROfql9ekhaJtnPPMOcdLfxXXydUAf
tiXqg5tKUQG+hqbmLHjrUKx/BRO+V6ooGCLdZTIlh5ToTj5JnKfyJgQ+JTLKoBMQWcucy7hPMw3n
Lpl/DegKkToeS/A2gqGBjAmFRjyzLq1SiUOhnCYgqAgTQuRQBTzFb3+uLcPHjCL4p1Cppx1JlxBx
lk2lKOFr1cHXpLzTQ9nqal6hlAfCmETaB4IxC7A+zGdZuvwslCEEhn7eXsnWuaJ1cnAImqCGYXkE
RbnuC71SJisDQYsk3Wc6yP2Ed32BDOxiurfBtlaE2jzOMXL413JaWV/VizjCvCBZCiYdE8x07/H4
G459DUIP9SrybVESVQwKsgS50xu5M1b/tq8QzFe4mFAYhFASqmnMKelLRU9EBQhT1Noa+o07td/L
yBvc3q0tO0YeW6GjVypKS4yRQfd8UcYUBVUpDg6S0XmFyGtg2Pog0MsxUCnGWcEQ0uVegUOyScQG
YwlKlD4Y8XwoA6j2gFiSOLfXcg0EjkCA6Bq4fnEoGaAMCtrRoGLL5FF7KMT+OclBW9oon38DhhYA
wIUAP3aW5lx9e2MJgxbjCbPVRdlBmqddbeCJnGec1rrN1axgmNXoMRH02gRMUzfvhoqIyOgfSaJz
utNoeHUZOWDTkCXCTY62I5VteoxEaLSJ9Pppu+g11pMXokTvYV97WpoWlmIiDlP/db+JdolJjXK1
g3MYDRNkohGt1DO64qJsscKUcA7Q9b0KEAKzpkQRlFDmEsSImnZOMsQNQYfgFZ3Th6lpvUaanqC8
xJPj2vxYmEdGnw70XhT2wimQ39PyBL6aaEjaZ5oTQFYk6DmpxOvDiiWZIN+gk5J0Rv5ySVUspqRf
UNSZkAh+MKsuPy5glOTczxspWaSaabSqmapx7XrwOuwGYVJGPHdA/KN58cGEWiZ5608KiCYEh3cH
bSwLePBBiCHRRsJGyXK4hEINfnpLbjKrmHuPtqrePrMbuUq6pg8MxmEbYdiaRQUMBdWq7iQ5GMWh
VHyYLnKnzELUdd/YoVfvbuNuGCFg0aiIqwg1FlYDVKg6BRQaKrLb6ffC+BV3hl9JD2QK9r+BI4Ok
Et046NVmg0itnxephie30nayNROiaPXnsApsswg5TnbzY62QmIBhkAst7BIgRWp0ykA4FE68Wth1
uIBvpWIRiIjRjcAOFYlTbIqzFk6WPHe+PGlPWa65ddx4rVQ7esGjDGOnYwF2iUeXvHJH4BZsjCaM
JmsG2RTaH/oxhrx5nA2RcVeVE7R5yLA8h2inslTSvphpl2SWHgyj6qSZUBicb7nx9r/8PdTZrH5P
ps96UStYP4RjPdGFivFj6lPtLckOjvLR3PPauM6JOuYSuNhx5nTIKfiJExmI05vwJsSWFFlTcTel
9qjR+oiFAVvbPCS7YnKNbidHFkbWxGP9VeCws2wa1+rLU8tYrbyow4LEdOWqUVpKD2CN81DecNRY
KfiEMXNAXTWztzW6EYJqBgIJKiura1sHc5JZ8Vzatr9Z4TA7GsNYRKkHjtLD4UAxyK6fy8miQ971
qfuRYAKpuct8blV+++x8rI/ZwakSwM5L19e6kyNYlUcMNwIHk0+c3lnceT/doe09A+MVXxOSHv0r
K9LRo4qoFW8Wdl6kjVWizDO6vKhE4rRPUdrFGD1EBdDe/thzPCu9667A0GmGriFAolvp0lTkvF4C
PJtoMZTyuFOdcVpu4mUftg/jBw7bYTbMbV41LXDO/ASvybfmW+wKdu8NruCLkJjnZ8Q293EFycTk
RTBNAfohKeRwJn7qfuq4gNFVgclr6dvtm2PzQBgmukYwLoAWMwasnQQtkBMKZrxpy9vQp3By329j
bHvYFQhzaYhqUOZGBhDVj3fzXeTAs3jRrnj8B1QO9AdfG8bHgpi4b1LDaRzKgO6eaFfvChgkUFF6
ah7586CbxoExPKhZyLioMEF5aYRFMQzJWBpoSLnLvoANZpEx9pJ4pt25qbmXXNHCpBIvlNn6YmtQ
5oh3RiHqSA3/t4NCQxn7D7A/FQ5y4I7xQJpH6IE5yTPXo21ZJWb20EwN3U608jMHLh8wHlU1OoUV
bdmObMrN0Vm6LzviTttzLGYrcFqhsWURNeuyXG2BFtwZPqhjo2+yq+xKP/hCwAog4RrCgwXSfLyk
y6bjXgMz5yHMKkzq1ABWHqDD4iG7k4BoG+rLL0tjUbF4OnvGV3zd8tt0vA9tzpilvurTTUHFU9QR
OHPN5ZMwvWXg5xWLwi+NA0i3Lc7m0iPAHpE1GH0Trq7ZspGGAO2WiOH2GjK3cJ+BI93LDxoG7Tpb
PPLaEbau9TUeYzqZ3KVKLOFIVgaIos2vlfQbzce0oeiv/buyF0GAZm4AiGn4TDBLmLrBXsmt5al+
QzcCZoxnBz1pzr+kAz6HjmtYxloUIwUliER3MgrsLkR/ZUysYeTRJ2060DUO40C1XBdyiCDgSaZZ
1T53S196il4GzNThmelyzOO6LfVyLxkPWsl11vQjvHWyH/bZ59x+09AEUD3zNm8jH30JxATeMUig
kAHAqmbVq/aVV9rQ5p53k12i8BN7Ba/WyrFDnQn+TKNaliQBXqiEbtVjPDAreJu3kU+5METmSpjE
Pzevc5zJSb7hPvicQJUyR9erNUvWBJIfBT0GISixzRee+9q8G1bHgLkb1KXqUwwp46LNqy+kKn+E
/fJY1DHvxcA1SMaFaLOujlMKw+8Pi6d7tR+cons6W8+/8DavgtWaGO8RTUKd1Bm+WiOi/i45Y946
fWC4YArkNAtu2wc4nGlfooZo9dIv1upU9lmMh6CsvRIptgqVA7DRfUItHnpboJjSqbTcJYLUzPIg
UTeF6Vw/PTYP0nHYhRizFz3ZIUd5N341OXnE7e37gGQMMpgxOpMkeBE0Qm4NZWm1IMobs9yOeIrb
29v3gcQYnxLlotpF9G01B15Vdi6ksByOb9q+Jz8wGLsL27EXKx12Vyk2ObQWZuCJLTyFv0CuM1vz
a2CJVnRQEmfBte3/n+CMJc6p3GejCXDpAensInTje9q0FH7Xcbo7q36FqFmBhKZHIxOut+R8SHYM
ChOvWjnH2N7BW9CwBarP+Dn0IYbZOoMr4iESetp+PnJxNwO/D5tlWfViQcWsLd3y1p0hlZw4BB20
+8FVPXFXfy05KYDN7OPqiJjMVVeQJA8imv2hDcLij3IAD4DhtHi8lgo6dy2BS+uyHfOtVsicezOC
TS0yVmh8j1Hovad9jGiA+2Lab/UreuC8wk0/c0PcrYfKeqH0OK2isKrXwyFagEqv2cJLnMB5mz3i
lQ+8+Gt7gbKIkjbtYkcy8hKKkLxZFPpkqN1s36DX6KmFeC/6rq35TXyL7mUn9USdF2ZuxhErVOa4
hHA0dR3hMor2A3IReIndK/5ZLnnPOZib194HEjuLIE6mUOl0fRijQVNfC8U1K3swHBUtoYn1DDnK
ghu9bHq7FSYT+pmlqUdaBEzBRMVJEuw0rDg7yINgjkI5mHma0g0cx6cw+WkOvLLF9gN2tQjG8peh
DvMixyIayuQa4/VKOZR6ZzwluwS3OdVA53wr+tWvHh8rSMbswQ1qoomdLgrn2xTvC9lRTssutStX
TE5Bepr82Mls2R9fgu4fsJps3iArfOYKHsAUEaYd8NHnkKDAFb6VWYuMZk58oR12WsW7gLmbzNzA
nU5CVaLWKR5km9igaL4nhdd6k0uf6lGNm9nKXjnbTL/crW1mLuMmlpcpS6h5tofARx4QrAVP5FTG
1njqvtcR/Cg3M7F5Q622lnEzWTWhkUsF5gT+YdRYorcYJCCmrfht61IvOh/bn+2ut2+vlWdRjJ+Z
BEMwswGwg0ffssNu9AT/H6QC6XG7saXsBVxUEsRfBOCo/iRbmBxAXSzH9GdoT3f8TIS87dRUSBCL
kCDWTOYLylNWjGUMuBZzEe3jtKP3r9jCjwbn/Fn3ovyhYe7DxIeU/R7Uy/2+ufsH4mvb6/74Icxn
RV8gpp+K8/4qHnSDnkM3t9XPsld6rWj91hNG/kBjvmY354pZ0ZxaQI41+PHi9lsSv9+2mL85kn+C
XDFpTULbiQI9kjSrW3zTj5kXujQpqRm26NAiJ8i6OZi3txEF3MtLOF3+/J6jPZ8TaJmX+81Ohyx7
+sCNVTeji7+2ET1QDFozTCPGy0cr24e75vNkoYZ76PfJwdzzvtj2sdd1NMShux1jkZdQkjBkSjnT
sDhSnA6U38OdpLtVyhuA2sIxdCoEiUFW0EYxOELdtIJaZmiPVlorVx9RYfGCIbT1f6n3fM7q0EZA
NFKiaAs6qMsF9WrS6XKMQkah75R8cRqVV+LcutlXCISdCcoGrSNjCoS28tHo60Q9N8u3tV1rDMbe
wmRS43gGBi0FSQ5GcwxLFqyl97IjOgyp54DLRNiJnBwv07KVH4B6FYR8MJeKdpxzlL8KbhszbtSx
FGlwG++GzyFKJule9YKv/yALT/0P45eBRengNXCJoc/o8nMtRaLXij7TAaseLJSRrUaH+BEESxKe
ZT8lnzIdG7oldNDQgqw1N7reONgX+ExEo/W6Ulf9Qo9avIvpe4U4eAlK4PcYBagxml9ue5KND4tm
YlAAgz8Pw74sW0WsJkaCHDLwhvBNMwJ3Fp5AYP1eDjz97K2HA6DQvYzGW/S0aczSyoRUfaOgbWIY
aqcR9SezAMOHOEiWqKT7QlZ2hpl9a6TsG+gcd+A//JKl2WsL9Q4BfbO9od6P6vDr9vI3zo5MXzEw
Kgw7QyHt8nNHfSA1dY/lV/PkjWPwPajqt9sQW49Q9DggG49GMrR5seq2U1SLQh/jk57fvCcJpQ5d
xHMJNXhXPoqBzZuz3LqRgIhvCklnMIKwjDWLGJnKYLT/HadeTgFmvjACpj3GX5YXGeyfhT/9xvMC
E0myAYIcIIvsq7DXoiWvFkCKMnSXx2cZXf+cfdz8VisIxpMmSR/F+gyI0S72zb77FCN0qNwcNNKS
C9GX30nIg4MEHZNg7MKhZOsAklkrkak1+HDDj3TUvzZl5TQBV4t94xEBMhUkCgGFHmN2ogvUGGjN
6wZ8Lah3IiyD4DLUpODjwD87O2OPrqLFTdzxJy8bsxEUroHZwS4zTYVlngBc1eXDYLa1RSrMuweD
EnOiah4Sc32IYhbpeg+kpGofMhE8u4n8npmyd9tEtnpPLlbEHOdpqAxp7npqIs1JOMngT6JD4fp9
immvzgJ9DLqzGhtjPYfSGXfSnqfPtulOP74l2yhI4i6rEoKF9proDCOaF4oUTOCvES+s2PYqKyTG
m4pLmKthDaTWlRBItz5uik/EmWz9kHuRanEfZFs308pMz0+M1S0McfVerlHLwYsFkbtkRZ7xXsFA
8WLBpKdj8jzKNQ8jmuHXgHSvV4BgNDLzpcIKh1ck79yewoIEK/XpaCf5MnrKYXZkq5VdfuV/09es
dpd5LyVSFnTRiMVOyye9lsGdwJuq3HbSKwjmJRQpdZCD9IraKq2Bt3b2GRUrS/QssgNrC6dXaXtB
YPOgUvW47NmToUjgGYFBQjGoqqCYQp7qpvly+/j9jU2CWgtcVBIGGZhjro+BSBJqk9GekvyDRNuG
xLUKCu9ol3oBeHZ4iNu+8wORWZY46ksVYF04BYGfH8Lj+L1XrWqX+4Mtevm3+TS9lM68myOOq9mq
N8I6P5CZQLFV4xHqnP9DLjCGn0lgaesdyW18yMbxUl1nz8EGpms8+oFXp0Hp6yAdB+AtD+ATsvMQ
LafDToD6zXHaUVqj+lRZmp0c+qPyq7nTbGjC87MydFW3fgV19KtfoRpDFOQLfkWDmR+rv0f+yQYz
LJVrR9crP3GxfXF87DLjA/pZXFqNXlGLWNhp9250sQ/qQo7dbloRupPB5Ee5B1gKULGf4jISFDQN
g6gNOd/otYqs/hG9yi6aRB+Vg+R2j0qIQgxvYpGHzPgZowTPRzEDOSzF+6yqvbaUH/qg0Jxm7rxU
KP3bS910A3j3qmiNBqva+QJdfb8+j0EbTNujC0zQhESyyoLHcLbt2DAOqaFCAP5CNqaulkQodRHP
NXpRFDVime4rPRmio/wCcRMdOOUWerbWBQklkG1R3iJM3V3aJZnbeQ4NPNvobZg3doF0CI2wW8zZ
7tE55cxfedETq2tEX/aQ9/vAZOJRdTK0qdGAqfrdPj+UCNgoxXn+8Dt9g2skNlCT8lbVy+T8gvhO
iW4ydBGFlnbfOpSlIvvFu+s346jV0lgzSZVEiSE8Q7Og0hvIVI6iLx/iHe1eCk/LMXDmh1R1GnQt
omUxt5LvEmc6YfMqweMFZCBUrx1H8/KDJgI0e8Xx/EFpwoGSSOR4w2SWdhj8+DPvetx05+hFM8BB
CSU6jGxe4o1midqFQO/HzKq+0AxH/H0K0WFBeRyG0uYRKm8aLARHKUvkmYzyEk+NVHVYMqyvLuR2
n+YxQkUMyHAGcja3EUrceN5ibgVsdIyNGkLfNUUH7oZx0VoPiqAzqI0j4keqGHq5GeUuGcLgU11O
rZUYPXHwUu16qxj7YNeXTWGbpOXKTG459dWPYhNWSUYWMwjxo2hPavkE/urSJrUVuoh/EFC2ElId
6EXiHdhtWNNUoVylQ6mHiU4UsySNOUfI00L6dM6cEh2WA1d6euvDIpfwFwoTkWhQOk3DEiiqUOGc
dHp7N8RF+HTbj281f8hrGCb8KKII+owRYMhd/RLuxrue2MnnCV0Z0ILBXfxL/zX/1N9vo26uDeIs
lKQHxI5s0UIJBs0o+xC3/1QcDTmKQJGe8Wjnt20W4n5gx0Q3LPLAl0dD6cRoDtscd+IP4S0MwS8Y
us1xsAur3LfDP+C23Xq0QZv2L0AmyCiNDlyZAwCHBE0J5vehfekySApWnI+2aYBYD+XNAFs22/6d
9Ulq1FEyWnro6wQUtPUX3KDW7W+0DYJ0M7Jaqiaed3d1w7caOEegVoFanWA4wtjspEkXrLZXZA7Q
pjHgKP0JRP++ApLaUVpyygKbVpG/dMKpJeXn22vZNoUVBmMKCIQqhQzAaF1IB6JIpj8ZoMqYvX4f
HbR9w7O9TUtY4TGWkI8daeEVsXlyaMndtK+nQ4aXbRb0nNaULSSM9SJcAYE1houZ89s3uZCo+oSk
T684qSo6WRyc9P5nXTWc77RlEIiLIKlAaSYxw375neZ+0KDCgrucjLlVVcQO09ILauJxvtVWKIur
TMF4uawYmL+7xFFJUYZNqsE5vOYvkOVBz1uLniqo5RBnfKsbhzJ/vJgvKVQ3ePHfli1CQhOTIpg7
hvoHc3tXPVQ4jBqjcbmc70Hefgd5Jc4DerMKscZg9jELmj6dUmA06MVU0SRPKVY13/CiR95NxVsO
s5WZXrdmdJ6La4mttC8S9D1+52t97JjGxFeFoZFqqvHwoJmyWdxJgVV1EMAKHB116OTH7CQ70vrd
fXfHm7bh7SSbJghDksO/YicV1FhmF4I9B/UTbQsGrTPnvXMO/NkH6+qrsbxyiyRAJVbDg0d9TMHd
8EoOaB5yasz4EKc7CI/ZU/ole8rcwuelAjkfUWNO+BwVmZTKdJVFbdXDMZE4LmTrYK+Xxjjguu/i
KjGxtHCud2RqdzEaXgZV58BshsZrHMYJ4yJbemnCQsJ79Q9K4xOjtg09KtpwEjqac9syedvGuOBB
jcOuTICmVqG1NKlVJpygmLdvjLOo47gqSA7Tx6C1FagQoYS587got0AwTQZaIHjc6/FqPEWLOWrh
30mrWIUg22os2kHKIyfZhMHcGl708HtX3EOGlgqNQvBsmcb6rkhqXxHq1zKU3dsfZbN2p6PdGJN4
iF0UlhOoTOOpXUzUyVS/2Zueduxry3Aq0FkXmIaY/PmIAX9+vmnzIbrGZZxuk1dqKgpn3PxewQRg
buWQPhh2OvR0KY1UcR8inT/uUqf/RI6/VwNa/wDGFZMpyk2UKHGKlXpfqLpDhMENU17dd8vqdewu
yMJRhkSC9vLyjGBHS5kDBpziz0SpPstaxbug6f/BukLQOqMESQevwNBwiTH0eSXlE/wFnrjpDyrF
TPbxPgIDAMg11eO4y3meY3tVH4jMWZYJWGekHIjaA7KzT/0T+gZAyti5OZV0pOyIvJtz01mtF8ke
biMnmlIAsjhRHUftGHkpMtCj0376B1rIvAUy5jk3TafEMtCEXfAYfaswu0AXOH5DHtheWnSP5185
J5H+l7e+ImOQwzT0ck/JB4QdzQOnx6Gw8slOHorCCpwY1MfaCzwnBtpwHO+MlhM4nB8pf48vs7qB
qpRXgzoCf/CyL/HnwK4c3AuH6TSdaNKtcvXEJnsQ6L21zrQDl6pd4pBSue/Qg30nKNaoT5w9kW/u
CRJXl5YtxPoiqjV+Ey2l0JZdrbOoZoqJeULQp/NyN5tO96+DBIWBSzgxQH/wRA+SpoTQQ0FAS8DD
iwjq9rKoqd7aacYn9LIZZALtlzC7OvW1vEisuMzAMJf1Tn5+NcjvtxE3U5ofpwe58MuVgXiiG/MB
kBC6hC4FJr1P5X54FLil9c0k8RqJcUZzULRjAZ5AS/aDuwAJ1P6p9UM8FZZD9yOvrJQ788D7aowz
6nIwawzUGQla5mlacj90wz7sJM6IDA+GcUCFVqSKSB1QF/5cZIQvuYE5TG5x9LYzR3fC5Zcq4AUw
ZYADRZtKxu8dPfwdNMtlzzg2SO3zR4V5iIzjSfsurXEWEGq8ygcqaNEcFx/UphiVT1zk6/zbtkg/
x5X101vKwCw56JEY61dbyH3m9EZcxq89eAEl86sm+Kpc27dxtm+MFRBj81KWm0pZAkh6UN6afe9H
HmSVM5QsC/f3kpD6Co2x+yEXp0YcgaZi/GQaP6EV1llUXli4eS+tUBhbN6DBJiQRUMLQtMIEGoZc
rlkeBGPnVZH0fQGNFytrKktGd72q7DhfhgfB2HgalVFi0i+DHmmnvaedHPkdarv7ca9+jfH24NU9
eDbHmHgdhrLWhQCcZIwvyBDGlSHym0a7UOSRsm5e4x9fiM0FohKZ1tqMIpkSi/6cf2qkziqN/ZCE
VlG0FslNzm3yN3aO3jtVwcg9Mk+Mx6gSYeoVVBwab/IUL3Uxwtcce8/0S2/8yZtI2nSDIE/7E40x
D1NTu6RR8f4p6ly11HJqvlSxbliFoXA53HlYjJ3IIiSGRBkrA33HqYM+FHpFpN0EehTjwfxjuK8f
IPPDcU9btmlQPjAD3aImlKoudzNIih59gxV2E22ZpK+skluV3nK4Bto1NFSJQMLC8oAtaW6kJW0/
U1H0k5zsQRQsKbTyV6QIdb+AwIUxci6vrdSMDiVCtNkS8HVdqUP1o5AveGpSFaHBkW3Jap9pVznU
DJ55pe8Ng4TIMTLUaLQF66tImDBKiFK5LRtwJGF+9VH3liMkRU+0eEFb5nlH+/p7AQxdp9AlR5Pd
FSeCbjRjm8sA64TkLhTwHNH/tYoj1NGg86Qgm4vuF9DnXpoEkZdENQcCCOMtqL4X1TFTa84pvnYb
wNCR6ERhFCDszO9kjlWiLvg+xSI56hi7kBHxjAVEew+pdBrJnuOC6W++vIUv8RinEY9TP08t8CBG
eKi8YB9iWJM2IyOcd3iD4PTM3AJjfEbdjnUYNABLMGag7CgND0ixuTQ81+7ick2MuyinSusbuqa0
0++DpnbBIhuBDIEnIrVpclA/wxEGmzLY1C7tYegTIUWjOTLhYfwySOK7EEjPt7/PNgSKmdCOAlfS
+TivajDKiPiVzCjIBe17ZFR2mb7+fwCMTYN9PSKLDoBeIg7JS6sq3m4jbH4N8GfDrPHewHZd7pIQ
y5UIpXh4uS62l8BrGog9J5VzG+Vqo9BXi7IAQdkZPdEi29AAMbYum2ItsRMt9dMpsSNVc29DXC2E
gWAWEpvd/yBm8S6M/1Cq90D5cRuCHoCLA0Ih4C5V0JqdZfou98oAt3m3zGZiz2Zr62JsdfpjNRGn
SN/HjtOBsbkcE3uFViFQk7Lxd593qRiGEsbBhsXqzNgRUdP5D2lftiO3jmz7RQI0D6+acqwxq8p2
vQhl712a54nS19/F9DnbmZRu0vZpdAMNGKhIisFgMGLFWlNVcNLvRcpFl3Rhhm7chQcXmQ5qwQlm
9Jk4wwg9a/XeSkH+IPK4fHmW6IIvLHWD1PVGCUsK8mFZeJsVzZEACiYtp7686msXS2JiZi2oZEY7
LnHSoH1K5fwpingUlLzNYSLl0NWmIlli4rRt7I6WcUAJeEcKzb/tb2srUXGVoaIiQRCZ7SXHgtDX
iYGV5Kgoycl7p3E4LJb1XWz/pQVm+yVFTIlUKokjblow22teFLniZ+Rkbr4J0Zr6jB+tz+SezpvF
jyJYLWKX16dZ+5agRIaOBRIDOtN+7RcieF0tscAi6yZ2pUKyp9J06lbiOPpSlhJLxbFFLwDkXpAc
Z66DJFBMNQ7ixBmd/CM5ksf5Qd2IjuLnIBgK982220Okp8+c4KSCnc0EwPOBt9Zlfsf8CCZtHcH1
NUdRggiyTx5BkrOxHP0BalV26urPt51n2TO4tnUuNl0cuCgY5jgVsODiKGw1t/XGj3If/mthrGE8
Cu+z1zkFV51ybTcxSKEgzQPhJ5Kx692smyjFrE2HsKV/7YqvKtGdKVZcztJoLGcD8aUVxm0nIdbQ
s4cVkHdsDL+8CzdgKNnQObi/SF0xcAkRSnBESwAtWWxzO+61eDLKOnV6tfXw0hBNwlvPSmy8MsH4
5liZAmiwm9SZNp1bvKhO+S4n9hyBJZSuic7ZYdD0wGWHorvBfMcru4w7Ymhq0sqkBa8j+O789FDf
DeAHTT7oK6DD6D63PUA35oZBtu0dWqFudhIWCoOmtKEY9XRjvJNPCJJA86V67jD8fNtZVjwSfXbK
IS5ioBDd0muPjJU6UrMe/KeCitJ08y/QnHat/bF+BnUSPHCAKoKriCxeUk6NsjSCKXU6+Z986Owm
6tws42XoS9jZ2QzCF15ReMOf33QXZ1omgSKMMxZTfmI8MqejoBvBGRzw9vY+4La7s7Yt56299gWx
LBmnGVMFULa4/oIYpxksQcszxyLjF63qDl0ofsSKyonQywcpFofHG1CgSBQBmGQu7laREyB65dSx
TqOnevNWRTX65wkoHJ4rrl19wLaCLR3VTdBEsX7RKX0lSp2eOiKQtfk9hZxSelzjyTiEe/WFOMJm
voNeza7cGo98ZP3akVfBHXWW8cW8HhPC4mqupQRz684wyZtIeyvkjyoY9lb47233X7UDygF8ViR6
0G243jxTLiVRzmAn70xXDiUnTzIHal/7WQ85G7jmJ5QNHmIKBuhHWRh/X0CYfegFROVY+TrnwbaS
p03Z5rxoybPD+CNk2apM0IPEIV+TF9FLD1F3JrCkbUZxsPMf5DV2ueUS+qHY0HW5OiZGm2YSkwnV
CyfZRS/xdj5AWgxNcBoqS5/PlLYcv8JpgIQ1BgXwAABOmTkNUxpleIxk9KhbktvtxrvSAVXDS4Oy
qFeOTmcPXvAVfANQxkid4p3XZVsL1Zf2ma/c5ohmBoH9KHwLlWNtPd12zLX85GqBzAfN+yaZiQID
auCBIhMlh4O5M94DgdIbOFNpE8Q3r3gKfZXXRV0CG+nHhWIUajgSxqtZCJSuEaUZwwgTAw/qHgMn
TvsqPKu2+YBD/zpyebdWvyUe2SYqzpgzZc21jWVlcpqkkC6INxrIzfqYN6C0eigsiPHif+eB6utz
rpEYQJgGzV+h+kbMb7L82Bic6uTqKi5MMC9sJdGGOB1housFd45VhxBevWstWtEV/O8qmGiV6GNT
DFCuQM7a7CQX/TtK0KyiEWAre2FvHlBJdhqfh5Sgvrw42xdm6covrtVQErS4CPTEyeJnq3UjU7an
4CFN39OM2zlctwWKZjqLT6kvrm0pYDSeegVFBLUCaRIyIMSudK+BCCZ2OvBlQqXhTS3QgOXxVNA/
zC4STwKUSM93OUtwrCNvwAypSd8eFHwCrsKdsAEog4M6OWumLOyokOyB3o2sA690vcCkQklE0kuQ
QLmgYTrI+2Sj2PpGfUK+Qnzi1s/WId0LXrAtPoJTRxXpYnAtA5LigJvtNyBta6dd0VAAVCxAwpbo
KbnJgf5SNODm8PSbMM8CqsH43/pH7yYd5M0FlwvTWDkqVxaZ2NZglESLIx2spO1bpB/6gfNwXznt
V3+fcaI5nroo0bAis30DzNEegfZtBh7kdsVjUKun5BT4bMsOSJSiYTVHM6y89pgAplR6QWIPIOKw
AkfEuOP9gBeK4qD/rLpa55a8rsF57IfxpZ+Ke1CQQAajMwdzahu5DzsxdorMOb/0NmiAyy+2XOD+
o3K6sl0+xG6VcBsWy4FPzAaDLkZBJgrqAWSm124cAdtZlKIROyqeKfWe8t8TKDi0TnESHPOY3zUH
4zUDUDd3c8GJ7qAbmZ8UThVwJR6iVYik21IRvpG/Xf+IWWvKcMyF2AGqbCtklQeFRU9qIVEW/+Bc
x2suhecRVSnDyRVFxqWUcAhBk4P1Gg+4jaGK3DqUxnC+l3eyZVM6WKL+BmHj2km5MMtWKSpdViFQ
Y8bOJPZ2Xd1VDefW4qyLrS9J+qiSUISB2jwpwBbUjwnYgG5/vPVt+u/bsc8yMw8zPUthI1PBNJtM
DhG/JdFLB6nn24Z4i2GcEs9YPY0VGILGrpNIQCS1llsD4HzbjMzbFebcFc2cSl0LO4Zki895jqFc
bRu9NI8gMtkVD1SCQtkob6NsZ9+tu9HVQJsm3fF1KHjrpf9+cTHPVS0pjYzfkRitPYiBPQaTrc28
OMNbLpNrD1UkzEEPM52m232IDFt65nxRGb+UjWSXfs6k08i0TXWiO6c8WMfO78HjpDsa3rrgjvaL
raDZ+QvZFBBNus8xMN9u1afklcfutb5OOqCrgocOAk3Xn7NSUCiZE1xLYqHY8Fd0Yznr5FlgHFTI
SJCLMy6mvPyeSo9N9Xr7O64VCagu0n9LYDxTnwpJijMsQX+ybNUxOhuIT5SOiDffFU9/jAuml8CF
Ncb/TEWr6pp+MFJ9K+LJaZrQvb2gdQ//tR7G9eS5GxrcQ7EzJEcliN3SApHlyJs3Wd0WA9tLG9dU
uPx645WqIYrUqDjPs2SHvWiD/di/vZDVGHhhgrk/TIuU2giaMkcakBNAbLvrfwjdt1DkDYmtu8Av
S+z86lBr5igbsKRuwm31MB9QQnyt8BLX/emgT5wNWo+FF+aYOzg09Wxo0DsAMWO1E/f5s+pRhkHB
07xxU4NjI3Ya9OTzRySxkV37FbTH+JFw5dkA2P9/O8iiNfLBSoIhhp8QpGBKcMSMqFOUn6GROV3L
45JddcoLY8wpHqUJ5QcLS+67Y5vdZ5Dr6r7cdpe13PJyPcw5ntq20kSweCCpCre0CqyB263h9iNW
M0gT/IJQQ6Tim+cqxMUNUqBWFPfd2VkU/65wIYua2+GG7Gn2WOzjB/2Z8hPwSutnToBFvL+wy8T7
zpJyrQoQOVqvOypu8dAcRU98LTepIz0lz8GDCO4cSAA99qffKFatH8Zfq2bOO+mmrgOQCBfaD4oc
6TfCfXHQ3qdvzZm7tdrkJeeY0L94a73M8Z86tbEEeii1KD2UpXhsrXqrdIlbRdBUr2VsNFcpe31z
8ZSGs58hdczR1NVEDJse6XHv9J65yT/MPc1aaUUcr0pQXzhgGkdxjveUXj0fqBtBLMiiOoeM3Shv
prCOcJm3cb4Z294OB9WTCtm5fUZW1wdlakwsY7CTNjGuw/bUFkQpKpqXfB33E6D14n7yMJJ4ELzp
EaBc8hY6wx1oy+zbhtfc59Iu47x9BVXPQcBbYDBNr0zQlJlrhxQjACKfty2tfclLS4yjKn2azynN
vFoNKgbtC+bCnNziaFatGkG5Bd/QAr0MO90DVjUF6ulgVTOyY5tgOPZI5q+317F6KaGCBAtofKI3
w2wV4PTZbNKXKu1sbcZN+G5RNqIML9TfYgJai58WQDuYMVcxaS4yWzRDpFQaNKyJQG6lOcbP/f34
PKOuI3homzjaJx3Slt2psKs7Xi18LZu4tM1sWlt0szZQlrqpPMzzd33+wfmYdPqVDSaXBphgEoxq
NQQRgsm073bKVt+lO9Omg2a8/G61NHRhiX1+glm7auqChq2HAWF6xmAbtUWJzWgpivfQWPfE/3aN
fYxCKl0cEgFfTi0ju5n+rVRAujACdvv7rVqB1riFIRkQjrEJUiYJQYD55diJJg2j9A+a3GPQ8m8O
lYonjQkcLsBjzB4NVSsA1UUTkgZM/eG7Hg+2lcacpayfq19mWKA2iJazqkQxDa9dwZEt0wnqGhd3
N76WtW7Pxfw8T0lkG8n0FOman0IE2dZ1wglTqx5/8SuYgK+1nZE0En5F1ZZHTUh2wKByqm08E/J1
rI/kYrQCWqRM0ldDecjq59tOwfv7TE4XQ9Hq50OjTWI7FE9Vwin8rnqdBiSxalCmG7ZNLFe9DrYw
XPStPh+Bi930kXwSAsH7i3VoKJyD/A1avDqzFYVARiWmiWNo9R9BLL5lvfl028Tq9XdhgtkKpZUK
gM5xfsLqMydgB0zexBQHNZw4n2w9/FxYYjalT7omTEcsJiiUtzSYvE6Y96GK6nwfgaQzKkHFMxyg
IPts4XqxYyW5z5vAaaKw43zW9d379Vmp+1zkyWU9Sf2EL+tU+ic+gKNnQLsLPFUmnhX67xdWgrbX
BciXILGQUcfJalubPsYpdW/vH737FtfHxVdl7mI8RGs9EWFFmyJ7DFE6BppGz+4S9TiA0OYvjJnA
tJrQOQYrD/PhRrmuNaMMEGx1JNea6kp48TbyS5LJD13Fy8xWP+CFNeYD5rpSSXMHa1l6FEtkNLpq
G8X320taziGi7AEV0f/WxHzA2Sq7GXLI9MlL9Sbyzbypd92Gz/PJWw6TxYBNpCNEw3LkKgS6ytDH
InAMcFjGdlBM8bDjLGzVMyBeipegBbIxtqmeSuC9mgGKc8y76Y0SGxW+uaM0bjO44/D+BHxM8KkI
w227K8tURdCbUYCLJKGedO32+Wikg1EgnxZnnSKt38weUlOiInJ8ce22BJYFwRX0f7IO3Pu1oXZW
ABnVEU/GPRQvkc5UBwpRQK0Y8wI8qoi1FsmVNSYFkKTK6uIIVxaVf1FBodrod9Amib3qFBKvTG3A
KoGo8Xofatd2ZjjQZilSOyCxDdpt6+X2R14JpqASl6joJgDaAE4wwbQqzGCq1ajAk7uuoXVPoVGq
nR+Fp2hLtT55EKIVNNa1QeboTyO+QCbDIKY/nrv+MP6b3lmO9V6C7+2Yu2PrDLoDCTre8NPSnShn
OsBmQPSgjczWNKD822dpA3a4ihyG+S0PQSwUnm5/Tfrbr2OoJGFOAwgp+vhcMlsgSPeJGeaOOIn2
KN4LRc5x1hULqgpYoy7itYTLnDn7YT9I6dRqtQNFK90bgj7wzRq0hrfXsfKt4A1AXuA0WKAYo/9+
eeMEwih2lV47Yo3qXVtAy6J/Gi2QA9y2sxIzAQ/FCxNrQUq8IGfTUwLFRkmB40XmLs3GfSKjrEQm
X0tAHm7U/4ziuA8x/lDFISdfoaea2asr00xKNGilEaMRD/08YfKE8d5qPyuMt0LP2A6C18LiUVqt
lEQB0UDqpUAjBBfFYuu6ALjxyKxx8KWvwWe/qUunAHT0rXZeAhRcMJcsOfU/k2tAgzZ1R8nBNpd+
eLL+uf3V13zo8ocw8S5t+7jOQ/wQS/9eW5Y9kI6zryuFvOu1MkGuTOuaUtRjrfsYlAYnc0/VgpqH
7/kd0rbTsHcSKAk42kfylN3FX26vb5mJUuMWJttMzaDkmNfe2w1D3KcWvDcYexBUglYhax3BeCyT
l9uG1mIZWsyKDlZDQwUPr3xtKZlINWuWgHOyt77qH9NdDDpISuE6HvuX4U7f/o1WHzhcEWHOMQyT
gToTAea4BSc9KRsE7MkzgAU2d+Em2FGrlNkUdUNn5PPGLiMC3igykjUTfGUAfzKnZcqqoZOmIcOT
Hz4LvTKoQgPc7RvoIoGgvgh/g/xg5WKmRoH3QYKIWrTBfN4Q3GxFWYhQaIaSebcLp7vMB1EJ1K8b
9ZDseXWN5bmAOV3BKgFeoCo717uZzZpBn82QfBMqewZZ9RR/u+0wq1/xwgKT0lTqDHAEwVdE8PVJ
dJCFchsLvH73kqcCyj0U+qEBuo2Mjf1uJBCsUjVjC9Qixc7QAL9ARfnL0NjFG3SG931hJ3cC71XG
fj1gIGAWBw/3BvBL7Kj2NI+9MadQKs8/2w8h9/unzDcfq8aWJjv+pr3N701tc0fS2dyUWkWTAmhE
ihAEh9/1nqXA9RlWi6mytO8fSGMC6GLJDhmLUybND1I3bf5sB4H8t0SILwHjgnOPIs61vR48fQqZ
49zO9NYvDOMdE3SPahNub5tZbCFw8YgpAHZDggkzkibj+nlggXYzIOD1/dp/jh9UQ8AE8VH2ZfSN
ffw1hQb7bYvL7YM1QAjR50RnAH7DLKwctAnDLxmI2crZFofpvSH97rYN1v3ponCS6W5JUOZiaXjA
K6ckVQYbKgZZx+hU9Wio81udS5+4NsPEqqRSGtLMMNPuOzd5HGS7vo++jvfAqgOjnky2eSruA9PG
aIPGgR7xVshsW5MJnRxS03E76P+MfRjuLCmDGGeOwgvnfbS+Y7++JnPNTbI2yJEKW51yNOovkv7l
/7Zb1P5FEmiOU1sHMf7+DEiCslOiuzT7w/Id6xBMxK2DSorGGiYMqh4fybYx/5Vb//pIzHnVBtTV
lIZaMNDcEvT+oW5jjlvz/I3++8WHqrOyJy3dCKH4NiTyUSGF3audI+bAxER/2kZjvxkT8Vr00RKg
RXBQzdRXq6MGltKw4TLM0D9zmR6zZph4gEb2LIrCBEqZo7wXPVCiArKf2sSOIZs7AHAruuZ3PNPM
7yHESm97Hsez2f5CUIpQ8hpgW61mL01NOwLy5rYJzvLYnsJQ1uaghfiKOglgJwy/lBFIAubhSzN0
G6KEmj0VDedELdD7zEc9JzwXnlJh/i6fVSxsBDAzbm1oWANVa4UgwJ6dDAwqKKYk+9D9P/rMuQhw
YbcL8qaMJqxW7No7qUrt1MrdtOS8qFaDH/QFAIUEG4fFZgAD6Q0hM2BFkiC2Pg4u0QobJA+3d27d
ioWXKRC21kIURgnk0ihbCrWMngZyLNPECVRebGWfEOeN0n4ZYWJrUM9Rj3ErMPcPSXdPpmbTJeUW
0/rtTmql/e0VrfoiWFkkjFRBRFJlTvSoZ3IbEqxIQk0CitiDLfbo3MmNrcaFJ1rxXZPy8pjFUO15
hRdGmfNdN1aZNQM1aiXWLuo7sXJIZ2aeVlWaLc1AlY6FrHuVLoY78EUIGNIT450pkmF7e/nnxv8i
1Pz6Kex8YzGMpSr0+CniBlPM1W4+Wj7AQigB+eOrADWT6iN8SUy8FymgNnajcSf8Id6V+Rrs8yaE
2gAqkNhv6MQc4mRT5aqDOg8n6Kyf/4uVMunBRNLJrBqstHPD5/HT+gHoha0cSke7N0/JPSKA8can
/Vk7MSCrQdEIhB4iMOnX9xN4JEwjyZBLpml1GGJQX7WpvjVJxYNerBoCwgNPbtDwgBf02lAt9gnU
GRDekr7wzCB3QLa1yRpee3PtcKLn8p8Z5r41JLQrdQXrEaEzpySRN2ShXQevGbpOt11z7SK6tMSc
TLyhpL6HDjFYrvT3SZAfJTP7i3B2aYI5h8poBhr6SMgYqwak0pLiV82g2W2RebfXssDFUB+/sMQK
IRSAGJKghKXOjQY7e4Q1D4Nk0iF3LG/6aml++Zh4lps2tvx82zbnO7KIfEPKjHFI6b1nGV9i0D5E
JHn9UxO4D0xLxqwy5EkWD7MynxXUKDIAmKJKfIY00lPbmdG320ZWDjCsWKjhmTI428FhfO3hpRVI
oaLDSuP6YO0Ugm8qCCfBqEmgYJFM8jMRTpoTeQIeNpzgsfyG16YZXxy6uC/rgC7QGmZPHOrKQ4nW
8DkrpI+j62AMtI9pgrzQVGSEC8ZMJ+ul3Asaeg5Hcw+IkQRKo4GSkg5OhqGk/6M1xvt19KRH/J4I
bHnmvpEQ8SH5uZE8jYCsidt6oOF1sTagzzBCJuoqaLyudw+M+7VRW7AG3RqXHGdwhWF1Z/2j0IW+
ovs3q7uwxzxEtaAIzciAPaoBTM4awNRPhmeZS+22jIkYdqH6NLqKE4Di/fXSUj030b8FJVRsCAEm
9kvLVqS62nb4z6bok4pX7mHRRmCIwrga0jwZOkegRKPuepFSxmYvzlYNg2B7fSoJQJJlJ7mVER1L
AcqfwH7gLg28QYq3eNhx3o0rsQxifSjtqCrmR5BuMn5TRcM8EwK8dLRr060x3wMFAI34DbGhYf6j
flHLhwowK4+iRXnzADzjrMSqYNQkkDoYbz0xAqW89iwFD3Vw0pC1UP6vHPMQ9VDbUXQ3ZBgCUvkI
rOVNS9eP+h4wI/gMrFhuA2z6GIUEeHHIt5vkNcfgvwGOEvKWtwCyFfeQRsIwJOcKOU8hMgfoyiyT
vzSzbMyDNf40i9zbEu1BJR9nCJgDer9c/YJZnhw61+UOTaP73E8f57dC2sax+8pnqVg0L+GE+D3Q
KIffo0rGEhqWoxqY+jBENsBULh0zg9jXibJxiD4S5y+8Kc1FQZqxx2LE5ilFY6OHvc6tdsU/FeZB
0cd1K7zkfqPPz1sei9pR1baQEwnm9DvtK4ZqKdnCYJdfzR/yUd3GPpdph15fy/3973su8PJNLxpN
CIPw7M/uGG+NbbzPQY0dbPE+vU+29Sk/FQ73RK1cOpf7yNJKmNYsZUCnRRAQz5/plO2P2anuh82f
YwnZHWTC1iDMo6nWsFRGpHCEInkMQukuazBRdDv403ty8SnBPwXZJCj7GWwNA7TDXZSXOKEz3gN+
EKQvYOX/IeQIWEHRuF3aQIQyM/+4/ogDcWGVuXF6WS6LBCIO9kgSlNMsGfpG9gTFByccUh5iSFnd
tgtrTDhooz7VhhxrREfTn2cfNKaSlviqBxpTHMLsQ/FAhLWVfUI+yh3I859FMLeqsm1ux2P8DbW4
Xe3HFQ4Pr5Wz8rylHwL5IHo54HxhYQ2ZVUxNDjlcXL0N5JSHbe1CAsHJ/cLhoYu4thifAllKPBRR
H9lpsqPIn8gHtt7ciH7p8vET5zbx0rF+rYy56ccZ7ImlgZXVXlo7avpF6h2l/NZWjxZYTxUnvbdq
hArdhiS3T8e8OhuE10Avom9XRt6Esd+0GpzJ7SANyk15VlIsIB/wxUUFjTS0Epi0wMpAfy3V1CVG
ryduDl+ovOBBcsDIBzldzo20kvZcmWPyADONpjozGurvzVcySJ4FjoBW+dAy3rTqejD+tTKWrMgo
xtYaU5hSNzle6m7lky0lLyezUz7Sneat7cwiudjpC4vMYVaari/VCRY7F2PcwgMBrNv8YeZfQrxI
Z+PZMCIAD9F5zfGSo0wIk1/dZ9tBvhPQ49jqUB6JXZTjphMZvlczSAPtQbcNSJGBqQFvWeJqn/FX
oUXL7nF4UlXcKfypiPVs6WIVTJBAG6vtowSroCqnzSg+q2/01wLXdOzUb0a2zXXVH6Qd8H/g7Pq7
w3lhnqnkJX3QTTLorLBt2WPuBbveBz02HWLiAtYWcIDz5UJfhpTQCrVJxtY0AuIfE9hqkJVVmEmM
FNTwvHxDU7Mq/yIpT2liZ9K24/LDrqcmF7aZINRqczFYzfngSb4unP7XPVu87pU9/8Gx0qFEhL0w
yMSheNajLJ9hkKaggvpGifkMlLHD1lU+u2dFt/ksuAtlLPYL03hw8eoo8OCF0NL5C3dHojr5pNhZ
K3jmB3AQ0BIo7Oy5yna68FrKZNM+8BMI7iYzJYDGSqYW/RbISG7Gtwx6CUl/aFu7wHSjBQqeRseo
qHaMpt/Jd1fzMyqLR4kfIYnDfPNSzHo9MDEFMfjlfQF3hm6w5RjbYAeUpF8UbumOrvCpcp+X66f4
wjLz4ee8JwpyCbrbg4sC5kj3IDuKOhZOcLmKvlgNtjyf6OQOvyP0/3HvXytnvrpY111RCLCf7HqI
fNDQq9vaZ3IeOOGVWhawtJ9u9ssac4uBXbM0wqj6Get7iPj2fnEvQwWaWwChO7aI8ZYiAzIhQ6mE
LZkKIZWnKGGJ+MHmfWreaD1JdzGHNNP//kTX8m7ptVsT5sA2gyYNxj+YWNF0UCQ30OKwezOqv5hE
aty5Jtq+t2rVM+c24dzSqxmSgsFKgHlBILWgBdH0RFWCII5sJXupCBSO8pdSgvT80J/CEjOWo/Go
F52jKm+awSPrXTszl7aZxc6jlIHiHLaz5DibkjcKD1J5TMSnabY4OT/NNq42E+NyCoX3QbdSAQKU
cRs5rcZ0KrTPn9ra3Xb0gaHdcjnGFivCxBwmRTQ8fOE2JuszAanbWhpQYNCHxteL+qGUzZOYyXtA
ZDC7VmzVWP5WTOp93L+EuQjixl0tgl0xfNTV3FZHww2AiSiKkwQWOCvxuiawtfwYpc+ZsZWROZYS
xvCs93wUwWwdgQNkE4gSMg7NoQq3gwD1uUgFcuMUG2QjRoJnKQ9dC761VnH06NEElJfkpptDrt2a
njJZs2+/rZbRAKhRoNFQ54IHqwDjXF8DYdqAoMzs6/PDA8S7/pQckOh6igNemdQhBs+B6c19vbNX
BtmHv2AOgRkbMEggIAVkIT2lGDD1UIn9zVHFxdvqeons239oU6FK6RLhTADcAT1ZeUAwmOgQ8ylG
FwGBMcbkaEFeym2dwqMgn+50OUQahLcpGo5ZJ7qcreN9SSZHGhuzCoiGdXVQJE0Ut9M8mjmoro6K
JTChllNteHWrZe7OrI+JAUUGGEtlnY2OGAWGFH3tGZAMpaIA6UkCZQ8nEix7mrCIdoQGnC2mFyAI
dO2hlaxUaa4NIL7djzMmrScnf4Z6t6MnHvwTaRIVoiQFnqTIejFqPbj1l9tf+gw+ZX328icwh6Qm
QyTqAX7C6AgPYwk4o0M1YFsQWdr0hrEAIVEdwWtdbYKy3bSVUF/6DaXqxRV3/SnYswPkN3Ds0Qjm
q/Ek4wJItFfZUj9vr3Z1iy9Wy54Xtc1qMgnn1RI3FjRUIeYtXWY+Wz6V58Aox45jcxGIZfC64n4G
SS7ISFEFv97kVlQBmJvSDo3r8bM/KI/jfvTIscVO53dYMKCk0fPvdHSpv15tLVq5ioSyN3xMQumT
8edJm0otJDAMqJETlIKdjDwMzjLGAiiJG8YSwb4IQwbjwcJUDya0xz5Hp8n86rHdFJ2NtyRILRDy
KodXsVl4CfQd0b8A4epPERcmBA1RkpskNT8HLbb1wLI18p4UBudYLvt3CgVYAFMM5VEgVSzmw41W
NBBipKGN1NWp0133ApaJU/xabfGWxtw5qtfTy/AK1T9OYW6xYzCMrcJEBdQHMSfGLA8MTLkUWzDc
YFBVfci6V44v0j9w5RIqOOcwogWyTKj7GCyCoU6bkPJXwADiqpnZyrZDjow4g37vxtr9+bv6/AjR
gAXH+IYJju9r36+mXhUnHfYSlGw1QBhAswoq2eo3elvLdJyxxXy8GByaggaRK9yFzU6DkKqykRCq
fuNRu/BCxhJzO0XtJCYoa0KKEk8rq9v24FihyPruXpTtYdPc9Q981tplpGasMl45KAWAkBbWR3zJ
V9FPRrKKXbRiqCjuaE8JqpReFz4kXvBDcbJtl9oYi+NjgJdvevpDcOxBRYxZbMS1601F6m4kXfA/
y6dSilaOQT8Uap5p/Cy9+WvCGzVavg1gU5F0lGmRyAHzzMQZBO1At4qBbm5+X+9LwAs727TrF3nL
YzVfvt2pLVkBOyJuZ0roeb2+MhIbMkVjaOtPI+Vm9GIv8gFn3OP5SikJHwRuAWqRWuEoYuYakyig
nJDQDLg2KZIE76k2iJHcCCA3H8DOm/sRrxS/CC9QLQOyGu9W+sBayPYoap9oCQGUGm0NW8fVo3DH
W6nrXwUYg0YvnHb0HSENpDLpREuGVCzSCNhBvP7fEDbd6pQDGgA+UNQd/N8o3S0O47VFtl2vt9bU
mAUsWiewdexkT3H7uxx59+DBZAMCIv5s7dJFGKNMXOtnDcRVIDm2ww8T0UZGdlo80Ir+/xitnN/o
f/FWygS42RjlToAKhJ2+jR7l8K18CSLA1ChmqBpHtDOHd8GfyVVubKjGxLo2lea4McPUbkroGDS7
8IB60hZVTTfZzb5b3ms+Zc0Z594JnoJNvB3vJFCIFjtQI91rWy3Hp8D/13zFrfCFDFSggiCHvjbE
+dzqLguEDVUUppwggvgOnTSUeOfXV/lYAdX7s0zEvZVWzsGlk7KnbdKjQMpGfMhkp6Pea/npnqBF
O3gzeiA2xFoc3pQydfvFV4SGAcq9JggCWURQ0ip6Hen4ipRXrd90uJuEDX82aRkmqV9e2GHCpJjo
5pwrsDM6hj0fMzdxm215jLbVhjfEsBhRlhlbzFE3JsBHwhq2ouMMojFpO8zo7x2qbX3UfXEb+r0D
gFMOjijD7XyCkd1mM0JoQ/f+NKm5/iFsBBDUacKMJn6IZiOx3uHdBpoq1Zb2ildteNoviwFNZtls
CiVZAWbcSlijNU4JiswJysmBO97NyKWCrQkWXR1dRGoboAy0K+htMTqxtolPvBId3c4rtwJHDHQo
AayBKBNNHK+vDczplD3U/kq70xvDMWq58BWxFDzFzP7NTDF4Dsta8Mpo5o2pLk4QDCOVxBgQOPQt
y2KvSFWZG7ODaNocgAZJKMqXPtB42i08I8zqRjKGoUaNoJgWbiczK51KSniErIvn2XkpmMqkKb+O
s3P9DfO6sgQVfMQ2qA8L3c67nnyfrRaqSUkpVN/zoIpO3ZiCGee2266v7pdd5goR1KyNu6gsbdUU
1a0qieA8FIn67baVNQ8BsuC/1bF3xlii00RgJe4GwZMVVXQGMv3At/gejlLgTKDpJl3m3ra6ujYM
pYHYWgcxuMa4hzHhUi5j3BiDBcXXNgt0W6iEdnPbyuraLqww/qG2KO+p1IoBJaa2/rfJLVcuIa+T
fA5RDmY8jr3F/Us9BbykYAjAcD2eUNeeopWNOLYRXRWwo2UX+EaZQmst5DwClw8Z2NEkEccKoDVQ
TTAeiWNs9dLUlnaoDVnqGUOGycUq15KPKjIiSMHnCaZdtaKTUxtP2Oxjzsropc1aveO9hKmp6wBD
ZybxcKOzGthMxn3CWekGFNsrG89JS3GnKiP5prCCfNwPUjhHvpmper+vu9isPHAKzeWjZtQTZlWU
INR4Fd3lBoA2QQO9roXIA/JYNheRZzUpQFqFBvWI6rJUPUJeQHV0KPDe9qxVQ8CKKZTNBDk5Y8gs
iZZlk4C4CkxKp0avU6rXdmE0HHzkih3aYKFaNUj/IdV27VFZMhIygD3Bbmdk5XLbF19ajHQeMVfV
/4UpC6pTOhQPDW3BdzgEStbFGd3JpjJ/SBXpbV3tyteqm3iNnJVVoa+BohM6gVAIZfuPxlgo5lSq
qV1l+b9FNJfuMDWDEwoqrzG2jDOY4USDCo0OUcETiomh9SyMKZGt1B6KvHqoRWV86tPJ4o2BLRcE
zUEJA/wqMN2UgvB6m2oitrg3htxGV7nZi5We57ZWNJiABbTwTwli8QqEFhQSRXQuNCoQwBhLZqE3
hTa3Ibs5OWIDmpdZGE5hkCTbP/VyCNBTRnrabAPVCROlRS2fSZ1EuU1IgIbNHB+MWcCDqU149wH9
S9dhBJaodB0lB0KxkPmA8VjEwaRSSwZilJLXr1EmP3f6eOqjagTYBFi022vjWDzH2AsIQBXIYxxW
mMCOy3/mGS/eInSCZhtqm0LmZRBr7oFFoc9G1USRkV3vWKBrUaENZQ5vyA4mhvffS3O0DlD54Ylj
Lv3dRJWVJir/j7Tzao4bWbLwL0IEvHkF0I6iEUWKMi8ImRG89/j1+4ETu5eNRjQutTEzMQ+Kmewq
ZGVlZZ48ByyrRb/y3FKH8VQSsJSYuf8zFX0kmchXPl3fu7X1MORtUuCB14UU79xKqym9MeZRaltS
tM+Ho1GGrsC82XUra1/orZXF7Z1qaUag4AsNHpTOdfISh/qXEZRS7UkfjNL8ed3cRYWFY2WCOYNU
VgMUsdSGMYo8k8OBY9WbtfTNj8DXoLJoPsl5F/z0RCDYf2GP6QhKrfx1UcptxjIKw+41ZvhMxCqV
oot2U6Do7kapnn4Cz6QEznWbFx9uLsPjHsSo1zGexZaaXh+FvSyn9hSaD54nMLBXnAJJ+vz/M7Pw
wixuM5gHMNNoqoOMz02m9Ds/kA/XzVw4yPlqlpNIYqLmWu5JqW3GtXVXVeFNFPXZr7Az4rsyHdXv
saVVW5RzFycMcXMRTVg4k5goubi78r4xOM9KaldZ8kTn5l4SzK36w8pnwgYZFUUIQADL7GKS+lCM
RPZPrbTd0P6J/NKJ/HB/ffvWrfB2gBYFFtsl+B86pEKVE7ZvMH56OdiysPgQpJl73crafkFLKYPv
papIu2QRK/K46Rgnwxf6UdtnleedrNzrvv6NFXYL2jUuRU0+t+IVlpl4LVYKkxHzdPiV++NG1r26
EG0m8H/NJ5YKibHQCLGeW5iYSgRpAq12dLX7cn0da9/klXSFiID2zZLawqjkakBjgRezKMaaK5ea
OtneGFZgN0n4p414sLYmkkrDIuEDALG8LgrI7Lo2jTObLC17bLtIvy8gQdiwsnJOSV3py7F34HmX
aURWIAxsCrAYyHlcvAD28Nwm02F0SdvoWQn1NrXTsTQ//8VWKvOzWCX547V07hJ11RRN5KEnMvnW
p5gp+a4zbxpYk6+bWV3cf8ws84ih9BUlL4OMwcv2U90OpzxW7cFH7tQqdnE7bRynVQchk0VFBF4q
Gqvnq0rEXM+FkVVVIHohz8/94JQ0g9Xb2Ti+Oysj1nHH/5+xee1vciRKSpWvMoBr50pNaUA45C01
tKg4FeZwsvyN+fXVnYTRBUJ5tKit5RnW5FCIq5YD1quTBEuz4IXfGAOOJVhPusK0rTrXA2fiRbbF
H7e6qTQ8XrsS3OmLa7Eex9YbArQJ0rH4Ry7CDnWHFNIxMdzKzy6SjHlHYd6aoXooWy3LvE0ohlCW
UhDUJUv4ksZF8hyC+qjhBaia72pnSPpfRHlmFGduIxNCwVfFuDffkLkGSRwlHCYyo8rRSjP+0NUJ
7HiaVf6Nb1oUsPkEQBmseZvfmCrTOmDOroCtJJf9vRL2xa7kbezqSRL9xarI0kwZOi+ur2VGLY6C
NpRFltkjFFFyMHyuk+we4PLj9cN9WWnheyH/OfMkqtAZKYsTIAV5Soua0NWaVvWtEzvVlZnxdztx
qHZehWL6kEn1KRC4P61x+BzFYb9xLNZi9NufsHDOTI0Mw7P4Cbrq3YaD0NiRh7L39YWuG+HlBdEX
sXr5Tm5lJa4oDFOozpvggclX9VMVVfJGSF7zfo0s4H+tLG7pyAt9oWK0CGYP3Ulp7Bi9sJfS+J9Y
3bC0dqLfWlLOXbGS68gSZkt+J7V2Y+YPVDkZHkn8DSb2taClSYrEeaZyckGj1/RSVEkCjhhP1VMz
CLodxGLqlFXm7cq++qWVrfd0/Vtd9nBwSiIkZRq+Fu3a5TkLqazoZkGgrFLg8W0JTMNS/ZtG8d06
i/apIIQ2DukV2bA31QFIlujrx+u/Ym2H6bIzODrTtZFDnO/wYJVlHoVVao+j/9gk8WmUh6d43Jxe
4X9zVhh4Xet/zCy9vw3joJowY1Ze74Y6r0x90N6p6CjPRgBNz1hYCh7L96wfDykV0oZaQFEOxz6X
JrfVaYnEph5ujRzPPr5cELcb6iXMxc/Ei+f7Jvv1EKcB7wc/LSXNVms13wtCx/0t1bKtlsa0q41K
sNNUqLPjKExi9nWIcti61bzZd12dbtVw174kL0LyCS5dssDFLzLCrux8XeNRmLeSAwlVvG9LZM69
oU3+wml46gJze4VnLSUlPaXvdUUAPZwUoey0PHP/iVTJOgaF917pwfmbouw9a7vJIM+WJbm69tI4
bofU9hQqi4F1lOBjySL5L+48Y6bWgytC4YmzOAbKNEh5ofCKl8JOOtat9cJVkBwMJd+glrnEnM0L
QuVE5RE1C6nOIfzN7Uo/2ozzUaToYlUQS0qeWO3GoLCYWi4F8c7XJoN5eUv7GAxir9l6GTaARC1P
3gXCGP2eB+CFG8No1Jc6TMoPFeNMD+D3wy3Oo7WrhPMqocVCyk8yd/47G3hMFSEe2fj2h97fjbwu
rkeeLQOLjSimLItznS+rBgPzoWG494P63Z0EWivz0K0JIpM+wrJxWiW61SWSTtwZv48B8p9/Uu/b
9XVcQiMXNhYvlGZSgBCO2JCtaHpoK7V8GZPM2HdpBqA57cQPoRqMe7HSoi8TBbe7SbwbZII9n/6w
8VtWggBIJkbORLA5l2S38ihmteST6vcEo8+imBRHXWkQd5NS88BAAv1p3UMEpGJ6MNN6aveDPvpO
ViY6/Liq7nR55+24L0j8+sbaXf95a7+OAf35oCEDT6g696mwtEpd6khiFatTnD6VlFOflPKuajrv
/ZklhTYgUHCXUCxbTvzCtSj6mWzC4FyEL37oSXamxi9WUW9NB624MQAy7gBVQ0JIWYLIDDOKspxn
tx0jZ+WaYf4n0Is/1/dtDt2Ly4amBCTRDDgoQGIX+5amAxqKjcVijNAetGEXqMx5zVwaZrexb5eg
P7wZlSfwqbQlMDp/wzfxyRp0oS6yjpepOzrjLnPbz6RF84TmrPZW3Oi1szXCMl/+y+XxjEJMExge
vrswmViNXnpyTWFBF1s76Gf0X9TdKIZ3Gxii7OZ5+qWJqXC9f1ep/QFhImcAt72IcGnhe703gypE
H91QTwzgnGyfK3l44T/ZKp6suT41LTR+yFAgdlt0sDqvShrOK27SfhbUW6mGJCL6fX1BK65IwwD+
fi5Li3LjYh/7orTaVBN4I4bmbSdLO2ppG5648qnwQVmnHIN8y0VntjTDREh63oatJ1mtbWmDHrql
2nS5nZT18H0IWuhOYLEqvvRgB7fujDmULjyFi5Oi91yFRCFsEWqjWIstSDcIIKbV7LQwYYBB96qD
0qaQG9ctpB9DGh3FSjedRBOST9c3eC1lp8yqQZ0FnzhxdrHDqS57XaxU1PWQtyFvn+7LFvwoWadT
pAxSmeM9mNm979HqFTv9i99uJZ4rfsQvMHkUQTnM3bxwWl+IqIZF/IJyhKlSKZoPVe1B5VxPG4nK
2pemlAhGlT4D75NlzOGo5h4CCXY6T5iKWnnUu/gH8plHiletU6bityRGae76Dq+58Fur8696E33G
gPlzw+MD10Hv0LGyhS7fMLG2g1TL5ycXEhcUMs9NyEqX14XSc0rGpoKVR2YMUXyK6o3DuGKGh50O
bzjpHjXTeaVvVmIZXGy5DIjE74sJ3a2ea7j7mhG5NdltTbFKt/KQNYvAtBGz4wVL7XzxxeSiDIVC
B+A0Yw9nXHymRLf9fto1jzPtkR8g8Cg6Xhy8v7JB9KaXjWE6b0vCyjKIJ7PKBoBVVqLB8xOIlE89
te71jRWuLvCNocXpD8ZMMIUKQ74uupFvOnI3OnmS7a774OXwEEWvuWKKb/C+uRjclypL9JFT52K4
iX5nJ/NHtBcHZtKYfxzccu/vM+F43eSK259ZXDgLeDCQhlmU2wLcLE3+y+iTw3ULa1nq/PKYzzIt
bNqV5/4o9J5aThWLmgf0VYbeVAF2rAGVgOYAfHMLCLsWKs/sLU4yJywuag17NTLdHqoWgSue8lP/
PB7VvwjLZ7YWjiHlWeDDtTB7vvCrPfi71PGOqC29+v3GPs7hYXEFWVx+dP9FCE3AiZzvYx1klloZ
XLJ64lanbKZ3gaAI3Nsh3ZupLUTbW7ni92cmF96RJuKY4vmZnY8775DCIJF9mbWaK1t/kPf/Dr3/
Re+S24UVAuXgIGjzb3oTvmLQzVUt+rndVi9l9GvwH1XSsut7uZLWntmY//yNDaFB6Fw1sWGpxMfe
Pwj5PwpyBEL887qhlbvszNDC91XYpITQYwO7wi9thjFrO436HlBduc+94g4qwHsxHL5et7p2qBks
M5n8hoMPoN/58pKpMHiNAcmswlZs0BtREB7ppFEUN872/POXLsn8GlARrjSmZxa5JboneZcDbbXF
evpNnXm0qX/9KWId2GBYuIVQae++Q+kFm1AU69BOoJG58MjGzzJdK1TysKgH759JwU7Lg+KQ9XJ2
ur6Ll86PKeolwJBVJIrNxeIUs+1RRoA6WqVwWFrRo1YGh1xpNiLwlhn5/GOpWh52o8WKwrD52MbT
zQjbsexF7/aJ89Usoscg54oaK5jpvJSiR+d960V1I3PbWsri48hm1KKtzI4pCoCbqnaNwfyi1hvF
1kvvlmQAL7SckQsjTiysCAVu1VkN+WEvgMsr1HstLN+dWWADyDtywCAOLiBytaerQmFgY+pK+C+U
j3KUbhRyL88OJixDpD8EfIF89/y7d14BsnXARDtEByEw76ZAdOoh2k+e7Cp1ucHvexnyELwGV8Lf
VKTEpeJrrvXwvk1pZveRqTuTahylLDrRtxztwMze3w46s7YUfrUyL046A2taJh4rU7wN0vL9Dj0X
JmbdRtoYDAif75/QKEISepiQ+jZ0mGp71vV2w9XWvtEbG0uctAz1SqPGVCFQWzxanWSH2SfB9O5H
lSl2Q9i4lVYcW5n1V2UaCXTIlsWWjvjp1RE9J6+mXT5A7nGiOpFtxOyVQ3pmxTzfN7PMA0Xu5s5W
XrnK1Lhqqjgm+eW7o+eZmcXnUSdLD6oAM2Gg20pD0cGv7Mr7fd3KileTDZlgZnURPb3ls7yDWKCw
JqyAGnfF8GPSGrYujnYPofR1S2sfBwwI4xtU9uZe7vm2oZ0y5CW+YBu9dkvB/AQp94aJFW9DEPA/
JhZZSW82etNnCZUaRZzcPKheJlJzRx6GJylIHtVAizY8btUizUcqN+jAgeQ/X1QsF0kkCqAJmkly
MnWk+pW5IY2rJG0o91kb5tZcD+AxLP3cRRT4FiGvjcMMEjTMQXJyyhDKTdP+t6wlW/W12bfO05K5
oUqMg/aSCqy4sBMXAuWomtBQdA3joQHdjlCM9dBuWNt91QvWDVmbvgsmVTmEKf7ybl+hC0behauQ
NyxRUaEuqkmc8iEL09eccqz8E8wm2u66lcsRUZKTWSVcoahNI3ApXqvzpgL/EVBPaCe5dFtfL1Qo
1VECdqNEm8BmDigP+WI9Oj0lxy8Dmkd3XdDmkxtnVvspUuQhskuG227aNk0fPY9a74ZPrxwbEBa0
+zXKq9SPF5+iHKI+lHUK79SK9l3TPadMlL1/u6m00zxjYoZMbdl9VYY8CBUZ9I1f9l9hRf8RarTR
r2/2SqA5s7GImvQzo6QosVHryYyyjW+TzmMa0DOO+uD3G9ZWDgpAN4MKmIYjUzA6P5dVF+tSVHPv
ZFbQnuKqb3ee1XuPaZv6G2nIygeibkNFkfcWdfBlYbHz686MVc6KMBk/pLpzR1/cSD1WogwmZrk+
OhWols0/4c1ryzPRJ2xSVqOKpfS1CQrjpZfSotk1Y2UU9pBQW3FgSaXpeP2jrcSBM8OLmI0AI5Sc
ObeDpBjKLo3ieA+5UHeMx5h6bdmnB0EImPVRdFia03bayB5WtxY4DMUcUj3QYefrjhUt0DsTLGY9
Ur3cj3GYQOih1NPWAZidbxHv5rIspXGR0HIhihhPfVP1xXw3jUb2R25UJqKtOHiJWLuTSFrmhJJY
HbUs0tzrO7x2LAhzAPzmQTIo5s+XWA0TGExrXiLtLTP2b+P+g+QPbuVtETatrXHG1c/irByIJeyh
K3TICwIseY036pB+JeJxGvtkHw6ydBBDeDEkxtVcwdCiDf9dW+Rb04vTKAi9FAstpsUi1hyv1v8x
InVfy9O+SKNsf31H147+K5EPsMn5OC4C5pCGlj4JGGtlbR+YTMTF1W/Z8HfXzaxuJzgANhLULlQ3
5x+u8xG4rUeu4tBUg5ek8IfjFEGC2gnN5NRCHz0X+gClSj/mn/7CssmrGsDwPFm1KE60Vdj0Ay1S
WzA8A1BmxHiVk06y/F3yxuG7HFjZn9CUysdS1hhF/AvjvBoBqkDycUHUjgJ77Ms6V6ZSavp+YgSl
QVNFS6CvbIrEyUUfre02TPe1WD5fN70WBTUuKRqc8GJcHJWaX5UX09xrNFLDMYNB3UeZ1/YwcrSZ
mX9uWn8oHFrLubER4lcqsLyT6aiCG4VxiDrN+ceOhrSp24L6Vix0opOCyr3T1KD9mEQlMONU+Aqq
B9bQeqRXPYlMk0s1jFVmJO+z0uy/Xd+HtagITha8lEq/BUj3+Y+huQcYUSBY6ZKRO3RL+l1k9cnp
upW1Mwsk3SAzok50MV/JSGBSV68hMfqsh/8IwZdJeBrjrYx27aPqM4qU65oMZNnJzUnXpXLEn8gI
hlu5oU46gOh7jJV8dBTBQi7WHMSNs7sWIkCUzFr0UHXyVc93MJGLwBeC+exmxmckII65lnyDi2sj
7K2aodMFMlGeh/cWKQ/XjNYnPmaiNN9zwQFKb5xxa+R5zR3A+dDuQ/n8Ev+kBxBwkq+BGzFa/QON
K/9TwSD58bo7rIU7Bm4QXGGMgHrLwuloUFehXtA9jry63XWVGR76zoDdq6/jD1npozcvhtqnQeuK
z9ctr8AauDtQxpjpqRhiWca7Po+iMpTnAn3QM2ipCNJR9pqfpgYVKL1scyclw/cqlD94an8oapXp
rTiqjokyhE6gwb3Ea8a9/psu95yfhPQMzSYNsRZx/vM3CRlkNr0eaQy7MCTSBQ6DY7q2MyIrCd59
Cs8NLba960b2N2ftcum5VtJ+CPr0OUEAIB/039fXdHkSaT2i6Tqj/+lPL/FWphhlZldwEgelBVqd
JAFqp61fjKUd8ao1bdjqUzTG67HYwj6tmia+MnEF2ouK4fl2aoYQWGXFKgMkl/Tvo1HZvZK6qvkz
67qNEutKd4t1MtsDWpDweaH8FCRNo7y+LftRhGQfkoDvWRcEn5CLj/S429Ve5H1hvhYCtpRJRbsQ
eRRKg//ud935z1gEh0yZcsFUCA5K4aU/AnChuqslcVRvuOplHMfO7KaiTLX3YvRnShLQTR2fNQgC
xQ5j4EE+GZHT+vlprIaNjP31YXWeSXNEZZBiIHPw+uV0TGYVeRhlRCO5C4+TXjL630W3sSI/Bwpi
ZUbSRU5nRaIdiMGx7vLfntl+lVNYhjIELhJT+lnU1a88lV8oS2U8xiOBuv7YOFYL+4aSe4Ytp9bI
4JfJPNEkSe4o6LIzjt1DGmyJCV4GvXkxjLOBNEIScqkKn0FmkLUKi4mTUYatRlP8e68MwifFnIYd
1SYdSV079/wtUcfFzcFTh8RV5CXOewTB9KV2V64WYpn75WiXtIK0A5lEKd7o8ujHN1rTFVsdlNdX
xpuvRuEKfK4B+ojkhiOxlEQwTRSewrRI3bnDHEE6hg7DLAzf1Y71Iz2Ze0ZiS+SIFEigzNpRIV7Z
OA4XK55/AVcxNNYznstUzkPAOEWBFigjfdHQUO5bQVBddRTVXeQPzfseCK+LnTsThBr2Fzc9N6Wp
qaSmnly5ZvEiqSeveM6bjZG0xf3waoIhJiaMmGPmyb4woQd6wpVGeTiqxOMgKqdG0rZy0kXQvLCx
uIP82FQaqTYjVwdqPNpJZ9f3UQrTF+MHzq9utNvOzuKT9ue/oYJd0uK+Wp9zQwYQLKanlwWWRh2z
WIzVym3BcRxbgAIzy+BcbL3J7+c+d7ETHj27cSLYldHR891q4zMu84LXn8AEF4MVMzqYFOv8OwZV
B3lFagGHOHS3qm4n+xz9w+GoujN/dI9s81HZmEBd2/O3JhffVTZaGu+qELtFUbpJ29v+5DuFpxwz
kVqlFmwscX78L48l8BwgH2QacwJ0vkJ10JsJJvLUTU7+kQm146yo91+IMawdvrd2Fq5UpWFK3uXH
rvUU308QAuZ34V178NziaD5Bpjp9rn82W6XztTNCLYuJDwgPL4efCzmoxHESItePGvFWHS3j2Fmm
5F7PahbX36uTWMw+g4WA6uQCWaVxhcehlKZuD32ATjG7slB6YQ7P7LoNU8tXIrZopvI+fB0bl5gt
PP9cHbKOfjHPueZGe2oM5JQChianPH20OgNmX80ZJKYNx+lUCeLe1D9F/kaWfvEheZ6CsuKxKsGJ
Sbp+/gsqHsDR4MWK44ljKDyHg2EFHyoTBo+fva9a4z/XN/fiE2KO98DMuqLwvlkCk6KojqdRxFxt
cqEXv0ttYz1LPNfMXXpmYbEgpSpSxWuxoD2A5rpJj/5jCPIp9SABnJlMt66hTYPzkXyT2aujLHdl
lihO5Xp33mMIZ57pds4w2qL732gQbmzhEmkSxb6Q6zoLTBvEg0FOyvXGXbRMeP/dQ5VO+fyppIsq
qgA+e6h6epTiTXjUfqawsgb3+p7T/nGL7G7N/2iC/Z+p+TS+2b3equkVKZjquVq95xpiOLPdiMGr
O/bGxuKxoAKcBWGMDZh+SCWfrH7j2b7UprnYsIXTyVFTtcU4r+JVXbTYV7eW3R9m/asSpnmCsBMd
K8f6tkU2v2xIYZlzNE9nwfnzOg19vn9RN8qxOg6szW13zJn0h8gVILjv98qN4qC7tuuPweH6IV7x
j3Oji+X6eQPoZDaa3M6iZ9Bs3loHsHDc2VvQtJWtBZFGkmdwi7LK5UzYCHBXFMZOddRH0RF3iuTC
QhB/IsffWZ90pKVyOw52klN8ahzhlH/ZWOq8lLMLlf1lRAK6cGRxuaqXF6pSUk3qMN/96neSq94o
rnKMnuYjodvDrs1tiWwF8LerbDzkLxOmhenF5aAlpdYO7Wx6j54aeF7zJvpGsgYPZuiE9rOwq3a0
cnYULbKb8Wg615d+eTJZOVN/ryNVsLbMf/7mZFLUh8+KK8uhUqh99Ute8oJYtU6Y9cFGfXp9qVBe
QsUH1c1lLs/Aaqjok+qMN+kLGhvohg+uDIt/fNfY4SmG+DO6NyZH3Xtwj0aoDG2F8Ytbn82mmDHf
+0xsoH58vlqV7nHXFK2KhlXoKrwUp+KJB57tBVudo5V9pRIEtwaYIKqJyzxYpx8+iLGEQ3u3Svw9
oCbkD+P7P96ZkcUJ9eJcFjOqUE6qPlfll7o+mZuIzleNg8XZODOyuPmMJKR03c0rORjtIXDiXZ07
uVMdhc/CjyKx5T0ZNcfjH15/W12wy9RpRqv+ZxuXNb7Bq0HVNxjvkbYQd4krfGrsBgLi5uDvtwhD
VrzjzNii/IuCyBTrI8YG6SVNig8jfLCB37nILbrXT93lXTUvi+r5TFrKe3Nhib66MmrzSVDiWytD
GC///H4DEOLQtOcNRGNvYSDhoSyOIwbUMd1Vnu/4xdfrFtYc/K2FxSvLHGrZShQsDP1TbOzbEO2l
jQzlFTq3cD3SVQsy8pmfjabD+XHNjdKywq7Wcb1+590ID+Ex/yTss1N5jx8+Bm7s1K5po0lk66fS
jZ+nXU7Mvs/3hWO5hbt1T6ysmWYP8Be+GkRdy8/W0NOXmrrRoa1Mb30TCl2r+SQnz+/eWZg7wXRw
/c71ucWqJcgJgPvLmkNH25b88lBk5j5ot7A0F49ICOXnUMyFS/OM8cDzzZW9etR1oAFsbnOqkUGY
ZdKrTaHWlT07M7OIUdAYBQU0thpjqNZ3qWy/ZAH86pq8EQpXEvTz5SzCVNMNVeXNdvQ746E1XoH8
iDffUiuqb0V3+3W8Ei3mWXnwTFRRgQgsctpaVItWijvNMaOnoD3Gbe2EZErhVmd17RScGVp8qKyH
AqBN+FDhS3SQD8GBPsutcKQNtrf24b31NSNZEXbeXkSgy1YfPLuyUXS473azMvm2VN9K8IKxBrwr
kYtZsmX7avQTpQl8AOgpRKSerDhC+Of6CVjyk8/57pmJxcesxUCfxKTmYfxL2qPb8qsJXNlh2ukf
r7DnsVWBOlLwo4Rk3o1dovW+PxautdUSWFsp/Lk84Cm8mhzF8yPSmKGQBbWH7+7rG+sh+pgeE3fW
YaWCx5DNLGS14carK39rchG4VW3qA5AauPFj+SN4Hnf9of48E/fndzNbf4SYxa/+a3Kff+wfAsPJ
dtHNFjPrmmO//QmLyA60L/ZRJtKcBKB56zefjEZ5pNeWOzBibM1ar4UH+Crn+gQxDbzU+RZXagYD
dKRpTtHe6NTLk/QYBFslwaX+yqs/UVHCxDz6yPjGuZVWbSylGPiQzX50OuFmziTyg/fRe46oYiHV
lT41zhf5Y0Keb92ke+Hb1kDTqiu9+QWLTS0nZRinjF9QUjL3dVQU0p/XD83aTs63hvg6m0jX/HyN
U2eYRYCMjqNQ86waxpdalOTKp/dbYc4fnBCcSytFAz/sY9ljHQDRD3INpKF+DLuN87+2WTA7UUGG
Qxtgx2KzjIyWsaj5iFNYP2Tzn7jbKBW8Vk8WiQVYEfiH+Yd337LUX0AE1ClVoPMSQevizjv9mpz4
47aS49pRemtnXuib11WM0pAcJDEL8WsnESbX6tQTYAdHD62X6x9mzRSsHvQtQBxiUzk3VQtTLvVF
IDuSFw37Ag53t4aB30Fza3A7o022guN87Sz38K3BxdpEoY79WvBlBzGR0Pb8OxAvDu1gazfu5X31
iWEYP30VZtsWYl61zQAuWGIgRxSKzxeblB74emhLUfQSTmL0mJWinbf5g6rXdrzVUVk7WDPn4/8a
W2QwVSBZfpWz0LqxHidxOkAkjE5jm23s6JodqnB8P7Q/5YvH6ehZulILg+yIgrUzFFR4y/amLnL3
uqOs5X2gxAzYIul3a+bicFkVakVt28tO2Ab1ByUNsgOzloXTDLnpai00d1Yg00ONjPoxTRp54+yt
nW1YH5kwo+hIj2bx6dQqHrVhkiVnENMjCLVjI2wNYqwdhbcmFh8s0sok6wtMBE0Q904g9OFDJ8jj
bSpxDFJfHn9d39KVLwccnUDCQBO1jeVAm9V0wSQHpuSY+VPZ3jXqjahtsJmtmqBOQzIyi4Ys68F+
LnqZD9jHabuCCceiy2+U2Ap3jIZNGznIyhd6TXfovEJGgIecH668q6epzwQZWXE6dLVhK1tItbXF
8Jzj7QG/ikjufG5BEbQk8BEqc+Ke4CEUe7UMD+MYb8yazT90EaHmlALBAeZdyQEWEWoYsrSDFl12
PBPdOj0BcvCU/DSZBvOJWHr/F14wt8r5QrBpgMM7XxU4igo0myU7EwP73Qi3SvxZsrbUjte+zswJ
PNcPwKosZR1SzaulIWJRbR3Zvfk5MTYO6FrBB5QG3SKFZw3aEIttIxbEeZsRXMvKbnfBt/4lRUbN
v8u/Io3jpEhW17c+/94SiFwr9pwZnt3mzW1ZEoMjNcWwfje4kyuhkWfcczMX9/+FEODaPkJABsum
NQ+9Lqeh88zzp0goZJ6/s3jrcKu4LPLzdE86iPqQ8FF4vh4kVu4s3hHzWxsRDIqqi/xMyNRGD72S
ayRukOQavCelYkawzAf6LprQuqrfHq+bXAmEZNbwHkAfAVZzWT3LxIq1W5hM/d4ZA/0gA3+Okx7E
2Ds50+cM+8zUYnVx2cVh6Fey06v7oHmWkBjUwx+KH9rXl7TWleAk07SFmoJLbCnBPWhVLMTKIDl6
j1xh/DPPpd0IIfcMD7FMwHDVdOd16r4QgR0UW5OEa5ELHAyIX8Awc23q3EV9zeuEOuyx3ukHZhDs
Mhp3UrA1Rr9yR/NSeYXdcEmCVj83o41NEvYto2Pqwbz5tzaDUPxhyz/WN/M/dpYOomcpQF/QUtix
vs6drMau3fD3LP8avBuXMnsIxXDeKK/g2sW1ImeJ7ldWLTneXXwv7ogpN90x+SAdrEO2C3YeEKKQ
zu0W6d2Sne9fz3xjd7GXtZXFFCsbiVy/2We38h9IduIba6c/TffSgby/mHvGD9pWGF07fIDraACA
JsRlF3lW66eS1vqJ5IgUbLJna4/i5xf/86/0lH9E7NOJH6y/qlhwMmAyshitBtWweAUkxiAIDCPT
jLQ72H3tYt/xTfUHcqHjvL/WabM3uRZIdShiIEQg+blIWxtodsMoVeh9ntQbwYZL7MPM1tE5vYuo
qpvc/NU9QacQ8TIGHmX0MM9PB+jAFMS/zppO4b2xl47+wXuaQWjRznK3KjJrJ/6tsYX7qH4F3Sfs
z06bfEnmmYLwruk3roa1RIWEdZaOYvyejOV8QZ7eQ+yg8sLwk34Pb59tpHepcRuPxc6sFCeMN+yt
XvFvDS58E9h0SkXCk1472c1Jd/wdMuHwucSHWVLYs1HBfUjuttpva1fgW7ML70RppSKyYzYOPbuW
ToJQuJnmOaVG3NlKx1b8kjMwk+czFcKw6iKboKWK8mwCYiPXKZCWxd43v23cRSvfjY4xzz3YaWeO
tsV6giqbwN4DCACfWLjNLS/gg+RGD7pr3I379rZ2Pdvco//u6ht42rUviEIrCToXOAjUZWskGcV6
6GNW1zuig12baPqz2Ed79Zv83OxmsdtRcozIHrfuprV95QJ+lbwFEL5EM5mlAG9hWyhOYKLNo31U
2y/Xt3UlcBLAoD4hi6Y0s7zhZc+qzU4AdzBV0bPF4L49ytV9OY2RnUT0jK9bW4Ee8AaBGYCKM35y
Eb/MSBPTBvQFUCJpL+/8H8avWRETJcZD8iGX7Wk37HynfNpGPVzuJJbxHyBhcwN+OTsBoDmTZmYJ
pzPBhPlj+qLW738uUL+eZ0PxElDXy4SlCTyhCcg9QcVI8TEpgLfObFLuxiZefjPM8GiY1cmgRFwW
1CZxkP1+wIzyEByaX9kJhK6LlFxz00c2TJ3aYRbVVL4pz9cNz9H3/ImHXbJbJtKpfMKUdh45Qfap
WVJZiiMV5mnyxeciiI5Sr9z3UX6bpYjqmhCBNLF4um535dOd2Z33481TRdVnAVWKygwtIkXrfWzN
jbfr+sLAPUM1BGXF8hGWWCIc3p2pOGqOzq2e/KpLJbRTD7TPBLtXoT1NE2PSadwdrq9spQPBloLQ
562qUXBYMj+ofafnbcTSur1+07ntsXWsxBlfhlN54Itq31vXuol+jNCm7eQ9qdP+uAUXW9vduQw2
a5NQ7Fh2mLwq8Mp+DFRH80UnTJG76zfi5+WtDuaTjg7jQzO8YHn0TGZ3ZSlRORZg9aU2sEspY6xs
oyKwsg7mDZh54PqhcrMM0g0c4WYiprQX2sRpG2QIkw0LK+s4s7BIhdC+UiLYBzSnVX1HSwP04E56
JW/EyHUr3HM0niCAWKoe9VKpl43GiK5kDO6QDYyU1XbWbrwQVvBBNBUYvKF0AsPJRSS2mDYY4jg2
UZkL/6RRgHjeDznG98bWLeXfjfG9l5k3iE23Z5gr61p7jHInABkl1dRz1IeoAs9aWTcwcDs9Y/Ga
t+WZK/cuv5HWJ4IdjM9cjM1UlZa1mhGarwm28SQ8qI7wxb+JnWqX3Qf3vTvn2dndpt3LVINR0RkP
QOmHaaglnkgYy6CoFToJMxNkftN9pI7ghDsqtppd73sXML9T3KmfmrvNVOPSi89NL3yMYrCi8PV1
Z6b9szq7fKw/B/t/iQZrmqDftzW3t0zO0fFNeJ3aeFDDCJMEh/8h7bqa3MaZ7S9iFXN4JUHFkSZ6
HF5YM2ObJJhz+PX3QK5vLUG8wtq7+7C15Sq3ADYaje7T50DiJvmClpPg5FzfWBer4p++uDHTOmWr
apNPqtkRzYJr9WAatGbB6REshm/M9T06CFFATa+mqY98YNuV8R9Xhy8Xw+XzEBlyrAkjQV5dviCw
QzLx3pxEqscLL+lLK1y6O9VwTMtkW0Zo76LO+eK8U4ko7/E627bH1HCVTyEmnYXev7SDkIAAPS6q
WNBA4W75Bp3jOq0Gy4ulZzV972sRr831w4QlLsjVUb0F89zp1J/5m1JPCViUUtsDh6DXpMfJeCg1
w3Py1k0UkSTpwmoujHHnKRnzSALpie1V4HMI8MZLpZ+37/AFMAxGtFGjAsceozQ+1X3O1tPHeq73
KB/jdWCvWV8u+xGvdTd7yf1pX69s/7a9hbPEJsGRRBuY/FF5utgRWlSp0+m2NyeSbxifEsVad+0m
pcJiznVahAY+ky/A9NSJ6uAyMHR5HmogmbfhgrKnH/RH/Qks0cg2k8QNvzk+kNigQ03d0OueYyKK
wtf34KV17stVgdLWBaaRvdagmzG0iJxIW7DLCZLLJW88XyQX/bIAt3pPschEhbDRiyE/mOHGtu9b
WzRlv/D4uViRwXViWssI5hojMl4NYARDWA7+uI39iOQb+mq7wUZ6zP18Xe1FifuiiyL5Qr8T3CPg
m+MWWWV5Lc/qhL1cmevJj3CZ9RtzG3vWWr8r16KRzcVP99scr0hZ6VYJmjmY6wD3HehPe9KIEQkf
k4sngTVOWA6N/7Kzf3bwGjBEY14Kn854nvziWK6KQ+apL9Yjq/hFvrUlkrACp7KPdPkIwkdECQLv
ZUhEg3rk0qg5OTKA+libvC5St5D85MlxTa/ytv2+38Uv5TF+cPxh1b52W3UjKiIvLRkgOKYrxoTP
+SRXq5SxmzLF8pTpGKfrIIo9p35TW0E9dSk7ZAw1QCaBbR/NVm5r50zCpNQkW14au4Nvovhnr0ti
kHE1E/yf4tJVvA42uUUMdFW+A/vyrAh+w/VoIVgb0NxjIQ4lEJUfLWyNGLiKEkoCg4d52K94kZ3m
IjD6EXzpVEw1Rr6I6HbhPQapEzZtrKLEBE5G7tZN47btxhwZZ4NOAyBgzScJxdV2CxFcDGPcmy8d
6e6Mw0A0z3or1wEy0/zTJEINXF9acC5IgjPyeLC78NW0HlV0WUtQq0syM/CKsLDWSt8pglTp+pQy
KyDYxTrBRcQzkKr9MEtaAQN28aHkXzpDIiiHCm6rxaXgfQsWZFY44MEjoJjEhEBho+zYlKSfh2c1
nze3L8TFdZyZ4C4KS46MDK4aeHlHH5JRgkPWUGIxzV7yblsSLYYLo0WvOekIGTqUjoGKjAAGsMc6
+hsjmAQ5wX1Qk+Dq0+oQWoOSOoGXTqvUMkneiPQsF5dxZoFLYCEWDGUdEIB649zFrp7KXzEmLVjF
daCCc7EBI8xfM5YHzkaeNqrepzo+SoEmvTa1oEivY4rLvAbub5ZEuyayxx3cbC7GIKBa4GmdZLl2
5GCMfuort4yDu3SqROn5ks8ha0DFECgRRl94eQvUCh3kvIInaCaqzkMBiSdMzed/XtNAVZbpEoNt
CUwEPCfHDI1Ma1AjCQ4Hvr4ioS9FGv9xAgQbADigJqtBMU9nO3t2i0IlzzalWQq8zpLdqZm9uTCg
87hO7czTGpGu0JLvnVvjrk9LjhVlCGBtTKVNm1crqGN8vX1Kl1zh3AT3beIK2JBADiWw/NRAotCV
hgECWX+dh8fbhkRr4cKBFLZapBcwFEe14+aZ8yjFuqB2JrDB54xZWEO5sIKNQI0Oet5oboZuAflP
C+ERuxPwE3MzwkiOj5Iowyov5bf/ZoKLB9B/ko3BwXe3ZPokzRQaupog5CyeSbR+Me6GqKPwoMyo
MLIMalKSV9fFF1MJCYSY3qpKxBkjMsO+2Nl56eomlTsjhplJ+xYa7Ueb03fUPgUbdv0uYcfy92rY
zzgzY5QtVLdMrEanZeWCHfRe0YqjJSk7S48OtFz9xfeBECOYfzBxA8zTpTlrpokugdHMk5Ig9dFy
wnBDP3eCIaOlvUMdD2gOJFiMy+3SCgi/zDgytJOVPVSpYijVpLIpqG0KrPDVpnxu+hSNE8lzrMBN
ckyMa6ig6CIuZRZHLl8CiP/AdgI3jcl7tOguF2P0aayXNczoAaj16yTXX+0+PSo1yFm6Oin8qQNl
TjCXkX/7W53AbVeWGaM3QB4MGMOlCABWWqi8hiGJX40PA8qHeE0OXrqtQYnvKW7oJ54CaJXiNQ9j
5kIfkcQY4Rh956d4MmfhbYltOPsx3MlO7Mns5ykKgXveVj+7V4CCQUICLvPmaSAqiXzRyMQCdO3S
InfXjxEEs7oRy7eey9hlpBzZ2rwbvjg7AD1W/9kcdzQmXJpGV2OBEP87VsfGG/fmy0exLUj6TQTc
YX/XrS/LnXpQNE1zyWyZ9vAA3MmBTuS28yzcjqD4Ag8ePhkwJHx5D21eaZjyDJNKyJNqGjzLg/UQ
6LHjicAcC/UOzBNgBBivGBi70gaYnXIugyrGHHd+n1ubycfc9b3x2d7q96bj1kfnEB3tyM3u9Mhv
hbNwywv9bZ33SymnVJFgfVbxUO/N6C7Mja964nyb00BwSy9EHHALgkQFfW0gkmXus+lQzm3NFsKQ
KB8p8+Bp2osuTKkXHuXYzzMrbMVnV0JSRYxtFVbYgxjaxmBteWyfy+do1bp3d0WP2Uzqthiw9rtN
gYMn0hlc/qBnP4BL3hqQZJm0xg+AYAWpX+bADV6zXURXw+g1h3oDkU5ilpsEhEPQWPRFlc+Fmvjl
BnARV1WgeNoWsN/4GmDZKMD4xufMS1ASGBitmRvsjY60CYl2ItsLBxN7DzkDsMziAuMRrIbd0byt
bXxhCE256gBAeCYsaC26EWMyBNEcnk38MOqUDHZt5RI+8M55pi9h6EbgJnB8ZU3f2lcgc10Ikgji
wUKZBZt6ZpTb1KJ3ZrWUYTR8U39Obw3gSSYp7lDXtXahp28kIcrrBDnnotyFSS4NcPAChTAJTMq7
UzFyp2+nlbmS96LYfZ1EMVJTzD1AsI7JhHOGyrij1C7Mktj1k5w+9OZ7oTluW39ve0HOce0f55aA
Mbk8mxDJVew0haWp/l7kX0f5y+2wvXDpXRrg7vxyRkS3KPpmk9Sv5+ioJ190TSW59T4ihgaZ5Fr0
2cCsmGT1z0O5+RvzDmgkUC8CdocvPJZtlnSOGlYE3dpDMQUHefiqW7lXdZU7z5NrVekxDlo/D6eN
PL7TsvFv/4KFDQadBNgzABZA4sND8dEPCWophByToeSgd1CH72Egkq44XX6XjolTd2aEyyxqZ6ry
hMIIsikVhU+UrTegFPY/zI9ue+r7rkUuKrTJFn4W1QdI/w1KCZuNb0fAl3UzoPis5ZtmvunabvuU
kWYWsnMsHA00T1gZG6qw0Kzl/Anj/g1GkkYg6WKjc2llv6lKsIIM4Sbriy9oveSCQLP0AVEBhO8g
jKpA0l2uM2uisM1HuSAQxQays05AT2lpf34MNRXBDHoVjI6OF9ay6BTPQakUpFCBupeGdKPV4+Nt
T1w6ijDCiuOoweOtxHmJPII0tKph5BccUHErL1sbvrzS/GlTCU7e9Z2AYrTOSAwx9MRUny+3DUTa
Ug+F74I01r4YHlNtZyeCBbEIz3v9uQnuWoc4A3CBcl+QGT3L/hDSXUNtDDRC0rrMvT5eC/ZvyfVU
8AUyEBlwbLxe8ayYtKKQvAVnoLaafsQ71QPbnYfr4J7RFTJsBV3LrSu6wxeuOraXvw1ze6lOVhD1
vwwrkFG5pyTzKkKP6fFk1RPzOi1urYHtw+cD2SR/o+tRX8kBdIrIbH4vQW4bhU9hvkvlfGWDobzt
RDKVC4cMsRErBM0ssCt8do+u+2i1qpSTSSuon6LF4I2aJgjFCz0wqIIDIGDjKGO0UeaOMo3bcIrj
riDTbvDn3gUzAsYLqjWA1NEmAFOb85i9AOM5+PIeWuo61IwECffCE/jiJ/BTbeFopmWb4yc0fgI0
OsgZwo22AcOujcQU/c2d5Pd4AEvr4kUlzhrz9bvcHw/FPZocgqLGUjzATBNom4GXABs/fzV1o2aP
ihrDnx8H38JeJF63okeGEpKEcXvJiS+scdEnjmbaVjYtSE2UVYMRgHDfrPvN6PX+/JYRifwFdx3A
e2fr424ocGK0jaaz9a1Nxv7nZ2x9T6orfmIsRLsLU+zPzy5DyCHhw+pYXEcH+pgVA/VlqzU3JWTo
v/x5GAKfM2C6aB5D3YRHfVYzxOwLC7ZaUr1OvnGnuBEJvuv32i7FLIW+cbYWqXxRQF/gR8B2oncL
mDOj2ebxL5ZRjFPfp+z6KF5ZazFYD7tyCzw5ye/ZW850gdiPjhNR3fTR3osT8BOAjYv4Fz+Bha2z
bS7CWc+KEj+h/wjftI/JB6TdD7aQtV1lOmRtu5Xlz3vLt+/Dh9lnHzo4JqR5Vj87pBBEk6WQ9YsR
TQGE5kpGfk4qCuC2XgDBXLzgHvoSxSIky5JXsaEgvOAwHnQFQM2zqAzl0MlJjmFR2h+N5Dn8C6i+
fZo8+p8R7nJp50avxsDOSQphl9aWPUiAeLddduE2AR4SSQd60xbscCbCFtzo7RDkRDXm70qhA+1d
Thi4tT4bTVN6cql+tLX8F0YhcMGmYBHgANi69BXoyjZ2pzF3rRqMxxRgBwzbdD8M44+w6Paxor72
hSrI45ayYjDUAamPGid6UrxQnQRSLRD5Yx6/8VsJCYKDySPzwby33ekumtnIBXSkhQxoS45ybpXb
4GKWalwrsMoqLC0uENRYjOPojX4Ndp9mW92LafIWqipok6I1rmqMjB6h6HKD5yDNa+R/qFoU7riK
n5ojCAGQ/oPsAbyEGMkF0Wr4tX1SE2/aC5//C8kYQ5Ph4+JZxajOL61nEgic22CETz22qtsjHIGI
rUXs0REL+13vm6tybWaujalFCpCwe9ulT40FLhRd2OeSz7gt1Niao4oE35TCjTdgnwPN6y56Yfe5
5FkgHfPV+yxcJ9vZp64Xk/6IcCQIQku3KrIzdFrBGI46Hv860dpMmmbZqHAZ9GQ4Dp8Y31nwjJ3H
8HV2D6AHub1wtq9X68ZEMKyCoAHsEJf7bswGnQNbq4hdvBoQOW7Tlzoa/ckWJPcLLo33OvAdeK2g
U83DyafEriZFairSlH3k9gWd3WKwDyqt6z8PFOCRArcZK7ZAxo4LFJUlybEO6iJSyM5WjbRPcToc
R5m+gAa09WKQaKPyIlrewu2BkiueewwhBBw7l5tQOZtlLY0rEivTa6Blr3TUNre/1KJvnNvgFjZM
VNHiGi7aEkyBMDZi6KOvap+R4ckoeUZCVqilj8b0GzBuCZEloL0unQPF6kKJ47wiqprtwrjYRfUd
zZ5ur2tp686M8Ck0NZokta2iIlKJ841m3StongV7t3BjQdEARRWwF+E1z3NhS05tlOBTw+l2pH7w
ksqxOqQT6Dd0H21lxWu1z4Mo9Gho6OU3fMupFASYxVUCLIuXOkb3MO9wuZVql+Wmk+MXqB1Eslo8
wVRR/r8UQhG8gSZH4xkTLtxRlvI4jc0c/tGvkmMLbgPGGGx+TcCU2KPnFnrmBsPA5I/1KQxGpoT0
FchOjaGrLldWGkOt6a1REkl7tUeowDcfs/Llz33k3Aa3e4GkSkopwcagSN+atNkNxfj9toklX2f8
sMjtsZIrsJuWVWPfJE5JIGbvmdlHnWAktxYNUi5aYdUG0A6fRlQvNyu1nTqWpLkkqfYqtY0bKfch
/YtQi3weFS74AEiMuM0yE6WvInsoiQq006TvohkyL+an29u10G/FZ0eMBSUJJtVwsC5XMsxBVDm5
wmqUxsd88rWIjJj+Aw9h7ie2sGzCgg1/UzF9CYyIglb8SpexpJEC6ZKpxPOPzWom62EVbUphIXSh
vcVW9NsO58+WDQIvA68y0oOMZMtwpsVh3qYr9SFDO3n2rB1gtfKq2YKA8DMVtisXPQSEXqxAhIY+
LxdCc6qCsBiEcZJy17eP0LJyJ9Es+NJWgsASgDHATBGR2G84e3c1+ZiY0YTbim0lo5oYQPDyL3ry
1yBlJjD52w6X1HVlDYwAs5PejUQCA4O5/UU4KsIjL4U+wFTh8QAsMijp5YIiLQkwTI96UwipJsl5
t+RPuV26urOeAlGYZWGU98NzW9zmlbqiBKUZQ89lG6wzaIzMIJSoXcafIep0LuCAsYEgzTqVeBkE
93Jddp3ZdR1aOckg4fIz/e6s5ruIDe572qEDHWW8BgrZHdcQJfCKF1bpCYkIjLww/nb5I7iTbo41
1CKypMYbKH5CmQ3U04/5u7aHsowGnk4wKUbgtgHdMBGRMy89v8A3CvIVlhKjc8Y7kBSlejXXv858
MG7DXbsJVv2OgUoSUCh74N/qMPJObge3hcuaYUUBaUFJBoronDupQ9DqegWzuQS4tbHrp0yQpC4l
cxcmOC9qcDADhcKEcd8Te4ereiU9mQ+xV75Cb8LD3Kj0/failgo+SInxwoMyCUr4PIpzGka7qece
98I6ehnhRyAn2ZTb7oiRwm3rSofR12qMvrfr7r700nWxEVW+F+IO45ZC9EaNBTvLuXNeBrNcyDlY
W83Is0FHB50vAHR6L2s6t4jeuiY8qOYfisCCDAZlbwe0QfgHLW0+2mF4adCCMMNWVznwHna9nkGb
6aq1JKgWLLkNbGAgClMRmGbllpcMcxONcwQO6rheD2l5N5bh9vZHXGDvsW0ksgB3nJRl+FayISed
nrYOqmBQB3BBpL+PPfPZ2BleQqrPt41dX0WYiGTvKGQrkCHjB/xtaLMFNTRJCO0cl0prW8fc1SwY
el80AnYsqJyhaI3c+DLEWY0J3aYWXSy5/JDt3h17k1ThH9MsYiVnRriUCNTCbVanMEKDg6WAwkJv
XCOxBDn+8lJAuoC3EiMz5paSqxnuQmj5EUe37/IwfpkbaV8KK2ELARmrcZBpg1UMbsb7WRdl9mT1
WI2+znswEbjdSPJVv2d4ifQJTIHbHlX4AsfqXnTRXqvDgR/g3DZ3GdRKG/3qbGIe9EWPvBFK0cT5
nOwK4F9iL32rCGtQD62PIPZJdCFeVyvAToBOMbgycbyQQF86i5rNIIawsoJkJYNuFdmHQkPIYFXD
OtGH1W33X6iIoXuF4jgq88gs4Z2X1gJsf9lJLbt9xrumce03St0qdIfKTda1P/ssgoVuXLryS+1F
O9FqF66/yx/AXX96m2A0vEJaM66cD2uVg62u39ebZpVtpXXtpn75yRHdEtfpDWzaqgYZAXCeQX3v
ctGa3AaFbSO9CQ4YRnTD4+DHezaDhMo87gvHayHJEnr2ffLQPMQrIVpv4RAhSkMhgfHlYbSUO0Ra
P6dD3iHAabgYZT9fScfwYPjOYSJIskBtXu0VUVBdcCtEbVaYOiGQDM5mHfRlrWv40PKOZp6hut+Q
SQJ+1BH61L5NsWucMisRNdL1dcjk8gwgElmzCSiIy63GxEtQO3p3glyA8c3eGmuWhou4s5Z2FMcC
VjTGYccPk8F2rYZGhNteu5PUTzWkuTvLEiU0bI8u02Is5swKlzOlAHIMSgFRNfWxJ9oqX0UrvAZD
OCpK5ESUzLCrlLOGwSRMowCGg1IHD7AIlEgpjKlPiVx8aDKa6G3oOiUUCPtjPomg9gtAMeArgLKA
OB2e7ciGLz9UpQ0jMqcxhfbeSABt3ujbFgXpv6FhZxo5OHngxETNjS+4hUGnBrRpU5LPKNQ4o5t2
oT8khhvKIvLGhQf8hS2+7lbVc6lVCWxBpd6fnc4ztXLVBgFppkfLAcgYcNUmBXJ96NdW0Ht6A7Gr
rhSN4Qt/B1e2CsG2pocyfsf/MpoNQxqOXomat7kXD3QvhXVsMh75ILvFYBuf1kRU70YlrlPC+PJO
NFrIf+kz1HowL//M+E5lV35XJLcSDnYuHMUL09whqRJrkHQdpidkiBbIHUt0VRtFcBYXwtmFFe7e
ihPb6KsRVqjx0c8YUdVlV0/eOufrn1+QF4a4+0mesy6EKgTc9Q7JLika11ox1H3po3f91K6jI7sq
2KNU9EJbWCLmgjVQLbKeAoo1lydSyeQqiScpIk4b+aP0tU4nNxkrt8kq9/YiFyKNg/k6aH2gDQjA
GGdJTZyhx9ATmNWV8insWzevtQSd8Q7oDqP3KfKC2wYXfAQkh3i0ACqKMi7fAkrnKppHqPwSE5p8
5TbRPsxY8OEEJk7AmvP6j+o0dBxgojL2cryxHahTgjLr9jqWPtHZOk51tjMjNFObKAVChCTlB172
blw1fm9Zfh3b5A8tAWjHAITYMoaD44md+nKInSSqKFEyqywxqdTJIYn6LANRkNrP8Ubt5EwUt9hR
vbiBTkaB70MCzvpZXNiKQ2o3yVhTMs/dEfu5M+RJ8J68+kzMBJrskLPFEBaoBS6dvGqTBKNDEaSX
6xJSeLVnFRMkREVEblcfijPDBSUnjkZaNTG8oQ1WWj6/6hn11TIgrSpSV1leEdhgkWACusUXVro+
mCrHDAEmzyrF3DtT0qCOFtpU2w8zxB/+uFaHpQFJy7i5McKOrsjlDqKdinJ7Ac+YoETcAZ7U78oj
RaVO3D9f2kVwPzChKKbUpHOmcjQXG1SyYlJ3Up75lUxR6/eKLCtph48GYZvVqA7VuLrt+9dvBLbE
U6BgQ3Po4V4uMa0pSABrBffks/2orTIfSOh+o6PlAza3dfXC6pIisPDSWhkZFmYQIJl91TRulMIu
+gBqE3louyMmvxwbA1C2tGqrH7eXt+QwuoIJISjysYEE7gjMdFYCfRxjIiujsspS+bEBoQemTuyH
24auH9XYx3NL3CkIpWAocpC9nrKCBGwyrwwLBRgS8gLlSXcBLjdXGZDJLhVypF5D907GmbA84ybA
ci8/omlHnQP1xRjNFAaDwutjB+bL1rXWKkEpUPT9lnf1tzn252ehGR48SjbFrnbpcyJZu24M1qNh
CVxzKULq4Ev736KYF51Zaas00ifEZhIp+ec4qw9osYmEo69uZ7ZxKO8BOQKKNINnlMnlVCsieB+p
5s7V62fDfrftyut7dJJtEamXwBjPJ2NjvkqXIcBAwCblFRUaGpg1Cr4W7Rc6lYIcbmnzQMYI/g8T
0GRUbS83D4wjUlbO+EQtBM78IDSkrVkOneATXZehsX9nZvgZVcVo0RY3YUadPEX3yy1raChPRuMO
H+Aklu9AqUKK99tnbSl8sEl/AAtwrKEQzK3N1GdAC+AYXWy6XbwLsolYcoNpLUFtUWSIe2CD4jVJ
KrOPCUSSHrV5D0K5tEwPOtQzb6/oumnI9hEVbZCYAHoCTNzlkhprTOW5kmOSIGxUxwncSp2P2ljf
n7BM5rb2kweIFEYEPEF4EpNYiBpjHsEnJOc/Qb38CXNHJ3OK8BPkHfpSAEJDQ/bfiCiwkHvLDheS
NaNNBnOEHby2f5bb6du8Z9RRo6elrhy5/wJqfFWS4jaXi45yjkMyNbAIudzXDlO2TA7U2qmQJRbV
ShaP3dl35CKj7rRF12QwpSl4fCeHSn6+7SkiA1xQ1CVp6KoaBkptdOvqoxWlWNeoeG63uNM16IkR
plDTIsqzeZDSVQ+WL+jQS25Okm+MRmhqdxjVwqQbuGUJ3eVrEWWSaI3csbONMUaowi+Q1Z0ClmNz
jgRvi8ULk7HkonilQViYP2+tXFRWFpoIj6S+G16t/bhngGXt53Avrhiw33vt8b+NcScrzkAWM1IY
0xr1Ta9Ub3TiVUwx+FnYoN5St/WQC9xk0SSqr46KQInpKG4LpW6wgjBENpmkjXSvGqMNtJJae0M1
yfusV52fRReGd5LV0b8JznhKgWoPdq8Qr8WY5IWF/jYZ4miNWqw7W8+aopJ4Ft3dS1kI2Jv/scQd
hT6unKKQYckIDqVhuVb/DchU//Z5ExnhTsOUUdNMLBgJIwyxQiGvApUp3u63rVy35dihO1sL973S
we7iju2anWqHcQqfMo3uNBTxygmzX6FZuRjNeJTnARTqTRx5YLD/fPsnLB66s1/AJQx5HEtlVrPv
5jzXZeKateAxJdhJPvuppqZ1SmDliN7O6PdPw2ZC7aXtAsGrV7AQXjOnsqpoKAfYmU0g9aJXzf5y
e6eWg8fvrXK48xzEctdWObaqAfWhiTZ4NmzVr91q9hEPy9UklMtgf+FVADkzyF2Z0DfKqJPAYPET
OlRA3LQb9bkjgBAhDxBRnS2+CM98kR8oyShynqxhnuBBTw4zbaiJhT+0IwKkQirAltDat9xEJEy+
+N2QhyMhB2crWJwu8w/dLJSqTPAQTXXoAClok0kCDxRZYH9+9qDQtClBC59ZKJu3KaUvsfPHLVx2
jjEayshhAJ7jW6tJUusjbWaWdqeuHjiogYyeEv5XM1y4oGEDMYcQK6mjGlzyenyPp+/eqUPBq3bx
zJ4thwsKY5P1HVVxE2N2082MZ5N+avLH28eJ/VbeufFGYUQ64O+zedIJyTDCSVUHSqIyoK5dOP0+
ntokd+dgSB6zXOm2XZWolTu0kSFqOy0t8Nw4d4eA8cZiLMGUxHFPsvzd1iAFkL3dXqHICHeHqNYU
W2beUzLUfbpqOygLhLTLDdCUpVFA/twYuHxQyME5whQAV0eapDhBHW6kxAoNbxqmkLQDQG1VK8Jd
L60KoGiw46EBiWFN7sliTpk1W8FMiWru5eSo6L1rWqIisMgIF2rDdpDTDKkDwVH7Zk3aQe7REoir
0b29a0uh4XwxXPAZHaewo0xGNbYIvdH6GjYvtw2IFsLFnmFOGql2sJA+SXeRZPiDSV0DYmC3zSy9
WM/XwX7GWYhrpUTPpwTrQDnMjePEn5WXzgFYZWgEKYtoQdzJ6aXSCkYZloY+BkHu4PYV+PSV9/+2
Hu7odINZ55D2pSStM8cNqVy4kmR8k2Lg9qRUkDksbx4GctEZQkVe55ygz1qkYGNDCS3sO5RW7sLU
+Oa0w7cimEVdGvbD+agHTCJg3DajK+QLJ3I+tjEFiRyRhxko7o922vbayo73hvrHowO4k85NcQc1
zXF2NNSTST84BF0vIBKL9e3PtHh8dEcxEQ1UUHlxQaeHuGQBSUHEgvzBLBrfyFSBuy1VJ9A9/8cC
t4jGVqq4CmGBDdsz6fphBQiLEL296NVnZrh4046ROZmVinhjvef1/VBQMopUlxeLZudr4fwMPAVD
RzFjhLU0TCIFGlqgqXOLbbMN0Tv+FxUQ0ffhoo9dRQkuC42ehq1R3yxCd8zdYAsc8BqFENR7SL4W
Dbcv5snn6+SCkSZhBBSaTLjZt82r6ldrJpY+e9PdvyEAWj5Qvx2Ei0eRCRrgamCbmgzqWtLn5rmz
c1CDB20OAE4JnjWjtwZy2/FF/sLFpwLd67mT4S9t8KmTvpv2eyC8AxcT8vN95LI9JVf7Ou6xj8Gn
eTX5/ba8d46xgZFCcEVRTDWnKBdiJOj20q6BFae48XtHueSvNYoZbRWYhRzyywiUIMaBgm24dg7l
MULysokEUUR0MPigaGZFgcITviFaQiCuCaPDr65bcpc2KznYqasC47LSSrBQdqivY/E/C+VbsWOW
5oWMBzdgCPaOqR8q6xNJjpsQiEEJAtny18QQCrAHkIVx+JFgS42qCWqgWOR0NDpP9SLoNXlsRlZ/
geSV9jX0/k1/cTEEnJnlzkc9gXpg0JCAdBbGgdVDhjHK2/u4eBbOLHBnQaVS/SvFsaXalSlAG+qL
XUaCmrxoHdxhoHRuZafAbdbFoUub4xCIrhqRBc7vrbGWnYDdl/oQr3opOHS1sLG86HK/94ovhkBZ
ZAYnLpygX8leNrusbdK63RftZ+rHz6JIvJjYnFnjLs8oi83QmbCiopz9KNA2uR4/2rX81XCG1//k
BHxtBLSyo6bLcDMNgMEyNfdDVR9LG+Lwt+0sXy5na+Iu0RwvksxgCXVNJl/1KY6tPLixN60UX94E
Ir5JgVPwRRElkQwasgdCopTeXKKzW6SCOCQywV2XWRVhrGqGiRSPX10NXbsUnB3BCXW4GGDOxhDi
5Yicxky26K95UvueW4Kawf/zZUwZPN+Mg5efE7Fj1EsLTBsDdTyhPEZXWQ8SG7DbQM3P+ApteIEn
MO+9Ct+MHQ9MQRAT5Hv8eaiUAGrgLAWHGnP/0lMhueNJkHvaJH+sacAuxTNj7COePbCU3I6Ak4Ux
jAS7FLAF254FfrB88Z7Z4BxBylOt0ynuI3WtZz4T7ZrfW/Qn5p2xG9FU3QhpA1h+fmsLOceQCnOw
xhaOoa6DNXx7HW6dNcX99zf9sfPt4+6IQh6trOywfVoMCdJac1NRrFsEYpyb4C6ISgkMWiswMU1e
mq7GL21E4g1ghRXwmaMXPiAJpO3dBLVTcatn+YT99kXu7qhrDW/7gZ3hNPPM8s0pqNtTEUXBbSsY
wbx0wtIOtdBgb29ZRpnMOhQIFt30Q3CuWAT9/50Cc3SXVkKri5zTrYH+H94o4JBA5Rl76UXmPtq0
h9SzXm6bXHzk/eP4UDC5tDhCxVWtZnw6pQ72MyQpmronLbrtGFj3uiDflLOUQKFv2ty2y9ybXymo
F6Beia6VgxmbS7txmWTAcCbIwbLeLZT3yPmIcWPR+e22HebdV3YY2bUKVSEwCXCuWUzRUCiWGqNh
0Heuk6bTGpX9cV30k3kYI+NDxeL92zYX803ACoA9B/4JuFDmTGcRS5e7cqCahtZSru60YkjJPJqS
V/YDJq9VlkRJYbcH25r14EjWcKfXA95nraH5NsQ1fKso68cuVmavtUsRxGdx44EDY1rLTAeI25Cg
iayxhJ4Gyjt1aoFvOJ0O05hId2A5CLdl3LdCctqlzAvT0ZhhdBSQZvFejc6yHhQpED+MG6d5ataS
r6PzC3ooou5F405LV/q5Mc6haZhH/WQD8ZO3Yb9q4sbAbFdu3N/+xIu7aAIOiX/R7zW5oDPleTlP
Gho2UyztOsgRuXGe3plVdq9kwtb58pL+MWZxsSec7Wo2MxhjIsuBlbiWUIlu8RMhcQDMkxED8J8o
KCK9kXvsWlh5MePj81o3gkjVViYgA1yLmLuWoinISYADgISoDe67ywPSOJU06BIqPUFWf7P1/D0N
MDlRyNbT7c+0aEeVMTSPehvQAFw8ndoO0vRNiSw8CYB4/Bh6FXzPP24bYSeGDzHgt4XoE8qKAKxy
N7lhpWltDDnyk1zzyvR+Aot/CYV4W//eVvtUWd02dz3Ph3zo3B53ocuhXoZaD3tqth6/mLsON4Tj
FXdB5BZ3FrA2kBDs7szNtNFc0azXSan51mK58GFZgzLqOYwbLlDun+xDDdDjClyOZACMiiVOxbrf
yxjkd/WP6BWUX1NNZJKsHGiACTZi6VwgvGLfIQKCdz0XZqHhNoY0k9B2vi9emzdrw+bdQL0FFqgP
xae+Q/6qUYsRN/BtAeYHnB+391ZnNtFQIXpi8oUMT9avla8rr35vCMbdwEb6HH0SrHPpcJ4b5fY8
g0okmIthdPCmk4j8vLdRvpxWp/R+e9va4qZaiGlAseB+5uGZip6beRKmeIo7JSSXf6qmaIxp8VD+
tsA/xKXCnuy4w9Wv1is2sTQpBvh2M9ExESyEByUklekEcQ0z8q7fqgkUJ73kR/m5hhq2clB+yAhw
haeIVEOX8g28wP63ffxjvLVDXWlUWA0qc5s0/bHoZtzlYCTRkQ9HusA3ls0hf4NyAKQ2Ne4eSspp
GpwU5iZZcof6U5xLbjhWAKu8atEocI3lDwe0MyOdg/uzPz9La5y6SkNVhWuAuMNzKoUMqIBORiI4
18sf7rcZLp7O8ago4QgzSTF8UZqMKMP/kXZdvXXr3PIXCVAvr2q7uLe0F8F2HPXeKP36O/TFF2vT
PJsnOS9BgA14RHJxkVxlpvly3sg/6wFQH4p36/+GwuzjJuvi5P36qe+my16+kiFm7ZmoG9hbQXJd
614n78fSk45l+Octwgw2s53hvctpLkq6nWUPbMKKr+01kDl46gESBF/q76rsFl4pqMTgRnohpkHb
X7B8qOE6XT1TLgtzTjGtg///JTSJ85hnr8ttiUO+vbG1fV9cGenfhCa2sMxRvzZFNEwRLJRmkSp/
vdBacPL0EODudqom1KTnHVDIcSAfBpJUMEewvVh5PJZZ5pQVPHR8Tykz6rvKR3LpK17YuxyalOhJ
ngJw8+FUasPGkw7FVYd2VyERCjVT5qTcfgiboJMiHY9uGx+i3ZRfJryHIa/zwwrIkUpALqHqdzs8
EDyBYdPpZFGRIQBZqQ1KSBBpnK6ykfZ53Hbo6S1nv3mETnYwuO030yW/KAfiv+C74TgFsPiAixC3
YFr7wOyk3MRpKNtzCWu2d6YU9L/Go73Tn+cWR1WL0qnxKvrueOnBOpId3nq6Eaw5km404D6650fP
/RZ6btmUauETFWPbS1nSqUPp61N2mPsyd6H8m3pZlb79JyB2bRfiWHm3wjX1srTTuuiu1Lr7dOgf
zsNwvDta5H6Ph+3Hy/FgrIpxRNQEAnuqk/griD4781hXyV4yq915NP7s6SrIn8CDD33PU9NJ8pmQ
riWl36o3Q/VlUA9N8noegvcyBpsfcu/QCUefHHtlm5QqSqc1LhGEVz0EGW5kzwrXPQgzIWHc3CP+
JVS9pkcguyO2kMxxgqUCW4QCSH3XHejbc0QaW+zWedt9C8PMXibj4UmWtMTBX9CqVVjdmzo07pDE
AivnnI8nc8icH1Nmk7YsgZQNylWDaqOpW8Lz6ySCYK8VslooC0og/dgavljLsgcFsgDi/HzhTDq1
tkZWDWcysCxj9VZhk0b2l6xbvWkRUTa89938swGAUPIUabbWJUZSDJs1oNY2mm7cgS63f17fJbTV
W22X31YBrQEoffWGgCI4D+GrbifIn6GZJhTF3HhHMfTf0ARlwPRUNIoyX2Q0oIKRZISFRrd8TvfG
1xwp3vH7FFh3lE7CuBWFaHl7G69gsByBfEFFK+cpYmVHTeZA2cLX7HVnqa2v9ORXOfWiFltqe+xc
4/pLBUFNC28WxnAylPEsfauhvdwp3LY46M3oxsZXLfqa9L9i48cfmyn6dsBmjbgS/n33NpsLaRWT
KmsH+PsCYZ7D3OrltVxFpPvzDQcY+EQDeQYI1jGTZy6F3JIC3l5Pr/Kp9AhIjs8PhLMZKGkZlHtx
PQNZBYMw29qYdmMO5VmSXUXKTTsmfpvBVkeB+gHHDk6A6MbfzFi2qvoi9wCiZJNF8T0rIbqXiKiZ
P/M1INW+HQ/9jA3MUOopGDOl3Jd32eSWqWf/UtenPJBwGxl9q8GryDVfnC9Q1x1v/4XwHp0vxgxP
8Ol8b/BjYmTRZMwdOmzTayNsd5Gvu+SoQZZqwL1DWC0uwmM2tJbYeV1C18tfUL8tUVF3IJr+a3uY
dtVOJPUnWkTmAEh7VWqJFRV+HjWubVx3qC0ah4fzJskFodoNIG1SQOrDmGQL4iajzNLCH9U8NMxk
5/TDq6NEj+dhuJa/gWEM0kiHrEMbXuUbxouhXzodWEzQ5WRaorshXYJPJrEBYkwSQl9x2eHZ5XeW
HcjKPgYblSJNXkGeF8iMnB8VLyOGoryP2WMM0J4XrZVWoNHH1npoDsolXiE3+S6xwYOogdc3CaSf
0q2IZIPX1QhgUFG8E+A77M10IqjaM5PknWwObOTxhX3njC7x471xiSI0zwny2gU1jInYbqm5+sWg
g4Xn74b/8RXMkWuUdhxLC8oRaMRf8cHC0xwhRDR+L3Hzp9omNo7Vbto7hic67vl2+wGtnm79xMyy
clnj3CfTVz1HWiVzPCURREI+EzNSB7eZZmZ35IncgUACGx4dQp1bX3chEj0h7cYFvaarfO320lVF
6+4o6acSRC8QPBGcGaKBMjun7LKGLDM+QZGv1en7Kt0qjujk4+7Od70I5IrwomI2TZIg1Q4Wpc6v
luuKMk12xDfI6jqaFJzfMZyLA8glDR3lJfR1wLYkWI05Soupw2PnyQsoE92qkQIyR899n3mNeRGL
HA93+sAygVAuZOF0dmh9rkFSuAdBlL6mYVN8l2YtmPK386Oia8A6HQWPcMg4QdwTXQ+nxijXBijm
KTlUg/bzVk28VhdFU3kQ4MswwbKOqy3+dwph5GmhdyM8jYEiQbDzW6KyH95EbQEYV+ZMSHKuUJH3
q8QKzV7zYfxeZIkYYd759tm52uKwZ2gZS+NYA2eAOhEo+8an9UX72tyiBzA0QWOn7anQF2XJUP3p
Sh1cA/9vQglSO3++aNsPYY7XOG7meTAjxB/z4zJnnhKJthV/zcCGBNZJShXArJmpdnm8GkDolUMB
Bv1yNgUeWITALFo1jaWZ9ZhMq9/L8egtlemdnyWea0ATKSU+Q5gJlZWndmfVeqdMCbiCuii7z5t7
Xf1lrmqgL1NwHog7lA0QsxwdCEXU2XIQLtWzn6OU3lZx91fn9XY0zEbVV7M2dX3CBQ7+O0TP3Q8a
lCBeelsE6270IabodTuQ4oXnB8cLRCNQBZpoMFMq6GBjgNMJ7PJ5P6MY/HLyFX/c2TMC+F7/lO5o
QsnwLNOb3opdMwsshLutP4BZLrlFqqKqGzGtdQwaMJh4spauPP6VqW9gmJtAp3boQBsAY9tOfyfr
1XBfqKVIpolvI79n8b0+bnPfVyQDHdAllq+rHq0GYyl0//xCcREovTSsXaMaSqfmXkXZDMbrIver
pnGNKt5LliowdF5ilypQgiPVUBQDNCynGGM2ND2UxXIExyDa0bhjj7ez67y0PxIfgVPU8aMZGgoE
zpelcslb+iDyfFyb2HwAnYTNNA6qEeurkRd+as9BN8W/qk7ZK1L1fH4uea3XJwOl37HBUUezUPMG
3mlt+zBNrxf7WqnB5Qfqwsmp3G78GQ8khDCHR5pBsOO4C7kZI+MZa23NpWFATLV11O/xOg1uVnSC
6yEvzIkB6ugBQvUPhKgYkDlylNaaKwQmLsdjMbkrmnr7XX9l3iLPs3j57XKA0LTgbc8f2Qco45Gb
kiiL0mfgEOzRLKxWPdSm0bp3fu14zygoh4D7FOrIEKdkQBx7mpbJwPRZi/o82DM65SXiyat2k0bV
wdR7UakId1SUblUFtTsYtJlNscZRBEJ9nJWRlabo65UfanW9Pz8ojt3roK3VaeLAAncDY48j7plF
LcPuYwTkUuu6bWyvqUVcRHTRmQsOdF6owocJzRXc/E6tPoV+hGomSu6X5IcWX8yxeVgjxY0GEbUB
Z8rAvAU6XsoIrHzSlLdzdNtlOfKyLeIDHXm1ha10vAnDYoD6Cp9M2eFPh1L1SlrXJRDMJrpKSPGs
RPMXLZcExsYfyAcMc/RXeVE1Q6/nvk4GN4o0VxG+O/gjAV00eOBAFsmW6lUoEBrAJQnu4jQDPYLS
/KjsHCGbqPv+5zaGpw1l8QclBii2TqesQyS0i5By9seu8IYm2mdF7uataO2549nAMOcUYt1DhdJK
vP8hwy6tL0iIuUT7en4sPEum8pfg8QSRC6gDTscyD4i8xgt057oY3ma4W+fV0yXoXeDddh6JP5wP
JGohm5MiM5I46ysr961SdudRctexC5t2FZDN8wrowRL8gUO/Y4MTQYN9wkU3fw9YwFdDbwpilghh
H6iMvSawBY4TPUFjjodKTVbcVjB/0P3R3UZbjkZhe06nqK5WVK92EYvYrkSIzIaNQJc9WS0QM4kE
DRyp2qS48akX8vCtI4Lh8WfTgawaLkuoKTQY+xhiVMEkBUjQ5d0YLEEZQBx0l32tD5CefRKJzHKd
xAaMMZEYqao6UqLct/MHcDMEJnRZ/8IIkRNFShRZDdj7qXHIdtxALwu1XW1eXC2R8UR6Gy9hIoDh
7qoNDOMh6hiXzME0oWJUNJ7dje7UvYxFhWJ20XWZdz8B7/fHiBgvITmzkssadMcon/L8RQHN1IRm
qMmboVCjBWiICmuBz+Du5A0kaxND0vcgvMEymb3tycZ6a1iZ4aWkef3z1aLEobqOuDUuKM7papFF
L5c8Q+yxr2/19TGKSFBMolZ8+kfYs3wDwlI+aEa3gPsR4arsQHV4h/2MHih1L2J95C7UFoexCdR/
g6GlzHDdgjm8M8MkiQvhiL3ljT55ji4oU7Mov8DrhtG3qIx5OFoGcmWLpk/AgxoOh/z4Xm/4rb2k
QjdpKIrZCofJGEdsEs2YC8QyabjczkFpGB/1x8JtkKhC9DqojuAwqn0hFyUn6oiBQqcIySqkLdm0
aD8VKxkdBDHstUk8qacN+6h/d2y0/Croa4qUC+wUQUsYb59vQRmHlWhjb5oTymIbYvhFYvnzfDFo
kjvi6fM3WwHVDaZh4uLBxgadpFdVlfI5gzenDOwMQbvcKIaj1VaLoLyMd8CA1Ps3FHuk2WRV4xqG
OjbXVQe92bQOJfu2bDsvQufy+XHxEuhYtw805jgz4z5qe5pfsJ9wvUX7FCS9IF4SgSpv9SKITDVX
ZhKeB+WOUMXDHDEvUJibLOZQzXpDYKNVCXW+vLdv5Hw4Soad+L3UHPpKpHFB7YDxMcjXa2hcAR8r
VGOYTdFXE+k6G0GNXoMaYHSjFILaPBEAa4iVWSxj1fR+6mTHuFwPpDX35yeN4/VPxsDcq0Bdofbz
gpDGIA3XnQ5LGLU1duvpL1iHT4AY++slvQQZdV365VDcI8W3uHVF9tI4CEOF9LQ/tyyMHayEWCZx
sCxU097Y03Nz9UZwdIk6WTh+AkPCrcPEPeqzSufcT1GvRahuSMrxWPW5p9XtcajxVGnG4M+XCdIx
qOLDo47KaZ6emU4yzHLSGQgGkn2caG5jXjuzKCvIs4UtCPOai5Wl6wglN+j0wCz1PfT/DnXs/7eR
MKd/CRXNspgwEjUneFr3qOu97oRMPLywLSTufk8YGz0ddYRBkM1C3TUSnJLbQ+BPRXnlC3h/lJ3x
znMa35DKK4Xmx7OKLTJzI7ALuaqcFgPMDvEeEYtACxGy/moil/tgujr4rotd2vjly/l55WW0kZ1D
igk9OxBvYeMw40KifKLMIvoOjeb+VN/Q3kQpaF8tbGoQUX3Do4VKmknC8gqO5wW0Y9uo80GwnE2X
FKglQcoEQzaI40YoLOqjzIvHGzl2Aht1/IKRUr/KbvAtHONKpiJe9HQEXB8oYRyHvZeE4MbTUTqM
CkXDhWqUwGh5a4oAF5RNUNhHBWCZ7ackFTqLpMxvhq+NXAT59Fj0hZf3oj5nnsffAjEeH1lEvdQ0
AIF5GGn/t5T8PD95IgDG3+tGaSSlAYBy0b6bTX+JGGIsWCARBrM+uZM0tt4AozJ+9dXo9cbknx+F
aD0Ydzimc1IVNOWkr8Sr2sozk1ctmz1pFlUO8XzidkEYnzjqjVYME8bS9UbautYyj8e0LJqdsmSi
2jzRvDGusXEI8u6Qx4Tq85u8wDsu9+enjQsAKm3a9kq1wNRTM9aW2o5qBw/YOk391Py5Cv0ud7rQ
+0bbLlFByQbR0iJ3pjRD0MkowYFs/Eh1MOQkIpZb3jgQ3USDLKrx4PMYI04yS4GeOXgulCHAE2Bv
Sevhz2fK1BQUkFAckF+dzlRl5jX2BZxp3PevmgKNAqsWvDJ4TnMLwSxGOmWGPEmgSdLRC5+VP9XU
cmm0qdd+NJaISJRX8IcnxseAGA8WlbmqzSkGNHvqMd5Xkj8oXrM37o2AePOE7GnjQUW92fUXhuQa
j+enk2cWNGsGoVAwTKtsnfxaEqgjWDiNm+w+Jv0+QhEEOph2/w2FmdFiaaDiWdBzoUNEepwDTZK9
dqz/4spM9SQQKHagofv+Vt6EImec7W2ewMbJpB3XqHbNuQmURIDCe+MbFtrvLbpdLRw+pyYYt06v
lOgHwimnQSowC/M35xoJN1Dddzvbck2Bc+Ct0QaPDaI1lRU7KMPHjUWzgrrI7yVVd+OKiCK5fBw0
/ENPHVmQ93Fvps8CbWlelXimdTU0XFw6NvSkeiWehvUBZTK0/iy9EZ3gIlTqUjaosVGocazg+ds0
j6tRuHZyX1hfz9sfb0djodB6iswn+C7o7xuMrIKQZ13j0QtmoTtb2TfjLxJNOzWOPE36m0N2C8Yc
TA0h7Wz1mC8pKfeW0X4jhuiuwJsz2qhjUE4u2q7EjKfAPXbpShSwgThzJI+99ZLHggpxXj0k/voH
CLNpldySYgOBVT/6Id2Mz6Aag2iF7U4Xheyu4BwzPBBvRy/zfgCrm7tcvrPyBecXTjRQxjlq4zA4
Y4Js8No2bjHMHvjhV212z6NwzAMRHtpND00ciIAyKCVR0Ypl4nhP8nwKbGcJ0R43u3UTK5CSg5wA
SH8FQR9eoB+Y8FIILzngE2YwQbAaZfJKZ/fKPrZecZP4uWe6tovGyQdhMJTz8j5BYzZZayjaItPC
LPmY7ofEjQPHKw/DdZkI5XY4V4ATKLqkm702jdJY5gWg8jH15ghpYSRtRDp17zXUzEvjBIW5yWq1
rViRBhT8/cFfUXeUB3GQex2tmUUNCH1YZqF131+tPmrKn/UgRQk91XVNUF3e+8W1HRZBf7D35Y3q
67a7uMUu23ded1UJC2tVzq345GsZ/zPYeaIPMr4W5SkHa2+E1kt0S0PDaUA/Wz0Qb8Hyv58gd+DT
qn1Uy+hu5g2hJohc8d7fJ9/CuKdsUWZz1NGSUX1Tjzr4/Oo3vbyXEa721qAKyoc4hPgBPGMseh6K
LIM5N5PeUJE4QURLN4enLJO/yhVOmvNb+T3u/MkwoAyGogQ04atsE/6UjwZ611EVpt4p4erndxr0
WXuPfI0OpScf6svvaoj4jI6dpgR5COHLZXC7yjv/GdwF//gKtlFfTpciQRAKu3u+ItJFO/hOvlsM
0bvkvSb9zGjZ27AZx7mxRHhuSfsxoPrBq+ymatjJ7qAdjBhpqQk9Wd2uld0O6VLcmiF++NbU4fnh
8qLKKAz6Pets734DKvxYzzDe7IBuXduNQBpAHpMcMtnoHglsqNesx3R9bQVulHM+nOAyXtRYtGWS
G+Q6OgfssKXid8OLHQ1/ceND2oYqLjrIw30+IOpesQabvmp3Azrf1pciDR2kkTRPddObwvRyWWDH
vIFtERmHneok6TubTqhi7dpqDFq8qOR1Dc4vnAiG/r5x1lHfVGNG22TjtJQ9E0xWj46WqId0iNaf
56F4Vconk8i4bNWpF0WzEP2dQlwtHa/Jwvop/wE/TdlE3fLK8mT0dqvfOmQhCvI4PdELZ/JDyB8n
GjTjjfNSqxR9tSAB+ctMECpylUt6i5e8wUXXg935xb2+F58CvCLFkwlgPK+yNqlR0FJLEka7d32i
zDMtHFr1kwWGaCi776xbVFEhWbdrTM/+j2vNuN95SYgUl/CMRVwcIDt+zDTnkEaO6IDh3aY2psv6
vtk2iqajN5v/aZpb1WEwj3b5kl9pu8UvAmM+dPkOfGKlcSVqVhIsLusRIQxG66uBbhSGq8v9z6Jf
L9O+EjyWeGcZOApU20A6S/9Up0HqsbUXAhuak/JCXtrQFlU9iRAYD1AgUm0ZGTKQi9UG44JXWJYK
/NrnlYIzUxBEoTdQBzp+p7sflaQgbqxJ4meolViSn62hHsz0KdGhomWngjPi88IATAeOYqEbFM2g
p2C9nTqkNnMQLklo+q/rK8chXutE38+7Gd6YdNrTirojxUZx2ikM0QYkzQYHrd12H1bVXpMeU/Ur
QkmgXBGVnXxeIlSqbrAYj6Z1eUGKBlhWp+RXkqVIO3D9/zo/IN68QekXBKXoTMPzhJm3CHJwkt2t
oNmwDU9NftXmyxqJyC+4I/kAYUMMHd7NTVQDpNPTr0mieyop/jiqpqGrj1YL6jQToTFHNdq2CYlt
EwofmqSnO3UmlkT8tV81JfaUthqmEcptc6cQX5oGTVTGxSmUAL6OvkIEuXCCW4xhZL2UqnMVYYiv
CHE0j9ZFDDq4e/PSvCGFqz3LbvkgdvrUBE4vaEBF47iC0lUUpr/Xc28O2FSTR82x4sS3oRczHbRa
q8gPRJZUJ3WnRdLUUHLUfPbP2wwXFSkfR0fJlYnH6ukmSFo9HpAaR31LIV/kWgOG4c4dpciVNYEL
ESExZ9qsQH2r1YEEgiYv08BaUpOdHuVuub78xZiogj3ClFhAVkdTi2rL7CQj9lvwpqnzZVsEzYq4
KCJV54F4ewGeClEiAzWnCJWfTp5qRwRFXmuCrhnKr4m+gVgwabwtDT1QGCJ9oHyKUypV1UaFYgLB
ai7zrL0f2+oi6peH8wPhuUJsORPBSjQZQfnmdCDTbComrAt6lbG8i/TvlSG7VRYQc/Gl4nAeiztp
71okGuTNYemnWARDJVoDrGUIZeWnpIhiNDxDMxHqoucUCujfL1ebjQRybtCpmTrOqhFKCUgYN3Gd
7Pp61uJrVHvow7FFYkD/q2H9RmV7gjNJ0pUmx0rVc/5cmWQJLCcV5Ru45vAxNDYGj1r03iC6kfiq
caGZg6fq+aVarAKfwEWBaBXuKqiW/9R+oOToPG0UukJNdliqIewnw22kvzFtG8FjhJBxs2CpspYJ
DEopJAf9vp3DpsvA+NCDuGgQrAt3MBsYZo8aSlEpUjMlfgKXMyIgWcSNm8R5cN6quTtoA0OtfmN0
dZc3WSaBkllFkZkdH7vyre+L3aj8tMvp53ksnoGjXxjbB4WXoMtgPKnq2FWVtlHij6MTu2pKvClO
LvI5foICe/sXAwPXCGX1pU6OPZambEbTngxaJD1vnlDq47bNzxZRikibPfDFP50fGs85IFmCLhHw
dKBRhHEOzmz2qIyIwWJr2l9ny/6hRZLAujlhLfTW4JNRWI84P5jVT5dKUcigzwqmT71bPNClhdH3
9Km5oBTa34t97u+j++Lb+WFxCjtOMZkla/UZiZkFmOYP6YH47X17lx6da1Rpof3xUU7d4bo4Sn5/
Id+fR+ZOKC7RMrimkDFmC+pQ3TDrvZlA9Ra1/aP6ppq78wCc8PR7q9JvBGZotllUpiUBIQHjgvpI
J7TcFRdS/XP2a1/cks+1/s2ImLOqa3sjJytMpJ9WN540HFSzi52J0NG6Pz823qZGgRHqwkAfBIuk
k7vZ1LEmt5aWFoBylmAdoBeJprrR7ToTeQ0T6tzVn0cD6WQiIg1iJjhG1v7HKCc5wmOQcswu4z52
5RXt7PVdov7NIQnOERMdsbh1fuIQSssRFM61BN3tsr40zP6uUt9a+Tr+i1Qh1PogewkngXvtJ9WE
wTGH1u5LUO0EUP6+7K+XN3LR7UsoDLixp+/Vl79psaSYmD7wCIF921RP162r6yXS0xa3pqa5G2Oo
7jh6FLbdqgsugLzDBVzONDGDWJ/MBjDkMo2LLq0Tn2jlVW7hbtt1V11lCAIlIhjGKw6R3Bf6Cph1
qK7m+r5R0hCRk/C8tfNcxXYwzKw5BVQJRwco5ij7klR69vL63xCYsxhkH4qTLFXidxMulxro9nKB
u3unmmdfUdtBMFt2QGYfVVEYBNWwxdOw9zr0uh7S0lUeke2/qG4kL7rMnq3j4NUPZEc7MYjuyj7Z
kaf8YXwRFR/x3NX2g+jabnxIlchSh14uSKGtlm+kjZvX1U6zvuVrKfDEIiuhX7JBgthobk4osffB
BOqW+UuePuezkGee5xO346G/b1Cyop4nucd4ikN2SyCV3npGqEDz2DeuIZjoa2gMJ77qL3upcUEr
ct6COJFRbO3NjmNOm6kiZtxS+EwPyO2411z5GB0LKLi6Ugk5X/kB9ZnfVjDv+M2/aKIQzTFz+OSq
TnQ1pXOMK7Gcx37slDiABPuEe0X5GKXC8vZZcofawQ4wIHeDFFoV5o7fX+VgK7Bf0SUCyrzhvm/3
lSEUMuEOEK2r0G6kjCps7KVBqfqUG3DXanQ9gLi5IYdRef6bRdyAMJs0Hjutlh2AQCfloP5qQu2i
u4nBK758H475owaKwOVivcK5+yJijOVuR4jOIdIBtQr035yabympUiSPgK612nVI4ur95MZj65uV
KIrOhUK+HvVSFnoL2OhADc1dI6oyHA5ED9qpDB17HtyBaN/luPwimFLqnFm/h8Jdy8FjSgfjMuNm
5GRESHYEWHHAprTCepd7rV9PLq0WdoQUuLyxbeHo7xsvoNeNtULLB9eHLL/QV/W6a2QX/S9HNS6C
80PjHUtbKMbhUB7EbFwA5URPRfnWCGUZ6J49N3WMSxmpsM5KADD4leqCnKO9oIfHcKCCQfW0tx8b
bDjwpc0PdeXOe1FElVM+o9Gi699rxzgVI3MaUx7wAfoOVX1h9KUKaw8MtNj2OwhoopA/bHbgyMmg
fnAgu+HKvhd9A2fbI9aO7UB5UkDVxJhPk+DyJnc9/Jm6uhkZw65N3Ckiggu1CIY1m3ZNu0EFjNVk
XlI1uzpZXSUeBCchx2RORsOYTK4VWaKWgFGTBwtkdzMGdN4oRQNhbCZdyz51JiCkkezqoxNYaB8a
zfhvYFCDoYFSHNEslqxEazq50KwGA2nfuqLycuV6qUVsE9yxbEAYb6wujZpZTQvenbz3QHjgjmnk
qVBbOT9l3EXZwDAmRtQizYwJMEXrg3zEGv88EQ6G7A0AY1xOGRvGnACgzzpXQoOyZF4vfSK4gfBn
CyWj2CpItbDxkGhOo3U2CiQn8iZ2tUR5SGsoxhDLEaw9d74stN/ZiPAYn0K/eGmSfG4nrL0uuYNO
7uLWFB3EXAzwiSNpA7UtNN2duvGyH8fUMIYYxV7JT1oI1T85171fPSf7/qHxHF/Ubscp/8CsbRCZ
RVobTZkUHYhp4eql/8N8XvfmIT3QVq/QQU/P8PTn2myABKEs9BnBzGuy/afxNJWJRCFHq/TK6nI0
RQqhvGmEf6QrhSSKyjJ1lLOTLiqVpG+Hy7gk3gr+2vObh2d1SIhCewK98WggY46IrFF6qyIlwjij
sbfQEg1FxdCJRHLxdPaZoxB8E79hPt2OdD0Z0hEBDyJNvmW+mbnkdnUE9tr4vw2I3UaLGZEcPjr1
Qd3nFzVxh+hr2gnOAcGsvYeuNrcUPNonrbEBgjE/gjDBH7r5ZnSQIT+/OqJp0063UYXb0BBZmLZW
lQ+5pB0iJXkdnQLceVorityIBkWNcTMop0iNvLMqCFXNMq4rpnEJgcNDvfaOYFT0lPxkDAhHKYjb
oPqUfQoMbRHNSwQgXJVHj5jWXh66xI0SJOMn88ZWMsHjnTuyDSAzslIjiVQ6depL+ltRfEvVWycT
0DfxopVgfv4YFP2GzexJ0MkALSAwwEdVPSp+Dykn9XFZQuOIm3IoLKflmsYGj/F3jVkOs6EAL/1S
fyF+f12FKGK6VkDEBSGS2CO76Udz1QruWbwHJMhpcWjQSx2SoAzshGzEPMhr6neoeDW/tF50mwZU
b8y8iVw42V16Ewvr83mTa1NOCFr+huA6+whBiDiNBtKnqO2LjpRrLLBRQDv7CNRSXj9RAQ9/lBs8
ZpRyPCONP7/jgePHeiwOq6+kvvEVnYSF5Rq7NZgfqEyHeF05m+NkqMwV00LaPNPbAbaaIAKhhGWQ
5m77Y9jj/kE81FUeuzt5X3jGYRSVcnJOmxNo5u6ZjVFMhgijzrvnyEGVZibi4eNsxBME5rSp0tSa
sgaDK0Gvq5MJAoaPrUjRjUPvi5Dpx+qx9B5xQhyz64GiPJi7dD/G6PI1g+qSvFNw1N5wEUNNyuu/
yWFSIuj+zoqRikqNOV1Vp5/BBFdNE7k7ucBnJKNX/6IZoRHKKtoeUpJ76wkKc9/kS7t2/5WuCz0Y
GBeLKUC+HTwqSFmzwqC6KZG+kqcUqSjokOLpqUPbVXUR8zGf02C6WEZXO0KtCOGYUL50dkULYusY
L3pkFgXX83/YvB/fwhxiTq9DR70foR37oKL0v90hUBqq3/4lGQnn0X0ycsbX61lrW308w1UgWhEH
8eJKiuu8xqZroAab1ucns78o6EEM9Nin0hGxWCKCEzQ5+QjmMBgbUpiahOkf/LFw0z2uor52lz6C
MDuIPKFT5vuMjxlm3JWECspJWgE3hc7r6iffyCNaDbwmSCO3KtzyEY1AvvITpIXB+fsJp/ib2vgH
MuOtTJItWWYCefaayzi6nlA8G8xPUBG+cLz8UoGufe2241ELlgszzNw0FIXB+S7l4wsYpwUibfRh
9FjvATGpBU5zVR+nWXQR47vGDxTGcZlpoQ7gncR+6jVXta/mRiBJKhgGe0GWtFxOtRETWa+WjYoi
69EZEGaziOBlJtge7PW4quKidmbg/L+eTr7TcJb9C+ojgQNib8ir1dsTocuSXdbPRvrOsWD7yl10
QxtexIrc/+D0f68Q28wkrYrVgpCN3oeG2rWVnTN6yqv16sS7Lg1ohXe6ix7K0uvyw6J5SXynp8gT
DlfzhTCXILCW97fq5i5YNDAWVYK14C06QSIHDUFZ+H5Jqm6gHxZUO+kx/np+K/KKC7db8f33DSjq
GodyAq2Vn39Jr4lvhYvuRrdOoLvFc3E9XZeh9L0UgIoGyjgeBcfsLK8YaG3JXhW1rj0KuitECKyD
KaDCuFhY1iq3XasAkUMq8GG8yMHJxDEeZJgL0js63RKGOwdRi9Qe7U0jkO12h+dsr7qSL+o4FQ2L
8SeWM5jLGAHTHOxjnY1+izC3wCAEW50tHKsRzE9aFRjzsQfrRutBLaYY0T1ShIn/ui6e7c6XZRIo
vzrTNffia7RgkGxRmST/bxuoYPxo6oM11oKXpAiBnsMbm5dKBVydPYbYDmv5JR2bMZw1qxYU2gt8
MxvnQdazcBa6nbNxPihJvOvbaFenonDSP1wYf7swtiokAdmdPE0YjXxcvjTIsCCP9c0I02PuVZCm
+RUh54K8q5265Kl4E/Ux/cOj5wOeTsNmMhMw/EjtBAdCqZHU5zKoKnfAMU47Qslz7CUBOreKo4go
STS7jA+J9HpyUIaCUS+Nb0XfUNThtu1OsBlEKIwfkUu5bC0ZKHjXmNgD1n55Q8Nr2Iem6yReeUs1
XVDJdB6W/tUz13BWv54KX5k2wYqufX2ZlGg4crRgdpTAjI4GEi//DY1xKnGU2lFSwU4nZ7mNkABZ
Wi3Qh+EWhe3f5rX78+KRrd9kC/ad0sxnbcDg7OrnEt/UWuI5ogumYIOzlCHtpFrR2gFDHcuDM5Q3
fZ8ImgJ4JXQn42CcSJL0hYxTBqc1+pIedaoA8+JA43T2zdC5swJrh6aHfbETyVELTJINgy1FS7p+
gUmW40sOYsgJFP6qfXfeJkQTSH/fbOpsdJIYwX4EXsmDPCFcA0qKv0BwkNCXaR0ghHVOERRptKYR
vItoLwVnQzVca70lWiLuVG0wmKf0OKjO1KUYxRTK9cU6uWhd0Px6R5VJ5dGr8Lj7JZmuuhf5ZBEw
YxsxWHFGU8Lg1mR5UPT5W2XkQWk0h/NzyL+DbAbIvJFX2LhdO8Chkku0uKi4qXWICk8e3uZBWbnp
gyHA/D/SvqxJUpvp+hcRAUIC6Raorfeenp7thvDMeNh3BIJf/x2N/T2uookiet7xje1yOJGUykzl
co62q29s05nIhWbYfSZkr18C6JoIoijxSHtT5i9p8vf1ta1q4JkcvcVnGtiD5S8TFeQwgCzu4iqO
diqN6v11Keve60zMwo3IDNQO5j87GMNTAd2sAF3WqPY5Mi8Y+VOH2i/9+D43NlzL2j6izI4uWIA9
optzYXX7MKIRqKoQA9OPUSd39XRsWelZZhpcX+KaLp4JWvYECpESkRYQ5DofjORj39xm5YZOrIpw
bdTsQO6KmtbinuV1bTROOsEkmfPoidAI9yINyY7RYSt0W902jGJZGJpAR9BymCICH7FddlgNKzFf
WIJ1tdw7UbUjm/MAawpoA+pcE0VB1rLWPeZzbrYJJMnmR5nhBUH/4O1+LmBxk4yUY5xGC5jrrybw
moqy8Mn4B9cIM2PoniIYpyHLfusqmgiTAt5iwKhWU33o861RwlUjdC5i8RDineg75UJEfMITuvL0
JYq8D73XgYIo6NH1tpW8WVWCs0Ut7k7dlKqfdVTmTo4fGea+JOzYKOfFbN/Pj4ylccD3AxnMBB7n
wsI2ANsxELAgKezOAam+O1OJKGwLm3tN11ANBvoT+p81CPOlsQMkkxq6mkLXyu7WEeFOlPaGv127
o+ciFnsmi7Au8hkiRqEeLZDjlUoiLm/DDfCdDTnLjFSFirppggo06Mf0SCN+Q5L+Fy3fz95hoyER
C6ImE+wNMiXHm74eSxcqUA0+s1JM6rQ7dzxet52ruv2bXMU0bRCsL1djINBqJpPpJLQCU9PYeMPR
PuiSVXUH0l6/PKg/CI/PJS5sqVMmk3SBCxg4tDo0xfzAh+xxAAjnhj6sdXlhBwEc9O/SFjFKPadO
n7oQpJvL2L59QQMi8KgP1b0BLBrjMKIEGfkDKJHT3eSlr1tx7LrO/yd/cbPMPkGtMIR8wDXt3bJ4
Eob7cv341nXxPxELC1vhPOOmcpJggo0IexKBYHD6QJx+48y2lqK/4yxWAcyZM9oNdN6OnuqZ+v0s
dtdXsiVhEaaATcsG3wYktNwKzJz4Cdt80Gzt1uKtGyUxiVILBzL6/KDxhvo5yNHvB3gdMwDGd49o
Mscs/4Yi/k6xLiPKc0VcGL8Uw1GlmCFX8xIQBLH2Z530dA90j+zBDf2DkvuF4i8sIbCiO9ZoeaNv
+nPQ+eWLunV9gJXs02wTVGrtLX+2uuU7J0wz26oJpKX9rqQHip7+ggS9A4SQfiOg0B9+ZSOXibM+
ap2pcyBKQ2XZt/2xOMlTtn8/94Y2vf+7Vb9T6mfaPralSBoTusimfjeiJlq1xv11dSdbu7YwDlU0
83CgWEofDEF/Kr8qM0iGoDnE++w5fgHqSjD7akfuyodelx999N4/pd866cnH/BvcwfXvWf0c3XSC
+UagnLoLoyzryOisDEse3Mhz7Q8NBLlRubebu4Jshbir9/BM2MIwF2bYzjG3EReGj6mJVr7+NbH7
4PqKVg3KmZDlBtfKUjOGyQIVWgHYFl/FbNYbu7YlQ/9+pihhxfq00aHAlIDc0+w+xWH3en0ZW3ul
fz8TIQCPIuMKImw730lr2onxR8+sDSmruR5ANP/v/Bfmt5bEyInerTHcqS/1iQKLLQys+qApvzFj
CFNFwSPlA3pvK9bd2sSFVQaOILiyJ4guZ8OPyuipiLpf1zdx3QKDgVfDbLtoR1pYxCRHt1WvXXEL
Flb+13hfo60KqG5gMfbRK5OrTUSftbkZTv8TSRfpn5JbvT3o6IMe7P2MTPWLAcogYw6MXYLkRRU0
GJN6zQ+9j/RutPmCWA/szuQvbnQZFpq9HaGB9dh9on4eoDN7Zx1mIKGiuofmoPiwscmrByl0FIlH
H97KC1UFzW1iqQYrJgc335OddRQ763n6MezQ4b8vb8r7LdVZvRxnEhdaWzQxclAxJMpm8uzIBVkS
wOOw5usr21rYQkNTYc6Z+G2rW/lEktRPaPb1uohV+3u2kkWIYEZ1OoCqACZxLkFr+1eZ3zXppyQz
fWCz+NdlrQfGZ8IWt6GgJMLsOoTp+KA9AUMTQRDDfed3FI5mB3pxHy0gH0mAN/sjkM75t80uoI09
XSZteBP/+wqwq8dqSP3CMDaM84ZyLCd7+6q1ZjFhldn0nGW5Z5b3Etyj1/dyaxlLV0aUyDAbhN5Q
xYO4nz92ZvP5uoitdSwcGTAEHR5q7SuKv2fSBkV9suON+H5Lhl7mmZfhY2uSUcdw7fTCywhP6CxI
yLyRrl5I0dgwSAQCf4xQZNIwoXUpJWeEG00PAs+wZe0J8Ij9nUAUdkg6Z3q+vmmL+/RbFEHbO8gv
CcbOlrCxDp1AKFGAUJZYIf2GucHw2A6yDkBKMn0lqSLPGXKGW/GAtjdn8ek/UpHu1JSL+GvJJjGT
XDCQVJeeE7XTwaaKYFzFjR6NUMpH5nZbj6Z1eaA3QAoHOTx7YZjm0AC2iwt5o5PxY985LaZuKzUP
vqWQJreTaNw4woW+/7vC/yQu7JSRJbWssh5HWGaBWeRfxJx8v350a1qiUSIsBgJuEwpwqSWDqi0l
jQHesanqvZAlIH9t8onWxUYMvi4IEEwYGITPWg6tJ6MxibGDOsqsyG7LCB1h6KioT9Hk1sH1Nf1O
o7zRDPafrMUlNiThRa9VH13f1t9oHAOGd4S6Vj0wc8cSSxy6SGWBIjbGwNyKlKdsJu5u4yu0z3/z
FQ7gykBgiEGXJfcSrzo6ZDbms4lE1whYeH5VmNy6TzHiF6Kd/kfb99Wv0HQSv4ws8wjG3cjPOX1n
MvAfJcLkkGAO2pbRNn15wm1ej6yMFTaepD8BKnUHI7DRHrMMf/6RwTHIC7gRE4N+i/Bn7POUWFoG
l8XOicO9SpzSwyye2plud+uq7pthWei3RUu/I0WgBLhDFFfGyYiHW4t3H67v/ZqyweqBecEB4BP7
/R48s7CDDS7ZviorjxSYhoHHq29F6jqfTfzrjQTlmlUAwA/WDV5eDUJ+ub3D1AAa3M4rjxod/5p3
ygkxzuSiDG2obAa7mGGLcH99eWv2FuBxFGPMEA0DeCkzteIpisYaXbtNlkxeb+VDtOtMhSG9Kqta
pMpj2hBvKroq3ehCWROtETUwBYQMNobELkVTO8c2DAZMkmQGxVNMyr+copuZFxm1QM8E8CqG/WC6
obMRSK3eatwiOA0bJwozcinanCvKQT1VevEQtV7Sp+Gz3cefGhU7hwo8H34Yoc2VDO3PNBXjYRr7
cCN/u2aPNb8VXADBJixHnrOukEUO0FQPxmUGDJLC672m/cZCV7aYgIvUhZfBdLXz+7KdKW/hmHll
uBz07A2v01vMSIbFoY2kjP14KMtXMShjN85luUVIuSoYuCIULEIAWFzyctMmSTgAs6BEdkluZlt9
IW31weEN2Qkudy68++G6Iq+dKYQh3266gJ0HDtPlmZYkN5yJptBkFJ4BXBxG44RxrBgDJFNTWk/z
YI6/4khzXDtjllIfb05ZHBLKky2iw5WLjOYBgBQCLVtoc3n5KYyqFrC0MWyGleE6Z52DedEc1cl+
b03U+rss9NDw9fWvKBRecGAlR10QUyzLi2x0hRGbbVF5YyENN8hQDK8OsWs3W2xEeh8vfREKG6hr
CO0GNOjk5eLQtYDbPKWo4M8VuWur7CkKSfgEiMjRK+o0/Cbymj3yutliInm7QggGDB4qnqat6bcu
BfdVitybQg9X7vLhMOa5vJeizj9d38ffDma5Pkw9AV8SFVvY4cXhRY2ikaDw+CZMgJgBg+0QL+7M
GzUan8NaelUC0PMYEImsMx8kgBE2PkAnGBYfAExLCnp5zLpjJknfrbNLm4FVI4k6C0y7au4Pecvb
Z8IbsYuAKLIf8q4+uMlgHEFFzvZFQspbXqTzhuFY2WsLQT+wLkEJBMKKxTc4mSvzOsY35IZZjF7D
LMBWFVnYbxV79G4uFgtcTjC3I3XpunCyl4vtIgIPYFBEwny4HbIWyD2pjZJ2hKT+9X1dWRKBbdD3
EiBfbyCqpmrqjEgRBC+zE97VJlGBndqb2J1rCwLqCti7MYoMbN6F+vCiyaJWuOiXcMYO49uGsa8N
EN8nJVfeEI+niVipX9ImQ4ssGzxeMuK7StinHDHePsa8/z5sKuEbEf3EuzJ9mt0w8uqxqj1hsfRG
msAeKCt3N5EJDLWJAgOLdEbPcN1HwEfdgoTqtenpi4GReM8BNToGCMK94Ua/prLJYBKK3i8zA8gC
4OWYK/6pSJyvs2kAXiArwR1cYqZmTqLhptbG1CyZ9LjKvqeyfkmr8bvlChmMHT0RGJvA7or7XNmv
g4r90XXui7R/Smwg+uVin5VZ58mGYEJ+7rwkNZ9l3D5lHfvc1wMoxuz3h2oIZHDEqIrj2pjLXPgE
xFhMeUWVZ4UlSJ0blTS7LudAogVUWPxyXZ1WzxlgXRagmDjGtBc3hJI8dZMQNp7lFvVklILEvJsx
neuKeuMyroqiFMCPYMTTEGSXd8RogIIC/jdEKxWrEBGKfWH2LyZpX/9gSWdyFnex7Nw0LQXkUMAG
Z5XjxUA1Tcat0em1iwgp/1vOYuecGf3vTgwxvIt2jUxfCjva8sCrWwY/+C848ZJ1G2C9auQqLL3G
fC5m52BFYIJM3x9e6cgZ7wIEV4A5cBb5OCDqRo6R4K5XXbazk/FrU6d/Gfj72oWdyQTbeBytruo/
ee4iNU2abow7iufQYFjfY1e6ADzqTW8y3Y3oVJ/00iojiiKI0TAOBZbNS40relXPSY7QvMac6kH2
sXXf2mZ6aHK3vAWh1HC6rnlrKnEuj1zKUwgz6lI/BbJCHITLnrkqPl4XsbZ3SBcADRRNbdxZnhXv
JZ16R4vonft2SiufxeJ2nvONUuf6Uv4nZ3lG6Csz29mAEYqi4tE1ymAS0a/rS1k/HYQosDx4LC6z
R2CX+3e3yvihDJNv1K0eZ4PsdJriuiR9Fd/qwX+SFjE1UB2rNiTYNBY9hS3GbwzXc0tQHdl/db21
vy5s9YS0JUUEi9fgMrBMw17QQrOOs669ifhwV1blCyzFHxhuV8AxAzTVBcyr3t2z8Gqis8WyAabB
tNAx5dYm8wSCA7jq9J0tWshlgJMXGBFICyG6QQLhUlRto6wxcqyIDL06jFPdB105qudYcvsPfMS5
qMWNrUBlUiQTRLUtBmAY8VyiTkm7kUVcOyJAbFOAayD+fvNkj5SwimmCcjd8AGHnF0KUx5Civ64I
a1rHERQCTgFPdEBfX25bKqaRojUQV7Vkz26OIl8vp2Oq7JeGwVOU1bSxrOWgyu+DwhsZVVT4c6RB
Fi6pzEhlGTYMOQCd+ts4Ne0HO6ftPs9ATCqSTB3aWEl/nqcvbgwqSdGK/sB05slkk/Bnp6UAtpxt
f2py52ak068kjvhtAriqjaTJ2t3X8MIAU/8NOqdP6Ex7TROyZIJ0FJ2GlwygnblrgO14qnIv4v1W
5LFmzAB7ihuJRlNQGSwc3DyaXVgztMED8Wo40aqQh7lz0o0buSFl2coWd0U3FROkiF6GHmfRB9b2
bXBdqZZT2/+cse5itKC/wExerKWPnM6iEzJdldtORhBVyCLc4z+uLX+WTUc9DAvVQwCI3q49ZPWc
I1x3VDf4cZgkEjxPTV7uaOmY369/2OqJogqpn+147y1blNHdkFbNiId7h8kavw179FjOMr7tADET
DJLG786eIyljokcVr2iKFmL7UoOifHSQ/0qQx1buX1M8QHukcUpk+Ac+HfNAyMggT4AeRX3qZ5oa
hsDnwYurQnKWTKd+DBNk9HJz41jXLJIgqBgRjcbjLiMVMJPRlE/wUM7Y7FjY3IygP7PYO+tsv5Xn
XMwiQEGiSA1MPy1kjrkWa/TD5ElUWyxKaxdBUDxPKZwFMv0LdytFmKROh1fXZIuy8oeyQKqBxpUt
379raBkBDyXwapBsXhb0BA+ttrMr7FRDUmTY84+V6ZLAYLzfX9fulfNBGRXlAo6oS2d6L7WgoLIK
C9lUoIOrbsIpn7xwpiLIWPb+awQ6BuSFGJT7Lf8D/H2VOqyrvFiat60q7xWdb5AOINjAeQvbdW1V
0AkQMjuIJt/0+IYWj5Xr4qB4Sk+YdP9MeXOSpfnj/ZsHt4T1gHnPgR2+3LwqQuJknnBVO87D/dz3
8OzyhG7tcvd+QUjBa1xmzJci63MpaBh50osMXgUJ4fpvo4zlU+4Y1RMSbu7WeNXa3p3LWmiE7aSg
omggy26NI22jL7QyD1HWPP/BkoCOj/QVggi2dCplqFQeSTgVZo72I6Zprc8gPgXkruuoj9dFrVhw
9M1g8IO7aFLC9b3cPZoQO3cb6LgCsG5JAPOLJ1ofl/s6/Pu6pBUDcSFJ/35mU+22Q9dmp6mE4+kL
kLTBKTllf2BSIQQbh9KSxWBUL4Xks11U5QxH6TimCkLaBEPH972pho04b1UTzgQtzB0KiMksBKxQ
lcg9T+IHPqqDiOONttr1TftvPQvHbzduXQwEYlCMR5osJ7/aMNlwdishK94UYGHANbUxJbHwD7GB
mILMkFHn6hjxLxEdPTO5Y6E61VsjpCvbBmOqQaNQYNF/Ls8n6fJ4MIoR29a1X/D+D/28IL96id7r
69q2JggpU6DCg5cbOPv69zNtE3WcKYa6jdfa4lfiGq8Nb3+UNpg0rstZOSDtGnSywUXKe+nDOybN
dmq0N+rAnhLuKxTg/m8SFsfjpE1ZhlRHzaFV7dKue2BlswXUt7oMBIzwQtivN04hG5goZwdmYKwG
zBZl8VfWJj+vL2RFz5AFhBtF2RDgYcsRW7yBOoIKAM4eiWCX/qRh/aHpxX6wSAPdazdOZlUDHLzG
8eYDyzddqJoFtF1B06HyQPatdkYpI6+NQ7HrZPN0fWGrm3cmaXFCAwjLHaUgyeTFo6yq547Nv66L
WDHTHONy2DYCvgPMNl6q8yx6bakl7AATB6O7bVskhl2yR6D6J+p2JmmxmCwaQlZUkORifCD3JyiG
seczRar+/7akhecpXZG1gkBQU9QP7lze1RFYE/vkL7cqXq6LWj+g/3ZP/35mDBhLdBIaY3SRAmIQ
a7F/nHy4LmNVu/He1BBM6PxYNvaEkuciT3FNjZkFJuqX6Xwb2ca9SZXnNq/Xha0u6EzYYu+ETAlN
ewjDa3DqwOqWWoCjm3rZbfiGLUGLnYtbydFloI0PcQJwte5QZgmur2XtnoI5BBU0lGXxZ7GWMTci
lOEhorNdPy2MPRooQZ2wVWNfu0G2Hor/PRz8hm5S+xowaELdxAxwNcUfI+RlMif8JCtjyyks+7D1
kwvMJGBpBBotmLWWbi4VeYM0tAlTN8xJ5s+GSsDyEqp+R53O2cU2KR7UWLmBG6fxMZOqfkKdvfk4
D2V/qCtmeICLSw28N5z0OY3s/EMmCnkX4o/rIWdnP+VVXUwbFnNNhUEBhXtigy4GhHeX1wTGuW/n
Bs6ZpyVm+01aYgAdiLpNQcSjG2XKF4CR2chf/SZiWuRpMfgCGw14GLy2l54aXQiOGiZczngyEuUB
3eVL19MvncrQqUZS4UcOitddgb4Ioy4+6HKYl+RKoIMtb7zWSTE3WMQmqKq4utEV/j0Is4Yd+nLU
TvKK7ys2cD9iQNWLZNjvm6acArdxv82zRbyu7mw/rED1I9PxCyCrYq8woxuqLObnre14pV1W+9ys
Ix/FshPyGpbPTPBwGfIYdfbftQhvk4jfy1b8ajjiWclUdFuTgt/mYf0FNAtf8yhp/DjO3CAyJ+Yr
kxT3Zd+zQ0ezGzE1AJow28g3Z2b5TWdunera/ULdmBPzd4v88r1csNBGKyoioUxkue+m6gWc67sG
WY8N9VkRhPoOul/RZqu7kxYPMV4ojvI03GAas/AUj0CI9mKe1p+aJAW68HutBoMCUthAB8+XN8xG
Vj6zdqrwwGtN8RFpRLSQ55X0wsj9cl3QW7uB2XvQQxFM+0PSMrM/A5HKrlyByCibTRGYQs4WDHoL
sMoyT4D7y2s28w2bqF8Pl3cCcQtaUZEU0uHSsscLuY8+qgt9JwzrRx+DII2an+AfAzpZn0VRh56a
358vZSjHIDzTCNeoCi9uv8jiENNL0JOimNzdIAx1zLvO/Hh9O98qCdgaUcZC+QJROYzkpY1pQZEW
JtoVczd5RE7xiAt8E/P4DzbwXMzieVaUqDsPI6z9XBVgeHXcn7lUd9yMXqKuxiRuXgTAjtoQ+tZ+
6rXppimBSh1SU5drK6ZaptzUEadsvFmSXRxXAaGdN45f0L/gX99JuqIj59L072dBzRSltCc1pGGS
OvNoxu8dMzlcl7F6WoSggxSg53hUL1YkpoTRfsBpDb17ctP7Ggie7Tzs3y8F+QcNCWBa0EH9FWcr
UTIfeT9iUNrNa9BRjXs88U9A3/oDk+EgwQbdcynH8NWlGDGSxGlQLfHKGN2ibZnOHkgPdyoqiw1F
WOnDYtAC/SDU5INI5FyKijr0oPVIUiIvHiMXSmySoQ2Yi6Nugzv1SZ8cxw45icmy+0NWxPA6MyFx
7EuZvnMmEbEIXnQYRkBrIZwrGtAuvyVxkw4RFc5wnn/G9nPbbnT+rukIapG6eREQ4miVu/z/q8ka
s8qFJQY0aXrX8D71RitJ9uDvszcUZU3ldXoHfG9gfMNb9VJUlGRuH0ewxVYsQSfgVLhaZhxunN7b
a4ysP8wunJnOKi4XRKZMiLAykA/hfER+onzOq/lR2Gm77/rstk6sd7dGXApcLIvLtpk7jQVl1j9H
BeDf/JsNAKX3XrJLIQtzgSJYjQYFCOHt99T+bgFpmW2pwkqdCkLgPdDj+Lt5diGkaZOmM3IckGqG
aUKSR34Hj60dgOmq9goYj4qhXQ7XBrhv4aQ+pm7LfDmw1I+sufl4fcVa2KUTxYMCKQ1UYfH6R0Pg
pbZYQz9ldaZXjI4rD3CBpU/Hfit8XRMC5HdN0Qr6iWXLXE3bro1rhuKK6/TSHxvop4fnYZ/6FLHL
u9OBGtsI7hM2BT1Iy7cSw+wvYTlFI1X0YM41sKQz//qmvb3NkAA8efQwgPAQC7vcNM1INogZJyga
KxjSz/b0F3fen5zTQmwBqhtY/DclnBRYAUNkYhxlbMf9JCwvoh+c2t2wFutLcSEGYRsq4wu3gmi3
UFbvwPAx+JK+Dh/Rt/61NLaoZrUxf6Nn8Pb/X87C2Fs10AHsEXJ66xMtugcJ+gl3fCymH9ePZlWf
z+QsjsbIWCQmDlUDbT3o482bkm51Ib6NO3EwDt7ygJ1CSWA5stwKjKvJHra84h2NgPxIwdZWDDVC
erc4VeYk9wXc2mMr5y0OhTWri4oWlA5DevwNMBR1Jj4PUQ5RKHoAH5iEMlDxEJ9CjGvZD2HWztan
ZhTs9fqurp3eudyFycrwcOsxqVl7UW9/nlqMrdQRWP9YYX+c0624fk0lXRQudXpgJc2aGEkb8wau
ZWoIyD0xJqOx7MogdY36eH1da9riojcZ/aQ6O73EfLanobDMJIbZHUZ1F5fJGFhi4H9gkM6lLFzX
mBLFRoUFMZcca3RxeKyUW02Xb3cNbDjaWsKtIIhZvkyqKWeyMMraK+fqi9kBSn7+2rnm1/duGKTg
3Qrzit558MpfWj4DzWJpHmE8syLJdBcZIGOs4iZ9t6+HFHQvYAKNYcJsWVPubDoMZoV+6CQcwxvJ
QjTDF2BfKcJuK8H6VgPQUoAlISUMIDy2DKtTULjgpQgNQNnjlk3uMR2brXant7cHMhywGKOAhIa+
pbuQYWITzODXHmZzrIgcmuq16xnyM8ZG79Bb8wBBuDT6DW7hlbUwfmJCyzaFP/fqDtBUc9IDgNp1
943bBDWuUmL2W2NAK8EM7AL6bVAT02xWS4wZRvLJrHRYRlX4s0zVjxAXe4eS7QdhGC9MzXcTL+5t
ZTMvj63XuSofqNNurNteomToUj2a1fREseAU6r9Iq4wqdcK0xRXr2G2idiE9TAZAsWt/kB7+mbt+
VXwu6y+F3ezG/mdYA5F4iAMjAom7G1DhSyGQlAblRPaIATnPaIkvi2DgN3k+eh2uk218bEFZO889
UFf9JvoWofuep6YvkZHP8g9yfuKVuW/VEJhltgv5Dh38Od0BedMG/GfVl34+PBK8cBNp7cdubybH
TIV+4YBcVO3DIvHbjt3xLtlF4g6gUbb4a+AsKOPWHx2FrDyYQKN4N8V+Nt/wpPNiK/TaotnVTg+c
jLj3Qp7fjTJtbopYfTXQ7BYZ37g45UnrW2GKPN+3qOJeCypDTPYcI8k+s+p17PdufER7JDoWLSvy
reYu60+T9cglcNhDgN0QMD6mxK+ANGDnz3T6GPJ7M32NrWOM5NXEPlly3EXFKx0Ayt0fu+J5VB9z
c5+CKasmH6Ssfdu9GbMBgZ/tNfOjYz6GGI12rYes+kWr1JPqtTVgSNqb3ogAVUSQ8g2DWER7Hv6Y
QSlnO79afpjth8w8zi3Zx4iUgYznIz841z+YytD0+1cmMX8GFJYQjL8AS2Ox35uNX5Wfe9HcUFEG
c5Y9Ym7Ns7j05ux+qDNPFnuQnRLpDxTpHDV7it1kNqbsv3aMo+m/OanSQB870qpy8FJyJDYMknGg
+T6Tls/xlnN9p9zH4QMQZh5UfhjH2Mva+7EJTEA62VUWVNErw+GHj9b8OJovY3NLS98U36vq3swO
pAJqxSBv4gw0L8MtqZ+j/igHDIpXHxTlvjM8hcMhEv0ukuDlNJ6oJPsqlpgh/Upm1AE+kdb1zewl
Gf9Szs4Iv5r50XIPxfh3NL9W/R0Rwdx4E9pT+xsn+xClO5Y/k2w/lK5XI5fcJdW+a74pvMHb9HuL
GeSmd2A8kh0zToNqvNI9Fe1xrjvPFbdlN4MjANiXw0NNT24OchLWB1znc3LHT9vJq/tvTD5kmBUr
42MiiKemr7P4uxqQJ3/Js9TLAAKq0p0VPvL8G8vZri6TG+7UPmPGa1lWOyNzvZYJNJ6qG6LyY23v
8t7xwjT3oN772rkZxHPcYAsGzL2gIwhjgf4M9Ggjl8fELHY9ZbsWzN05ZuN65ykze28o+L2qU/yE
NHNJ9+mAU3J2InwkVVChlDALjxjfSaieGjnsrPaIUZkMs19Oauyv+9C38SNsFfio8BSCK4UbXfjQ
MSIpEnzI5LRIlU4CI0L29DA4zkkV3d3QzzvTrTdCkJViixaK5BFBcyk6gBaOe0i7KGHaz2mks+RI
syAt76fxHmN+QLTyzD25i1vPyXxLBm22m5L9+H2LQmB14ejKRuJUD7kvF86A+5eUFox0gcLMqRUq
Pbq9soI6L1s0KubUz9p0CJEJTLbyO2suGP0NOs2kEzDL/H4FPk+QVMJ+D252Krl8jXk0o57unEhf
/7x+vmuRGEHbGB4IeojeXZyvPYsxzYqo9nD+XpKh665Tfp5/vy5lLXA5l6I3+ywfaGR8sAcgUXpR
cm/xr5O7xa21hGb6x6fqbBiyA3Cty3eOYmnUtS301FLsjsYg8KK2T2l3jwFqvZF9BjhSmv3kIYvu
4q5zvTGMP84Rmbwha4aNN/f6epHR4nh9Ieu02FXKjLRx9a5ijnuHwXLYmq0Vrx0cQME5dQhYQBHU
XG5pPiZzHsUIn6qx5nvXcEYgQEnDazpnI8BdW8y5JP372eElca5IGKc6nLAlfE78BYAIn64ryNZq
9O9nMlBeUhjLhgygT2KAiVbwjYkeVcjQUHRd1JLJ5beqoDytCVpdDfi8OByesATwf9g5WNH2rnr4
TV7zd3SgIJ6z/Pg4PJvHrS6ptSuNip0DdFxYtTft3hEG0JXd4inSSeMBoe4BT/DTPKU/0Y660buy
ZriQHENgjW45jIEtFKOt8gqhGoxnPLEHZHpyj6mmQXYOY4+ZTG+atrpp+i0E2JUFomFc4zagWQLG
ZGGys2HKwIbc1N6UUMQndyk6TQTG2iXfAmRaUUdwpTuwi0hM0rfI1kbRlpbZw2I1yK22Xgps9Q0N
0b03l/kfJIsxcQ26ecywvymcTazAJHQEEcPe3oMvKrkJ74oTCTLiG8EWrcSK6iP5h7E2dLs6wJhY
qKOdTKWpSA3VT5LGs5H5CoakAjthntW76wvTh7BcF+weXqkC6f03jqXrS5ckoO/2WBMf2Wz+QPbm
QBv7KIziaI/Si4kxeZ1JN548KyoJdnKUaPAHK1y2pDaDJau5R0ZmIE9EhnjfiT2nL7PM72nG/HCL
lWFNGc/lLSwWHpxhWenMkyL0E+urO2eeMKA8fIAD2YhV1kQhq4qyAh6VeNctbpvZ0tgNM1xsKhMH
oT4dXzAy7jwpVU8B3Hi5v36Eq/KYNlvgLLbeANLwpMZwTNbBkDi1Z4zN3hCgdVXNSefdr4taU0y8
kjG9jKYXhqmbS5us7Nzk0oG2FGOxG7vqNgkxbjAP8td1OVrBF1pJgK+j7QbwKVy2kGP3o6sSjiXV
hpl4eBIhwMUQipcW/auoq9ZDP7ra2MYVI0KQgEL2SY8cvIHY4knYqbnCDY9ViwJ5PClxp3JgvGzs
4cpxQQ5Ha6SFGWNEJpd7aADeiyR2ixs39f2+cMrpYFrJl9RQwq/oIDYs18qRId+K5iqdckXYQS7F
EdzhdrDx3pRVTnaZ6tNnK+TpnrRhurGDqytDGQZtxqi8YgZvIQpANkCBHXUu6hdjaGTq/Xz+mKbv
B0rAkKzrYO5A54nQt3EpJ7SrdEZdvPaaoUdvkOmZW/wCa/pnYa/A5SlQi1kmI9GvD0z0GbWXtrDu
5jhH7T2O6jlQ6G0+Vo4q76ocCYvrSr+2fXqyBo2zevJpqRhFUZhjlxLYDWfwzMzeGwwVjQTxB8AT
/kAUnlJAmgBiHjo0LncQHlQoEVk1wB0ehg6IoRk/xcMj8B2C64LWLhXiG2g6rpbGjboURErLzSyK
jUyG6FWO8iiabqM4t7ptZyL072dxosNr20VrWO31GYAgQnZIsu+qDfeFke2uL2btKp0vZuGWMwBL
xm0JSV0B3mVgB5nzZyLey96qg1G0zvy3Z4uXkV05pACzChY0lAfByXM8Do5vIYh3neyAyO1GZPP3
uWnC3f8j7cuWI8W5bp+ICECMtwyZ6fScnqp8Q9TgkhAgQAIEPP1ZdMT52sYZJqr/uurqdHmn5j2s
vZZbV/sW+a3W2SLROT+rIAgy0XCDTOxqhww4gDyDPljEFUu5naWq4kiTyKjauuvPb5F/LS2fv1u/
ceYMnvmIbU+vbdXEHEm8r9ftXHYVM/qvidUuBIqs0oJiF9Zyose8b+eL0RfNvhhlHmvgzpBSUmof
toW8AECm2ZdmVpwAufA4IgKKxKLnwBlz8RbNA/JI7eQWsTcazu7rL3p+g/37PVdbmcwIB0yF7zna
V4UdJK1R7qrxz9dGztxtqK7YWNSFTw03zcf5RvbGU6OHa0YA8ubG8zia3zXwok8mdNOqaKQ1iDUq
ydiWNNuZ0cEwAhCbgDsOOjQfDfd6AuQCSk7RAOmRjqmkH90E7OAbd9uWmdWDl81dJuHUwRXq85dc
g8ZmCMSBKSTkvp7ILUOriczUAN6sHIYQjEdF82PKjgYQwP/BCJ45ZDHgpmPqPk4amjBnsxdYLW03
j3lAflPTQiLT/PuGS38R6vmfndUptAyjcUaGvAiYgR5L/7Gu+2sRbjj9Z2fsnZHl83dHfaKQWWfL
1vPkDUBTB9E2SQiK3q+n7NwGx7ZeImsfvtS6jQKszY3E1kI0aF6X1RTX7M/sPZKi3kv9+LWpM3cX
wGb/mlrtNXj6RV50y5ZuJLp27jhIdv6DBQS38HhQASf2aspqTUMBDS6sy+D/nhU7BL3N/o82VteO
kHNotBmWxQ27B411cXvy/PUwzq08Ml9gMEBvEALN1dPJA5E1beHjUI71NyMXr60cD5bcIuc8sx6o
vJoLnhb9R58SAS54M/RQYD3GgImDlUkr9SWlF18PZpmPVXSyVJGR2UCLevip7awKvUIwB1ZctH7Y
fR4TlnUAoEiVzJsY6DOBMuYNbxA6lFHfNVeVwaHOw151DbCmYdk9sZLZ14NrqRikk+G+H4XeMZex
HWhPtziHtyyv7muLGIR7FJaJ26q9rEZ202bcuswgqXngIEi/4SL3D5nadIHOLCMCCEQRSxIaBeGV
5QpOcicqlG5AYfrM+bzr1Jb+35kNiWZYlDEWJle4OKtYhZaTYoEFUSKieB/xwiiiaVA/xDRv8Tqc
uY7QMghMw4LMx85fDcYoBDp5OoKKnrKCBwGRm7tqHGXsUTpetr4CTK5kmZt+vUfPjA+ZAKQDgItC
umodi4mKhl5dmm3UjagPzU9h0B4I2Eq/tnJmodBRikB9oSZB8m11/ykXzoNZwIqH0iNKvxGI4TZM
nDlsIWD5oFSEuwJUxeoBHA2bKNeGIzpQDxUytzYj19FuJNwKqTfD3jjb5+btvbllxO+eqJyj+DPk
cMFAdruQrMaAsEeBffh63s4OClk3iKIh0wAu0I9WZnB1Ga0BKxbxu3i29LdceC/wL9NCB89f2zq3
RsRBsx94ewm6DVb7T4Aic6x6+K+0K2ONijf17P3/zcRqGxBkekWb4ZGyq/l3kcEWAIYbj9S5hXk/
jNWUDR4ESS2BXz22AYKhMRGZvGhrurEya1XLJfoK39tZbYBRiyGkNeyo1NqZc1SgPv6j3HmJE4GH
5RkkIUERB8BmJFuB39mFWlqmcWJB2fBPFPNu6xVWr2q2TJ7DSz+ypbzKu+nhP6zUOxvLnf/OhlAZ
YqEST5fFhASLIr+yiy0B+bMr9c7G6mod3N7QBoWNphA3hnUnw/mqmv4e6ox1+tfKGrgDoG8npwZW
6OjHtvGswJVVbhGZnV0S3GzgeoLaKJoKPk7XWGd5FdRIq5akfwo7cmMM1RbwbcPGeiC+JnBXJwwk
l3+C7MdQn75e8jPPOF6e/41h7Q4XU4uCdobf72lSxbqzbsE3kUzAyoBgp8zx9k2Xjso3kuDnNgFc
YxAZwWnB7bO6dQymK8MzYHWu6ih3LkGYFA3tj6+HtmVkde9YnRcOooWRjKHwX9QPnenGTrc1lnMr
9H4sq6sHuvMM0hMwI4Mfrc8SuOTR1wPZsrB8/u5YBlkH4FuDfVZPPywgv81so2B79lpDEx3cKmSW
FrmijxaKZtCqXQ7ljP65ezM130oQJLcAT5i3PaBjbjRdFYmIbR5zJ/l6dOc8IDiuyzYARvFTOcse
6sIv86U4YeLqzLuYyJ8BmiFn+pjzv2Y3RM8ZHIUFKIEs+9rbYr0a+2KkbUThiaMqGCu91fhzbtch
NYxMxtIHAQbdj1MJRaCGGyzEayebSzVDHnHK983Qb3gi53yEd2bclePvWDPxZQUzlGUX2s4wXRC+
q6YLSGVs7Y5lB68imsVBtVA9JahyrmkUOqOf7HpZIabS9o+8MiJUwHdhPLiXi6CU2G9JOp2dw3cG
Vye37zzSTRwG0SWVCrTzghg3HXtzwzHZMrM6uf4cZo7Twkwg/UdFxHVO5sQdtspi544vfHvARy1U
PqBT8HFHUCHCjE/YdBIgSw0IGa3Sr4/Qsqc+LdA7C6v54nPjhQ3gfJHvVk9jX10bpXrpIceQSJMA
6OZ/R0u3nzSbSsvndiHQTkABLUEMuvdWQ6NFwGvBWnTUTy2MFUe7tw5l1aJXyqs3LorPxhCNgeIQ
vXSgdUFQ8dFYY8+F5+WihVvsma8dof1B5txXEc4CF3E7DVaxcfN+3iEwCSgbYAOgjEQv6keTOgO2
HW5Xi9Yeeo+0KY28eU4EcbYMfd4j4NoHHhxtljY0FcLlknx3xTshnbosRM9o1U63Iwv/1EPrbgzm
jDbJRyMr964u+RTWfGjhvDpHrzzkfpSnWeI99AnALaCJLwGe21aEWybp4+5czKL9Bh0liwbJ6kZE
635tsh7xOp4wH35yaEOD2agy887JqhZkiVb3s24sDjGurPJkVJeiuCy6xquiHCSVW4nZc9sIMD1U
Df5JzTnLmr+bag6qloIu7bk1CS8K9KJZE3oImbkXxhYV1blVfW9q+SrvTLG5ASl6CVO6rjpgJchL
S9XGJXYG+4jGXBvJCmREEK2t652uHBCzmDDi7PkdmEYcsAnU5JKCIrgIr6o9qD1jKx7hnN7q+Uq5
HVSbyljEWzCpc2cFDRrYxUg7o+FgdVYGE0fRLwDG1QBIRqJr+3hs6JWx6bKeNxSGgPQgDgJo6eOs
Oh2fVT1O8E6yTMa8XngNcsbRckdE/PXF+tk3wdwGSwsA+hr8T9AoikYGp9IujqV2j/CJPfCilXdA
m56AijkFRrnhF5+3R1CQdxGQAwDwcWj9XM05Zg8nNO8AIm5HE2UnQBwm2u3NvKpUwsfO3UIGfo4B
llH+a3V1IoI+ZEbeOsgGzZl5GXSTvMjkTWBY7AZ8s/3tqHovrohfpv9hdoHWRfYBLV9IRX0c7TxZ
hvIyCwtJw9eh8G+lDC8nJLsTSDreADh2+NreuY2D9uTFjTGBdVgDp6qZFGAm7VqUzw88/E69X0W3
VZGxPjtLYFV8Z2R1yVpQQ1PKUpjMZERL6AgZZNcEbBxiKgmD5CFEdSuoyGylY8+0qny0uzoVupoN
XvsYXFn49g1AYjQOrZYdlVQqGRtWp9ot81dSDVOMNyiIOYVeD0hUVVLrbouR8Uz7+4evs+YRZ27j
omEQ06BS/5eT1vvqm3yGovCujP9eWOWjqdXFA0gaZZYHU1ZDeKxMIxUoi208nudejYXRxEYT0NLh
vnI+XEOhq5nj0ukt6HzaLbTueM9OqlQnKoutmvTZnYpED3LPQHsAY/LxZFTzUDV0uUs9GUAM2Wgv
NSvruOLlFrXcuRsHBYT/WVqdQVnUS8c2crRlWOjEzNoy7VrwJhrmwiZtP9Lea5Ovj+G5VxEcWSDH
thbtlHXaBAHoTCGMjOR6jfnUU3DdzvP3r22cnUC8iAuy5B8c1ccJhFIUSEAlfA7d63uwcv0wR+OX
qLeEwT8NBWVXbAaEesChgZV/5f/6Pe2RrEeuTGYOenv60uOnvhRDufHIn7cDTUI02EG8yFw5EvCQ
fAs8QjIC+CyDti1hRrgLedO3G+zK//CKfnDWMKKFKgKrA/IZcJh/nDhKa3Aia2DouJmpnZpqeSH9
ofhVe4RfFh4fkt7NRQwa9R7NJ7Y4aMHDp68X7/PlsXyJJdUawqFBC8nqLgu5x4EKxrS2ltJRL4iO
c5B1pHQenQMqP+hVygcnzpRF7915HnXsDSDM0pCl3HAAzs8HCmwOzgjaD931dQ51MBVA8CrSCEr3
hZqNC3NmVUo7RlIQJdKY6sKIB8a7AzLsznM1ou3p6/n49D7/I5wCChYvBBAcXEQf10QXoSrtEF4I
Cvs0dgS5aUfx4nn6T9bnGgTvwaPrN8HGjffpCK2srm68ciA5oGywqgZnQFeZPipXXOB13UK2nTcE
BAPgJuAkXjuwWeNMI+oQLWQGimJvcgRXXknBvQHekvTrmdwytTpHghlQoXJgSjqgtwUdfFiqo2vx
jRvusxPwz9z9O6Tl1n3n+LdN38+ZDT8uy+xntx35lWpsdZKXfTPpC1Em8EQgm1TYMm2waYFhNSFZ
w6YqtklLH//DoHGQECFAJ9FdFzONeggI8+Hezcx90u4Yu7pI7dG//y9mQpzZJccG2PnHMWehQh+w
CBDmZdcLtVmP1rNi2HoZz9yEuBCAf0SPFcqm5urGtVxBmmLw2sitA2jSwY+aeff29UjOHXooYCEt
jjI+Zm2tO4jLxVB+sxhxZt+JA6JPhRieHD6zE9B2wR1tJjqh+xgdoyjglTN0b7thq33fWk7Y6i4G
tRlK3ThUPhjiV3eP04HaM5zgHwdmA99RPCtnvnbr8KbM0Jw0DYdalnZSj/ZOZ25i9eZF2ciN5N9y
1X71HVZX8QQFgXb04B9I6dF9a+0r4xmitdjaEup1N7QLJ6hpOMbfMgotB+h/Q0fe4ONmakgteW7C
bA0wZdOCOVyBlWETK3xudMg9g6sLYjQIJ1fn1BGF4J0LL0RZj3Ro20v4QmGi8CfSSoxJFVhTZLO5
TQCi32qu+ORSYoyLnhs4mfDAIMj8OEa7ouWgOszkDHLvDojPyLHEqRdNEYej2IJsnjs4SBiDcg1l
3s+6CRaor4xquWVRv7wKg+7B5u1W1e1zp9QyJLBYLfgahObr/HpWBQvfO94MXUneRoXnNteTZdYP
oVPUVxqIGEik+sD4sHq8po4wT86kmtveM0Va8KYBbgUvvN1X4XVbhuL09bk+d/u//3arCa+0U7Mu
x7ebNAgXR4jPU/kEsp4NH+rsur6bhNUV5VIXnTIB7lu9ULMhFYvcvJsAbwiY3jhuPDVnxwSKa/Ah
eEhSrJEcbHLKvJ9w6/amH3dSprntArC91dx63sxCPISkGegxVuexqkMTIqQ+2qWbIBbTuBO5l3L/
r7FTy/5Bq8r/N7PydBqdi9kIYGYolmy27vJoAsAN8Lb6bTTIVsrq7JlAVhJalQhFPrHOmcxuim4K
EWaR4qYDRTRQ4Sz6D5suBBegC3AFSFiWmX3nCugBLQqDge7jgLvyrg6cPIag4SJ6aG/5iWc3HhLr
kC1ZmoHX2ficc7s1HKONcry9IFBgL8ZQPHPivnZ/H8SB3BAVDQRriBPcTzqRrJ3bKpy5jIbB62J/
tC46q2/Tr+fuzPrAyDIcJMSwQKsHkKMpJasEaMHVqO7mesQdwf+PJlbvmzX3DVBsiKyCce6PRVdU
MZjrmg1o65mBoLcXHVhLKQHPzGpfc4glW+DwlNFk92isBA25+GvSbiw4nC94CqgioBV+NZCsEcas
dSYjU/0i/mMGusGvF+PMFYASEwERCUov6K5ZvZWGqXuTQc01EvwEYalYZdDbNrZYOz/PFLr9IOGB
Jwr9hp8IiOENt3gOobxp5KeW/3LcLbqaz8MAthzJRmvxMBa06cfz6CMMMUFTAzDmQOJK3zc4i3DE
k7+dLCQDkBZY+vxwu6wdi9JnaME2WJcA4VIYp5AcQ/Lw9yYcIFlxOgCFxNJ/HEgDvWSsFOolVrAP
3VuUvEEivDVbn68UTBKq2dCFQPHSMldPZm/myuz8ECdQkjmI8TSAF45PMihB0iXQWzLOm4IXn8Nd
yIRipyH+R3IFZj8OzIAccA3eRWidQC4kCiXROyQligg9SXvLUsXy/pzmzc6AMzsPY0X1YkHygGpn
NVR/cq2GOjhA/VDybyVD6V70LNx9vWrnrCwkPv+8CDhEq1UbK0G9gMLKBMLvLC8ecaq3ehyWk/jR
Z4dfiYgBGGQESKAN+jiBBdjCLWSiVMS7FsTwEBAPv4WiuppBVWL8/no8Z21hZyDWwT2Ne+GjLbBz
62G2KhRhPbCTu27mvZZZ7cQGkjP7KkB1tsg3+UyXSfp3gHhGEV/iTQAjM0TYgb1aTWJp8KLulffq
ZAroaoJ82L41fewSO0IRMnKQF4p86BX/zVA/WV1DLgRaBwIxeq+MXnplvXeDOWJI/WRhDlq1569t
fdwmUOBAQhHd5CilLSlgXOcfp9UWvTJAVoNrsNQhAtDZAszUrS6+tvJx8TBz2B1oGwFSbnlkvbVg
V6jBGtdpa0x4ttCgjzHBW+sVr0b7NCPs/NrYekgwhph9oWFc3FW0B38cUugx6fqsBSWPxbu7ojOt
xzBshsPXVj5e7/8MCQS6wAMDG4v+JWc1cT5zzawmBIILQcDzn9Cr75u3Eh1M5YPNgDN8+9ocAOH/
wHHf7cZlFj+YXAb+zsMLpewapgtQVXX+ba58G5VPSBE7IojqsQfJwc6tM/RRwsWgvqljcPoMYYX4
2ZgGHQ2SukUfq6J3gr0o7akHdU8GeqtM+G09REjLB9W3qaeqKOIMZS1QOTm0ZnmVVKELcv5kzu1q
UnFT0lLe96HsgkeltAU0FcROoIAVkRA84qBzyqiqw4QgX8FBMzyTumGxq3qrwmehVTckHqQQIP2c
oGhO2L7XIMS7E56jhqgJTV2DnEirDPHTHBQDoidtjjvmUEir5A2/4J70L6fGhqi09Ax+FO1Mjq3b
eVfCpGEMyWlwKtZ9dXJLEMbFsqtbAke/yq9HuJInWzR5nMk2v8ookCul1uENCoLtbha2GTfWhOen
FQx4aLc+yrIlp0Cb6grhT58Csy32FF8i5k2dXbSDWe0YNAXibM6q2CtteXQaezqMlW9cKJBDp3km
xZXR0XHXWURGEBlwL92hBxxxMrT3ZthusauzYr4FGrc60p54mDFVp9bIrO8KYsLX2ILB93HUxfXs
j+MOqRrjafYriOvVAkIC4FFz/BsZSvFtbH3rFVLHJURBZp4aI0NJd4aqRuSU2ZxkQT5c49d2aabc
6gEJpvynAQ6hgzfm4yOTYGuxffR4BkPTxoWX88irzOBhCDqV2JOB7NMwc1HFcgrMV6fz5XGiSJir
y4KXE1iw9NB10TQVww+iy45Bhj2b96HoSCQ1dsDQHuWy6WowqJGpr0OkmVualPDIEwnSORCTBfKa
qtC8GCynuK2qpn12R1yvWSPzq9aZLKRqu+6mNy1cH9AXrf4YjcmfPUZpARuqu+SlAXYDz6Bt7BnB
mJiGB1a3sJkjAopW9FBz4IEbDyfFGu1Xoszm2st6uQuLzH+YSlCAhVVWHqQJlJGemIEGwbrZjWjC
HhLb6rvYax1yYPPsfJ8t2oMRT9jo9g0lKnWAZKJIA0wU2EPjwifYZUQODP3TFNxooB2fgGmkdF93
7n3XiTA1eeclQDV1B60n9xiGfKeZm86NoipSwaxpiv7QEazFhTW+CNF5v6qRAz0/m1mai8BPstbS
d2y0cysy/bZFl6bdQVLNYgOaR1tlnbJpGOEBFHeWw7+hUvUHLu+Ty8oUWiG/5jI8tLU68L68FLx5
asr2DSIvvyEW7sag7pOHcK7UYQShZ4zUOZoy7ZYhn1E/Nm3wfaGWjCrfg9JFU8e1n/VxPs46Vd4k
j15L7OulN95QfR5Jq4SkhQqfDYZclxkUF7UDziyDPJis0Slp/DYdQ8jKTK3p3PGsui3LfIwbBXYH
n8S6Qq/hKGAbuhWJ4chvdZ8/ebn9bdZ4iXu/LmIDlHeJnamLgWnwJCIFYg/ih0PYMzQpIcRsIY0K
OfU5cllBLlqL33emicHY4j70+Ntcids8yOkur7M6JkZFIxA9TJHDKrD6hTONdWtih5rZSbhibxse
2fEiV/Ek8p+BMzYxa0BBQRnjiaj6IeqR3uNTZaR1ZjgvmQVwzDgUxxlJZHDduPqqGYY7bPBrJLNh
UNo0zrrBTcjYzTi91rGb7Qoo2epE3OoEYfF9gNmP4H0Q3CFDAw3Kytll2qPp4M12lGuOtuBqQvNX
2HsT+J1ww8MfY+BdCqwxKgJRRKVpmIfRtn4XrAgi1aJ3fLLErqcF29HGye8yD+oIHDx9US4yNwez
F2/24FRGx1xFMpkA+CJvrImMdxVv/TDKvX6+Gwca3rZGMfAoCAqe+MHbZLDLsApvR7DToQL4DZ19
2OmIKSMvME+aBofAn2VUtvpaM3mnoCkSt9Dr20PJxosR3u7NCXPIncOUOaltFrcUkU3jZkmWqRSd
aFHPKieiGgKCltk4kZfXY5wL/Qv5AugPq2JvTPyRU/6998bj7DA38tziyp+CPS//IQGcr+Q8PhGp
rhsb6sDTVCe5iV9XGhKsJQYYA6vyspzIZQuy1MH1kOsIWDoa9Hbg+b6g2dvYZiwiTsATVdU0Apls
Gg7TXSU7P0EvVB6DLm2nK/DtD3Yl4wFyshEb7FTUBgrR7jeQl7yWM46WKiNZt/c1jlHXiD42CoKt
BCBX2U3fQlkfBAeHJCRhLb+kUcPGp3pkWE3a8qjy5jfaAALp8DAdGvNtAC0Vbuw69hoULvEoQ3vo
yh0q+7pl3oOVl99qb9ZJ7WUDAp38pCrkJHSb70KSH0pZHHxdRpmF7stGHcuppRGwl2UK7FIFcnOC
cRoSSjKBGXdwFKLZZL9MNqd4ODDe8ec8m2Qfzl2fNmZ+EzbOdd8vrW04557em4WtgQPsDcRbXkea
W1OF9a+yz+lv6oXVpT1I8Lwx+0XKOYuxRZAEwE8AE5RddSpIh8E4zk0xxyofh9fSmSQ6lQB2CfJp
l7s4XrLYS+wQToNTh37oQz83Es3d4AmVvceT0JD9wjddAbJCL1tcb/gbvbHwQ4VV70kH3u6CVEcE
frFXsz0Pi7ThNvZxjT1myz1xpkNdQE/SLbzlNSpvdGfvwCUZ4UWLnYolkwmSSi5OxeSlDbNuSrO6
8wVKPPVIy8Q1lYyVLXk8KNHgBwjq3NawsFyyvQFWvShUYRIq+y6vrHTCmtwgb8zjXuWoipa7vr20
wvagahA/geKxyClOEQB4dj0AKj2AjnHKyyPIAq4g0uGgawhtY3aZv5iVio12ANAZbAFsLqKhlN+A
ttppH/V9r4TfU7q/qFBxjvfTn8mLyBWu/xlbyPxumdOu1OyJAJwShUiNIcOY+sO86zMRB3p67Tio
Qmlr3E+eB9Zu7zGs7afaR23Vz+0DteleQQR4Al2i0+udYzg3Av1Z4EVtf1sZ+0ldFC/NEXSVlswT
1iAG0YJF/hjcZb3/AhzHTcfdIXJzZ0c69VBo61QpTJiBLUvok19P3yv7xkOp3jfUHdTRrmZEHDEC
7QseNFetBw7RyQ1fVTHca4elfeck0OVKiplEI+hIA7tLy4ZfwiWDWgdEtqMc8i2jWX4389yN0JX8
MkyDkyBN+J1O4m625gv0FsWZre+rkNwxOroR0WPMtP3KeXDjlvVrqJC8mIkYIiryO1dmb1ktcgiS
26+BxcGNxMIkl8adQAaCmDK/gJ5LZLXWD3y4F6gVifG7S3XSAjyeBG515ZL5aWbywmhCFnX1eFNT
aNfDUzL631QP2MbWdePD+UOyjNuY5wnXRZ8ZyGbCRDhB8QRsq8eByRSyyZHRlWAv5bHWVdy70y6s
3EPoZH+QM9l3JVhoC0OAZbdDPcwo3ioz/9mGOOl+2D+VpnihGVQXvMq+nevyzbXVDEE1eSjqIAnr
PgkkptatWiMqFMcOsLxYzmB8E4ZlRKWV70fdl1GrWaIM+GCOw8Hf5xxtDp3lwjGvJZ8ube4EB2mE
N1NR7ZkhLnnVL1P+YMzDHoCfYzCBFraqv+s2CBErDJdzIN9M5Wa4Z9nOyesH9GnelVRWh7DMfzcQ
7I1b6oAatQoftN8ea8JPLuF/yKzvi9mJy4btWqO5zOAygKkMDBs/xy6AF+Y91Np4BVXNcUQAkInm
gAN0IVmeTCo/9BTkawXAzVygfgii3b72T5D2SghesxKcsYMPkmGn8naG4ULi20tJ26eO375WmVdE
4FM5TS5Jx9K6ZAO4jrPwRpfyYBOaNLbYOeCmBF9YEYPBxolRSJRRhlzV0OegXJ1egmmxBI7UyARm
XWSAUNYybWd94fagiR293x04WiA3duiaPuo1mnBZ2pXmvTmT0ziGdmKLwt9PdfMSTqDiGAL5AsTN
IVDzseIVxB9dIHyn+QGl+CLWsrtvanHdz3kGhkc2Ru7gIcAgOkEyBdcHpiDP47J+ZMo5tcRHF5GI
FJXfCgKNLl0mbEKjD0iNJyH3rnAfQQCSEPwMXu+mD5K+oGhtkjd1Ti4cARrnQN0APZhMU56MGQTm
qzcchHSAptgMQmdmt1fcCLDaBEqyfA8est3A+vt6KO6MGp+z69Gdj6wqHtyqTKHYGxmGGaFx5hoC
91EjHz2Kd5fMj6PzzdA/auuhKfW+NprnroOgG9yxPkeAHT67zaupfipeYPLcONcN9qLzlPcXQKxG
pbcwZH/Piqt8LJ+Rwjx2eQPpNzA7QznOqm9qfWPUjyELsGOmRHc6ooNIRPMLd96ekPnC1Ggpnp6M
gR4yo7hFeqOMKsO6gucTzXg1B2lCYPjNAVe2X+SRqJuEkDtDwHkwyxunBm2wd8XMH31rp3AgYzug
D70eb5SVpUULOlqVxyaS9YuSfdB+K8ssJdQ+thXom8M3Cs4V7amUNqdc+lfabm6N7jnL7krg5yqV
3eSlSgPxXLMpGqsu9QFRnp18N7pTUjoyKQ20QUvoLNdlVNbfiSquAe+Ngr6LhHXv4I0uTHiVVXWh
6AXEI+EsGJdVOOxo/2vGe1rMiFvKGSduuDRNPHhhthuzYj/h/wUiiJGT3TFQIweI7Hgh0lqaR07u
nW5nkCoidEiIdaqNC4s/9fn3EsXDIISCbct2E4KfFte/t7PgXxv0N7SzEhfCUoZzUTc31sL0dwwD
/APpJCURFeRI6iQkRjwGr4PDwDqYRRMKBbq0dg19os6tYQcn0b101T4DyXYhd1PzXSLGRC8/UhJO
cDGZeA96B7BApn553n2FuFe5BogSCNzu+kaC19sFC7mXt0dQQJu5PrYEgVDlX0rHvzIEp9GIEm5f
d4/+FMaT95JRHkm1wx4b+u4mK9WzCn4SCDVLL09znpFoYv1R4PonE6Qzq6ewnS4yL793hfMwUbSH
cfFioSpUh23K8jnVcB2MDBCooI/7zjg6UBWBF4yO9h7Uzng9yuJgh6AED8DCfTEbXVpX027W0wXy
8QwFpiEd7cdBgduCPgb6bSIirZyHxv02mw5wR3e1d0f74xzMSVgYqcq8ayPfe05+qUzkEBpcobXG
eogoQI/cEj5ql+1I0BzrVu9JqRCuBEfflZc2FiFj0FbLnQc3GJ5minfVGi9YT1OFaRn6636s0iDL
rwh2c9GSe0MfoL+ro7Z585ZeQsJ3LjzyvJRJKCFzT/Wlx6xH1fRH3Va7dlBXVuuhkZ+BfSRFieM3
YgAr8hzwWDdgkPcgG+ST9i63mh+lWZ9kOyIBwJZhINI0DFCKTvyUB+4PXAYH6Iyiupd1947sEjkR
OP/QbYxUDQ+1yP8wgB0jEJ0wfJ/hsbbww8DDDslEvGs78w4BCOjx34tGmXHNhBEX5jUyUgelcZgQ
LLRVfSdNI3EQ9/WeD1wecHqptnzw6ikS4TGLpeserH68ySYKTUrricscT4y/d3ITz82Qdnj30aZz
XCqQUISiSLEMifCGxG2+F+Iuo/ljL4afY6ZjFbBDaI6R16gU7ysC6D8ENAvS/DagMFeCEb9pPTsB
n85ln8HVxY7UDjxoeeE01XUZ2lfd5J6KQO9ESRG+eCE8ad+PnOWX+CPkheAbK3IZzouv7cd+6SVg
hH2lEwfDGfj5jTfDm09GWKalN++tCboEGgGHJikdyB6RW1Q6/KqpQUOOzUDCn5xPEce9ISH4bOGf
TFkTi949dXI8gqoBQpG/WtvCPOXXob7zBj9qax11YlfOxZS4JaY5Ryw65l4ia7brwbPKBd4Klzj7
sRsfBuofhR08jsiAwRN/cMlzYZlx+/84Oq/tVpEsDD8Ra5HDrUBZTnI+NyzbbROrgKKITz+f5nJ6
ejy2VBR7/7HKTsEYJbOZb93oeWWVtqW19eXB4Utd23EbcLEZzXSH5+qtDqj6lM7Rtl7JGMwTS3eP
rjOcB/Ik5BJR0uF+EZHw4ncATIiDikodjJJ4aierzkER3TFfHBy7/fBM1Lr8ADzQD3b2oiozjqL8
KEYHSivakOEO5LeZoilug5R7dNimQcbGJLe0wJILyhMvf+zW2xthGeckR3GhxDp4Vmaz7a2Lre2j
bJr/LLl10kNlNsmQfpcF0QDOqg/RZB0R+W7r1U48AEPIhEM6zRsp8CX4aRIYQyK8Sw+5Ho/RxKwo
Dw2n3y/f3WHg9OjNwJ3jrv+M1EnSSVxkqy+Vn2+lBrkg+Cz0joovqysw3xBAbzhvUbEvSuSw2SHn
H9Z0UCB72axKslj9lzFcmNxXDjAAi/gpteWHFZXgBsuHHQX7LHwVc1Az3//Amp46O98FA89M+mZ2
3KPreu6Mgcl7Pg6y+mh4xAHaNlPpDAdrDrnUbfZgUjI+dCbvy864VB0I2xxRhtHnxznt1VYhpUv6
wb52S/9Hqwu1RmZ1T9sGVCbbMrT9f6Xpvjluew386TlL+UsXSpzaqXwhjuHqOOI+bKNvo7WuVU/z
Rj+/DvlOjHoXBfeZOTwP/tX1dZLJBzv4IGt7q/pPz6K5whJJatXHLOPV5kQs5xV6Mp6s+z4KgTKN
O3PmgPfufoRvpKf6sKi/IY2Szjc2TVDEXgqGUMT+MHH3/FAovBVTsw34j6430Up6sAlNzt3vPLV3
mfc5jNPBD+99NuuVN1oxFRsj+NN8lkj8Q4JS6UDc+HmXhFUXmzLdi8w5VYpbqzvMo7/3reEU+cYe
awCFCg/emH+l2M4ro9wEBqemLQ+6njE4D+Lg+8tyb2c9OBLwFNdUND9yiI8tPkkvMnbVdJi0AU38
WVS3D3rYjet7VCJP8cSejf/od9HBzz6CKD0t9XAuMXKVQ7cxGxkvYbAvq+8xA3OgogM/yUGwghsz
bprVm59Fvr6sVnUacQo6VIja8tFtblDii5FaZ99/LDS76/i7pg/RzLuMkakB0MuWXdbpQ1n2sWsi
xFF1spI9GZagtc6Tzfxc2fbGlXf9/BxkBsP2F5lxm4AqAzG+5R0+6/G5YGlv+GCL4uSU4BbVE8d5
U6zhhsqYjYCvs7t3YetYhRdPO8kwsLLQxZIfauMwQP/IBghg+a2dFxfcJy3mM0DGRtv8APV7i5H0
1z/ZzHsA34tcxZf2ptgTQVK6RjLobFsLJ24rRzM4KJoyvcPoPMr6UQQvE+SkHAE30c/TeN9H99J7
9ZosHhrQ/nQfGNG/KWiToba2K2B5q7xN2bHQgjgJ7xyOb7bo7pcRsCusEyFSQOCck9ccTHuieX7Z
9kzNhTvti0KfDMo80rIcwGynne7Cazr1d52YGSXDZk8A8E761RGT3XOtvYNdShq3jWvq4wiyo4JB
bLpTQl4nAk43JTbMjQ2CoMyeu85yqd8AP1ytrWFCUsnWPcOYHspWVry/MaXlDuxRriZS/GT2U3Xd
dtHZO7T3taJtxAfrsY1o29rZYZmz02xaX2MbPK7AMgeRo5qvWSgjsy4ArghsldVSbGrP+6tHBYbX
hPpnNKfx2IbMyeWYY18qM+Ti0X4WhM5HxnBrQVBqHxr9g+UwV9tA1VPRZrtKgVIr1V2RHOiNjor1
YKqcFXBwawYz70Cc3mFF2LFJKxMxYpQenEq9jLq1N+MUvbYuRSuBXLs46urdLLp9r9SHsPwHVzNx
9P5Dk7KrrTnfSOPwQBp+9S3DAkJB8n9gQUg1NZU2btaTPjj41g7KjvceNTx6uoROvbdX24sBC9jk
02N6O5EIMBtGTHlvLzgqRAkthl39q67szzaCyEeoUDxYuJKS0bIvXbDsusE5rk2md5QI2lQFCmMj
tN0erSgvdoMz/mv9VCYTlYXnSTX/sbiFcU+GZYxxQsdR2r/3ZXefBvPVVIH3lJvyVKzqGVqT2deb
1s3kGeyIJSU1TqdkAohWJn4dTps11REomeNBqDjCX+JZpjldoA109nNgLvJVRW0VbWQ0DW9uCr74
WvFJc8htWx05DNVWlK2ObvxFeWaUmKIX5c0Bgp1Bm3BBChjby8zjFGXtd+Sl9bIRYd4ejLz03kQg
XOOyDkMrHgF/1+K7mB0V/tAYqsqdq/0qJT3F05cJxcRdF3KsFtVEd6Y/mXdkYjX7XGvzo5/CNLF1
yHLKarGFdMlPsKDNpz246aEY1bi91Zpc/aGgp6JPa0rcokbcVYUDDZapdVOLqX8ycL8dM2Pl0RUB
N7+Y+ULAni/m2qxEdohi25UDukMm5ZJhqhVJOA3Xgc32WGQsjJGsnUdLNXQVmUBvW8Oyu3jFrB0v
9WiwCFTT7xR1ZdxOCIFowqadQqZn3+rty6q4B9CjM4/VS7GtVe1NO2GH+gisJLdKi/Fce1YBChXW
LwEhDgnPFB0aowA/JjL3qbRmM9iaTQ3+Qsgd1T02LEgANiYZ7fhpQ+AtZVxrOe8WOiOf3HbEwF7Z
3fPiQzhmkfD3nF87MUfqJpzUo8sjJya2gvunmsoS036abyJFKTHt+UF/qFJfbRviHy4REvvY9XN2
uTAVZbykmf2+3I7oVLNOu5WfxhJr+mNUc8/hr+BC7HkV55WvT20XYM51gJVrmKxlObdWn98LTKbm
RuVR7zPOcd24nSWOJuDgVrR5vk9tM/1OfQcm1lRe/5rJRZ+iIrcSXAVcYJGnGKlmQIjFtKGSzPCw
5lpc1CCtvTtSTBguUQXRFGmILT86SQN0d6HpmvCpPkhp92q6c2O4zl1me/1uyRDQ4mGat0NZBNsl
G8R5qm5bCcDzrl2p83Iwb8cS89Gb54l/XjUFGx+mZ995Q3YsmhClxuiSSaeD6VhUY/Vm60GrJJcm
fevFBK2T1QOeKFjQq+uRqFkEo4wNCHLempRQdTbjvi71eFmagXe8zqxnSnXHQ+VgdFR7rCsTb9jB
7mrrfZGQgit1X0E+va699UAmvnfik67yu8jIKqqUasurKsizvHVymdj5PEaXVpmVwbdhNXabgRjW
eX12asfUX5FpIMx8JZKwzIaNVyMoZb4wxFi/d1KY7pfInXXud667at0dM29Za1ikQHbvq7GmzSOB
LgSErJHy+R8W3Hc1kw7fwfgeBMLx/hDReDPES2VYUHrhqsPl1M1VWD1V2rCjUxlNLs0hY+rJHU02
83AZlFHfqKKiQlWN7ToqjDBpK0QN0GskZdefVotr4DdzR8f/bowsmP/D32uzIThNtMBB+dNsMgGn
ztgX2bZtK1d/gXUM6m7sV5V2ieXNDGqbJdTG+lg0rohOlk8MiGCTbub23awQvqabW32uB8bjRirj
/KippMmvk24EtAcCl4rPyu0ncA/unHz4NQJ4NPb03OzN/zhnAQCxMmd+pU0bFLr7HOpODk++O87R
0XBLV72nqdVT0xZkdvoXcOqXh6VJ5+WD3oreOZV+QxB8r4NMJas7SO+QyVH5PIhtUSQDWZrmWxNB
4J19l71ii/QVA1q/9K7aQXfwwDjmFDSfXt9hsKqDcW6ZAWY324rBlL3czH6QHaQmU+2+7zpF+1nn
4mQv+iF1kKiEWbC3s8X4JOIm/OzJDGJx8cwuLci1JlEVXjx3yeqLRWZFwjxidYFl5/NqZD/t09YI
mR6s2qyGP/7kzt/KTtA451W5+TeYwzD+qjkyCH6l2XRUnwIRAnOkOwemAHkgjrh4NcxhXLYTmAVf
h4kM4iOMuOtB6Ypi7Y7o0k2m79L3VuelcZr8vz605+48S3e+Eug0OPulpWz4IfKVLbaiAQYH9HMc
Qy1xSyiNCDayWCx4Z7vPRvhdAOO2T7KGlq5Pd1zhozGsoeW1AWbYgzcN+eI1tV1mk5FpH5Ax7w5Z
sJzTJrOD56xCiJb0ajR/dVMu+qoW2y72uoucjh48eLq/pWpAx9ay7pq48z2yPjZ9MPYzt3paF+xn
9mjEbTZYzs4NeuZuNdpLeQ6X1sLb6Q6N0X23IpTFrjGJgjobnae8RM2rsv+6sQnmxFGp6b1Fmbmm
P46qxrtArWoaGccnB24NPUfa7Bdq3tykU2KUV6+y2yZPuqJujd/Qy8PwzTfnOWPINQD2v6l2WM1n
6JqVrjtzHPJLzUOVH6ysHIwtmARa12GtR/218t8aHwHd8Tfqfh3JoDAGU3gx5e5L94eGJ6qe0Xut
xSH0h2y2gQnNiJbCdK1bCVo21WQq9LXH3Jc3QVm8Dy3E8AdJdbO3pxbBCS5hGoTji9csfrvNKz24
/qbEUNP+s4opiEkrzxmLB9318cxX8l9t5X1GLPnguXhbEMknbpoOf6Q5zD9uFeWHqbGsD9mraNr1
dm4f5jqf3GOkwvC80oN1sp0aSWqRdailyh5D7SMiTuIL0lSG9zkM6T0XpXedm87+iArI6mmFOEO0
NuZv46z03s8YU+tw8IgZ6Jdq2ZCAAGhX54ZRxuFAc8WmGovwHi0bk0xEzARm2ybc0+dZiAcKxdrv
sg+dD9Xc6Ajcd8FvS5HhTvIoPnlYQq9OWDX/clp6GVgVeC0NYRWjysia7I6803Vruum9NY9Lf2yy
HGR+GcL5uTUjw2UVCdMe2QUkQDwgdqElMcdhEssi63+QQNLn54QNFRu+SJ3dMNOPWaRLf991QxHt
jaoOn3zdjuuLrlVzZU2Rv9NCZWSiR7ek6zRs1h5hkuWcxNznD+Egu4fcMhSFhemHmw2fTF5vLXEI
cd87CJi7NttId6V8bJou2drvLX9488SKHNAbIJT8qN8K7YSx8Ix3k4BO8mD99yIKhouSi9hlNvq7
Zgwea8KZWCVnecp8/SV6JXdmswavqafVD4hzxhdZT9vCb76glB8MyUJoRNP6GARNfq6WcqVYqpYX
L3XUPzaKnCm/O6W1SzRa2RqJV6aAU2O3YrNs3H2WWtZbp1V/UO1kPJa8B8zYLM2pvg+qFJrTb5yd
dgd1RkVgIkEZj3ja6ycPbO57McT01nWL6K6OWbnkUaSjdQw1D1TszJ24Q06AwEdwFP3Em7vouhDv
etL+4Axk7JcondC59EmeOf07ohK9aRv9W+jGT9a+hcAZ12HPb/43ytbYlVG0AqLTP9n4tyFBVv1O
ttKOez7T4+z33AyhuuQAWb5QqMs7liKDaslsGaqTqxWMg9OjULQo6I0RpItY04tOsaP77imMVoF0
vDvMGDlziycfSdiQ8eR0b3YHlmkGzXpWdppddbcWt+lv3Eh2AV3bZzOqWUwo+ohbQebinPsuFsfo
CcnthXkGeUAacHlF8/o2DCGaEGIn4jy1ds2gsiSYgynmLc3D6bK0WbOLMtHOH9cVRrwaPRepnHpw
VeVtGl/4G+5FgMgaFSpKOx8BXNDdZR7Vq+0Q2Odx8B6ZQb6MmtGIbvGAEynWGLmp3npVq2I7YIAf
SXHY4GpjrzAtPtWSmY26833YlmGipcxO3eichlv/qt9XMlZmFKdjLQCmEWvwTONRwJIWSdM8zc3q
77xWIWEYh5kXDkhBF0miynhrxBNP6D1R5wFEbpXHgncPYsunOVprPiOeW6O6XezwREdTF9XOn81+
I2znDC2Zx/Zqpbz5xLptMQ8nY1h8RFqDUjKubsNQNnGddz8TZEErg/liVO6L2xOAUpX92+CvDuEh
uRcvtjtvyTurqIEocX5mpk6qrNVUhyze2UilsUcSML0GbktGhqHdLRqJcztODBuSFs+u4vrM6apQ
vInjtpts8pjsI1bjZj8o79DlsB1zg6KwFNVjlhdwknpICiIFKPUo+Z6N0dmuvvVP9YqBzw7hqyQf
MInVa1y5dX0ERrc2LoqX2MqYRkRV71FxQBcU44XITSgv8Go4WHVBIg+3WHnOkVNlxLVgMqry8t0e
UTW4t7d0tr7kc9Umbq3PjTCeafxKljb4KB0gb0jxg58CEEVB/ojQ63VwwSTWqb0i8v/IGdtv+gQ7
ztxufMoaEvv5+MfHMiqnXT3YTmIqK0lnMcdTJN+5ZwlNKLibi8qTqB3KNl48mBQz09kxW2xIav7Z
BnqkjYuicsFL2IbEjRGul+p3sEw/qfDzET0YOEmug5/UHh6sYvlEjfvRtt2nGtSDrcL7Ih8eQC12
kjl4o1Vx8qVhvBWZ9SACZPVTKJet04dgQsObpdJrTlLeLlitB2ukg3gs+vmvmUS4d+gL0FCrZsmP
YUApgFtrk42pL4+uonZ6YLeBoKrFcRagspuGYsm7wK00ChyTYxEaK7oWx9stujS32hASdKEvrqBi
PWyCU5/LLFseARjGq4l4+U1G/fqqXHe8lm7p7EZCTO/aMNJ7moXKyzzaeQBd3iCFgs7ywq2cym55
Mtueh9KfrGJOIl926MSCVwtljmZdtIEmDeXrBgaHKjzqKERexJ3Z3/Wes88c06S5pEKMYLn6vpo7
402b/rILC7NP+CB/MtOD9gsU2+O05tTm0kM15NN60ma3xFXB0tkA6WwbdoDE9wbapT0Orb8UeWyV
CppQhxj1o9Q+RFF2ntPmYwqRsxeIS9+FgvuYkLQdWYLb7WD66lwJ1vmqyhOqnOtdMQg4GHVfebOb
eHpVN25geQxcz92mhjXtQHIO2dqC61r6WKQZyo8ZrikkQSRnjdgvMjApNBH6gLbbZgESXxBQ6/0w
ZNxrbY8sgjwfc6VOegEdPZmiyu76io+FT9U69gTIQh/13mumIqLNSohS284f8mq4B5MkNscoee5G
hdQhy5/cdaaZJ3PrOO06fqB/QfzHfm2Cfs3dhMoeLzBC9dlJJF/Xbz30QOHr/LxGzgCaFyhUK646
WnWO0ESb2+AGdTYWwLRq2pL3XHXP9A3OhI259TDgp1N78GZrM6f6WJnjimkg/Nfr8aftiZQgMsbc
o8VA/ZNnv7rI74quPLY1JbW1IlxIVhcy1R5WAf/idfTUBlz1APCId8C82XXMOdvq6XZ7omby1oni
5yiKlVNd7Sg7cUcnQ27/lH37Xo9A2XW/Pg5k6setNzD/d81nIFp3VzXerzUXtO8G7o/MOULr0Jlx
PnNBe0N3tGtnV41QS+NNOpJOL1maR+RUdOSBeMqakIzk754m6jRDxomuXdZvrWc9WyGV3Ey5iBaX
5UJWzXs19Qdhs4ovg/kzmdU2bOoROV2XvdGj/n/5Rpl4Gb5freuDnutzYAnjZI5cDPlNnDK5tbqE
JWzJ3NZPvGLPOpuWWFb6UofGSToMuHJpkSSoWxZ3n57qYk3oMvzHiY7HoL6zlyVe5vDBLNM3a5ke
h3o+2C4M95JbX069ANtPFFL1NUBpVSC3Ir8FpWA512ibSx9BjuL3bCSkLGohutVzTr5Ez1RYOAFY
coDq/DzYVDWaDS/QwescZFh2BjprT4zUE5AyIoFBdXe0d1EJkzdFUkmUobkdXERg7Wcy3xLVOgb7
O79JVVVv4JHo0cIedkWsLoqUNkr8pijjlfe2VQo2pvUMpERnp7WQUjn+FfZNitigucRrMMb+xN6U
tstDyrga25P1tNawkF5tJR1QMBqM+UsBFSVlr130xMNvGrXBw2KKYROl49ci9b9KQNHYXmPEmWYL
VZ39RBTNE96WfZ7mtGpN0XNhlsAYXvg7jQGalIDo+sIXUzwMU8l3qhlbiv5jZoss+vI/P3edJIMd
Ona0w/NqtG8liGA4Q2+jvKy77Ri03m6KxKnyB30KDXTVTmrRVI2V56xb3GSqdv8a8NmNG9qvLRXB
/HVwZ7n8k3a5t0rvroVKx3SBrCLN8sOw5CdW0Id2zh568l7XHjS9DKZ/YZ5eFZvidu2K/yQTOsUS
8qjWkbrzOt2sXSS44qxhY6nsyUAkFhryvh+Di2tbf3NGUHo9GF8o647cg+gEPHdXl4DKeUVCrpcG
8bAofD/tPuvUdxaiix9bJsHVUddgdfdLGP04eRERFUCtfNi4751XPjp1dTdHY3YmdvCzKOZsQ/ri
RwlGBjHCDu8362dz65tz0vBAlq14Gpdp3g1iQCIR9ictisvEGvGEBci5C9l8wXi92Pbns27kgpkC
4jwD+IuQiJABtFvnYq8Gp064mvhcpPOfaSObNWtjnwNaWjG0onuuZ/M/QiU/s1UilmwF7cv5Y+Ms
H6bEfGGaCjrN0E8G/15sDsW+tOtjMJdnvcpzU+me4HfffMxEdJSGtmH1CvRZIzNHO0VgxKOXgcBO
5XaknYB3YnkqJ310cREmtWjruA/8a542vP3t8Detpme29T1X40NqGQSkufPf0NVQLKTVHnoP+I2/
x59IgOddtXWq8ZfX8L2E+9lGNbMhXT33jhUiyzKufkYRed3IJ5pMNNPPtOPPQ+6S/gsYEHCgcgJL
o+EGnY7WiPbT6MoDyRs01+fNYc2USd+YCOPOSO1ErPo374ossebunzamLWaYN/xhKMbsByMd3phz
7oLO/x5KdIrcO81WGehTwMeMi5xSQWRovtepgG1tw2IPO4SDBYJ7pCZnW3S6v5v6NWLcKu8q0zl5
mY10aPqxZucjk+zLaZ/CBvC7ILkp4wyc9SZvtWPFQs7FCXY1NjoJQICQzyMvqRYgxNauXsrcfRrJ
M7PTtt+0LibE2uL4YsXdqqZ0NjmD2U0ELaRXHPMy1DDG3D6uYO3L9FvuBgc4ONRtWX20RPgaGc3Z
UO4h0AgAlH300jSpRMjom3t71Vbo2UTIq6FJ7Fpjdlj9TxiFj2jp93VV8kjmx6UAVsekNqKZWHdg
IIhNdPQc+mWewDFliVLMG+Z0KBobSjoyzhmjQNw4yBMGJBBaeZfZ9262kgXosPxpGsvfuEZ5lIoU
MXMezSNugn01TFPMK6a8C2vj1/WHnEay/gU0p9vMvb1JDf9M5/Rm7ByMgyjonB45x3ThEdh6jrlV
/jeVzU+2piNLzz+1052NUPPI2fe9La4jmG6kxz2hyR9FlG1BxbazXCHH++VZDkbi1NxqpT3886jq
joOpOE3ukETCRWTc+E/UAuwBpPZdUyKcSGMo1K1R2ZsViecEA14QN9b5QRIuXK1OgSPhN6oR47Ed
MRtZ80sTzh8WBT3xOHvP2hv2vUleU9Hd6P+hX+4a3d13qxFAX3PsOoFTYf7DYYLhEeY5zsr1VZbL
+xLaz16LXMDrvbNrRcZ+auR14RTFQ2EcGrMDbiD5HCXYg18EcGHirs8gaMIcg5B2/4Uy+Pa097HY
vh97LocFR+I2cv2D7aBfa8CEwYtNcdCFOCoBBq6V2tmt/7dYgke6PwlIr5IsUrkiSFLja1jLQzm5
Z7D0O6heDqm4p3k8Edrf9wVNQX3mn7q8SwmkNZC7ZWHsGfLRGly5pTLmltc2PURLetaWPJapd3Fu
Nk+EMIiJfPXPQ9uFAPMkM9D9er4HmevR9PS7khNraEQxMm+uUqq31hkfU4sE00ncHExpu+2mksvD
KfdimBH5NYwt4auHWKC174N1PNQhqqOmRniOAr0wuqPvFBdljse0wLnZhVDpwZOjy6SIjO0wZ48M
zoKPMnzK22Fv2G2chWi5yCKoNywBaNWl92bMNxdZgakAU3PciPl+jmDq5nQHdltzl6E8WAn0Srj4
H6oM/6UZCaCP8ifoOVQ3IQlSwKhHXM+kl/b13SStc1aN/7WV+c9fsovjijfDHK/eOi/bMQyMxMqa
4xpMz4437PqRC8IVH0bVJQD5W2xQt/jhHCqQzA3Cwp2D0COSwJsla9wuvosYB5eDGaaPToc1cm2L
QyX8+zGdvtZoegHGZSMW59YWJ3idk9JGPC3hn8kWt7FX1yUMIUUfNd5rQoNjKYJ7MzC3voNArsv+
Gbb7N4/62cc4tHFG/x2g0osds/hbC65IFVqw3PZSJxmCwo3sxu1NZqd6FN0YpE+O9rotHVfHjlyv
Nqh2y+rBSFYxjrVDbuIucMfPzEuPZOOfci4Z0YEVegGoNahFuKCKUvOX2Tone05jzseuMNY/HPoJ
m/7FYqJQpF1MhfOQ2ewPE61PYzGeSnP5g0f08E2Xd0VowfcgCsy+p5t6TDQoXLU+pmK6LvazX9fv
JPgwVoeJj03yJjS3UfR7/erF/ZT+azsTnmo602K/s50UrePcv4QW4yDKzk1RDid3rbe5AM+ZZkCp
NEMYDAESxMgmEMSlaLfSaeiTMRVH4K/vksAzAsjymPzyZ9e+WR/6aRek62M0Wm9ko04bubaHbDb+
s0o5s4bJa2Sml9AkIE132atXsQGKpd7pvE381WeQG/27cFm/Ft97jCpAEgAKxFw8fS26o808raja
LEpwU+meAms8oiVkT5F7W2rI/ZQ1hWQFMwCakH4LSC4Z6buE0fC6LiWxC3Dc9Eui0r/LV/urzazv
rEFMGuldNuvbCd4XPmparSi+H0x3X8FH9aG1DedoX8PblqJ5qH3yPXg4L0FQhxTY9Ikux5+8FVfc
qvclFjmMA91xttOE8N+kn/u3xhbHNR8I5plzE8kYaeAwSId56L5VQyhVRns7pisTLRY+Vru/p0Dy
EuK6dvSVODJQwNU+5v5yjkrvyRDFvwkVTRdBj5bhg5d9zEIlOm3PAgOGc/tDfXeXTVRdCPfQdCFm
OOPZw+xktPPBGrM7HNL55sbTt6N7tQMzyV3F0BsaR8bhDpdLpLHaocOxhFntehTBen3T8KCWSM9h
1jrbSdR/RRW++CQlJBK7RhKM5bKzQyyhrAUybhoQMa/9LfKi2qCggeaRzG8+fAvorYrnEvTQTpdn
PNCYwXEKFLLC5uRCI3Rp9Ru24f0aQZWsAcp17pi6sp6mNDoHa/s7BOWnI6uTaUmeQShXJ8Q52L2b
AzU53fjYDXcIXzYLEvSpsD/LoYe1GEu4j1FsgxAfMp55iEJ7m7MrRqwD6MNKY302rP6xt5oE6Svy
gSH9MyfEYfT3mi36T0zSUei98uBvRf7eZua+tsND4XKaQrapYtqDSMaYPdF41tYmLTWAGYusKL9t
B4VZaye9E+Kx8yc4idTDtGjKJJtcnThyyu/7NfB2HUWIe2QFPnwlC5vljhxaK50fxpyAnMjXzGEy
aO66rNDoO+zl3C3a2Yd+3++6RpZPfYvDElvzz5j5LeJKmcUWyVBxbZryK8BjuccvaSW1ssvERNVz
Z9qqRswF+kRKw4fKMxlb4n8cncdy40gQRL8IEXCNBq4EQE+J8iNdELLw3ja+fh/3ths7sSORQHdV
VuarONTt8q/Q6iOF3p7DOZTz19LMH13q7KZq/e0yw5eoGXG5Y1B86Bj5VNgFiErgkyCxyPltyIZS
Y96UmXlUNbtqWubdKHlo5pdkYJtNzba2fjH3GMAODamKPKcAqgrsUVHX70TRbD1juFMp8cuJLpnY
oZjqUEjFA6tfK12EEe97VDaXW0TesWTAIqvQcser/n/7OV2GBN3VroIkr4KctFKVL7405j7QsuLA
HolNZuFWiofPRo928wSWgsXhKwmb0nTgfKTP1Uw7OCTZWWQ9wBbnwstBls/aROM/UwJExX5QWvEx
HtJTjHnapeHSvqdZ59CFuBIbFz6sc1qa+8YmKEtrgMF+7y7iyGrYtzK2vz2jvVRZG6J9UOY7dRag
4uTf1VyPPhPnbNstfZib3jabTCxqHd+XEUBs29LY+kVXYsxNzwszGGJPD1V85afagkS5TR3tPy0z
Dhij/GEYLzYGxijmB9Oi1zZmmobcI/s8mMn0imWXF+hHiD+eE71mmoNx8aWen+v528twwEt0wr4A
EYKi1ZbPVrr8y53JH6vfPpXPcevsCXLdg9x8cbJhG63zbzxMWwvDuJjScBoJHjMm/1iilDksgRJk
humWQUgfnbrawbvYW0PBuiH8qJWRU9TxEDfjexpfKj3djdwsrAn6durhQi40KGJqBWbYmPdrFiJX
+k7i4vKIla8uDYUnj8xJDmM+7ib3hd87qHP1OFlMlMA8qPFzlCoceJDbMT25XXMn6/JUx3RoZfpU
rfHFG5fjMGO0191zvaoLeVnPSigVkbpRMYfbAi6pn8u45uucrSMV370ep+HiuoHeMOpIlidirwTa
smPjcV+y6CGxFfQHccGlY+AnlZfFRurW1hM8kK8idjYxSxM8YpoaIdZ+0Z/ZYXWKjD99LQ7m6pxG
6uoGETBXoD9a8BbQYTgC5fTBS/DrCY0iNNtSIN0X6jA6V8aYT4lZXqK2v8CF8ptKXclXMFw+eggn
7kow5TZbjMxdyoxAeahwc2MxqNV2neyvVme9mJI+6SaUurP8qob0uykiUm/CqVADqkMpjHM+ll+F
2zxzMAVLMW5rLyY/2m9NVLcCKbxP9c/bjHSMipORJU8qVcSekGydufjHwss3nGWGjw3qUkT4Rgft
yUvZppDyxah124zcYNJi/sJcBZ9Sv6EiwdAYnwAoEE1y7hij0nvUO4NRSZ7XpzqKDqLJA7cfEeuY
IyV8mlV65uu58vici0X9FU5hM+Uih9Dqr1WSPEqj+4sxQGy0tYexkHyYFDppMT7N6PMkMPYkL9Rm
lutzJLi3YBSS54ze2pucJ/pnA9NOPo24t/p9amI+IOW8a4SOP5GoXYoej0Xmcey1B6tdrgUBnMw2
HiQLFuyVjHvt64N4dVL3FjPHBpPTNViC05UQIEAS/mPg0fUP8xD0GRGAuU9eaWYOJUGRsnuMxvyz
yfBjNw+zbvFuFEcDBaW3kE87FWgRQGNs9iWx/ZKpqxPNW6dJThb27NE9jplB+9JGd0uLOWvq99Kq
XvLMOioiECrlUvHGrYYLNVrJuUGFsJgHd+Kljeb7Tmpsf+8HdzNF+pYBaWtoP0RjfGQRMmLp72Lb
1yWbz3r7Nk3cqED54VFc9b44Eo7c01Heafq6X6fybiIY5imLEHK1afFW0HTglGHAQ9PgFZafxxS/
GULwBH4cz8H3JGrYpKI9jMwQRqv/psw7ljb1RdvcYh/2m2VMu84csNFrD7q5HtqkenWGBb4J4Tlc
u1oVLtiazFY+yG7Zk+TC/XUgmSM4KWPOEwgE3fq3FiU0l3XbAaNsKmeXrBSzxaleXrkojlwSfxH4
EbPRYAK/pK6HSxRnoKKHIITmtd6Ly8VF4xxknhpCJzNf82XaJZWxz6zh4Iz5VgOgZizcEsyzXaoP
g6iT8i5JKqA1uw828sdiM4XvPrNmDdLI44l2L9QvBwGCN46m0C7TT2qxjd1rvoXH1sZG2yCatVSC
eaUF1ZKHojG2CUZpHcOuoWjzGvYwRrr3Mmj6L6aQXVFSIDsNY0zWSp3MwtsmMdJ5O18xtJ0Hgagj
8Nf0kDFYtxRy8AUd+4rkMrEgaNXOte29DVhqx6QmDuL8LDXZ+nENkKcPmUaMmkAoOnKrhas45jlz
xk4PE++qzfY/K8Xy647EOwmcSG0rzc5XoCDq2Nsy6wiIfqES/9IVcH9XO6O3/qYxOnVInpr24kIa
CcxmvtqlOto4I2qktsoEy4FP9G6W03lwmocus8NkyM9ZjeOitn5uo5B0Ma+zbbwtRrWvjGRn1tZu
7UeG9XAH4Ec5S38A90VKsIKtagariI9GWh776DNa8jsuOMZ8gCmaiqJRPHiGgfG6Cvm13yw7fUS0
fNdmkJyxREgj84Lgb4cF7X+7lFsZ9340vyiSeIsAbyBWHBhzRiqB7RyqOZltCjADDFg02RQcXYyx
rvYFptIcF1282gyFR79CUWESWjKOSTPrdSlJCjEEZnjMYxe9NxVh7fH+Zm3qiPEok1fYeYYIhc1K
N30sxYTB6o1Z7irR7Twq0hGtDQLSxWQq0A8XS13S/LPtOYnayrfcP0viwuVgsqL601xogubeCFYj
OxKn+0hm71AiolP+zvdlb/2rNYeaDktDgf6V6upcZ64vnVOpmVvRX0fyGLb+AxXpri/scFLyrybq
4OQSwAyzNAgWVYdr2/6yMzjm+RJmMBlUhJs7+RsbhTN6YBj6RxNHVrf7TrNkqyJ5dhZIN/2ANfi2
lCi5FFTjLnZv+v6ksih9IV8RyzqTKNsj8lYbkzNvyPtjRH/lym6XZ4dITwIcDZzgvFnCPKn+39CV
gdaxhBNe1jNzPTvI0+VuKqwvp+NeXsf6jjr4PcZnrTgLbphwUrk2JazTjp+F6K62dstatr5wJSSN
6Mup8KmJpKUucmp/nEbfA7CJooU+kZQggzLyiuPDMuQvZSaCsbvJ1TlkCPwuRhofWYv91vJXg5+9
V2VzjvlAZxPnNYl2HC1oGpxmnXRJNT/G0VeTvnMz+fZtgidchv42/iYOl3Hl51pHtRNlcvtQ1duS
Gh8J0vsGqvSvaHXssvKGxSDvnsSUU0PzWelk6k3z2or2PTXcDzG+olvroamiXZTp21Ikb6huH4l7
v1T536DUS1Xuei52ghUQO94BlW1NOqEmfYIZ9q7P1dkz+iCqjc8h9X76CAaVcWLXg98V0a+mW/sK
EpeQnbnTBzhFDjwe34uxgBNi52orAUfk5ziiHKs0dUfQLH10FxV9dLdHMltLN2SZUb+NHZaCiGjc
uYVbPwyNVgZMNFQgFMu9u9XUyVf27kk0rn0wmwEYBzyqcMitE46myOQtSHh1K5wYFZHBoLUH8BmS
vh5/OFQJC8ZHLgfy80Ubn5QO3xq4V+svhkV6RLMVbl33Ewf856pyxjde8yFNvrfSuKnZZv1YtnW+
jaT6nNmEgP+LIaC2kGCuFmlv2CP0MrYO/6aN0200e1kXZ9y1Nupnnw2sjLWWUzJq40Gwy9xHXai3
2g3oNLQV/v11uc4GI285FoUfV8wmHIrJSaRbTAP8b0qGWNge7yflPrJZW6KglhZVWBtGJvHCZDRY
Qasqc+cm69lBNOSQJZI71tNu6p1PrPaA76rhCtSkpKHHMdfLGFmw+gJpCrMAqHpqF9uSWHPJrGlj
xsbVzL2HSaBbC2efN4y32HOTEItkou6OT2417hudvwI9tUnNreN2wTJUB5BOny4aiUQKyfroqmlM
TdUt4TNaZ68bbzMr7bmgllxbVi0KykddDl9YF5kfTX5SmCg6pKjs6o7/Nd51PtM4stLN2AgSKcP6
lS+8K92aLOFa0tbOBtyUxC0Z9LEPXtzW5Znuga/nBzSVQ9ZSO1RO8TCDgpqkekAiq8JOArqyBGF/
DB4Iq3mzFWZxljWaGBPN5xlPo8iXt7RHa1iGFIOwNuCQc8dDma4eQ9iGWtBzvrppda5leVunHnX1
dppk7EOTCVZOohRQmGfVJ1enYO2T/ifKONMT2md/tYtnY8h/03W5ZAWPvhgeR1N/0t36x16BFEYz
kphn2MTFpubbsTT88lVyIEgQNJ39EbnkLWxB6t3LGFClrY01uPw1UsfAIkgsoa8pCuoKNdnGRlh1
DslEYhuOtx7MROEdKIblsKTtfeMkF6zsP6ttmEc60i8+12+jbHR/LchbG+YVi9zHTdeqbxVJld2k
p85PWnAMrN9OfSUN38OZi5zqRpuM/Ic/J3PiJ9n8YQzrW0/ybFnXz/wW926jcduaNoigKLqr6/wC
bH8G0xWlm6lM4QONa46XMt5CTxzAR0A1bIwl25oZ0AmDA9m3ebU22VB/DpH5BFt7U/Fi8y0CohpM
XsbEsozDaKEDzxj1GQPie6tsuBssZ/gt8amHqifewjX56jW93GAhwyGY1fCjBlY6majW+XqDhBE5
w07/m1Y4bNpZtiDaSHXJFppWibciK8S+L5dfmv953/UmyatseshdZ8+Qm84oP2gYE8GqzUF/kzft
QkOXxxICU+bIzOuzsN2w4R8I8+FamRcqT1tjRlGoSyJLYu4GSJJo0qm6b+P82TTOAt5SsFbTzKFg
EuilaZYZZ62Va1sGO9tk0rmYC3HKBHvwItU810vx6XokWcvG2BVDQye/UFtO8Z3V0rxZ7M6cIaH4
sQFDJ8unrRNFL6ty7ofK+a5Gj/upDoqiuk5d89EO2B5rjQlkiQ0RinqEu+epwU0GMqeyg7kXrExL
Ig3bfn1qy+gO0/25W8xT1hl7yx4lqvK7LQx9WyjnCezcy+TiucD181ip8Tsfk3s1Docqk5csQ90p
MblTseztxLiycELnryt2aTPeD4b90Zfx2zpPr0ZrviHpU4Lq1okh6VYfNORl78dUk3VIZnbcKxOF
N82Mcb+6OOCLdWcl+i/TLNjMN8IjEW3CzYQ1Wd9cxy00FyiESx9DA8goaTgsI3s89Owy8bEKvtOA
WcSKSPqxJuKzyZk76RnnJAOxu2UuH7PsVhmuOE91E0Zf1vFwZKK7r3K33LJRwk/NSg9yyY2jYS7Q
3ewupwvbyLJkB/uQYsAWtne7Bf6B0wEJoLp3MyaOv8LtEENfbqRknxJJAbmNu7b0VW21YZfMB55T
22c4/9SaLp4HdFRBSijMJx7AOlK80gOJHtLWsYqvHETHPjO/3D4/LzkBAMBD4I4Kbwqjtoq2SYPd
WTfx7ZjLKTWte8Nt/lYdXV5JatRJo37KobQcolhdev771DPy6K1D1Dhqr00DP6cA62W1gFBvg7Q1
A2PVZkjqWjWcFFjLIBX9/UxCzIIEtfLG48PZwb1IGT5Op9JyyhB0GRmdrLujq2Aqq7mPWW3+GFaf
BM7ocXtncPyb6CY7MSbYDw53dD1xzqp84HCqQP6guabhKORjknDOQItgqSHPZM+0J8Lsg12KsnCZ
wqT33ntNvEnINVEaXcgs7WWqP3hlehQaA4ZaK5jk1rhxaese+yg9zay/2UyKJrVxiqAY6gdZmqg5
LUIQsSIMUulHi/VipdnW4vhLn2ALLSYnFso2HkzzQAHOEHYZ06fBhSVSyOpfVSKIqtgLR3718ubP
VeOETlMgwdIZZo4ixK6mbKuD9fUTlm/uey8p8OPW3TnWJ7rvBlPOJPGIiTmSV3zhct9FzZlFMg/s
8GRPdOW8eJmrE4iGl7YODkRCkxRLnYKqZBm8HgylnWH8pq+X+trAM4n+vBEyD2W5j9M232YG8i+R
TiyN7Q2BgADaCE6audM4yYbHrplpnOPXDAWnyZyPZkHrt3M9zCtva2NU8K2ivFRF/oqHiq+m2wuY
aQm2sdGgM7KwCCSc+VjAVzXsB6k9r655naT9ChF6Ixj5u6v+T0GryusUprApL7pSISXIdu7ycJ3G
QJVsrXWym3Nd5swYgTu2dfPSQ8hrOoKPItE/hmY+jPgZrVb+a2f1LkGew00BlTpp9kuZgya1M9PY
pw1qdVHHFHKlYhxiWFPoziaoEq85Txagi1jelv/U78wZ7iZ04U3MiA/kn/6UJxSIjSNe1rp/6qkK
7Ko/aBJ8R7/ub31nVqfPWqLdEc5+SRLnEnkarf1wshPrbHb3UiE+0eDcSAK+0dQnQwP5MIkdKdJ1
0yDY+j0sI9h8W7tbLk5FVi4tl8+YfTJZ99JE5Z4h7nEs1seqZs0mU0uCjcHkaIi9KHHlgGRJmTUm
8oVnqvNnXKgmgTOkrui6CvXP7auZrKD4Ey1k2pj2S0dvZSQxBHy3dPe2z6Mdn/A3tjeD9stUxPcq
j04JI8IR+opSNEMx5pbRfHFF8ZOrZBvp5d2AhDCMn2wXudiQobLcfUMNuh8KD8cq45ah34/jJ8Pf
Tdro1HE0ivZ6jop6ulEiv2pE3EAztXs0Oqyy2RuWD7+oPpSEcqWMF8HIPdXnc90Ox06S54H4tYFW
j0ZVhWTCznWvf0U6FhmXS9i2huexduAqg2oEQhDPFKRe/4cA3U3igLlyE3lia0pWga5Yz5ZCnjQO
04bcMv6tu3gqTmpOz6XHqnfd8ruaaKve2bBaovI1asY3S3OOBdaaZNLeAOnB2RT3MwULUq7Lu+pS
HpQjdqWqB/bYdUkQ2eyXnEcldoOgk62GXWIhBnTZW4TDoa+qY+INAWIJGmwDTL7ZrbMLfvCjNcQj
sbK92aqP6GY3wiJ/yGj/pQYmT1uebdx9dvWpI6QZDQZizDm9sULMcCwCDjiYy3hfTDwpKubPz4GN
kVxbY/SQ6p+srx43bhzHgW0DRRi+axKplMANJvY1fZsG+xNxBlF4Gb6oGp5IjwaAkXeE8x576Ya1
lNe2kD8EL2B4qGMzab+UreHIyo/ScB9nEILTOGxLx+MLrwIRLX7JMUxsdw2d1T44SId0ldRN2Jzi
/M/MCWWrFF8pCsaaz0fptMzOqvmlpY/iLt8azrQz3OwY2SS1pHa1MQ0XGvPgfMKvqT9NlXVTgzkh
QEsYGY71DCkCypmYd000nwebYrNmCefANH+q9QdgnWRZ7ZyR8XqWnPTMzfOgzXji+SF2UwE8pLag
BK4UYms/fwyts7O1lUpRW/+RBkGlNfdap52JPD/MmCBicmMMYlUSQPXcYyI+KTn4Kuve4gXjmF7S
fEx/FvWA7yxYB9q23CdskTMwkpEMO9Vefeo8MK1ROdCGG0IysxizYMiBGOelUW2kKfciMvauBZ8R
tP4AkXfwja7wtYXoGWMQEFwdT3NFprQxNRBF1WkBSglAe/gX191bUowcOQsVjpDVTiu4Fm8LDRIz
O7RU5g3sxNaBo+dyLUsLl7uBxgi5OQ/R1V/LVIeoIoU/e3AdylyZYZGY5omu9VkYNil8vGfcPISZ
cj8hz+97K8b5evqwq/o6S4WPm8UTrnmHRbXfmBWAvaTtHprU+1Clt/hTFj2nDtychlbASy7NjVRO
vH3P8f2CIB1EUmwMqY79ZD9SNtC8axyr2sYr57saACDhOWlAncV4OWvziR2IJ3r1oGZWNjfgkJ0v
AUukKaF+4H1Zqe5qLH05UAz3SS9foD7wlrmhBver6mj2GV3quLuS/I3gDSgkxGzwa8CLarqlUq/3
09qfXGd48nDCgQcy0bFVd0XVyeACJXRssLkW6il0WMfjtvXK+hGxs94M2D9Vkp2qROHB5CtCMSAS
2Ii3SJsLUm/9eTAkeKzkhWLVNwYrnAz1blDr4rrkZLM8UjtTq6kDtsNdisl9UzoJKRkBNCcZvIeY
dImTa29NVj5CTZ4pNM2H1NCBOzjfykgPU8esTUaxz5B7phTD+ZGwNH3HUpJwbMYbmZGZy2LsWP2Z
+qX8BXXO6cUpY3ObNnl+HCuqBfODuWTYdxnC4A+U/YALxo8K/by0kPLGmmenuzG15SUSGdJ1p92v
wIk2Ht6UIEqWOtDN8U1I634dceZE0r56jUcj7mhUZ1l0FAyXR6y6wWC4W29uOX9XukLnSTeTp9JB
aWu6Ho6IA65Q6Q0V2mJ/OQs3M37kAPgHD/aqUwnbXUqtWD/qroUb2/juUOgtdw7JojIZJbK0kDjv
ILGp3L5rssrdaZH7WKgqDilFr0nh7vQR2xUjg5+4JXoGXv+503K2TDsdewjKBA5Nrt/PU/oQCXGn
GdkuS1KqBzxgCGv9zs6pacaBvi1tIL0ME8JIqV5q0/ttVE0vgOjU4zOqE6a3seAnq6F5YVIXMRli
YHS1eHBQbP06RzuR9ojlInkmI/adFMW2y5pwaOwns5QvHk3GxoRAbtndHjbtvbwNa2kxOZ2Ld08z
npW0vkbdvVPaQmkZnVYSZagihNtnAhpOs1zNCEV7EECDM7NFAp3mazqKZ0Z8DA4SkgKl8+ssd4Qu
IAd3ZDYamaAvR9k/ZxEPbW1dojQ7ELcMKgeHITMie5qx7PMz6MbblBr7goM6Hm4Djb6jcePDMSmW
o54DT2hh4dpbfXagGUABUmrlXMKFUgWsTnpuVqIGMup3RPGp76MgEbQTMIX1uXvHBbLwaL0bduS7
vbtn5mnvTBPBaIrjc7IaXIgxajaDmLeKqzA1Ekh86sgeLpR781HaNQ+QTtPTUbss7noBxA981bnv
7eE8trisPLYL1EzDi3H57XiXqzXDU2Xo3J76W29xFXhuVqHD6+D4i/Wm/jM1KHtFkjjxtXkKZq6w
DEdwlEwXN7XO9uzt8TwEhg3RyJRXdi3zHjscxDlzcvT1aUKhwUiYInOnqAC0EcY+wl2W1OPWtR4T
rP3xBAHENKlcI2m9krm9RxTLzuTG6pPXez9isfZE5o+k/UgZRjnhCLx2zrfVqt0SQSCfMuswtxkF
QH6Fd/KLxYNLXYv+TTaeSMInqz+k3dsY9Y9r9K9N1SXPlre4mB+NLqu2kvz51tXKa9YvoRnjqMst
qmTm3bOun5xuKVHPchAx7DW1YYWaJZ50UgNBpKo1UCsZKd176NYqJBITLrbkm5rTsFTTk+UQ2Wuq
jsmRnWDS78s/yxkf+9iIdm20UDdgeyV0VWKOxoCPqMViWm11qFCdx1i133rK2Y8qd8P0Jc4Gj/VW
WNU5dvuv2MQ75rm138eypOng92fI7U3DezsaBUxIM6RN3+uGUW40vIxNWX4Q9qI0bKkeeR4f0Lof
+SR8WCjH8VZrWEzI3GEvDe9089vOFaRuB1+KJ0LTqz40jLD6MB7mvj17Q/qJRgaDpEP/YKwlbCMJ
LG3eqb65A2B98MC7d4l4xGhp+DpRX2btmr5FafhtMV1orlVTrza70TL2Nk7JQTR3k2N/unNfwwzp
P8flUJkEVAy2OmMkX8J4Pi9iOjiifitUckOAYJpXLEfJmeyjEGNEgRqcyW7btu5eb7Z2TI7W/DYi
jIH8QmKPAuT6WieAVQF2VbOGUQEm5Wg/LTOm8KG8iyOwaFn3zEgPEx0sXiK0RlQ8TIt6WC3xhKV2
p8n8IGNkfUzTI4+KV6izmqnCRGr9ktvFGTzfjxHdJ8f6NuNJ1TssgLdyLhOj55uKK5YvnKiE0GpK
0yTUq5WTn/0sbjdpsM0zfiAWH6B/3xibLknytf30DLP02QhxQ/723GZNxQfHNNqklAXXsvGYkDIC
gKxWcnanVf8rOISZOZjvpgEFo48evSF+oVnbD6u4XxProhFLgpSvcZ1TV2mEcnyjmv51ty4Ua82b
U2H1IU/1nk5oKkbx1LAtaOPUzGrktMEtRmHya9Gi9FksdmlMxGlh8VJJ7sjS5FutCuYWefvV10M4
p3NQRBEX7ZSyp0Krybbj04ESGM4LLLCJWG/S4sNKvkoTP2HG3vCWad/AxWtI3Y+lQYHXhNLKQpEy
81DrwBwae58YPBjAHdOunJtVb7LzHJMIajJ1LlQRrnZEC8Z120Gr1GfzArbhYAOBMZOCqGMO0TFq
89OgYQlUNnWgxeoURDD3syUONNrTCS9Rg01kBDuf3CzdVQWgH26yO4uncvIejYYzN07w/rJ9QLuy
mMSjKOjOsKXOgqBfPXfH0SI7oLdYbH4QrmHwIGfnxgddOQYsjbwOhOXHxRy+q67uSA+DkxCx9s9d
nKeymalzehGqqdgS7cUjV+FUz5ydR4W5IWBO1zTJH6K+L/UavZZG/60iBDDklKM5fncWqq+dJ7uV
UXxEGNKc8FOkqcMODXP+q6p3bSWB4LpPFe1G5eW7chUna34qJZeSgU18Sul/pWec+QOP0UDBjj/l
6ujzx1i4rwQ8sQ4BGNmJdOE5TPV/WW7cT4u8uP30l8wUj1Pm1kcRiefGbb4XneR5c5t1WXy6cQRO
IUlO5Uyi0vH2Lp3FCKO/7RjE1IO1TSrztdCbX+K0x9y6E+T5K+8EFOhfhYhgDvInSrW7ig+5W5aj
k9lvS8Oh3eWHyOQLkOhBoEv7WL/KGNFBKy/pzGCVmnV1+wAWMg8galbaBfr64jBBZ4fVjn09gK9P
Krlv+e0MrI0ZBZM3E7mI9uCNbicegUfpW3gus7rlR78rIEwqRow17tMS++ta7MnlkB1btj25+jmZ
DrOmBXFPS4aBeTI4stY2ZDvgM5vkjzOHnEGbthKBK1CQq74GHj3wQHaDP8b2g45eXxVZiDFrjj+n
W0KrfjGpRTo86sjKjy0rUwYYiTwwr/qSHdebY1Ard0CxWL2xxOcx/RQZE2Beq5Z1BAitY6Pt5VJy
4bm7WlQXe7Uvrv1D6oJvPtsUpFiVRbsiq00nXzMGBY7AHxf/uKvnQ6R6VoXzycjdjYubaR5KJEtW
9lMvt0NHnNwd0N/ML6bNQbYMuxxJQ4+/qhu33JuDpGScPTxPSE2KC7DW5D5PBapMTh8S7XKL572i
iNLNT4dLhr07/GgJ0UKmFkhIr4AqLlXVbFXyqfp6K6TcLkBnb35uHO3gBcqwR+QrbcaW0rvhRjcL
wrc7mb45kuFty6PGNKLoukPLOL++IXZjgZikHSbWbXXoaaN7zrCnGxj5Bg9pBCDXzFCdgR3WFBoB
SqOm+qosfAwxsUvUoTjaYrsjdRrvOm08mvq7qDACrNamho2UWpgg+3fNOsMu5esn7D89KxIvE4ch
SXFqzUOtoMASBQV/By2b05kbvjf6XQtPE1rq3Vi/lhrhaDdi/Xhy7jsbC6310yquPa6VpkR91+iu
mdqqJ3M8F/NTNe91AmzevF/HQ7a0gdCgVVQR0g3Xjix22ZSHdfztIkbkoEXE+sjyiq2u0STcgOjO
Ec7InWtXWwdTgpfEH64en1Vl/dlQxpUHnFkzKn80xyAeYzCkxrMoayTjzmO5gsTaNE4/NudmjPFI
n4qQHaOc64Pali0q/WISwe3YfEDHGRMDbI6ASc6W615FqeiWcpKj9U/Xqft+uWjQdMQUnUxHC5dU
8024YikD20V1u567156faA4y68tdEuZY+wUhrpltijAjnJ1mQ0MNT4Zydm7JXaJol7zYTG7Xm+jT
s6WiGQ9oj8w63BAVnGhJc4ZQOdjzJo9hL2pG4JIrqteSskLu1+Fz8FA5hXeY54d0gNWGfSknhU69
hJi+tluDt8jty3NPFtS+ixNofS0NvTHIB5LVrD24H9rjpD+bvItGGtjalgMHSf4zi6EYG29dfWAz
N4Sih5nyIr4u/UuV3w22yVKE25DiG6fSpmH24xphfJsQuHZoDDjZxGvGKIboo1iKvTkzky/h/WZ6
kI72ZpG3DpNVEfWw7WM7XAHBmtjFS4zwOiizmGkFACJel297ghSWE0m+YaITtbNGNoRXrDGQZ11u
aYluPHoj+Vq7t4buJ17R5Sghl4RPN2OYTUJNw1PVHlwuCAuz/mxtb2KnUX7goivac6M+K/zSDVmu
Nf5zP6KGSGd6V9GKovu62BMNLkHQAPCBfAGEwgnl8pHqMLTvGaU4y5ZRNDIZibnd3O3ANMbtRd6Y
4DC/MpBkQAsdOkLRbEvW8BXPThdMGI2dHhRuypHfn0X8axPws9hG1q/BpGF18e5ccw2HeDkKnC+a
TRg+r441N8VQeiwm6BAYl7BjE09neZwTxHUIH8YWWR4mr6iXYZtw11N/sqaPIu5Qm6EX/TiCbXn5
HSs5dour+SWChcuwWombnZeVfmt5tr0D7xwqMyn/FtWPEIDpvHnJfxydx5Kr2BZEv4gIvJlKgLwr
lVRmQtxyeG8O8PW96FnHe7e76kpwzjaZKwGtqukWOe++jaE5m+lvmZC6Vja/vWTAFZRZ+I91h1gP
o3ieKy/LgJrYjoheLIoAMsziSw9B1ZdwR8kHG33ITHvbCR+OitDIsJIry3vYAeBq4GXE+D3K0dqS
KOfmzAYo+1wtpnWzfcLQounWBQJ08qteIb/DcTAUq1m9Z0AoGznx4FHj7rc8ysx91GpruemuFpUk
K4e30qAoYAFaRPEuly+2DKnxtTOu4XBiBLVS6YGlmUia+XNk/dTr0iktPwYFywMaQNxXuRG/tRNn
ewWPzawOxnCXEsmz0TsCFXS72NqbaBdBktE1ucJ4l3EMoDqBV7TK6dEYrOjlNjffAX1bAa7jxi0Y
axblRye9tYhDlLj1LGlGOYNPECpvSOKUvLxl3BfhvYqehvwum4cmOA8iZDh5nqAzd9jzKlZebgKZ
T5n21KumxbKOUbD+naLJXvYZkC/Z1r3m1cQGIN21g+OrxJuDVeMbY21B2E6mv/bzRndeSuKNNHrR
EmOdilN70L+VesTketYTGEAbImtOzvwhcK6iN/KAg7kxcOqe/pvpZmGcJySN8cOyd5lyt8t3AKWG
aXoCkKNpb5PgbvIAGsluVny0OcwcUHDYyjtpmAwqEJOwRN0vOsNFzCvC7TDCuSXy6hE7Z5PtOa4V
p8/csfeZsRmJryHc1dhvxph2u5eAfCUDxaiTHaOa2AivJQyGJ1Tgkw2E5eMzOlZcqLAhlrt6lYFV
IFSPAZ3hK8n04pS9BMEZkpipcXnZof3OFEEQlsD7w+wxiLEoo7/FQes8Zm24yWVOcAsTOanb9026
rwXGlOpC5g1t+521/B4k/jUHVhOV8nqM5zXQHuYJ1Spi2amkzmeO8tKiAobsyLTecvXpxNYPnK5C
AgLfQwsOM258g6g+JgVa86wBU7W7loisWboK/RjWr6K9jNgeM1JDC99Ws+844kGVuvIwSnivoPmx
xl1riCyDTNtAv/2cQKySl2b6qZxuCoT0Fvp4Z0CUmCjHLk//bOwQrUEotpD3EvE1DTZ1rnlWT8q2
YCkmGIWH2bGpxH5oyUmRmMKpNgbyqYMyXOOLGtf8d3ad/EPSsivHJugriqBq+pk1+WUohudsxyel
nTemxPRsqDl1S+0rtLD8AvSac2OlS4Cr2anjRYECHHC+WCTeiGBGi5ao+OV+Q6m69pOnMKXoPkYW
u6azilX8/iQssjWZdlmNaeQRVNRLk9tN9UUbR1hvt6VZBlSzDabEI6KHXMjtnIt/JB6iMUHc3Bae
ZA37lLytsMvfbHlaC4UQym3SDhyvgtj2/tomoKh5W09A/Rib5TJjPtltUXWyHX3PJYT9mrHpZfio
+u9QHWaqbCs/zbO6MZnp2NNRUipvqC8hcBghEXaFiYFF9ZDISFbbc4aLiVCCQAUKu5cCv6QpTCft
iGJ1K6oLfnhOFFBrHUqoGS1AbIg7knF3IASq7pi7pfJVIdRt6OoHPLOjgeRLYfAhrAdGyGwJqqTF
VZFbGJp0qxzpqfdssCjIAjXapnC/CnHFgfKjS861rEZKxBwACbl5Y7jWLGhdEw8rjBYqJigiKNYC
l+L4haUp/v8F/RNttBieVKPvGNgTBYLCIP3rmUBG7btMBTHiZUIY5kR7XXovWNQ00rcYi50q/5ia
A2WGOAYmEk11Gqon/Htebsp8PdiL2DyqbIXx0G4mAfac8fpgc2YyrIzF2rFUv1iI7iCwC/5YNCeg
MCa/1lG29d02H7FWN9GO5KnXRA9e4u7UV7Ovhj+cQEi98VYINH8zXZVJ5Z1xz0hHQ9d3OZycfrh1
XBLyvWisHe++bH/LFIN59942z9Lgu8t2afOIMMHH1J9JgGWnDl8DVL4ZWlv0EF5qCETi/V+xMBBE
RAkFp5fqFnVTBjy8yXSAp55DX25WFcPVgRQF0601LFXiA6dmpO6bUOEqknZ4k8aKKSmibr16m6Ln
HBL8E9KLRPSF+ZVoMH6E5tV8zTA1L32H9GBGPm/vWzqYGPtarGFgTF8wyPH1ZF6AUXIY+KTESDgk
mUiK8zIa7pQ8OnU3FBON+k0qaU8VaQPJ1EM4ZUndKY/Q7Oa07ob2FvBRI/osii/butlA+2oEC0V5
GdkBOtmzrT9adXZbkyd7fBfJvkU+VRH3xmaB32b6RS6OgcDgBLG2y51rJ82W5OSl56JqUbi727Fx
J4GEWYiVARuN/etadkBLYbuKp9avYAp3E6s9nKKkNWLFm0nxUbc5XVcglX6CmpxWn1YK4IBdHlK7
2lSNuQmw5cuafEL1+MotASZOYik8IfKKd6LXvDQN1n3NtCVq1gW+q2VPhXnEpQ9FvHuyeuMWg9VW
kPrYxrjNecFLTqAZot0sqeS/6Puhr7YgVo6oCXdyQNlVpU+MRveYCEAgvOuRKNt6cuC+MPeFiBWR
ihU13WpwbC/OcF3wtlVq68EN87B+g1D/IbZxxeWCmKgNdqDn3Q6lTzJjIkiVLXji3ZA7N9n5JCX6
EhGCEAppWxmwwhtKXA0+ATf8pOf0njLYWNnNcRFqSQxCKsB2OLl1aN8Ti7MxBr8SJBus4UdcqDsT
V/XaQmt1mQNWv0qBhIWyi2Ti98G0GHFYdAv1RNIFu6lw1dkZGMIs/a1hyxY9QMMhPqXq+JhRUaUW
oOi0vqiYKvM+2+i99k9KMPYUz8aYX7PstylClFnibRTkESvaOcQGXmvJQY7CixDtrjOcv3B03iIW
sk0l850s18cVbpoXpi9tznFpyD8sS347ZXBtU/H6SRDkV+1h5cMlqtEZ1uz8n0WJltBZpqM2RVs7
A/G25k2T9h5yC9fW88Mw9Oeyq5/N1DB2OqY65GL0AaT2rQ3TByQvSQN0lmJvM1eKyukeMUnTdGVj
WfKtJwl0pnBt5YG5r/aCfWYDa40J9nuVXweTHb+z58BG3DQpHiBy3xTC0ymbOU++0pjfkYMXRNwv
0IJLGmG6xESvazzpzB4Sfg+bEiUbim1v66dUWeyDJ0U4A3YmlRoZoJ30FWF/4r2yPmak6536jwoo
I1HByn8m1LVZIrnRmD06DpNIST4gcXIIYh6RQ2sVA5Ez+U8m6hvaIAYcv53BftjKaCRjejHD3Pfz
E3De/w3PNGIyVNJzFHiIe39DPnrRy2uDSwwbO6AQamvLSDYNhqoSXkpZKCDiv4fsdSS2bDBrX8W6
JgITfSKBAjrrK9s8jVN5acrMTWoTzyDO2rLZz20LFFMHSEkoxtg9B3xihRycxVx5CrNU7qQjXGHX
apivVdFVZaRh59Ivo8ynkT4S5yeuH4kEwTQwyC4Dbq0Iat3W1efLVBkY1jrQRJDndPlfpXGfpQjT
DQWXAG/7DM/TYHxQoMSwpsYtrcKvLfJRnGTLDeKKmUDAdDjGsbpPOyx04oZyYadHjyWQgzRJPtqY
+iz1UB9d4gz1eE98TPMey6AD+pFgtw4+wzL8CY9S3Ht16iDaUW9hWm9VRvMLbygY6IwmsBSYgVVp
L2yqh17bGzFb1ywCaOXQUVOh6XH7ommUAjT90HsNhbKpsH2Tm04iDZFwuD+g97xklZdlJvEkc4xF
fJ/26NkJDarL0DNCzDAA0U59ZmCJTz2n0uBshj7qmLY3oFswsyWmesxvTL5e0qDDHGC9mtlyCLHg
5CfWqNVaY28w11Mdc6PM8occLDQZA2QBMBapo8tPEO4Rdb7qJITLea/cZCPby33/m84tHKPhK8W/
RzUNsyga0TCMOdjgVEvN1dBP31ADb87YnwW/5TqfM5QaGDwXOTwFvTQvfAigN3lu+I3VTHwIafaK
/K29FNMUXKK6fNg6qd2K7hH0zVWf1/cM4hVBRt1nrwFaIHeOI6II0OWl2usUhT8Y3J5SlP5C/Xgy
hvgd54jaW+H0rAUomJhIOc+qqV+TSvkS/UhboLEcKifRe1otcCmLuYVTnhobIGqHCd51wFddNT36
Z6Op6NzLbOMYeA3i8WJGSYsRRPrRCHQjwCbezPHoFVXwktO9uC0f7FroZYWbI4SrkuoPVXD4TgKT
KgBPZeNMpDgYi0RaKwLyb/g7k/9MdqPi9BiJOCDqVv2rUsxrYaYhVRnE2cI+z9ySbDDU29J6KBUH
MXp1l5lYL1OhqwqJbQ1RkkfFMD7CeNrYaXDti8wP53LfNfI2Ujl9C/XVpqRUCm2jjtYZ+77lKgrA
GjNFGK6/NBrje7K2Vrqo/0oZ4nioPkNYrvjmI+DR+EMNWdpHTfHaUvSucg0+BMY8TYg3OUmh9KTT
Q5PjR97oplv0Jlc5DMIYSkOq9AdMoVBMO0SL1qZYEsVTK7wYNlIixwJiy760lNkJGrnEUNzC3pEe
B9Jr40kczWbYs7DZwqsuN0k+v8UlNnCY9ljcLHcIpTXiQt+2hxeRMXoMKsTGBqvG+opxzNMS5yqP
DI1G1B+w0oN0/EB+QkRaywQG5S4jSS2yyGdrnoQfnLKuuRkKDSnmSszmsnVUx5mlo+qPRGU3Cz+K
I455yEMwcsfm8lLqHVgEWdnWjbkVOtsGZhTcZ3XFJ9zndzsMb0OMrqRR7UPZZl9RzOC4JWmpZwQQ
zX/sQj71mixl0bsQnN8GgzgrQnbQmBr3Upvv08iqDLAGKRNmepQCThzSbx1TU6i/gjdyx26aMjGU
Ti9mnj+HLDqJLvy3MJQ0MR4bxp/BKO3Ccq58re/9QGUUULPsLWSvJRtMi5VzpYZ/zF3hbo07Q9Z3
LTpRPJ+5K0atWrUdJUVOoRP1EqNA+ZwqtqeSDKAljFTDCq8CYrOKO5Y026axdwnb2lwa9+Crtk3U
usBSUAJ21KlsEtAsHSUJ739mPmqbBYSa4mJaWpmKRi6frMukprRf8aaFJEBCIMEaJqvaYhdMyp70
Dd+uMnDqUJIc2I0sgNj8yOnLrAZ+UYG/GL7rmBw6sUWW4I0V/j5uQDIGV5mdrUE8DA31L/JDZhgn
tOUbYpB2pa1eTKN7BfS0G4f8Roqza1BphkRp9Ip0zerfGD3ZYCD7xoyzWVjCUVDc7Cm7cDpt1bg/
jDJ4DVYyUmk9+1TaNuXdmt8N3CFy/yrLkk/awKctLTGE1otQr9CJz6EGfWBIDoJtn0hwUtIWoLpf
z5N1q7XUi8wckh5BkCbKhxlJUGJXe2ua0PqWa8c5LsgqQqFdjD5uZ+EuoBYsnHijShbFIVkPdc8d
r6PbM49h/KUuozqp3mu4xVDdtM5XMZFL1MFWYwERRZpnTRRZvJAFXMPEYW/m8PswMNFf5pBeie1e
6bzJrIgb5gYMonmmCRyX9X0XBKfC1gjxAoPCTdqb1UZW8TMEv3nv+GOm+7UmbUhj2pJX4RUWzmxd
ZXCEJ91hFp4yvVv6o5KbkpqfL+1Pq8p/mYTwqp9sNLcn2SI3BD8gcKhgTrdhwHw6nXi5qz/qx12j
PNS82BJKsWpN9A+RV2fpsYHkLqf/0uJZtcpamvQPbTxOuC5DnE5G4rgpMn/yjtaFoIyuGUYiJuJ6
WYJvsNC8xtDBCwSysUyWPeuXrsWHkAAIKTV6QUbHoBcrFTBX1vQvKmoqWYF1no0kw0fYJca1IuV0
bg1iAhTO0Jps7WjnHzZTdXJ9mIIWHpiFMLspc7aRae20BU22JINkgllJSZ0G8bCEgzFS6Rat6i9q
m0ZwiGOamKCsdN/m8FCY9/bmfRk39TYBjaS+hYZzJD9jq8nSenaiQ0PtX+IbCYnyCvrvWjmkwnBb
tHrG/E3W5DqUlR+VjHqMlIwN2bDVxFrqHUgRM3cnJfxS0uhFMYRXxMmRnIxTPkPGG7nvm2BXOOSO
hri64z80VomobubQfEshAVHCoSJIWOdiTGE8RRzEwbaJL8aghTFwZ1faZkCqN1p3HbQQsAJiOCw0
6KMfINFyiPJBN+9bvMVWCmOo+tdHb7lN4DczFgUVrwoPIloql2nBBzAKHyhTdQx5IHBQAhwlXd6H
EebugaN1mj45xlxu8SOe56PMmrqfL6H27sieJN6gm7Lug1Urh/7YWs86Gf8VpkUqZYW5Wnsqk/nH
CbkHmQytQT6JHHoSWys1vyniz0SzEtLOQMTES73oG5z25OBUsKa7TLVVLl9rWW6LKfDQfHqZ8Rqw
sBYvtRSSp3XKGYibvFxdBcwWWhyqOVV5jFLxDBr5S+lqTNOYXhBP8jftMYbKylsBsUL0DjAPPiwA
OdtRbf6EpH5DzJiSkfVUxECVdAYOCyZrSUoq07xv8Uczk8mki7WkwaJKFhlwIwaQrYT9hPM6l1FV
tdl2npetz3goQNNPGtQPtuMdbuxEy08yOjMbndRQN3iOGpe4SoTCyvDoYcpAzf9LdAcZeL232Yfw
pHc8gjkB0j2OJpJreNSf6YwHmK82ZtEt6nix/TzJquG1ZMKNTY8Yb6Iqa9AN2WaARODojzZ7Qb4m
xIn60EaiLB2qcBt3xwSBL7CK2dmmdDqIXol5r6dThcouTLxO3jK+bLsdl7WAyXEx4aw472r9MOf3
fEBFh1h31t9z7ddgPWLvTeNqlYrHxITzK87WHfNQjF5Cu0J/nCUIXcC8/imY7Ewf3yiLQrAjQLIV
bncLz3/G64cMAFUNJV27BHCNfsOpqGEaNL7y6T1jgtL+wqCZkw2zAOWa9kdtII/E411akPPtt45M
D/gl67uJvtCcHjADCBm4zwYwK4i12SHQ8a9Rb25yNnaxGW1E+BwHypDoZAHrMqB7323ta0xQObiK
c0btt22tT9QOOG5VaGi50+9CdTY8K3u3i0fHhSkVgxeDHmOLZqD7HzdheNDyTS/tGaAT8O2VSUVD
uNHhAA72RFzUK9XXWo9QzUnoY1hzf0rNzYz/yvFWGyAtAa8BhDvX/UrPV3UGb3RVtT8S9vX2zcw3
lnyiNMznbztbhJNwliCDDOTMHUXB8LJ6Jcg+yW+oBBIJ34p4igoVslcYP3FMX3Q0wLcQ6IZ6L93E
b9BObBt20yIZqg8Q9BtjR6JMZrv64Kv1Bx2sDLUxqKEpgvAgAbopn9AUrPLFkhJg2fQuO4ilYA8Q
aOUo1QCGQXP3ChyN45+leOO1oq+y6nMGFUe5F/a/Rb1uWaepYQf8niH/lIWnln5vXzL12S2Zkg84
LjPuHYQ4szjBW6zyf/ISiTF5MVt+FdI2HomQRgEmtow9f5PF9ikfwp0pXYfcLxWcK6F+ZZTKXbMO
gHWvGngwzrUfITKTZoijkzSumMpqU5ifo05OYQidrdxHTCoy/lDHfEhiqZN0xtrRwrUw2FHclPEd
gVDX7vroToAHrxYuvOarEO6Ac3LY9DUmNrgXwNWHi1k+MOdzXZZIlXFNhKz5idhFes3b0zG2f6/e
CsJ4DE7Wbxod/FLnCYVJgAJPI84d+yqTl9c2vfKkWFhoHO3C4DmpgJ0t0Sd+RrNjULcJmH14Y0ti
hhiiR57aHOT8TeW3S6NbWv72AA6oNqQr6sICXs8U5X6k7hKx69qbGK8Y8vaYuGp9wzJl4BKPBhT7
P1A9Y2urgSWG0M8c+ojl6xUSvbo4HEdx0PjSHRqAtF3stBg4Y/IHkFPlAFYg5sl8VgmmKVf7BiEk
hXtoOsp8Hu2HNJD04KIyii4SKrAMkjkvDjbZmrC3HhLNVkhksxWndrppTMAU+oYmnZ+j5AXLsYbP
ucpPGB9RYm4MTCJO7w7/wvmHUJQ4+mN9YkuDJ2OmIEERo3lIINB1arc5k15o6cuThWLAFcu5Vz0d
9G2NQl2o/rVq6EYTAjd0IyH1vjyyeXjFVDBMn5r0JlDTlPqvNu+QczSxX1heQQD5ZLs2VVgbnpR+
Bw0mRRFIfK3GA5LaVyU8KOU9x/3UgWiavpPi2KhHoHc0DCfAipX1PTFxt3iho3smfGyr/PTIvNjO
M8x8Ccclo1Lxl/L+EwnW3x1Yp/LWZKndH3MkURRajnZGNd1aYsF2QOCf0MZ5BqLZ6TRZz5hYc4WT
0C8G0BLwQ/aF8S9rP6zKH8JLmnwYmh8HNN3w5O44xjAcNvm/iSdT3/B/lbNLYuQtwFZv76KCZUvu
pvo+iY4DdjtJ345IFmblHeRC57DMBb9E2o29A+lu9TiqmavJ6uRLi/iVaEQVxxAaqflZQCrs5G8Z
9197mIwTEeoEh07Tj4i+OjIMuDtBFZTOZlLXiM8iQXWOMZO4gsV+/slM3MzWuIRLeiVKSc4/42Lj
rSAbhcb/PsSHut+SAKgndEWMMphYDdCbOf7m7MpYa5iPve5Gy1r5O+k6xqnr+WOs0ZhteTnDYZ1r
HmMr2KnorM2QZTnywF665OEzr96riNkyG5shn8/42OsWGy1zQw5oJ/yM1C/ZeS0yaAbLbXRI2ZU6
D0d7naFRWt4CdpIiOJixn+UvzfwespiypOGoxpEbJrclZyguuW6Gr5bWLHTTbDclJzPc2tkG7L4/
9O94ZxFNf2RQ5uWfWPuX12g66NTa8K2rPjAk4ySBlJ4VTHfR/nhjuFPbzRi+y+2bpMZ7W5XXWP14
7ByW/qP2SJFyNjp/i4EPpHyNfliSty/JKPb2gLlzWrXDMS+/KIFcw/g3p+86y1UERvl3EgUu4xJA
npcGjKEKArwG3QpVPTAuo6n6bBNNSOHIRbvXCJqNMi4Gt49w+DCGwRvn0e0yLGER4xOU3gZ+AxBK
3fxacHBhwgSkyKlMZFKNAov9oCBZzaKAUL0QfH+JntOiiWoKNIoGIPYzRK8Z7UpWbsVLZqoXVhel
dCkMX1JQYGkPM55Wln5ia6G9W/J3wnOYYb8rNOBBKHABLj8i28MHu7KlLwsZEKgXNXk1822b7vrs
6iQPPbhgHkKdkYH6UR5m69rdAbG5w1po4LjkUGTHLyNe8kJO3hjSUmP4hfPS90BttD+Fr4ahDoDQ
g9reZeSOhXEH1IjmdjOPzqoWo77qjD8+vCi56OQb6aZHdAAV1Qc/Nz72hEkiAHKCc5DfAucha7fO
2CnKWZjXpnrLBfxeP8zf9Zn8Yt4/QsrJCAk5DgEtoGegQa/KowSroSEsgERgmct5q05uZT2K6kOh
6Awd2bUBWUrMHNkgq0QyI0XpuINBZq0iaz90JI43u6T7k4Z/Y3iDXoHAygXdDZe/h6vjDYaH4ifF
G4khiwDfNT9mym567MnOMTbe9J70I1LKY0olsjTRpv21LIQBffE4ocGq+RabnUQlXbbWOZ0Y6ELL
K9fSElE1PGTpxg7IKS6L0DVgtL0sHW4FXLNYNk6arYNWxvmzSRRKsF8ZAV/22VvAntjNzV+K+Oew
/Y4MbWN2B7t6MxmhyB4ZeDVOMhowCkIMeYxgdNCayQgeUtoU+G9KbDh4TxrE18klSEjPZg0NrgaI
lL6JuDVm5s33LnpX34CM6CbbCpItDBWqJr7H16plL9/9zvkdHkWX7Rvkccx7IhJZEhj8FdbfnynZ
iO5km18Gl1J7FdMXS/V1NL3r084OvMyhDOWeYI0qTc84Yp1Dw7kWEqQOxko2ZDGCA7eWuuvHg4xK
P9EOKBGc8a8AYYC4viVWglVaIMmnmAQNptUIyVx6HRC0kwNiZFsz+4/ZrCto79Fkhs1ZQtQ8yfjA
pnWvPVGUxdF2yaIYmVGXhHOXy56nqegN8LSK7aT4gfkIlY+c/hUdRY8GR6R/efM14/dULNgzsENY
9DJL7iWgxQOTppNeXRVwyZFJtcBjMTM3cTv1ZwQIaeQwapJPwVylVjc1pxPMZAMAb7JN6le7xwNW
HZSKW1NQweg7i/NJvOEimIjAmt8YC8BR3fPssfYstFvExK7emvWnCXnPYdYLQ+hDUfCvLP8E7STd
dsk+lnkxCoZF1aap/6UJaU7nSfdngX99+MCjsMjLMK56cIJDkp/a7ki8BdPtcV0D+Qqo4rsCTulP
iVa/T449E9DGR6ixmngMWgCBaXoug7+Euk9JM9/Sfau6amijwGRzbJj8y4YnQs52iNn4/tijv3UJ
iNEHwapTj6RWe9rFh0pTi2Qvql8t5U+trq0D9b1aLTHUZY25Zd0iJVffAuYdWBHY8pHkkt9Mslsc
/omlbsF/pjoLcMMLjAuN8owxkzP0gyhpPS5d1pexDEcSU0PFYZkB58nAi5N80Fjbwn6SDs+80OSj
j5uHNn7noCStLzQFOK5u9gfsMjP06+zczL9hTSVAmLy9jovPDFFr1T3DiOub34Km35kF9WPoSlzh
rhLd24H5BqYXf3ipeAIat0YE0hu4H/ehgZQhhkTnmu2f3pLptVPU9xYDseGgImzPheWOZ3yI60XB
qcDch5QZctUDCeuNw8jRGNAiMLII80MMT2EWP8pMNrQrTceEHCM6HBiXMPJF/JtEPLJ/ZfFdIWMh
i2uX6r/2/Bl9GygkVGmXaZ84uXwjTwgs2gi+tmZ5rN+QfNrSi1Rh5rW4UVgkd/dk+BwQFOkOCi/8
0adpupCMRVCygS3JCshy82XkznCUOVYU+Y/1SSadAmlfS+Qd3mlDBjbVzXzuE0xnGXHn8HuNaNvX
1cZJCIcFO2Li7aA7UJRfk8gv/gweNfbXKHcvJu40XMz2tDFDLGFPjSF0YemeyXHPj+IcBavmzJ8Z
zqym+tGjw6AcRR+4MlVJnLkxRuQ8Gk4kjsv8hdL0kILOm0/Q9HpxcKqrHB4CFhrB03hBPdeJd1Ni
3vbIINAZk19ENF1sav/pqKJs5HEmYVNdeq9/CJoDWhENPyXGQeY98P5OISJXsKjqk36kh5Jgbu2A
uegatmE+LDCU1Sh/KuZvUtEIs6ZZG8PTqn4a41VLdpAC12a/r3gtVRCAd2M+g4R3Eia8J4W1QKBT
hixfscbde7eGf0n8j1CNCB+wNvhG6SM7gzvEK88i2RqfIgNIsJMjjnVPsdeV5Yv8ZIxr9sktgz5j
xyU+m3hOwIsgBkw5THk6pnJHv4oFcHLcvn0x7GlVj58z9xOfnsxBnZ6AQrcoZFMWsuadFo9YlZTB
ujowVtsTu+rDc0Q9t3IiwlhuiFOZ6Jr5YY7PgfQWlR/S4DNJ09N7lGOUKj6HjBXEXZbROm6IIQAO
aaFebXQ/0K+2fh4UDwxTnN3a6YW12BBjIO9+UwR2A27LafE2cUAmQ0x8ypZK3FDPaXucul+lSrcN
tzssL3cmObT8txyAaY57PmagVz/LxYvOCFOrl6EnjW3+aUVflZLuzerLZsQKvJQVFKVEaV0LmheM
YIQnslXngkKO0fiSfax75n3bXJySngxwYhvIaCOCEaVx/w/cAsqyXZL//l+0PRT7NcI2qDO+dnN8
mS1nrsPRZKKghrnVc3EPJb168tQ1zEznhS4v+HqiCAvtKlqCML6J+0ZZdCLSV8u3TnltpcvAMU18
ysBBMx1V0oFJC7ANjvu9apIRt4+NPemX4gdUT1/9zioUGeB4UDbQNcIDR42ACjh9Tmwlop95+rEQ
BvQUk3l9VDVEqSMpTOw8e5apvLI8lZu2vFp0mInxEzKrlhMcg88pvabtXRTbVkESuQ20W+GghMAl
XmorKQGdxC2YonWF24AGqHSHEbUp4Ykd4gbsZg1ey98+fDfmuxEO/PawB5YWj6mGBNZKbmVCGMIT
gJWY8TtOMGceTsqT7VLKy9fvF9QsKhY6HwyqJqpdlgpF7uu/y75Cs2N/gWcOM3og2CevqYlHcq2n
BxYJAiQ5p3P/brQnyPXRvCO1rrKfWb8HaI2CCSpVTaecjxDTtZV8xf3Fc2Ff2VX23RHm1EQcltaf
B+nP0s7xUwpw1WB1apDGsA5NICdkrM2rlrvmDJCLUAQPBxqNld1y3a0WVKKtEZG8Kl9JngUQF69T
hV3O0uGRZ4rKgHAjQCjZ3m7AzVkYNBGpLH+gVZ9Vfi/lxdmHw8HrpA9zJCdoE9n0GcDhJx6a2SX8
q0BgwD0Jzk0KEW//1gY584ewjVDjjtwznmKS6YHb+x6kNi4k+Nn/dO1ejZuJPQHGQJ3BNZYl1FMo
BWVCKUreC5RJq+mU2K/Ek1BDuCSs6vUDBQ8hHm32WWKLAiDUAuVP/TmjAwFIvtEclN0aHcK5p2U9
h6nfDTeYIFQzJzJjK16g4oU9nTQagLVpQ9hLK34c7Spen2g6RtZnov2L9Ld2/h6lF0d8qdWWOW6P
IpvNptMDGtctdq2cEc2not6jLmDAtGYNwMAP8a3f1gfTMHBigKa76GzJjHhfYObF7GOQCGxjXbbU
u8MOPK52DDBIWAUJw//wTXklLyEA6Jbx7m/SeC/P2r1HIakoC7K9WWGyWanKIQdgk/2UeHJln1Jb
QT++t+4W4h+hT9voWx5OdXcu2QAG9a+G+3dgQEoTLrNB1hAKb0L9KYIVZWuu//BxbXpeJ9P+BjKR
zLiARYV6/MYlgld/Vg6ifyQ9Nni+ALR9oEW6j/Zf2lzj/Dyml2L+0hE4aGy6Kiwr+4jhinUw6tvk
YBjlNk7YCaF2GQ4tOhVGHxo2w2ulv9g2pVmzVY191XoB0JCObe6wDavrEH0NkIHrGZplP3jgsjY2
qPVC/BjpFufGYJO+LR8TNFkAwEjtYoIB+7qIXzvCerP8Tx8PtXyMMj4t56Oedl1so6nHxH+Rq/e2
rDyIG6joZZsbYxfzzpViS2I7KJVrmmxGhCOZAs+CoE9+BSc7S3AE6Xz0nU1YMu1Y9jIpGGiMi/6T
KCUKzps87IeZpMT8kBPbFVS8cceUDYW8y2cyb7iORvUmlCv9XJVeY5xcjNHXJh2UetbQI6SelWrE
RIm15Lzi58aqBQavpArnTp49iSOxwtxBHCEVUwQVJO+eJacM0sy8/lOFhzhNpQOfOOT7tvVImF51
OIASYnz0aI2KuiNeK+fvRodAwHmFLjh9o2iS2dsG/9/yHu9fr7HpU7guuMXaZfpfsSZrjf84Oo/d
yJEsin4RAZqg2ypJpvfKlNkQckXvPb++DxuYxWCmukvKJCOeuffca6Y7rWztw/ErA/DQQxkuqCU7
lH4N6u5HP77C6PBsklyEvEp0FzoqnMNfuf/W9dfMvBooV5G+US8xG6vfIFVq1YUVSb/A0FbsozsS
SMnVmI3IIdR9nSUMKtBbND7QyfCIp2mTEAtsRNmXXx/09J7CmmLMXHP+US1+oF/BTR6BnsFGZhFL
Rz3UbJh29xCluS6CfwbuSzvEER0wPjuSSkOEijl/NwwrUn+v9P/ErzmdFcMzVLfJ8DDwqfzBuZ0g
V6bJOkZ1PF0p/jSGLeLVqA9NwtO+NnrW+Gej3ijagGvabXN1C3mEltMLYkx9yLiLOtnYQCGbuX5F
lwS1YIo0hxtxJPUvbrj+6ghHLWf5tIrzrzbeL4VImFGvD8pLru6G+DPO1zFtIKcPSTeTeBKcqS9q
tx0/XkPZpoutjBJuS95mAwhAsw7jO2FAuray9QP7Ib//ttILxBrdhPMU3xPrrJRPlneIZYVxHmRo
XWjG6DH4CvZ2dqn7m1qQa+exPipTzbX6CwNuzdrzEfvRzdJvNcLXEPPr3O5M+SLJp55bH/EPuxuL
aZ2a/AwKhgrUYqjHg/I4BNCzYyir3dloTglDdqU5R91xgujVM2ggbEpeziRCWhmiLXfsSxttGTMb
FtUMgg9gdQqJY/qHqpcM3aB2sPeokzcF5mli/LCoRDNGEOGWcEMPSwWLQyKqyL/dFxZgjWfbHfHc
A65iCfNeAs0GNfUidL7aq6RdbBNvGiOoQlyM/qqn14AqQVXv4r3SH/PwRaCRSgolPUxxC9PXZTHr
Y80UvyJY+60bFt+R4m9yHdhx+VaNzzC/DSTjEWlo0EBu2+o++TzhbmkTQjdgSX6ZQ8wNhPrSDLOk
llAQo4IaLj4D7dydOxaZaAvSrc/01bomyl6ajoPNgfZohPAWEmUNBTKl6P+NLcYuipfmf6msHVud
uRfjfxTxh1hbMmoGV5kB8+Oy9AWts1Wggyy8hvKwEmAf/y1jFXXasBfG9pTyOXB2pBdzuMWKM8mX
SJxL5QAbjGIuJq+X5UqmIWkkBqJdxdoHymhfc6oeos9fZnkZQ19Kmg51uGCkU/LoK+UbWZwgWLdN
eMiprUPQBXUTvQj/1dBda1416CCb6N3m1Jmmq57/4lHXB29G7sZ2FFW9Wp5Z+1dFiLj8mRVEC619
aiTO54ZrY3HvnHLlG0YD3sugAz107H9nZXqxjXknSlLIF+/vk/9l00BCaKA/GOgmctQSeL7xwFtM
sqMP9Ck8/5A5Lf8R2nuZL4jbIgTDEf8rlyOKt7yO/7Likw+VvXAefLaM4UCpWIuWoIRImB3Uv6lg
I8tNhH5UQ9sps2x+GHSjvsq2ixUDziUmDzuTN0wwTbuCDDUnjiv8UNIXT2YyrkkkMfEaVxvbuEkM
LGt1X1VrmZeuwbdaqBt8fAkGyJhwjGQZhR5m/49CBHY0Q6KVVmyqBF2jgxp7krj9GDwHQBK6vtpo
A+3Twyx/tMYgPeBXZr4xMooYvnjboFpo4h87hyrbWzlSB0QavKl7Bld2DMf1A90I/Rpg3Jy5X0Es
xM5mHYI3LVFRazNcJSeGmG75ZvKLQAhW7HPXMZzuydviJuxddg/qM2zavW1/KuljQZmlCmxfK15N
pzA8l/TbUmYzK6tgK3duLZ+junPG8q9DMKA4mrmNgR7PKBlQFhJnvJLmZ2w84/EC1MWuvRySTPNs
Y8rH4hq2DGGTXSQgrpafMuuJnPwNo20PLZbDWD/U5q4sI9ZK9zohNVejYZHvJrvj+KmFr3ipLZkl
+6mREseUz+WMfuqGNMCucb1efN3rlj5DvYARpeI9yNHryNFkGfQfoyvKac1O0AIoVtAVIb2l5X2L
zKfKNG6ClEiqwDS4ZvwmBycb201V/dUkwPAJMCfw9/AF+KcMi4MHaGVH/ckQrlhBu99E8S3EJ5f1
7yb7GR+5i/G00CoiI8ZOyQWbUOwkn1JwVauTqJ7WeE0mr7S2wynOjjQwIEKGyJu5n4p/OVqqItni
Z2TKOWSOOl+zlrK8c2UcPLCTkx3rrbTZqA90Z5qxmY11W9zE6GYKzb47aqwKGgbPSC2L/itDkRLk
dwJRcbVfc+PMmopRZc+KY5eP0G+dYLxCVFDHreheh+5ThUoefqnJyU83GpProHoMus20eF5xUbi6
aLaGuIzGqwwIQra/igRjwi3JKCZGV58YX+N5WQlSQinX6n8TxW1pPdLylJDwMG618TfzN4s5RZ8M
R4k20/hn473LEITyN+C30U/5CN+Ms5kMHRWvdBJ8o7wga2E0EBitKX8lG+H3cNNSJO+kS+L+0Zpt
Hn6jhI3MW7K0N2uABb44jRTWfMBx/K/uv9FXJfl2mXMG2XEEMMLUKDS9cqT/xmOKX7RPz7n1Kg9X
n882Q8gvkOO7aFnZ7rDh6bdEz+KB8cmo1Y8tq7mYmXIN5R4j/GdLaxpifejJqJXAgYTpJULpD0pV
FO8W2OLMhelnDWsU9118M4M91r+o/JbMH50lNoJBVv2C47qJ1iF589FKxBtV3KeZwrFFP/AqIiy/
XvdREtOgXkZ0xC3KEnm52ToSkLwhuFZAszHKab9agscKNSsDcPQjNIhdem/CY99xhNiO7N+ZYQiz
Iiz1lqHOKbF/eVm0we04Npe+9R07P02GhnX/H1qodTOUqLiaVSfsDdB1p2fUPyc3a5GpN59i8Ut9
atUytiUpLmF87Qvu8N+6e5YWJGiLn59WlmXNy0QBrlHAJFRRGT9NK8t3AmrHQ14TKMiw7CNIPgZK
jiq6SCZbVIIdCwiBDB5DeudS+ahvasBS+Nnc0xhNMjkRvKT0nFx+ovMk+dCNn5JUbLgCKOZlDpV2
TdMMZaT2/1SmSOaq1U7GzPO9qQ2YFN70Hc0bNaTEnz9hqkjs7YfxWxiPELoSEQVkdb1Y5lmSDtb4
XJJRpnXUu5LuTUC4cYuI+1zsmZFOYtPwi2g/0fDTgyxZ8r7TYT+IjyzeKtO7D3+kEcdAIdL7QiMk
4ZMasAWhHLOeBULK6rwYsbN/zUeVj6saBRgLLLW7a6hDSh5Bmq40cmfjKIzTpO0S8z0jxLnYoOlG
rqA9mNH6OdhuB/cGRSx5GC8muvKZ99JaglWfOVtSk9t+ttyZ59XIAWCxs4KBIpmYC5gKvCX1qzAZ
wn3NKQgI/5+WHWR9LxAmYInuURGGD3xh2vhUtX2eUovyCETu0kzXNZDuo86LkRietXydv1pxaJZ5
XLPHSZmGNw0rmErhMlLhJCwWp+A2Vvcy0Slgv6zsrBRE1i5j1nXS7ZCYYADOACJ3wW7UPpUBgGHm
GN8ywmY4K+10jjEwFul7mH/H9lUvduI9aFc2gEomyADZBG5axgFKht4ZkaHK50lhWY/hC9iEwLjJ
7QLOQqeVckHTGfvqfujDXQ87LuasJYVGQZC4qOsXz2IbdE4nbybNk4CaFc8CveUkrjq+gBjVv5q7
Wb6XcGhBbhAr9VtVNwptXOqfE+S/uXSmb8xQaksLq+yn6hx23lNOXYCIj1XD2YZCNpBtSlIq4d/v
MJjMzza8prNM7BeETXRcYJbImuqGzLOmfhXM+1k+KP1vJd2IHo7UAx8rCuxuWuP6eKm/pGX/0aOd
ZfDHaLPjQbCwremRY1U/me8aAxVO8CeN7iB+GR6nvqcDcdAUei46nFD5KSv7xUBy0zGAEO+JuqpC
5gqPlCsC+bmHiUA5ihwo2GPS0NCUT1N668EspMHNai5YxRhE6v0rQOImeCamyYCTBqLbjCgblAFS
A064wHYC/s3IBJcz0JVwc/fal9nc844fPT32yRE82IB7PPV3WvUPV6chf1uTI4jNxeWldp4ikbg9
+3yTv2N3hs3Y988eDu1ov46UZZL6Ganl2kivE2a7FlVuyI9CMsQqYbSlLMi9Ra7IHtOOcfQ4crAu
4tyV1UfrbxY+lOmK+X1iltmgW+yoXotDPnq2jsUjO6twZcyNqHcknHGC781kH4oTeyN8fN8VmWGz
xpqYSJdZudABGuJYdMeBhOxsl5SOZLgB/l95j99QFJ8Ng8zEeoT63er+AXYozctY3JEnchhU2YEr
uY55jd2ppny+dBX/DJtWCD+E2wJ7dZpqk4eHive8yTInVG8CbTlQweUiKsPN1N7z9o5eHSrnoaq2
7RfXKueQpH0W7TUI6WpeUgXksoM2JDNv/XhliG/NkOpvmXrkiho+DBXV3hsYqlV1Z8XMSoMVZsQd
VqxwllkkWi6W83aD6EmQwKLe+uKufGbJre36VfuWs+mU+VSJ/vhQLO7WjohDOXEV8rk4jlHZR9Ed
BVHB78soh/04+l7rrtObLQEPDULtBEeriro8hXyU29oe+x0P9odxkO11Xp07ZPNRcPe7ra84ublP
2/YCtsyJmBhFAUhEIMIEfnXouFUWw2vs2pVgIDV7iy5/etZmgNT6hp9ZTil7vKR2uZDKzo0evdXf
AaU6jGbyme1afIJ5C3vO7/9gPzQ1USgRukHCtLSjNF/1DsBYdpO76who09/r6XcC9CQd/wr9kpTc
0YySas9CQAOBl/TSmoVof0nCD396b5GwcyC9R+FfLRCZWnvgdiXRxPboVKW9lij9pA9KBGu5KrH5
gkjNKFxkFjuUgnjqCyQ2GGLZeGf9azBs02cYoYkVAkjZFfURzbGEZBZ92AjkFbVNrb9NsDt6lL22
/Tfmu5kthuX/DvK7qk5uAA7e6D5olKcSpqaFvARCVIgWQzCESiPO1Xgn6W7/MICQ4uUOd7iEGNqW
qcPlXkKxQ/GrMM23yNd1h/mbcb3e/yooKkaCtpm0HhJllxuHivJw1B9Dsp+kzcgXpE7QwRQ2IIW+
5ZiZ9eSa5IzBlRXvHmx4jd8ubN8Gov3aloLWhAR1F9qxZF1VX6X5CNJoRVONsYRTMA89A3wLTCVy
vX3Z7fkMFrG0cGPYxE155JHL2Rsy9inMv4wyiykCdKPG4AoZvhvzPKYnQSpXF5cc3cTlQDRWvyYT
Dgrj9xbFXHZUyxeTymtCDYs0oVrzgIv4pMvbgN6fEEqacggK1Qszn8b4VB5R/IOuW5LdWF/JwbtW
f1Txn4B+LBNAOy8LQLV9ltXOBuBavqrcyBj8270YL3zJUBWEfVpoJwP7eqLFafgrRnAZ0+H6t9TA
de5VBCOQy+2N0aDnRCy46cFhwT2U975OqB5qNLwoqKE47ZkvLJILdP+cLyXvQToiPeifWFScOrkn
xuwZPdEgY/tQjW/MbN6s40iCAxusJHET6KBF0b5MEgT+ESkbfzZXBdt//jrm5VFGJvRYvJuIGQhL
ulRWuSqAVvcEoRNz0+nyWqj3rH6PpXqrt0/82XX04ec6dxZqU/Pamx9dhIuTmZTW3yfmsSlldOcr
6xm5gBKfuuYfKYZug6hOpTBAJTgG00aLBVrs8FKRVF7z8dsMDqGThs1KAlRRIkwUlGeJ/plk2664
1PUxwHoQgSLW4vyRYv+3MeBViif5lxT9o5a5EQW4DWdnIpY7VQ3mSou8mVGLeI7w1Im0XA1A5ci2
d8JWfRGwVbqeyEOvYu8mkwyLjrSHhoQtzJv9fxM5auGXDRGOVSEb2+bQEqCVNveMPImAU9HSvTHw
Yma20H9fBtaNOB5gJpGZg37FYg89xwZ7LBZDmP8Gom/hetI/bMiQ2vYzkVS+a5GcUDHBiFvOMHoc
vE0rMaCjYMyiEX5lV8l6Er+RYVB2qOhf0C1OXj2xKjFmnC9MXBzclTlbPjFFqBZx+WOdYoQ6wlEw
8MHaVD8qMFJI6zxCR2xkboy8Kx/fSInZzPFtjNircnEk6H8wGCCuxjqm6itVwZpP9pkwu1f4oGdk
Zjuh2QgwU/Stzbfiwzyom+SFdUUcbzMSTybbaxZj/iOY/jrrisEKh+XVrzkH2dzCJxP51ZY+JP8r
sw6wFlfj9Oj9a6p8iOqjBpxHdzCf8vwUxp+qei1Jqgx44WpuvWlkBclyhXIESsEEIyvk/GFmWKkZ
V+4bvulVrLzK6V20n3P8rtjHhjXaZD1l1DqsPGNW3XrlrwIwny8qc2qV8zHk3iIckv0hI5d5tk7Z
WK1Dpl5Rc1w8+KWMiqv+S2LrPi0q2ZAIxiz6sUtqRhiFOV01xISXWjnLpM1Y1yHtXoZhucFAe4Do
TNpzaJV78kXt8D1GLK9q6A4l8phC/g3UBn0Wb1Jmhj0+MbLfVhmDRhV1n4H9otQ14CLLFzo8ZXz9
ds89oxbuKEkuewWY3KyijZYJJn1LJTYkOHBhKMjFf/qaFVnTBpzY2qEYKha31b8W0JzJUwGqjIsa
groWgbCq3KqrNyC73Qih4thT1EQ+0syNXh+HWJDSltyV+icmwjElfqiu36o2IPfnRjaI3m6Gcefn
5TkSCV4d60VmOVVpNK/95JI6zTjns1h+9OXDaDp3sg3ugpxduGGjWF3aKsAtEQMMdVeqOl9ECxS2
7f9lWnxqdOVPQs0UDv8LVFYds0vJetWMM2EF4Gi4YGCG6FqL8HTES905KWoEpqaGjY3O49oLW9x3
LD5iwFFq9IszArAmNVOIPn0r9L3K5gBJqi+uvvlu9QcRc9wOa9Gk++pdpbaZWSQXGF9bU18FyafZ
/2/WIrdbAt1zJJ+7QkLYNxocY6JZktiLqNwGKXzxaXpm4AB2gylxuGcJF8QmY5pmWOwLZzKPBMUf
a81Doyy94VUYl2iw2RkDx4OkN6xtNDR9tsrET1H8znKC+3+GQejVbJab8hs140mK30PU59KHRUlH
fVZbXofGF/1nFCAsYim6VWoes33ZggTSdnJLUJJ6lIMvmX11iUpFXjGku5Safp707JmzqqMREfmu
g3WfIsebFUJDk4MeiiUEYSWjCbSw7ZjFj1lOXjf+AzOTYI6oEagxjmGvv1DltZMk1r28swxtn+Qm
hquByl3jy17oYIADqMmsGmLleFOMHzLZZuQ9AOzxvzTtt4buhhRbVvU7wC0ao8NxuMfqgmF9aTWG
bzoBvpuAxV2I98fhJSDRJ/wxpwsFsiq9xRZGIkYgFqqYtH+UFbQH+VEkMbAxai1YuUucExMAPztk
w6utJhjzKM0RoqhOwdPU8CUo0XtlcZ0QbT7kCGUtaKFenH4jfg66W19eRQW8j985XVnIAbDIvbQm
dni02oKNOfNIR1Pg6juD/Y6cIM41R2Mjug78hyUBDVQdmfNbsnoP1PZLzHALjkrIsoIjK7GcHBJV
uE2UbagbYI+fo4/4DEonWyvWMb+CZ73Cj1CYjadjkSSNk79pgtjP5G9M7rZB9znwad1Rv9b8t8rf
CPkiT/us3o3/MpB91iStKuQiSy/Llk1pLmRVov4g6+pQ5GjQL/OMpIO9mo+k5kTTFPcbBcNQz+Bv
jJgatKdk+BV6BYwY48DeVAmMVvhpf4qSvfTCLUupWAevZqglshFMnANCEjOUqZsvAeapVJ5d0+rX
iUI9RWZwBmcQNWXjTrD0fewBC0mk1zfI3zKkgYFcbE31ESHdH9PCWf4tGcOUosXHFN9bKIHBumqP
U7eTLOZJ2+yRS29d8L14DPhPhaBLc2t/l8HMakDDzK9S5CHlDNj9aDwCV3w6VnkzI7STYM1rMhyV
ZQUIVksDdKVi5ZiQIxG8d8XcefRRqxTsPybG0Qkdbx5UpzlZFrrwTJtJ9lBDeSG2+xTvAfl1XxNN
QNt329ZOcaoza1IYxobplneKHE6dSWV1CYpujegy5dEIyNPbM8WdxHoJJAAgRwzVAETnjGkp1Lyc
sA7ZI83LTrbp6BrpJSUyMTjQQJDqsAiRMYoH1gblBHumoSNw1UKTyQxzdHQG9y1gzdeuXMN80ZM1
xCZsIxMLmHIzqZ6qodt4Sjjd72p1LtRVibcnJ0LGjxO4PXeu0G5GFfHN39M38YfM9jWQvZFFCztg
fC8oM2zinhvtu8BFWrZno9vW+b1FEzD+NdTadcVl1LyR3vZCt0jWQKovcRk/PRP2sZ65LYjpaItj
yiK/4cCWzf/xopP2McvnpmFPoa7VwD7QTTOhE5wVc7gWInKqel6jV8fdoI0SCpmnSguUxG9T3HtF
fQ1StkjBtiRUK2E7C603k/31qFM5nAMV2/7AVTIy1cHr2t5k1s6CfGI+QJUPTBDUyWY8Y1z8KPt/
M4jbBkY4jncycU796Lb6vULk31pPS64pvy9JcGijo0kdqEo2BfYh1M52e9FN1ivy3s6fo5k6E520
UX5oCpRVmXRtzK04IasCvGIaeAt4ZUyPmXattX8hawlJeZYLzX7Y2Vge9exLdBkzuBwB95F8ZrKu
Y41OjD/REHtVfmUlKW1wGSiXTpZ8TYlkw74dvRXJhugipjAIeTdTXO6Y0in+pUAPkWKnksxfm0Ni
opmsm3vdeRpoYRwgwMxR3EAWA+H4Gpte1wROHib3guA25TJGx3D+QDQQ2ctEvdVrwsiEE5jElNrv
3XQN9FNFFQ5H3pvzDTwWzEyajkMPqeqi0PPxrWeEyL/NzDg6Xjxm6nipA8JUE1cyWg/1Zg+JIGIK
7ucUx3i3UJkpKpIPWNbqPwU8TTxYuDfXSrmNQrbzQbCTo0s4/CSo/tVSpaSI15bOBkF6aznIFSyt
RrB4OZECLAxqNh9dfJZTCl8Pp9m2j06zf7Pqu5kgUclR/YAGLc4MzCAno/CknW1ZcX8HYpkjwU1H
4vEXqU5KLpL/ZgzHPkc6hCBIt4GKoVSPxU16t23DsYOPmNzOindFSCt0WuSxGQLb5qpi4ZezpQg3
mbkzIe8WiroPJBbYOo0F73Z8tZTXBGQDJB2vlWZCnVsvbQB31QozZCCTCPBMBrOKVq+ruGbF9mvR
COHSfzERLfBdJy0eVD7wGlcJZgbuJDS3LrAdA42q8SFA+ETj1jd2lf82jntRSX/sz+95k7OKNvDZ
c4mQ/CAThBpwFJCmtjEsn/MFAliBDF7il1bxa8vbMPlVoo+OFdpoTttu2OX1QBPae6RrrnuVvQS1
fITvYmAwWBI6UWRQubus+YylCPOT7aTRpbQtiIO6iTSdCZVi9BtLtbfL01t+NswGiChHq1wyHZsf
skXjLffEU2dvM7thNfnqENaUWHgyVDAip95AipH6KN5K+8/qj/HYsSXExKaErHBsF3HnV8QYzlfC
Q6uhKwsY8PnQf+v+OLcTyhKg/EzEO4wVgU5gGXAa3+am0sZmPxj/d6uE/9GLBb7hmPSDHSFaUl4j
rsdH04zNukJ/Yqj41Ll5e/a8lF2JaN5zuEn4A8atRQ6aqgiwBDg6Rn6M2XhJRb0u56fBnJdyOXid
kcXYxAEpKqxrSkTkjTFzfE3FBceTlmrNDgGMYzbGJpphIkG3q1oTvfQyG3lEM6ju0HQDnfxQ/N9q
79TyXR9Dl0RCWvnnyOOvMh3syYUj/aw1/iAwAOuIjnlC+HnMtibLh3+Y4BinNf499DOnHA1vKlLs
J+ZEkLT2qeNoTdlEWXepYCabrgesphmHR4Li3g/gY+L0aUfmjyCONQT/kcWrbW5px6jOWbtiXPH5
mDHDrcyWo6ip3yU0aTXW8M7fmd0391aA+KXAwJDmxLWZ8jNi/wUYDVeF6c4kvqM19wmulUR5zWeN
JOnqDWdtNrU/lQHdfyygGRTYkwgVRBSZRL4jtV+TDGhDaIeAtzO3FvVwQNo9vkE9ozPE9MAjW1WD
F7bM59lVxFznPQ9NUeMRD7YtM/Sh/cq6C0lBZxLEV2Rgv5iYvm1kVno9nXLjuUAWZPuQoiMYZh/T
breyUoRubQLvySZgQiD1COzwZLDdMKsf/uC1K7StPH/2BYZO5lN15rVE0dnF9MBowFonX2jGboTQ
yFcYWeJETmp7b2V7GYSZUdnrLo3OVc+sLZM+rXpSX3qgteZXyHo0wIuZMcCKtZUGtlaKEdXnhZdg
Srf7jZEfehQVY7bV4s6xeJXleROg256Ko4R0xGZ4p4Jyzoefks59QmOj9Di9AYRzmfO7C7dTz/D3
vLnG4EsSgwnxuU7BXxf3Fta7v3y8I39FgjJdnxBwTB3y8VOJIJ3I8pfYlnexnBEkE69yNdulM9MV
tKLop4ruwcewJdwOzhWXCeoCTQnWUnYg94bxGizzspqxxCxUzs6JUuVQ1eG5nnD/YJPpIHUaRrtR
Bqa/ek7JW19IhNyoi51XTW+ZOW5KDCICUWPB4lZtbwbXo63Q7PZ091VYki8mkUj/L5vS6aXu+nMU
En8JR86WbVq4Ndwix24yh85iLWlUSXSiPvsiaqu+Yz0WUknqDx9rod9wikZW7yiVdqD/f01CpvUW
ZIdjB52aIsqxET/kXbnSaFMlLAUZ8TdTB70WrpuhgYVtLUfS4LZjuAK81MG41jRpK9H5dhwgT21Y
d6r9PdCk+jzLsVD+zezGuDvYtoqVpeoOO3PMNysZC3eh0R5oyXusl8+QJlNhsdtmKjOL3mux4qC8
fOn7PxOG31xROIcVtAjm+oFxVobYGZF9pwh1oDh7izObOZ6nBQO7T+oHZd1mu64wXD1+NRnrS0Qu
ptOvHkHn1X6mCt3Hl26Bo+mgXmvx0UbVLJnpYzTGj0k6IuwbVbSPVkqUGxTJfp3L5ZNUEWTtw4CT
UQQ/xZTs+8Be9LFOXpavhvnaFjpknAY4dhFAwoDx017t+mFaR1MrkG992jX5VyOewwBWd2tdy3a4
6oi9fa7shntYQ2vXPRs0VgSiJPCus8dgmvsosDeZ1iAL4FTLpnMo2b9TFUHPQ5o8IompQ5yL987G
rFlQ9wJ3IglY1ZFLqouV6l70ErNtfRe15maIfTbpKBsq8HEkPWDeRZnf4tSLaHvEL7zWVRHTui6i
Bq5HWNRCj+lw31XtPWE6pSbfncmoPdb/CJOle1IA27DsDDD1Rc0mmQjPa0PyV2P6h7PCc991wBdw
dxTB14yY1w+6iQ1Njb8cNFJY3tQcy42kOyhG8PPn+Q+z8rEiHDL7rW3rx44WCRehLcrgCJaJrArY
19puwXBtwsI2NCiqcaAZnUTQyLkza77rjYTaV+Pl0RhTFEN+S5dwT59yjWC9fniWHJVVzxl8Zo0p
s34LtTtY+co+lDqVS/2wcQfFdC/hXusQxhAIUAjmzx8x9nAt8IkgoQ9m+x11Aeuwo20uW+1FXzSg
ev6bqu9agFUNLlmCGHjACsx5vURjFBOo6g48CGFACpO60fRg3dPux3S+QDSqyHIHVbtL8DFmBFRw
up2ebW2GX83gXvYzsJ5+tJnZZofL8pcHo+E7q8H6yZH88DEFdKoMWX1A2Cs2cQ4euzIPcxTvYBaS
K7a83IR5g349Zw3hHz5HZYymXuDYC2wwZ1wldtB7yiKxRZTDnl37a7TuBcdoZdfuXFgffTJmjLPM
NZUfyW8JS1bonWSeGbCm0aja+nUMGRYw+J1NVEE8jCpG2TG8NWzX+Qd5Lr/tUdlGLSxwnmsmshjm
dxYEoroFci6/C/rCRnUG1N56RVh2DjvnXpNF0mA1LDEiVW0P+9J8KfPvWcfVyni30WzcbgSjlY1n
4F0wMwj71i7GgaiwHhqzyqvxRMtZvZ30mJY1ciUW26W6T6erH7T7hvzkrJaPGvYMUaSrTD/6abaJ
yESHzvep9e0uszQgGB1ZqLtkCZ7Tb6WssgpEl8qARu2zfxJbxUSWuHkgomdLlPC+4T2rdEReyJFU
HDEDY8coEZshyLd1j35em9YZkklyY9yEes9A0qha0bpsIGvV1efUm2+pMSHS+imYQCrAa01fXcXt
R0aOXqyzfuawSu32Rj65o7H17mqVted8Auj2EjGgqGRYCENxWlTxCZC9goEDyLobxA+CcF4tnSa5
ZZvYKg6XKSnB2l61Og+sQF1cRrVbckd+l7DkkXq2lm9j3F0Uap58Ninq2nVtG1vit19EWj3acKCv
eMO7B341dU2qlqKqXEX024nixG59yGnPRWomURVa5CuqVHc9trWkDLaDMe2FbK3LPl9XS9cDs45y
npQYMgQs3g525MQRx2DW80R+p9tClSJ7McJCeYheo+AZZMpZt5EBM9NrJ1KWrilagIr6MJtuvkxU
Dh4qfK5bWwJ3xtk1caDFuP5yX32q2GzZT0QdYZ/sy1SyX0nz8/Kk8Pz/maG6S9HLi96vRYnCwicv
dy7OMYMtUbsWr1gpfXXZRRgx4Gi2VASaDhFgEJyBk3yqGsaBdfZvTGavpFlqFX9vh9HaSvPzUOe7
CjiDxccdcECUYI7y+h3FKd1Ae+PDj9FICURzfTffRHHoBSWIFbG7pqiSoJBZDbVibp/awD/6ZnI2
O8tJR/o2IhArzK5se+KkXo+V5sVEFKZq7AlEq3Yie6pi7oIIjBptsMxAQOEmwQRvyuoR4GzRvAoK
CfsRR9hHfQMJEVkOJU1PzY/5yzLHUqPVgA+/QbbFCnE1VsV5wKkZAOTJfRIb2Br6gtUARbHJdmNr
sDwoyxGtIP592nXZlIksKdZ5s7PQs6aYrEqYWTpudyAfkI7XPlwaw4THkr+FNKhRnXDVMyrifsrL
ZG+RTGXWwZFCEkWdf4owu4g+d8OIfZUUbJTJ3DRt6ZbU5cD2kes2t9aXHjXu25atwIgBemZUMmWc
xX7nsugfemYhcghnTnF9+ClyPvAOs5V1Nf4fYsFWppZuQsFcZfB3JXlHhgGpiR/KEFjJnkZLhgPS
Tz6DROEdwXdXoiO3MKOKH7/6JELQj98UJg55IDs2KIYcuJRdbKiM1pE/v9kG+VbhwN2ZOQFWb137
rgGFhWzzB/k1y51ERucHn7AX1WqYKQ594zLrEiMComl04D8oOBatiDkx5MrBcWnAiO3B6xi8+n3w
0RKtmWToGrOaVwGpM2wIH/hHjbACucFGzAjZU0ox/DoiTve6Yf9q4jspqKoD6T+OzmNJUmQLol+E
GYFmW6l1pSi5wUo1WgYQwNfPYXbzbOZVdWdCxBXux+++6ZyUGDbKHDCni9VI6T9E2kPzCaZo21Mb
/OvG3zxetlyOSTjXR+Lg+hoMtE9pvySTvwr1P+X8aXZw0+kv5nm9rP+ZjlqEyCSGTGcea+5rjz4n
a1Yg+JYmThOdOUHOX9UwrwZs8iFnc0w7mXJEYOPV2OFCdQOy16GLkxCI2fdh/bFqwJpIk5ppSzP0
cCIfQxjWXabE0s/o5INlKoFWeGp6d5E79ZhGOxGfRpwwVTRsIo3BZm3thdnuqiw62OxVh+bFkudu
YPOjMwYMAgtHNmtU7A4OpCE8VmcceFuha0g3/CusQDjbmCspxVE0bHOrP4bsjr0Uz0KMcdbwMBMV
ZKQEOxeth9CRjHYF/6dMrpqs+ZrGYecyWfH6euNMaNLcjuuCT3skWwEQAkD049jXr66X7RNvuoYG
MzQ33lnYwEsozL3OvHKKDz26aX0kW9UByeCkG1jMm2F4C73xQdHHhFRfpT7EWhMphFXCgYjtAv1C
hgPd2/uwZnTM7yEWzC4gP6NswCwODIJCVKksZxEkG6kAfC9vo3Pu6JkzYnn1oPgnIac/lYl5DVny
dYSXSCad2VRvikp/TpE4dL6xGNKfOHxhS75xNewSkB1l3aD+nXcPsGZ6B5qceWj4rzWJdRScGGvO
Q8vKxeKMUIh81QBlJRJIytOzrOIHL/15nKI3z065JwynWAziVTCVN+pXhk1btwS+iiCqYkeVI9bS
6t+S0B/Sm7fAe//GagODex0h8ovaDzpBqtfwiUIfYxEy04uKKLVNB0VMAcoITy0uowzifeIeSvFT
h7uGu5Fn7mCP3kMQv94AiM4HPoE5zpAuIZimQ+8Pv23KwB57W0o+S0QupQg5JUH4jtQtnv3ZVvGm
ZDM8ljhbBxZL4mmOxJEutxF6viipf4uB/E6HpiuT2XrEd6AzpO4j6hGOHw+YnHD+KcZH2hieArgI
DaSDKhZ3XcwUT1pqoHG2dUeWi6c0XRig5tuO7hQtgY0+ONF/bQRfoa5jtayxdsBftcznQW828xS2
MJxuQ8Dt7MYCWxfCvngM7ZuOtzaGBxSMe1FT7+pc9hXsFjabx4g3ta7tV9JBXhBxXoMWb46Tz4d2
DE0vPtLoPLsJLDwWf625dClUNYJ7WJE9CZ25lcHIoGC4GUTmRtfEaeA8jkcwkcr9FxfzCpcfZmOB
sFg7A8v4CJkJDAj7Ght9O+SdUVsPeXmrfeZL0bhLWL/6mHjzpNiHFpu5tmHXnC9a4sEkjgPNqXe5
IJ0Pj+mo6K0j98co1GvDcZNrBgWXhf7NdF+zGoEj9XWZhjPrhQVYfTDDWwHnpAj752yyVp6M3kOg
jl6ZHYZc3no2BvqY7bSGp23OgKjRy5jpCz/mLt2vehpOUeMyEKoWQPZXpeJVbYmdgsdnDONKsf03
ZoOQ671ZEY3rUO0LQBF1hjzF9P/azI7RrHbAdtwbMYQxnjYR5K8Nxw1xBAjK4+lopWD9+AzLUCf8
q1hVyj91eMX0qX9EFN7TiG8qBf9TAckr17wyO3cI8S2004asegp2pt/C0de6+dpaVHAixH+Q8UA4
Er2c0ehvSXPFaOanzq5SJXp1SsJMZBeSHJ4t9V1lr6qfDrXF+VjbR9/UuXu+50AXGyhfZS3FgOUP
tLPe+odpGHduVQOT88VKtYyVIiz7Ye+TF4BOUW+hEuXnFsqCn/nYHiib6/puFAhainijE7MnU6QR
HvPTtjuYrsMVEpJm0lGo0TTYKFaDvnhUo7N1dAS/DgCi2t5H+aseIEWZk0SIQ+hc/16CS6rViIdg
XvQ1WBCZSKHgCk17nRonNTmvYdNupWme+9jbmOwc7SJaCL3a1+6wtpr2kLclMiAkZows/9VBflA1
z+F8CSqJdzhbWwRbmSMLEddZq6p5VelXmH9PLXCTulwD+eYYYstU9GtzCve5rnZxOj0HVbXy0T2z
BWLynS6sCdsXzmZzOprMwILOXXExo2/KYRsRdSk+W58wdX/pQSetdfdsSPYkqb7tkKvk2SkOuEzC
ngzfXx4KDD0k6EExHiZaKOiMxLlzB9vnMAFTCc29D+2d8mEpsoQpIYbUwkWbw9hwTA3OWHXz2Pkr
8lmiON4Y5C1hlrDcuWuYXa6wpotLHlWsRFgARiTa6qXCXeafQNK0fXkNEA9y195H2S1VgZ3ADtmN
UPo2AIMm7TunKzWQYVphfcwib5Mkzk+o0GzociusiQNx5SX3uQdJdPlOv8UaIWPZ1qEk+axQxg2I
vSdd7au4QWL8F7Yo8l28mrMUoUX7Iqr+kuvYU4R+MV1vYzcVTq5hP9hg99OINAi235orTo0f7ALT
Xdm9vGnCwTgHuYOJqjuGGNLOjnbWJ2/TCbB2H4XoV1nFYYpSMWNi2AssteU2lChhKbntuvnO1WeD
RLrwv2xG2105PfyJ9bZbbgiQI8k5yz5TbuQoHjHlDNEhUgxok/bbcaJ7xfp9mTkdFp+ABbwl1GxD
SjFA6/ar21+8qjiFfroY8rs7W+oxJXrxUa+zfY5DuGcDBASBCRvvmlKcj859Jp0UcP7SZFvW79mU
HNz2akGQidPxhNljU+Np8J3hkiUTlk6cAIjGTUth+paLZKD8m8ECyvuokAyYnXqMY35wlXE3iNrS
w+rVipiRDc6qRQ/0NOrwBIG6Ogo1JIVlYOez43+6RdEETCO/CbdGy1j9aXXAsk8xJ0p+hCwp/xQP
XdfZYHOS4R2VHYlIIXMhGXsMO6wmIIoq2CQxYUokWrrAK8oq3ehoUab6XI/F1RTkXKE+KZL82Tfg
ELinNIzBV8mcCLxUoxixjlX8GxYu3SyivogtTW1nayZ4+wGHZF8CcqnFW5QzxRzlrDYGggHx1kqJ
gme1YQ+/ncU0HVrdSg+6vT46TH+qTTqGGOIBgbfGqZb4hfxyGajQQEdDlTb5p6jobxYS4ISjTdPb
c+g51yqNz64+ro3U3qqi4/7scFi4RNhc7PJlCp61kXJmcC+tJ7D+4yLIq2tSmocxkjsP99aExlga
2rPmuVglGQwTd2n23SWFON1EcPn9yd+NIbJGE7D1PHMmfyHVsGDSTWlNdwohK8czLRBIHsRoLur8
kA76ounf/azdhDZXJPQ45TaLlmTEmGOI38eSCRF3lB1mI3pd6ZB9jQ31+Yz4Fhxd4Sbt8p2t2WeN
y1qFIU89aedgpOIcoCQ5QfZAZzjr1bnkExM9r85gEq3EMFHgRfZC5rOWHO2cmTBebDGzc4CLcFfr
vyPBEQZ7tSzRdz4UlBRgMfwZErzNXWeM21rjR+YGJgv0Zzb8i8AF2DtGoL/UNXK98FrK7h8ivK2M
7ZeojiXTBXoxTLnoUxUKR6i9nVG+enO0d4JYs0NGlcx9MO6l1lcXKj+0FpjLbJ+zi4/1K6NPk7Pb
RWOvkQnr09DaYx8ED62Ufxwll7Gxz2NS/rNcVEEF2kydXtGZIEil7E1LYuJ7zzcY9BgMKzv6xpwb
ApQqaFt34t72YpMXuvsuZwG2zLE/GoFz6NIKwK6HczGqoxcGycuwDPFmAQt+4k576iqMQ/FnL96b
8V5X06YPUvZ0hKWqcjfHN9FTPplmtHbd8a8NG049StW6qYn1hIouCqpj7pMeEjokcjQwkh5wIs0g
TfKdqLJH474ZJk9MQ/FgWi5AZfhIAVQmF4nIIEmpVXSumsc2PG68W6oByjOSfc9ZNcJ2cFV4sDLz
nBO6A6bJQs3OnzwGxNeH9cdYGa+WTyQ27b6Wu7ustUCQwK4MhL3JPW3LAHNBjb21oVIlnr7RKIQZ
762VoR5JYczrPRwMGLo4cbVM7uNkZIHhMGwqlm3IPjNr75IF3zrizS+UWo8cpSHSg1FaZwkQv3XL
r65Ve+HQauf2csqqUw43z2T5W2j/gvKREofHeBafNiYdoyDqd0LgQ/QRzRcDQ9z8FmpPrQXbiJuz
SHB0VsmjI8vHLksCW4t9GqmtV38r6vxOTou+vzvUNnQrOMsRvrXprcK/hScVEM2rVw7v5YQWSBF7
bt/pej9KPH2xMDYm1mQtq5j2SLjHuHtCuJLc19oMVKDD6uNj2CIlS2bhx1IB6gwsMsGc9ijD6pYm
6u4U4qYVUIcnEygJuEfdeQyZ+rLDbluNWw97ZN1oy6qjBrRJ4NCCj0o6i4ndrMfAQVeYPRlTJaNA
ljDyTbeCaUP2G2se0UizT0CPfwkjv/Uj/vNOeC+q6j8l3LKnSM6AdHGAxUmrFMI1mgrzhnD25iZI
4rUBR59NiSLQq1WmA77Kw72lf9Y4pDM+wBw/bCkGmG8THpy6epZOuhckHBlu8AMB/sgiHu5vePMx
h3QW32ahrrXpPtcmkSvkGhmIqlGIXLkYBiZZTLQ0lK9xfsnt8iaY6yWj1JiUBxurKQ92QeJnRXtY
Io1GZmJr/mdjoq3W9YfWipNn4mBTYUvIUbwx0cRMpnW2Cm8TRslG+kiJkOvYikorMR5A/CEZwSZj
YnMedCabhcPh0EXsPvSYGgLmjSGbe1Jba6F7L2VNY9Omw7rpQmpEC1UZeSu5/emjCMDb9RdTnhBB
cnW6yMFEO+J+hrmeJ8KmVkDCEmoEvgcAqsM5e6iL9Tl9G9oItRHtX9m+CBk+W35/VzShDDRBLxqA
4YYSGTvkND77jQTS1DK4oxe+5AhB9DRiiimPPl91peXT0+ATiueFJd1hthFtu3KoaWWiXZlaEBPY
wxbGCjiqt1LSM2MM72nwY6MHskTZl9ocim0S0bOoN3rNPzpUfEIozOqK4VgNMR+FPJNHZvSu9Vqz
rsjwXWaD/DV6dp8GOSr1tBgylOThcDTYdWrwi/lwaJbz3RgNa6fwV7pl4zF0V5HvEU4NrALKrKBd
QSS9nCAAaJ2xdPD+uFBeLaQqDuOuLnbvqs/6Ze7N0WBoVSr/vTTBBVJ2OFKyf2q+uGGdRR55u07U
9Bc4xePBT/Cvz0hq2uIZpC1D/d5naHYr54wTjwDcAD9ZCRjjn+xgZBXvRVtRspnHxhoPsnIOlZzO
VZ5d8z7dBDncMaOxdrH5iGABmS1CWIfBBRJ0i23sYmwMBAqu4WyZjDzLyFyU85zRr04svP+yCgyu
C3arjEmHy6fuhJITjX2enOsIhHpBAECmeeypEL6WnJ2rSVp3l3M2CkpklRWeUSzJGO7yBEJViRo6
cZuD1rTXvpRnwu7WFaUE0CjzvcqQS1RJx4ZeSxdl4+HHdeBrGKuyr+lTzeLuKKatqrowFTvjd8Eo
IF4bo9PRZHGsux29U5k49JL5V2s6FRkXHvtavd7bWv9WjsW3n6jlVDiH1oxvjLiZKYFnIWUSuG+4
xv3+0/us7duaQEbJa4hZm39wISLYbvluVNM+7NK/IswJNNMOKdp0u3J4FOKr1SP951+yvGAi1cpg
LVxGRXl4sCmJEg9ZYq2xgIgYvkt8iRyQxIwYUN0m8oJlysJJx5IWRpS0HqVYiStb1MF3lxdH9P3b
hhyD0EQOa0R/eqqeKwPwb6lNG5GiYPZH6xF5xldvg89MkHONlGlR76JSpJIGNT42zGPIknInx38a
OiadBayYwu6SpadPO2UqYqgxldmSRYMPnxg/T4BVrW6LsxFUJ2fI/6VuT943+NgyrFap0RLuZ9fr
QhExpiX7nGhirptyT52KqwHph/B2BT2N03xkaAPlFF4aHb61CwmL+ZbISK7P/IXlJo861TeE/VLg
Q3u2SOyuZfNgdbgyYHgTsIQrKdKfc3aJk9UtNYE8SDhnQ6e+LEcsJUa948NDRKat1OyMSju5Zrx0
UJNxDmLkMhSsTdGfDN28lzEHfl6cotRf54X+L9XQ9dSogTyHoHVDhrjCq7UPzRDJDV5RwW6NGkV5
6IhcNKpMswxEbNnVRlj2NLIPzV0WbUzzECDivZ+mx+BCDpShhhFf99YT1fWAUEok8cF1WUelbP50
USMoHu5x054T/y6MbBfq/SGOrR8yw1alkxwqnQu51k9Gy+rbJMzKRR8HnDKsgsXgVR+RHz3qcESV
Zh9Tnz39yEKd6Fs0JwAKEIdbxXvuTo/5oyoV8De9XPMaYI/F2sPaKmV0GYYDRtvwXxMAWqi08tJp
/SXCZKn5XBGJebKhOCf9tEkinw7GwPQS/etLcNuGZZoY/AZqNrQ4UXkeNPsh2WNpHcsSA2fh4EEe
QUPxVGYZs26PPqk30CNQaIFeMw6j0Ddmh2JoJATO4iaJWvvajSnXFLCUQb8R1PtU9PaSvfnWyUhq
o05+KojrLEQHMJ0qBgV534m3wEegzz6ZmGofrx1uJUjDudOcdZvBRonZLbDpbwfqdEzXxCm29jKq
MKOMcX6UOkbo1kad1/YYIYtZACuj/eS5L3lCqB0WzdnjhEhlJ3H4NLp4r8Xw6JxZuVIGG92fVr3q
P11H43dHG9eNzhm8XXSLYtng6oLXc9M6lu/Sse5FUG/bCf6WCPdOJ68Tn3tpo0rJgUFHVoRE48ez
QV/F4902Peouo2Cxl710FSNXx6dkU5fMl5yAxbWjV3MAw5lBce/C5KE70X7sppd80lhE4b+p0nsO
NqG0gF+wumYLw0gZbJ0O8J7IOeycABiwjqhwRzghDS4sGfRZ/c3G7k/XtfbCmepebr3EXpkqO9kE
Rxs+0Dy98z89ehCNQz7qbB8CHCrNQf1I740z410E3V14DIgJCLHF3ZqcRVzShSvt1gFFGilNbae5
ejiYnMJ4d0b/OWLklhMMXtOloADYGc0VzCz2iWZlWi8p+BSuHjhVrIvQBhqjdp4GxBQ9T0yVuy8x
yyMHa4pj1X9ItN4iN8G3+WIr44pL58/kJC7jO9vqc53YO3uA6x9/2BnvJ3KQ0ubmrSEHW+oocvQv
cSEPwhxOBBniLn2xRMaGM0ZfljrdMXHnmBdU4mFMngDpZb7OsN1CBFqO33XABghvqwmtRcMUyAb4
eRh5qFxnMZSvmi1x3WX00uDiamPXG8Eu1H5L+IBtW25HByi60UmKVSgQk+TbbWG19d5LXb4PKR9R
OL7GPepopqQCEEuZkaKMuXSwGGyVETkjBDeN3OLdhKPOz6ETwQtJC0AYoKLnXcP0ESfIPQLnzxac
lQUAqxRUIKGCgNE9CzeY/tXQDSs87qkaiZ7ujmUKarz1Txgez4FyPk2uhUoZ715dPDVwHJSXvIzC
IrH9RzXlixsCuFYtrEzkwOyKRNFvNHxObnwUU48DCSuZ6aOASLOSmWm2L4XGiMqf6WKrimAsLyMQ
xCEcZkhOiQ4yQmv0reZ0oBZZZcSEhQ4BJKiJShUu9SVpUKPZXnxVoTzbIRJS0dkkJHfEc7KDZweD
qmVjxPIQ4651rZ9pXrY4zgXfBvXZdz04v6nXXqZyHlOjMMgi26cjwutUM09R6mdE3Dy5xJzHmnWt
vIZt+rgMIEOYrElgTEt2rybeoLaOf2VVIJXkK/e78UzqxnpArsa0fzcivW5jkhN4RPTWewMV/641
5GLhCyuRd+a2v/B7kKqF5L7IR+c49Wht24K9IuOClIHxMkogwFldRQSAIuKvGkBMp3nMWViAu4Hb
rmnfWTgiO/SDrTt2Wz1uD77OoWxopEfn03DRhgzUkaRKy380z9GPRcW2zFEYgcsCrWga8oN7X5I3
WGHb0OX03urmrcnkrupwzxoUt438h2HjFlWsWJm3E/Lko+PJmp4IhtJHytJvsIPil8qMP2vErDa6
2meDGp7yz8mf5gfDo8dB7YBkYQAkUvQMNoXJ7IAj8jYVkshA94igBO9BFF+aGScmarZfujpbfXUz
O8bsjATAOrQHNUANUbmx56ahRxkRUCuHHYMy0jPAMRd4BNj2KZ++tbK6GIV3qxKG8nXNnxnl3zXJ
q6MRFlurItzalVfLjvYaWep2m75KcAwKG1FOzBqyAP/DZhLWUK5LpQH7iumRPQsqcOY42Mxw3ZPr
N8c0CHhvZsvnntSQAUa92k0ZAnTNLZHkm6dYz+9+WH/5KOSVq2OIMPHTgeBygHcRpeWYZAdnMQ2G
yH5BEC+n9J8n+Uo1bw+c7Dao4ovJwTMhENsk42Lukx94SOa6cy2kZkD92B8x1uYu8VlSxJm9S7i4
n5T/ZQFotqEUNBi0XLv6dSzx3qXTnink1R6qTdhGj8qb1r4xkKiqMesKew9rWrhPM51qSMOlDp6K
IJFFkLQPu5Z3084vdQmAkkoVRQqhxajGkokodgwBA1oPn6szNazPpA+XdWbfkwbV80iVMIKESlKF
qg5V6iDIzfPIPRTYQz2jfhix/5IZkKm9yn9YuvlCvMOfYswxSA9qKqQIN9oB8Dg6Yw/DzOv2ja3v
Bl78MMuPYdWcWEutPB2Pq6udVeAtPIHzXG+3QQzzLuHspqjGjkoL7VjvmQXopB0JRuOAr4Kc4bON
iRu9nXBiaHgJlmkT+mFQkceuBdu0jA6Gnl5GQ7ylBdFwUqyJPoBGNaMQQbiaLhNgB4lB1Tdnv8Ok
CjowFslSuRcBC3Fg9mMbcwiD3lw7v9xw3a+jwdk15l7ZtgAyklknR0BrK6JnoqPHRU9OVVt0a2PI
yNNiookqVYzoz2zUt2poyJMYk/Vo2oTPyNWQ1UczZeXNX5OE1ui5y+BYBqa+wviZEt8F39IY5q6h
YI1Qad3cfWUAsLrLpEDAzOqAounenNr+GlX7ZqLuGUVybCTIYt+JEB7pVE1kI9t0f0tjhNyXatO+
b8TNTqZdIUjdGQVKG5k2RGTaP33nndumewwC/Kos9I+xCGxIesCIFIpSp8Tr5cuUo7RC6T3E5VYW
07opWdQacb6lD2Nu1zjTMo+il9YzcLlxtBuwGYLhJRmzF1OSIcJ+nsPH02bCDKeTkIj5VEITBuP3
ElOGr4Xy1xOnj6NZXPsgnBhElKsSQ8GTFOl3GTo//4/1jek9NgmKDSftX+g7j0r35arU8JKSe7nz
suFALt8pjacvTw9QtUzei5djTm+baE+g6mYYrVeuOlxPA1izMnLfOm/8rKbwylAP/x+iz4jODBll
d4drFAAtDZZdUQyQ5yEc6ViUS7O6WU7+ouU99/c4fIrWzbZztrxTI2sMG45O5c1ddIKIox2YXsEo
ZsfC0DZPc+yIeoU6bubUFdOiMoJVa6lHmSfYxBOoEH3LhskqsA5GuXmj+p0T5ap77thsaBEuSfMQ
K++tHzEzBmmq5hA1TrJW3BvZ8pVFUMOqsDg5qXe2MmUvKB0I5RgUa4kRRwwQzbyuwTTxa5m/Mtiu
TXGL/KI5Kg+cOL/5R5lscWvPeXV6NpFCUam29PRPml++5tAmfAU7QA58ALqmNWtBDqufZkQfq/ZX
yzFeK7wuoHhA1nhd/Y0e5BHro7XU6gFeo3HTevVZJBVqL0FnbYXRNlQpY6Pi0EQILGL07BNphPml
C+ofy6JYSQ083n6pTlLYHzya39SzkhVPDQSJPxrNA9/n4I14DWxwglXMnA/mwSO2OvdsI3rHKZVp
XPQZ4DM3CdCPxeCbjMyF1dzpva4uuYio0ocgYkvIwDzOAaMUxaZgrhvH6b8eqJxGclfOW1m4JASB
xNQrVkkubGeP5O1TWL6S8biyPX8v+++GOUXAiBbjbBzwpCSf4OrZKyWsIz+ByVxDUrj9gk514qDV
6NO7TrKuKXhMwnBdVJiVs/Kkd+OXS9ZZ6lag5Ds2chdf6OdBqrXelRctwaeC0ijkC+Pn3H3ZPuu1
/QQTv5LjQvbiOo79wXEVPOkvGFlLfRZpsK6eDPfLCvMjQcGbCvt7T4qAQmK7tMmV2MtI5Jsa1Rz5
ou13I+s/yl+8fCbpKz3OsVUXQ6WUkSz2Q+2wCAW95PldfRjwbT73AimJJQGRMT1C6gBGvKmcce+2
WXKrnbrCKlyivspIKg2f0wkQLuD+tmIuS/yAQ0xsN2M6Bo6VFn+KQ2sZ6f5NLwLcvqXxL5/YbqVQ
PBoYKOCscBeNNxNxGZoslqh8pMeBvsU7V7O4/pMzR883OWiZ5t1Ry64+t9NZtLPQhHbB3ibEnKfo
kRYA9Ppk42baCmbpIunvwPsjduYGe5P6ZXJ3tnw3vV1dErCQlyuvKZZB+VUCpk+0tQEqeyDzyQ23
YCWXIs1XgYQE4C+RCCtMv2T5dO6zp64degT5if+SrQj7nadKvWI/ZdQYt2tIaFV3Al5llsDctxOL
tzkkY6b88wwhbd0auAFYkkbF3RxZlaJHnfMQznm/oT3H3Zui/yjCtxDudeCgvL4NcuV1EM+g9Ewg
FSD3lBnuWASb8ZnyMKOzN+3TWH3FuKiiwKex/KeBmSQ6gMHPX4hrqO/zRYKSzjHjC0NMXln6e45R
l42ez+NrhskiaViIa1wMLe+u1p4zBH4O3sKY3xljCAB+gm6N8S6Aza+eLRY5hO3RbOASl7va5/OA
M/0ZmftWe2MnT/iXFhzMKxbRJXtqJu2krLKkXxjuJodtakXwf7H/hbsSeDm0m/htdJzt0CA5ezI+
+XpETdSxtyqRVtKsoXo/DMzALa5Mlnn0VGV8mdf8df1akREQsYNmn1gSzltSDRKLAdKdrdouK1ax
hQ6J6oQWGx8Lt00/j5gXBXpePX+F3ix4Fwgn85qPKNrzGHfthhkJGWd2vx/6Neqep4ZdWfSkURkV
1d/82cpDVRxtMWOzyuqjSHZm+yzhgXQYNWJmWYt6YBFSLdzi1GfPkRgWqK3EX8PoFsiBYV6Is9C7
72FC3XGW6pqaa8vY2KFOFtmGluJJ/Lq06w7jX+Fuy2bdo9hJ5n0OYuT07BY3HG0+6ECa1wjCa0G0
heRHv6UoF9p4P2/ksakilC3s17q9jfVflWIbGf4q8g082gifyQ4hYg1fYVrt2uRMD9ZgQAh8JAZA
84FcFsWTxaSF7gaBSX5IRnUTEBfLWNs7tAB4YbgGsSEcPP5E073ODoWPaJQGAUxQzd8DEoGLM9h5
wzY/WbfGg2bwKjE8aqvK32ndrml/uuwyydtkHjB6IATlrQip1W5gnQhOyJmuafVSjJzBAZTRCTpi
9jCImgDqwaqQOREWHxeMxRc2Bhm9Uv/OE+9pq6xVHC6HEmn3dmo3Q0j90qPDflKV/oQdhX4UZftm
lmCx38gc7gaeviJmgoxQ0Vgakqn9DdqDCae8/wqSu+MecmHgTLS2xQzHsAr8Lt3KY0cpz33yoWXZ
Zprx+6J7IpIDVYwh/zewzgG89Nm5dqogPtX+qZkfPyYnzlKU/0z9Gpc3ffjADZnjTUVzAHZtw6FO
nEcafaX1tjZfmADaHCSDxbMEDCB95n8tHRenS4mkkXYNE0d60mNYsM0xD0haX+oskCp6Yqf31r5E
d7ISaEm1L7sP7rmx6Wx+AGa+0QJlTdWBv44V01M8nkfWTzRdKxkhl+sBo1d3nLXLWsdrYbEuikmV
cklr3NjDB8yRNWiAhYfPLbQpYBw6x+fGvpbxKvQ3CbiFybiaw65nvjHNmWzyJUAP204N9+fW0eb1
xgcXb5R+Rd66HiAJVq/Sei2RcmmPPJ25EbgZFrlXPdWhQ9P7Dfcs7tcJiE+nPTjcMTO7jABZlA3m
FpYHSTWGtjIggRngIOgUxxigCiR+b9uW59h4i5kcGFBk0uzMAgwtyV6boJbql44LeejItLKWffsD
GNRqD0N0YlWdluiRVp1C6h6zhlm0PKH5NUJhzfVo+L/NcIzGX2l+AUetUeGWzFTS4ZiVN6UMNLTb
ZPa8Dvt6BKsXnYeuuYbVsVLTguy2TZqAzYe6GJza+C2Mfn3cC0PyEfJacWz1YCX06tgZG7ACffSC
cse6JPYzeTY+f3NwP365FjgJQz6fxnwzxT+dSmZa+uY7DasFH9s46MMFhiTqgnxYjxlumGeF9k9x
HPGKEWI5pm9GyGCQjLfh2S2oaflE0l1NE0V+SCZh1bw184XBjJcp6FPK810Ga2q8nU2oULStEOOM
51q9CAbv9reGFSvqSCi9w7p/MpsZU5CBZqj8ayifi3Ftd9soAFEHKdh8lwQ1sQpvDDSdyMXtPX6W
vDk2aP00UH9gR7t2m2FCziefY30fiUNr/zTap6vteoIvEpLsbIsdy0p8SjwwOjpGuRPxrwAY0+VX
Tb66mkl/C6LG5vLA18KWteCtsIjIjNqdJAlW0/y3dCRWAyxmMm1dB0A041hK5yhcCus1KSEO7BtP
rpT5mmkGMrJd4by38rkilUR/LxDTBDTjDTFrqM96QnPGmfxwHJA74osvDLJabnacLk04lk6w13h5
oQLRmi1NLpisOwcG6ifGWhwt+drwm40sQNbzxMW3WUTB42mEJhaE7UyN6iA2MvDDiF4pxMu4GkAa
5/uaDtyIPghSK7O9C3ozSW6J/1IJ9Fr6i9HPAyrmtJFPuMpVB+bAwhxSwZaNEQfvp61nYLNM9Pqn
Jn4M+bvrv3YNC6CtyfrN4yCzFfeu+rSZmedA9jFx0O1UFJUnJ6uQGnVL4t/WrdcskB1yMsCvHI/d
2LN3qTZtyt5zrfvhTprjemRGG1CvO917yXPYDFvg7JtJ5htVnC0Lm7B59gp7KzVw3+a2tZDogJVP
tpb7PpP1Ezh1KMX+Y+/Mmuy20TP8V1y6DhUSBAkwlZmq9Fl7XyS1lhtWb+K+7/z1eSg5dutI0x1P
bnIx5bJdqtZpHJIg8OH93qVWn6wk2kBUXDXwXtHdzsQm6oLuZPdg6QsHsQtEdOAl+PGIedn/0ELV
2BtgeNbpd0Zw1wq0WUguvQivjRGtb40VIRrrhfbkDrcKx6YhVHtRVDeFFX7xycbRlWDyLJIyWEww
BizI4VoTd0TX1y8KlPDiqOm8c/qZBFmMJ0ZlvGt7IHEP3Ua6KDMiNzrG4WIXkjFnRXCIsUPBe/cz
3FyOfhlOoGaOkW3hO6zdztqhi2ES+B6y9aRDuqndRX5GyNXomuV5URcCH0of5oqXvIcJguUutk+Z
KVaR8vbtQiTKw/Ad7GQ6pLA67Aitq6d2E44MKMybU9PBfm5cHA4MWsOryrd3jq92qfaJLvPjJ5hc
N2XBBNJtGhx3TvV+qiC1eeC/V53T+McixAF4Cjyi68sxWxtRV36M2wpp1oQPOzTWiVrL66L70UNY
AmUKK5bJOxs8dTza5eJ0OCOldngDbMkbXZIU0ThziO975xwHuXGlVJDs/ayrTjoFPW1qciijjnle
VO5HbVkj5kRMuSErAdQC12IVx6kcb4HmQvN1j5LB/UgoMu1ENcitOzr+LYQGWgh2i1nqSPcVr0PQ
GnUyZ/j3w4iknpvHC89AmpOVNqdvU1wNhexOTSOoVkoSNKUGBPOusC6AdDlPzecpqgbPrqk2huk0
otBLM4EsRl/aHrBhSGm1EjXKaVqI+xLRcBubd7aNXrJj/4AiwAm1XJm1cNdZRUumoM+RSV5ZEXUD
kD0+Ih32fi4xKRgKJMV0kmsMOSfnQRsw0rHFZJttUYU3lb0bhWPv66Dej9ESQhSfOI7CcsgbEVFI
rqfK+ovRTj5GACeoevXxzGFngoo/WRXdOjRg0+JvyFbb0AsvNBaTdbekFiS0o0r8GE3XJbGCBAKk
UBp5yoQ9vB/GX+Hdkv9LXmvn3AgyN40Yz+WoxawsJ09tgjrudIAnxedI6psell+I2GDd9P2uLdVT
PicPQUUnhO9G72bE56Qx7sYQIZ+kHZC35l3bLkJw41HEwVNoGx8KB+MTj9LeNs5TEr46WAGNqLG2
K85jGR23IU/cyC4yHWKiEZI7yRo328cthX0q9S00HUiOXn5OJ0vQS0e702bHaAu3veJYroN9jBFw
FKOcJoNNug3yzebEVs3ONs3bbIAVCdEHmlm0jmssHFukErOLisTNLzgc4/3mxtdZTVZ50r6PGs5L
jYebCt6CRsMBRnxJfaPFBMVCd976yiYb2FL4Eohdr6fBfMJ9ZkSK4TS5M9ybdiTduyCBgPpo9V3V
0UXD5N82ycBKTSIeB6QLeHbaRprQeMiLPqfoKtwiT8Q2qGXBTtIa1YyhEtszTdjQLlNaWY2HaRJg
BpEqJCMqykdUfUFYGuIyLLSD/W+b+ZgUruw89yRJkg0eGuynqi5hvZIsXwNnsaUVKeDXnC1061rw
2I6wtqsJN0YYW0ualzNd6Psp4qDz1YRjSVyDmhtBVJQ0er//5PPZBRrwrKBTN1WvMly5sjilOwXL
1+8oGoxsKvXn0HehLACCqbC65Kzb4xha6CZhbVDYTS0tnY5HJdeJNFoO/NiIcmho6UCAicyzBRwE
qiTYV4qeVuTpkGR9nq4rlTkDpUdAoX/e2IR8Y8qmertcNW5AHsUQevLESYY4Yxca6EisG21nuM6h
lQtJJ4ZGm3MkTSAupl8aD0B5WuVmWACPJRCV/HvfofuQbZDNSZD7iFRhdqasi9JOrYN09Btihxwf
Ii62HgGxAEXoz04FJbAf7D0GkwXnAeWXJGmslKb/lzHxIHLintB6WL6W01h8nSthiS82zCrMdTSz
m+N9LSDgYitXhU5BZqrTDP5th9GJfh/kOihxf/Rd8LXZHeOMY5dvOBRXMi3c7iv+/AWBG00nepyz
s1Yn2LHkeWm9a4u6Bg82kyodPiQt1CR4caGFXr+DkP/oJRiIkuTZhK14CixRjRgV93HXfbRAn8TO
Yl7NxsJhrDDs0n2Si3iDBehEImMtk46DvBwzU9/PsSu6mJrDKvCbzQw/N62T1Dd19jXNB1PLtdkr
qgSpq1EkNGpEDZJrMsndhdJvlMS1ScvK9XnSDa1+D+s+ULBG29nV3i6cktSzAU5aB0dvR+rCw6rX
s6fxcmCXg+Gct2xnQ2T74zatQkEEPe2z0QFhHFRjD++HwKWbdRQ6o/Y/tX0cIa7TbT1Fj5HSMbLT
hr21e3BhTyIqY/Voj6femBbdauPVFg20JqA63KgQ6UY4EGxPM1KhjQQlFH2fNFAz6IxGYt/mSMeH
EyWMgsSsKYwVnePOcCPMFjOcVxKBU7zt2WTAmI2wjG3nlcV46yDdQDYbyzhx2w3k0QK0Nekbl26s
1fp0m8Q0zkkN5ztP/R6PoaDtoUg3dGMgIbqlFW74brXei2qu6Ku0rmGfOhaegfsxDnyesq4CWFS4
73R5zXkUdU9Bxdi2dY99Xg3hngaQEt50m+kmaIzTvOnifNw0xhDo5ty0nTRz110Y1A2anNRevD/9
KZXlXa+7YI5wdWoq+VnwpeGzWqaZmYDD+Agmcs3LFoCBwCBoe70RUR2Jd43w/RT7VSuRZXrtNaXZ
OBsDDUD31QLY77J3FmmEYfE0uWi5id4QfkafNDSjHDihDSOd3klfJtZ5kISyAuItnBwS2FAhdcbo
xiokev7JUJm3xPY2bnfrJ0Mipl1SD8Ib4YRUIRRjKoa+PRtqv4dPzYzGCCEeBXx43qN43sJZIJxP
C57k+9HuC860yMy4dAXLltZh0ATMhSyKg+oThCCZU5zBBezPfYguUM3aZIuri3ofmA5pSKOk7Xkd
miGZFdOschpwvcAQmUUUkpI3eUuNGXYAgBDFstO80xDcYdTp/knI1CHWUxEsO36cmrEklNdrJ8Ep
qZur2vrKax3M51whEyKegyS6xtCxkGe2Yy2wAUYj7OCxGc/JLkwjyz5zxpp9vWIdR1IYuxyIqpZD
1gaAUcfnhtQLFFjXnnHW04Sdj3EzbjEu5MPTu7mN0hsedBSfRl7t9PfKEuN8bBZRihlXaKFNwtTc
9a8nkAUF9aG18r09d5mHh0ibe91OBqmJQVpqcMJVcxZhrli2oQvgOsa6uoEGYGBoqIvcjEDD5rrq
93AgvRYb2hiNEKp4Oh23TZs3SEiNEkuNDYipDNeyrWdtspOghPvizSXwKRPZBmQQNsRuIIlpjr8q
J8sGxE5RENXvoABnQImTbxAUFYhEV5+GRkaU0zwjAzCkDuYBaWTq+xBWgjwYIhpH0BL22UiUOWrx
YrahCwdiodKptqCiIbnNSWNG8Oci7U8SjGh8i/jWHogMH+eg8WnJp6Y7nisPMPuEV6N0aV70NYJd
amwofJRXkzM9GFVP4HvgGbc1JD34eHHczerUkHlCq0kneRrjkuSNAfTlcZzwtMd+Aau2TRD5FQ3R
Ersf2zCmjaR3h3FlgJufTmeOjYU3lVEIQUQHHr4iFQkUxaik3xCiLg38WbM66iL4IEWf4jyU0grd
jZam3Z05rGVbm9AttdMoN4z7kXcHGG6gU75rcwIBz4ywQHVvZ+wWax1EkDV1XuJZqfCr8M8MT9Im
N03dhQ8egvCO/kvY+7vKCMR0Cv+qbz6QGpKg46qTHBM9VIsjlChb+CwhBvvz1ZRkEpcli8xP0Ksi
yVGdlSIh1zpsH20m9LloqsJ6DPOmptSqHZGB3thOZ3b4M+ki21bSRPdlxJBK6MtxDjufPRwGrpq+
0dZpORgDqwZztjrO7aqSp1Uw+yUwR2C105Pv13QoI3uewGTyNqDJrA3eqNpvGwiFSStrEkFaillD
znn8IayzvP3Aq1rEq6Fh/8YSw+qGC9btKT6BN+FDsRydcT5rW95xa1RlsG5ahcIVRUr3Pq8lJj6J
TkZB9o7Ge2zUbkTWIC0gInC7sGDuGfi4OuXJMA7kvGY0pMIzuqNdizawwKgcgiI8HDdxouHEdigV
j0ZHqvDczCv6NAOYZb+pe5r4W+mb5mOc2HRearKZ5ZXl+4l3bQG0st7NFVZ1qkxb0tmJwAo3rZnV
6m6ORILAI1dDfw0Km3q7TCoFaVWplrWpTjQEttlsJ1w8uQJsNGF9qPXgxHW0jxoxj3f+OLrRthK1
wOJ+ShIqN68VD6Fb94+9V7TstKGN/b819R72LflgXXAx8aUUMqxIfmKpXxvtQONkUtDqSFurjRg6
xpCApifYDAEYzgb4nGyxG57g6JMMFHoE9QoIWkdqmFHDpqaC9zeBkU5Hnls4sDVau0JNVpSDXhBS
N76QKhudVYn/M6mdrdveJ42UJL6BRfQkquksBQ2yYm+nqw76mUFX3LoRkRihJbiJJ2/maKbNalmw
pC4T/FYuRenHn5GG4KNit3GACX2VTRA4BIkxDjTxL5VbT9fK1+ir/HDGxHeCXonl8uywxXGyamFA
VAUBSoEiYL0qcN72kdHeF41I0tUoipz/Tv30CAte0WmGZZ9sYzR4n03hO3eeNaLRp7NMtG5SDREq
koCFCgcC0d3jP6bxzMhCuKMTSNKnib7qDUaI1UOUluTpOGUeIp+rowJGGXJCvPRl3GGhA7mTbF7p
hngZGOMYYcw/ODU5akpgK4lpwrsaC05S6loEdBggYS63FO04ZRqOLVPgSY33olEPxrSeWGX4xc2Q
4YpjJ222zxuvAGlkHZ82eZbiB0ZFRqRMVHGwOQpqU7AhGRqxYhHOebDJKTO9o0h4Dp7y6CbMDVJO
7FSnMKIx0wwx2fMu5g+IGpWZ9wB5dft+NGBIbbJMZVBHLcsxtqzmrj6Le88cVrET5N5xGDjt4zzX
fU7CN7IyFIaTw9mIeWWwU0uop0YIbQFPqvykzLTCDxofXSzihsQNbyhhJLY1aW9jBVwI0pUD6eDJ
AsFJkUqZhFgOIkKkwnFMQNLt1Kdm9QErpbzdtpzDkk9MyLy5RE6UR2tPGgtlJRyzeq+Nwajv3GIg
LlVPzRB+qbsOjayFZ3j0mAZ4+22LzoKmg7XZJHKiMXDmSq48PNKY8zMUXakpV3pEK1biVnqPveqU
3npwrhL2rdLtz1p6V8Px6JtF/MD2mTJJ5glHGphufUj1RkVg+Gd95EIlwBFGFT3FYY1LGrAOfoA9
MNniwm1N89UoydrlBZqnEdfbhlq+dx1RXutaKZtEAW+Eyu5VHTz0BLLcuCrwOaI5U2ehSYmtcI9m
oofNngqxjx5L3weWiGUns0UWN3cnyo8NgnxdUhwAZHCfAIauEUL1pWGvIZcA56WO2dmX5ZQ6467U
Mr2xam9yb6TdQobF3jq4oyCc601Pb0Pu0166wQc6FEsuQZ5YAU82CZa6BBw7AULOZDFEux4yHS6Q
Xe1+bDyOS5clrs05TsthkV3AYgUajRBEHtfpaJW85grY3Okc/HP7KkuS02qoVbuLoKUMe3PMkxCC
b5AhQQuWhWvuihz7slktwQjpmBTeKq3twd+UbHLhRwUP0EOyJzM6tInhld0H2CgN1XuAlgM8xio6
XLjZCNnWywCxeCttWpz/5kcR4soSriZKrTUrKP3dh0q9k83iFtmtOC5Si2kuA+1VgpSqXip9B3pG
mMJWaFvw/LrifEtj3CzGUy8HupmT24r3uIOzlYZw5OA8eHJcvfnt3//+n//+MP5H8FRcFekUFHnz
9//kzw9FOdWkDLQHf/z7efRQF03xtf32sT/+2o8f+vtl+YQLd/301J7flYd/cxnvjw/y+38ff33X
3v3wh00OrXW67p7q6eap6dL22yB80+Vv/m9/+NvTt9/yfiqf/vbmDsOhfA25so4e2je//+j48W9v
hMKE8tvN+H4vlhF+//HFXcYnb6Lit119lz8+/fZY/PauS3/x6ae7pv3bG0N6b5Vp04zVUAttYdrW
m9+Gp28/ctRbF39qlkL+kUq47pvf8qJuQz4m1FtTC5ePQTsTFoeBN781RfftZ7b9VjmW5XJaVLZr
C229+Z978cNT+/Mp/pZ32RXqqrb52xv15rfy+7NdLtWVrq3AiU3pOaarIc/x/cqHu5soD/jL1r95
rM6iHaxxHfucd3nf7RSDDhJNYY5wpn92m34f/Plg0joYTmmL6zUdx9MAu47regfD1XVbhkNCQHOr
LgEDRdWtVByjVzwqRt5GvXUKnzPukR4DxeJvcArCjbDuDBAgVqHAobxukk5qDBTF1B0ltU/R4+eq
4lwM4qIzts6gSVDZuKaSZLsFi1nEOvOcGBSWEiqbcGxOg7SGLUnH6n3TDBa0gBqkSatFqNGCvms/
aJakCCp5ThndbBeQ7JBkDe1lX5Y+VKgiunXytCZ9yBe47Q0Jzrq7IXKRQVYUkV84HOTNDfYNurrE
CiS/XM5KF6HnAz0I2yCycERISZffxWUM7rPtXdvVwoZErciZJ677+r5RfvIEq5dCciajhhUepjGI
S/AEo36h8fSFRd46MroEOShpy+sgb/0Bdb2e0ILESf2QN3GCyDEqIRayIpn4s2SRc+JZHG9IPvet
q8EoDBzeg8y8L21BUJQ0wur9rMbxfRqEKCa9eniYBdY8XH+0GEwMxqMT2rh+m2AC1xhuF8h9Q4Rc
jZHFgrVfYvE8zV7/CTiNsAncccBKRYiuZ0VJAEaJO7GDlW6XBl/KtJnPci/nEB0mGQubbTmqWZrF
sXOjsIa6YzGHrGDFvTMQ8MsDIYC8WvKYdGEVKPt9dvM8m9g7yq739LpHtwWLKPFpSQlF74C1MhHz
eziGDUh3rbGxLzDehjmVzbn66NVGN63B/CHjlc40no3zgAw+H2xqz9FT9Mdk2Oy6vmnvQR+6Mxxu
CGegho1iCD1JPCHl1/GXKq3wN3QSXr+jzstQZWRpVffvJPBUu/N1At91ajv94EempFVpGjigzb7G
+j3llCIwmE5yjDvcFsKRXbbgI/NgIC/oCS/AojagcXHkuo3CHwOJ9dJrVWm6BhIjckwHUuO2VSv6
BqIugaipKBYBT+Zm6VINTpIdC1HCarYhNKxsKxTJLnObCYlGGxN+YYVliItonnCQqW2T8k4y/SIg
HI7cR17WGwgt4REGu3jBYelP++nnqOpRGEdzS1E7otqhYe8Xi5egw1dZudJjwqSu59N6bHMB91By
6sQNok4+MptozPdOT7RoOlH0QCRTIKxesYhLeX3g7iZNCg3NI/Jj3oylimB0UpqItd256SdBvgVe
qyLWX0Qd0VJOrNZ8okpCka5SFTwqP8QTzw4WP02K4LLEhp1lEHND0cJgjMNEQbLPRnuNNsSHRWaP
SxxKU7mfHZWnF54Zke4NLdwZ9vWQwYl2OsJFVkUm7Z67aTpi7bR5+QlbzZKul4ud3raYaiIKrD48
N9oIEU3UeJ6xrTwn0Ksy4dhJ9zywk21mNqrc/KuU/39XyptqhrKTRhmmxf+ooB8d4QQXtYhpZmDq
iyzjKHKtb0kC34r7wqDQxaE61OLEtUcpjo0sC7wLN647Vv7v1X5uJhpLfpiR+ToFeyLAYvDIRLHN
YNb77/W/GDgeIL8VrGLAO8EHPzH68SjJwYa3VB6KwLCuSK2Tqtb63SxcWofUqOmqrTvzkdQ+I0QB
6nrxsUgW48VUR0vUJn4GnM/qEC+ItIDKFxlQiX1BkamctLqpBjLY/cl1QvgZiL8KocxHWj9E02SD
mGzQdRzXCEsdEdDneHgkpzM4gHzn2n19aztRC6nUEfBU02zqsOz711nk//NZBPs2sL8JTvi/jghk
cFA3W9KicuW49A9OCP+V3c1Fftc8Pxh8/8zv5wLHfWtCoDIBYb6V97b+41ygqO89LS3XQvXmwVsX
f5wLxFv+uik8T9pQSyz2wT+PBd5bjbmA5Ec0/JAG6L9yKhAegzw/F9haaI4r0lG2VI6LCd2Phboc
Iq8ihqpau7Q6pwJm/yzF58QG5d13I14h5C9HdU0yVO+3GS5Z/VTZ7b2ZJzjjkgkfWrvCT0J0KLFK
QNknt43geMRUUz5lujgFaKPxgS9R5dFkVrJUOSY7NeoSt4Vjf5SPJtQ3O5Qe9pr0WhKAh4qm3qdc
I9+4CSPEH5tSllayT5oCg/wYhwz40lNv3SzoQP0EFh/rjzkhfi05GD36MsuPGywSfSfBCP0cKkzP
EhW37jBgfCEtyv9Ei8XasWwteVEXtRJPPbk4wUrjgGsfqxld/k1M+Z6eBdpKiZgLVFCdhHllkBfa
0apDBGM7pEJlde1ez5YkQBwSm6sVnPjEHnFGs2NQ8bMxyXyfyAHkomcx2lnrPMscvQA7lmjFnVG6
gX8HAI14fqibmEJX2qGaH0Z6u962E72d3qrJbfoQIUERB+gvEKF014bGRuOKZlWHXVWd4q6BOfQI
60DraFUGfghvUagecOlzGE8tEFIR0SvYDirsaI1EyeiKW+wtJCeo1nNbSV7BWKJBtOAgCDxr7AAN
t9HIbFc0geVvkUlE01Vo4Ji29xrEM0t6GD3b6yGKDGzHKjmFX6jB/JI4GV/hJTFHCT5IDrrHuziJ
TeOzb6PsvamHSbWfVQjRdGWG2hhvcWir6O9m6E7ScyVoyX90NKmW0yrRIUe4I04GuD/miWtftsVk
q35larqDJZkHHsSVO7MgqrYm1HIyAwxpXNdEw6BpR4l3w1yhMWvk5LQ3nL9hVhxNuWyHnVXhLnKV
p2UUQFQu22jt9Pyf3zLmCidsWy44NG5IuURoFfcTxHksRn37rs+1QYXq9EHYLRbQJYTpvsMX80kD
rBLhHXi57RPD2WpzpeomHKGa69KEC9uT0dHD45vKdI/LBZSoRAEd7hWmY/Gp4bkZlULUTV26b018
RCEN6i7bBboDf63dIl1itmpY9MvRIPace5NeFVzwIdXWmezhpOK0pjFEN0urDu/Z8pdPhzFOHFrS
HMfNDQpL6qyw1ajL7qjM3EJcQcWx/Pfa4+z94JrIkUn3KTKLvPugDgro5X07drdR7Rjj+XcGQtnj
QWzMaYxP0wJ9ocyF15OS5vIDF4FZj30xb5C59RRxvM9ZCYrzOWiAlcV9eZlJw8UgAotUDOAkevnq
ysNbFWVq6GXuxdwOnX9ezZkx3E0QRPWFUds6OtdaleZxjPW3cylL2t0nfjEX8KK+MRl6Q0/2OvVt
uXfpQUQPiQq68GMPHOseB/2Ml7Zsu2G8/ZHeQEdDyA9pPDn6+H9HchgclrbzaRYTnhWvUh24y64O
HpLWm+ZbnQWTg3biO+3BZWmYPhQGNt9Yu2Q250byxaP+NOY87H35nQ4BFowvsNcZiCQcOFvBCRZ1
SXE9FGZXfp0LYI4KqnsfNMdp5uM68jpVovdiT75v3AhjxuRXfAmzU6l1DQc7Tz/2g1caHytyBYrr
EgvK9MNg0ik7/gssCiv00VXmlXTzrZAwOu6HibTOKwtovnrEJMImYbo13e48AfkVtJ/iCLMOljda
WSRE4qgFJDTTGtPbJEAB+dCXdGDoL/3Mw2Dlrotj2gBOujPETGW8Fn5r1mehbK0JQFnlsD84BJe4
IK6V2zgcojEtGVzR4ootWmUvXFuL7PHWBcuwWgKGY8yRs9N/lVHfyyjBA3upjDq6C6O75zXU9w/8
XkPZ6i3sCqohoR2tNYDoHzWUdN86dD6BG20qLM5BwJr/g63qt86CxD6rvv4soiz9lsBFya/kx+yB
pv1XqihquOc1FDinksKzpOkC1PIVD8DO3LBza8ggBc9lHp3D8lC33tiGiFzb6aqGArBL6WpeaUmi
xLPb9AuglTrwcGSX++HYbGmkq36DYZ+hukaT2B4+pgBC85fR/+xiyo7jxytorvXaKAfXp2SCdtKl
DTFA77sgMm2brgn22Ni7lHSvY3db7zB33L18ab8cVUmAZL1UwqYFbP4cscYCOzDA52DYXvfreT3s
WNXAyI6q9fjVPgn36WbaO48vDyoOyuHlUbrPBz0sh43JNkxjofXuuo2zzbeQ7/GrBVSNvnirZo37
xnredGfGSXtt7uPzLiMGdL1++VssV/YMqz/8EuIAq586bZShy5fA+pLKGF6rrqB73ndj88pIv77J
juW4kpO8sukx/HCTTUmMcDnZDLXyr/XJeIyy7mO7p8V5iS3BUU2w4VGzf/nyfjWd6Gz8MSZLw/MH
Gzio7glKYtL20/zF8zHdiD2jAVHsi+N/ZigtbXovnMuWw9zzoZRbzlDomEOJ+cVwLpvxo4nh38tj
fJuIPz0uLSS9Zndp5hzcQ/KhUqQtPC7sPXaLU8Eq2WQfGjQgCCeOnJ060dvhtHxAtfbKyMudOhyZ
hpP2PFvQfJLLwvTs9beSCfnotxdzNWzw+uat1Gu1YZfakZy1Nb6f87+fbX+x2vxiXtJJ8XgZOS9a
tnfwcoypcntVcaEQxBDrzmhDFFTC9xGyp1euzPz5yp4NJcXBHIFtzhRxiZl0jvCxYFYGO2dHNsIu
fGWZ+fYy/XAPtbItUymO2iYdh8N7GNRhGJRLBkB8ZsHvexB32cbaF+fJufuovpxhYHM2nU3H/Qfx
kehJXslXps/B5sHpX7racYWwLcsWoAE/PsOqNH1hRx1SRjR/pPTYzn0M/q8n92RAYdS7rzzEb3P+
2QX/PqDnOhyN6AmKg3eiUYXXV0NDqnCBiwRHk64/xq50Bcf9qEjEisP04haKnr8/mYd+5zXeNkIj
hpEd+n55nDUf1XgHXekoq/LLl5/7t+f6wpezl3nxbEa7fkMdX/DlulWBLfDWXFUnzYf7Fr+ETbhF
iXjZf8VUMr0dN8U6vS6uxD48n+pXXqxfPhPXBZOhp0vH9mCi13kDq9+m2ovRhmBNyuuNUeCEGsBY
IT7Al294ZRZY8scJ//2pPBvy4FUWhe7yKGNIeQ5MgnN1dgHPjLIUP0FrPa+a4yUb60i9skAevNI/
DXswGQCg1TCEzL6UXBdczjwl14W4nyFfvPxkl1t28GA909EskDahLLSif3ywVTzjyFHwa+PShr1j
Rri3xfhZcaQg6ieN38Wje/HykL+4pR5j2TQSpW3Jpdf/fC5FHLSKaEC506TFdRRftKN7+9dHcKi/
TFfiu+RYB6tUo8JQjkPKbM3w3cL6T8tXns/BXsnzcQACl/6/AiU0zYPVQcHVV25V4bJa6nNgtf6I
E+M67zDQeflSfp7yDMQQIIqOB1vu4GY5vgfbzc5cEgOI74Bmu+96/3Phgp24/YdI6H2fJPuXx/x5
Tvw45jI5n73svRl2pBYzZuOID3HlnqgwOo8N8yTS1YWpk8eXh/t5Pji26VpcnnYFt+1wro+OzoO4
dI5oSH6AkX5s2/X3I9w/3CF/OQS2MB68S9tjZ/nxihIX3rFVFQQXuPZwlECw7ML04eXL+PmV5TKe
jbF8h2d3LfUzQCuBm7MOSRFDrYHDgnsGQRRexAzh7q+PxsbEP0xxUxyebYjqaCBwVqSG0AxfqaY4
Getmix/pje3CsPyLg1H6upykqENt5ZmHty+AujJg8ymO3Gq4IMse3rdT7PDjqQjUsY1XLs0W3Kkf
1iQHKYYFmg4vx+LtOni5ogHxRuXPaMpO3B0OwCt7TxzBin83+Ta/yrfJtXdRnMx7fWZfIz06qq+n
LYGwR+I0/yAuiPo0VvUufqUi+WkOHXyr5Vs/e76IVo1iHHFhkoj8AipIw3qtcPxpVXEsbWvMD5bK
0aOY+3GItE3asCdbBtcV5zI3uw9x1pzDc3v38uNcOhgHN9hR3FvN+ggJSJkHL3gz2Y3VZSk5XtPQ
nWk3UHjnFn6zrmaE4oLkuaMK+c8GX7VqSxogzGu2wYsoh/Ux6+i108DPmyziT9fUjsO2bpmWOrju
nMANTgkcl50jQpXRPa842h2XG1wCxDZbR1vv+LWn+eqYBxs7wj3M9QfG1MnR+DCunW23C07UBq8T
ZxdcxfvwpPir6+pymRx2tMtbi7jsYKFLrWGQccC50Ua7lZLc60vQ6k8erkMm4VYvP+Tll/34Ev0w
2OHG3tPXzmIIGJjw6RM/haykkvd0wYnPVV+10V47GJuPIbYBL4/782vy47gHL2/dVWmpmwX68JLt
iO/BFOpXlqPXLu3gTUS0180ZeYzo1qSL2cNIxM9ix2KUZw22mgR/FZ9qGRB+nb62NX4rHX6+rY4U
QgB5eYfoR1MRPxbZMQeOb0e7bBOvjZU8Rt7E0c44fq1W+nlFWO7mn8MdvBlTl4UN8C9JaGNOPBK2
8ZDhzTx8ZbK8elmHb0M0ZYldc1ntFqsRcKTxNDqHvHdExto2//DaifXXk+TPyzp4E6qIS+4zhovn
j4l901j3/8wk/OP3i4OqNs9w+AN4Ho7GAGpE2H4R5jy/MtF/vYL8+WwO4SCZdTRgHAbpt/lxdCM3
wYYdwSEX64gk6NXQgtDYxy9f2KuDHsz9yuviZlJMCLQf19MGkfSmPS1PCfvgIFKvpr119X8c0f5x
U/ILzQKFIz2LMwlA41quohOigTB1PcIl4b04NdZ/EYliwi+zXgMrC1c4C8P2h622L9JY5SUXaSw+
mNE1Cu2Nk7+yCy6vzk9vsqQgXAp5So3l1Xu2n5t9FkV5BtwV++i/tZ9uIFruHLv8bKfk0qYlWSUv
38pfzvpnIx5su2XtJor2EPpRw7WO427UZ15UqPcvj/LLJePZKAdLRka6HKogrsuGZh8giUX+YVoP
/8QgDrgIHAqqlZ/Qkar2yBMCn4ys4yVnMphOOxQ1/7dBDmZegLHgOEd+TyuTjPW0y/pVjxhhU+lx
eGUB/OVNe3Y9y6N7NhkS2ThWsoSzFDZrHlYmAZD9jF/Jy1f0y53r2TAHc84nQsPFAriH5wrOQx0Z
tiGd6geNM3w83BcYXpWvldO/XjKgkNC8EYJmyMG0q4iLhd5K2nF6Vm+DC/cEa6Wt+9ivXFZ388zc
q/V/k3adPXLbWvQXCVAvX9WnbfcWfxHstaPeJar8+nfo5GVnuHrDxC9AChDAZ0hdXl7ecs71VW7a
+RkgY4GZ1uRiiwQ2mHMWELTmR2tsnq9DbH6vMwjmvtIxiASJFED0s3GjZeY+NzFyo8scC2Tz8H96
IrTJwxtZeJwqjAkSiTRqVwKn/UPei3h+4FVieaNvBP1O8Wo/d8FmxAkT/8cH+wBljJGkbVHlSPPZ
0BreiV8wyeqkQXzEe3zX3VNEtDdc307uOhnDFGVobA8YxIaNSK9gK5RKB9y6oe6uUMGBIoYjHknQ
BKbHwd02lY+lMrY5rhh5wNwkXariKy4ohpBMbN3Byx4gJOMgs3t/HXHDcExVR0UQ7A6yhqaiy4Ou
JAuYGlrwzmEyN9B1IWwKNQSv2B/XYba+oYXXDNLyKhq58J+XOBATAT02rZJB+wUKn74Smm5l2Iaz
OhHCA3S4YsKUc+42brQLTMZuMoxczqlJeYJBYo6hpwYT0hDTnLUGdJpQXcXsZ2t5PdR7TZ790PPG
XKaWiOwKsgQmPSuM/YxzvSRSheWOzuBKPkYb0IYE6hmcmDowd5BbQ9klAJOYX5xAzsjZbPrRrqEz
VrSix342MJtrk9IqMLQMmtLZRsv3AuVClOwgD60b4NubZgvUYasu5VCmmYbmMLdGDHHntEx1zk/a
MDNk63TkOfGqRQ2cCXCFVNAwJDrgJY8BvE56L8TOUUC4dX3hmyjInaH2Dv4YFNovjSzKV0isRUgC
GeOCgQDMiHjq0kAewZJX/zrUlm0hBSmCd9NEfoINyfDhNQMFtQUpcOipI0kkQpwuGQNTS/Dg0qC1
M8tQArkOuuEdkBTEUwue3pTRT3C5vkYVBTByAxRzLPtcN1zQy/MsV96wnXMM5ibRUDOzLPRz2wbo
YStIM2lg04r67gseKVARHE9pm72QpoVAm0G8XMKcLzgYWs5KqYWyFnz+Kxh7SQ20elVNie2dlwAU
Jw5mHyEn1IFV5PU39tRCa4IqGzT4ZU4qxuXRzlbgNaR37zVEpGR95mzpplWiR1ZE8cxAfolxsWlR
zLUoYUfb6CWrT5RJcgDb2L9fBvL7tMUENWuM4l2aBkaYVcWcYBprVLoj+OmmZn8dYWsZ5wiMYRRj
064iRYgqiMmYEILvfqQT556gP5P97ugwhvyaglI/niGXyxAxfwfSNQUtdqBtkqSbAsNFvfCDag6s
oH779ytSNFWUkc4VJYl9sOZjhM478Fdh6Dm2DfmLUKNNUvx+HWTrzJ6D0PN2FkkvdTrmhUYvoQUd
wGAAGAaOK9pE0BGL4atLsDFmz0arSGQrEUVQn0P3rwWjj/IbxqVgRAq5UQUhoMIY19Boq4Kx9RlX
Q7SXzMEHh797fZu2rAtJJAMJWFnHhDlzSIY17jKxM2dbSfJbM132NSYe7Vif9H8NhKoekskKmmsV
U2SB0IZsZKICM56T3tEkiAuo4w69vP96ywCDgVIJRPW0JYxZT5OKuT6uSJ7OSIrcWs1QHtD3OXHc
5Oddu0RhjMtc46gHNxHoqEFACt3RsDWpxGvBqcV/tjDAoKqHdLyOyihbXIE0LJmbAXvWtAsqvwmE
seJc/9f+5QLEYnJU0KIRjNbCWrq2+4GeOA/t6/d6ZnBK95tbhhcMPj663XH2L89jhdSNVmbwxuiQ
s+dCcyPwWkYjJ0v0Of7DYtDxp0g4MSL88SVKImIOUaT3F7irXlMje9aV5Ec8tr6Wg4xMsfBiUnlF
vc2VIeqk8xESUJlTajRkHKdOEu0at1meg8ag/AH7/3b9oG6kRmHUqEZJMG68AdkNxPt1IAIkDPBE
qVdH89O95UA39h1zqE7ugnSREzqyfUtAo4DwPrTbUv3VonnuQc047i3oOSGBg2rIcISce2OnXuQO
9gAxGBuxwU3ngAo7vL7QDaO/gKX//8xxg1QpFtoYsDK4natl9Gmby3WIz1EOXRmaDdBYg5iYjQyW
eSKWoIDWSVy+VubPdDCDRrpNUmt3HWdzKTJYBlWQaqB7h7FGIldaPGT4ZFEaH0eyOPHMq0FsLuUD
gm2I0cYF4/m4JdBXPjuaBXXR9pHKOlpV7F5fzOcQAZum6iiEYgrIQhH28ruIM2YpFi3GwPIyBGBQ
eihKzWvTzu8lsFdWOed2lTaO8gUeYwdNt2AUIcYDChy7FZpnR8hVK1DGJIl50kptKcFqMo5HEeX0
e7ScQ+pSJ+sXE7SZed19B+nls0UHmm2Q5+Qvk6mAsQjqdmCFSqVJ/JYXQmX+zuc+2yHWxbVxpaeg
mLPBnWhDVcxWtdP1b/Dr+rqM0y4/AjWH88ORa1UN3rEZpULhHaIOUmLP1QnymxN02D0g2pJj7bMQ
lILQCoZcKLgbxEP7InAaGTbyCpc/hHF6kD42qpauFcJQrugZYXqfB4O9OpITHeSDtePFQtvuSMVh
ldGxg1cYY38pwi1RGoGoQKII3YygTv4CpTsSEqc9Dt+ysPa7UxHwiqUb3h1m+AHLmGGLlsaoWQCr
RxibbcF53IGzvuG9I1hGDOwm3dAPHMZ45kaIMVPy14YKduPrpgf1pDoAHSRaiiF+dEKTHVW65eZr
NurwwMaFqauoByMKZPxUDy5dZVnQyovxPXfe5Sgmlk7ulLSn7H7k+Hf6h30yYdNAW6qoggyFjdDk
sl0jUbFouQq080EeTL6KDnFeTmJ7UWc4TIxWgeIsQoc/Sonu5Elu6wzfod/ioJDvg+3z7frB3D4P
Z2iMdZKlL5uu/wvNes3eurfUExwQG3hCIPZux89Z0lD200YiB4JdlAxaA770BaIa1aVZALLYaf5y
Slx4AT8JQS/tcGMBHhazmbMa486sI7qZIMH7oYQC7e5/gIiDy8uibR64s2UxO9lD/RdMrHQnzXdt
hchbDubor5zPtQWC+BBRABpc0EvEnOrBrEQD+d4/y+egSTP/UFcH9Mi+7pq3enevIaTKvnAPOf1j
2U92Dssc8qoiBJITgDVPxRNIeUGQrztraDmDl1s7yRPt1Od+u60QAWkIzTRwaaODmPl2cdGgb7Q1
EMfdQobcR7UncxNEcdnzCvVDT6aYQfWF1zm9eQDPcZkPWZIWqaQOuJMjOrKTYKECrigjkF0x1Dh3
7+b1cI7GfFG1GIpS7YEWncwAROTJm+wpYR1ET/px8SVch3gTOJC+cjimtHU00E2DANlE75Bp0Tjm
7ErWFkOloqGTPe5X3/DbIDomN/8sJN80nzMoxk9bZrOuWYZTGCux14CVpoa8E2c5W2HXx3KQP71c
ziyCVm6k3LuD64IN6g2dJY9Z6itgGkMjnGTPzuwpGK0BY2FiPXN3kxrFpxPy9xIx1nMJX3cSiTBh
A66enYaMNS6IyJVu5Fst0PaDIx7+fYlfR0/9f7+eJTKHQzFzkHlKFC+JnCHGkEYKUT4wnV7f1q3g
+RyGOQu5KjfgHAeMtd4J83uhgjQJ8ny1CUZSwsGSrlskpjEu91ArDaGMCMykBxXSrvSgBfqQPIv+
4ODFzbMXag/XPhjj0hr5v/aS7ciueCydd6gg+c0XXlFp252cfSkm9E0lEG22C1a1qH6za3yQtDrD
EoKZEI5zCStevZr+8GsLYyJcdYWchUHjFAhYPkGK41s8rvdVm3IDWx4Q40BUkAarEeSP7Jk86gGk
Ab1oh+O2PrTv+ghZXXtx0Xvo8jb0ujNB/uLSSkD6nyupBFgI9ILn/aWReNNjmxfPxxeTGFeSzEKb
gVAfPUIi+gkkdyrB5wVeYciK/ttWfgTPOmJXSzN/DWQwRtiqIIguUrwVZe1Vl6AfpnIAtpcCsjo0
miBpwNbfwYEDvrEM0XknlDaBJA6m852pgKBc/FsXGfpv/wvFnF4L/AvNKsNVmF9TlLRuwDPponb5
ZDnv7eviW0Ht5o+863PbGD5AmQ1UklJUh4S+cpbIb+oBUkLEve4CN2r79CN9YDAHWOoWmYDemAb+
UZAfulvpQMI4UALRh2rJQQ6nF4uTQP0fTuMDkznEkFgXBsvAZoJyDY8AiMGhbXFHvNXL9u1LzXsV
b7v5DzjmKC+5PBaTBTjpFil18OCmN3QYNv4KsbBksNtXMBpClU6FK0593oH+H37/A5050c1oxCRZ
gU5dceVnbuS+L77u17e8W3M72vr4lipztFth0Oolhb0Qf0WpfSeF6Zc4ECCg4hIPMidB7Gu76vSb
4cHfS2TbJqD3UUYJTULRtlfxW03czDfdHg9k0JyAPVXgPkc2H+ZnZqsyEULcTziQ1IQa6OXse7t1
St0RHuKfKlTc7OU1sqGPtlcyFwx9vBh681jKSLkZqJBiBJeNhsB5mYN0HiH09BBn3y3Cm6jgATCL
s2qIP2hgdoc4MnoEJMHJQQ52/dxTq/t0j56tgQl9ZsEUrIIAgvg0nCMhGKeDf/De37xGz3DoUs/i
cHG2hAaEl4gPkMSg6SFQ+xe3oMy14V/sLyDGrfhByea9cAbK+E1Qcvclqmq4uy27Q4o8eU8xh2g5
StD3nuiDJv7Qf+/Dkffo4H03xpeupI3LqgRuh+SGASJNrwxSZ3TB1R6CCdgB2zLnM266trOVMp6U
YCo0BicJjkGLOQGwZL7XRY/8YqkHQk9CreH6bt4aGWc6GHqsSvSDinvZ0R0pBG8eZA392aOvcxAa
d7gaX68b6/aFcbZMxodCzkcAswxAVUiHIQtXB+DEwZRv7Mynf/B45BwONkTCNCTEkWiyg/ozS7yp
wGl5XMPcaTwRmpj5cQ5St3DkYHqOQLfDL/Jshu8f6/11p5ydGjBkxW1LPUyyI65gI7FzowTWvvR5
k6Sb9SuowP3Xl/3a+TOkLoXuQJFhZ4V+HwXIb2K680E/1qk9HYevLdSF+avjHE+2ZqHrZbcq1IRa
D4zf6Kp96J3awaCEvbyL78mN7Oa+yBtl/R829Gt2EeNqmHO79EQDiPNrcBfRoCMOE6d6jD0ILz3K
fu33os299rfPyd9wBnMXgzV/EAW6SJrorN6MQ/HrbTT5mumIbu4K7sAbR5Z5mMzFJDWRkDUpMIkP
Oc77OaTxFSUVDsFejjTk8Kz8oWH4wMI3hdRuaN5C6/iUcMoh2xEPCpSYTKU7TZlfzn1+3pF5AsEJ
TYHGYfc42yiJ7sddtrd23NCD/lmf77EPLOYey1dobNUUa3IWB/eLXfhl0IUGaAfyW97Fv32ZfYDR
/T87LMMCcqeGJgoj/dBCOSvt37L0x3Vft304MAQG/nAwEFLqwXMMSSCFUi80WE0U11TcuDxJhteA
Jvrf4yD3qKKwL4OmhQ1ihLaDemkNgdsVkrilCmEmyY8ImiGFh+tAW0YJjhsZxQzwXYBU+HJBo5oN
BriYEXgbITTr3E7lVVs3494zCHaaLc5mNU2XHIpeOGtgUnYT05apLIBfHNAoRy0eZwKRN57UvIQE
Z3kac+aiArpz+gTsqm8CdCu7yfg7qSMZjPOYeZENym/A2F1npZ0KnjD6hEhDAseFiHCn+tELP8+/
5SaBhXOL0XtR0dmOIHAoK20zrvTwQpaGRvK6i/eRhAHaSXAgk/F03Ty2KsoXgIy3gDqQ0SrGQieI
Ro8mpKEdlt6b4DTE6+y7FKi+HJqGLQyQcPdK7qNp47zJEkakRUo0o2ls4StVMzNDJxnWS+J3zYy8
RXgwouFHTUqeX9yGsnRMs6LBAS2xlyehzvRm7BT0UBDSup1oPEAP4ocoEskWlXxXyegCt4q3Tire
zFQD+132VOTFa59jiBC9tKOp3oAT8+f17d8wXwxTg8UEdKISOiaZUDkZI+iVjVg+xBn9aYq+Rk37
fh1iK8ZAtwX4UtCtgj5GthtzTlpRgPDnX8/9o4SCgyHitkdZ2oMEeOT8xhwcYhpoSFqShW8LH3e5
06uYWAox+z9HhtdjhJb6wHS1+/RpfZaP4EsNZt6DaqvWCEzcdgaVkwBF7CUmhMmS1IDEDG6iatft
hrsU8UXjlTsFy9RD/ht489OdATIHZ9SStWxWAFLeTGP6ImMy4/qX27jvZHCuY6bfgO9Gu+PlkiSr
VaAO1eHDkW/5ZLx0dQOFrzm8jrIRbVMGHSCBxMvAX5coLZghcTQplw88jnaAyh3IyeQDt/RMfy0T
KlzgMDdrItejnsQ6sfXT6sugCyIYuOi81VEciEJzw9zN0362LObe09OhaDIduhijJrpkQhG/yt1V
fk14F+xnbiB467MNNJlQE2xyVgmKe/iVV6RfvBHlxARsCHlAqaX0p8lX9osL/RDZ49egN03kY5Xs
dWFBOBZiRcBu2vqWWH1r6w2mxiOipM51M9m8mc6Xydi72bej3KIKhkcgFgh1d9/80XggbkWbr225
FvdEcwzGZMxfXONSjVusrfck7Ggf4C68093ZMfASS1SbVxPePNBne0n//1l4mUlFNCQTFjivd0YL
wTGBN2HI+1qMXxTFIjGMESvKmv62EKHSlsk/Ckv2OZ9qIy1xYZH0bJytBFyK6F0dgKPF7og3SBoW
LurM6F4h+GATxMVprtebvv/Os+sCmXEmidJGJXo///L8LqTgHk1U1UXf1kPwkHGu9K3Orws4xqfM
pDElqIZQp98dhaMcoGcRKV7jJsdI6mCDkQ8dmZ2DKcp97U6htGs5ye1tm8ENJ2H0BsUW5ovOigS6
DngXO5/B7QUJ4oe2656uf87P/F6/HAxqLBjkQdfkrxDu7HMqYwv5WIJNXW/hOZ0SbMceCaE9LB0g
JgiCxfbY2JqT7ceD8rM7aY74T9IG20b18SsYhypOxtpEWCuOYxSU+/gwfR2hCROWAZil/fJtOc7P
tbuES8Iz521H8DcySxhgTJGoZ9QRJLvV1/w+KJ1FQwADeokw9yOwSXJ2fPucfgAyscS4iGuvUa+6
ipWTDz/MIQ1Af3T9s27HZfoHCuNQVUg4R+UKlA6jTfZ4g1yeAyq7YHXgUm8Sj3s46R/4+Qb+AGQc
KmRlJ2Gu//qCUP/aFxKYe0ZX8rrAGNzfSI7izYQJCgMkq+iPZfypWYPjoVoUNGbU4k3RQAGplm/H
qNLcbhn8XKgDzoZuWugZIHMYQeud1pCXRJM0iPeR7U5em8Qe79ET7qEZ917ZS95wr8SoMvFGZTfd
AIizMVSqg1yMfcWMZQrFA9qeXWFaKNYlu6548/bSJgbldAXTE8TPZMapN2sm1GCb+vP+rVo49OGF
fj3RVX6CWpLO4/JKd5v+FQwMmJRFC78psU+HXMmUNFLwdCC+9A72kYMYyPs0pK1S8XE9RO5yC43t
Dt18aOWDyOFXLsHFRiqWqrz9/QsYD6/OpjZ3Gp6n4l7zy32NO0wJkrC85canW/t7jsT4N6nsVaPO
fj2Tvv5JDIpF2tpN71L2mOInL9zY/KAfgDLbVKQv/QIpYCyNxjdg4q+QOqOvsh4D1zs0vbnLC9cF
bLlS1MwwLI/cFv7F+JxMmDIiTr8wZxfDC0jll3iaFba2J0H6yLugN4NGgOmYOQVjJ5p9LiORyapR
kRHo/VjYzRNtOE2/zjH6pSgZMbTkuQl1egpYHyejWRfspHSym31QZwSq69AtA92qrz2a98YrBIKc
xAe/K4j7O+wubauN3fntuu/ZNJ4zWOZwqomqkrXAvraV3O/yX5ofGKzhjAttdQsghwdWQyQLoJvI
pjCyQl+tKAZJyeASt34A2WXt6BD/9hBkIbLrJSSJ3H9wc2yZzTkucwpNYRy6agDutGq9L0NlwpvW
RA8SVYz9ErrVGDOIo7u2nnsonY66i4TDMEIlbozCse4qx9L7ihcWbN3SEGiEEIKINz/mkC9tq4J0
siAlyYQHZfsch9Np1J3scUYrCub4NWf+afxcvhs/rn9oHigT4CpWrUOPFaBy/CRIuVujWxVS9PZ1
lC1zOl8as9/QcRRySDPC1wsNnOxg9CcCVcqH30GBOjXGw2QwWDLxgBIRzazHGAHIXB1MGXInMsh9
OEvZDHMUE0oBSKlDuIe9QxRI8S5xXyIM+Ca8xzGYniE4dyBOZde7nvwDLsAtF3AOyGxebQ6yKhEA
EogPStZX0j8PRe6ShrN9m6YABntK3SKBLpvZvmLMIDecZJNtxIGhY2a7fTIkjbN9m5YAmopfvA0I
FhkHKkF/cy0pnXneJME6CMderx+vm8H2Oj4g5Mtz1GvgvNGpsQmC6QpTF0KHT7D7UZE5a9n8MGdr
YTYMgvR6D2cBIDm25WHetfO+QN6giEbOs2zb6M6g6LaePZkQZTaKTgBFq42VC+7ABxMcLYs/7pK9
toOU0PU93FqaSqeSkcPGXybd43O8roTCmzHj3Tsqbq6KbpFGR2P83uLOuY609bXQtY5KBO5wTNAx
2aZlhCikFiFM0afSbhpwjOW1H7W6fx1mq8MHNSMUp0Tk5cFfwRgeREbquMs1OIfX8rkALVYK0Xa7
vU893Z3e286l1DPP1nPuxz4v7twMG2hSDQPeOmW0YGIxXVdWqIJjFjG+Uf+gXDcpyqdCh0du7sau
5nLWSj0CGzScwbHTvqsk9JT0G+72PsdQ/Ku+R9HfbTGGo7vDXrgvHvKn4qHwquB38gfnyMwuEzWN
hzrDQtUmttcut+uMEzNsOZBzBOZ0Q2Ed/aEtEEq53IE8+DSThZOG4UEw53pJqkLKZUAoVWu3EN6R
eMeZbsO1D8Qc5zjWS7hwioAi1eJBMGiv3tGWamgtcF6RW+frfL+Yk9yOQ9pkFmwhXtpQn6HljoYT
ohr/75KoRznzGEXUjflMl9RhokDFmM2fdP2mn9xzo/6th/H5mpigpUK9sZlbPIxpmmwRQymym8Ep
/Mg10MeTfVvcLNT7YLgZTrzBNp5tMJdxYbS9ldBp36TXHaV/lkj9Gw7xfHGMr2jTtKn0EggYpoc+
tOLUWBCPs3LLKtAMgHkWSgfyqVyPV1q1JD38u94rdiXIjpqKTpTzCG82YcDUoCCsAActW8QytRwa
XTqeS/PUnqqsDRShfa1j2eM4vK3rirICgbMcU/OfOH3rPJ371ULZUQ26neVrh7G1TbdBMaZCY/0c
LAcQA/BrMpvLO4NljEGfk9JCvRXHWGl3lWq4ukC8OOc14m6mLc6Xx5hEVzZqLgq/llfeQIs1L+0S
jNQkNDxacBKP1U2MpPAU5u54px/442VbVo9WASjXgzYGtzTdiLPDnWAsaoUYHEJD1fyiK82jrDWc
C3p7Ly3FVCiZzqfJ86FEcywp4acErfA1LbshA9nFg8RrFqfOm3W9oH3/G4dxvRWBip5M95I2M01f
B+jJI6E/urJvHjoku7ijebyFMXsnRmhYnWcsTFNisMggvtAlFzMZHLexmX45XxjjgJeuG5RUphsY
RvfJW4MhtQT6TNMbEqLO2qN9uXy5fux+8Q5c20vGD6tS2RB1AiTxi6f0MXIaFwHOHqLqR5r8aTwD
GvA7cD++9+4MTjrDqWGqGNuDLg2+QIYCovpw/TdtRsrn28CcSTKWDVS+8ZuQocm/IVj29V26S8AV
g1SJepjCvxTb/ifdPxeROZ35OOQt8mJwcq/ynhaCu8MagHETE8+Zh/RFwFkhjXCu7DpbPhBSYxXV
FniUwJz2QGuDTSnrRR8kkRVXHYRnWGzkLOug2JLoydRuUSh5GB+QgIJhDV4Z2YpHFbh4FzznyPwS
6DpzN5VW5YpIFeSH+PsqI4gsTczUcQuyvI1k4rzWLNEdRWGgiOpFe+2Q+KgogtxgeOC3rtOzcO2r
MX5nlK2oEGi3jjW0eaCVVWandQFWSAjLlr8eWfIPjqFse+2/XR2bO1yiqp8qaphyEJ2iYNiND30Q
472z7odvZWPn/OmUrfT22eljc1iGaQ1TSQAp7ntoKIHY4FjvyL3AHWzb7PM6R2J8D5nhyMcGSEJI
i4j5gVR2OTvZbUU9egqKdO0ZbxCMA+PeP5k9x91u7q0BtmgUMEBFxDYqmBBGEbIETiyOLTvOoKDE
59LdvKrOMKj9nh2DVRVV2aqBQe2zuUNI7ZUnFCh30079XgW/0/wq/1rLX2tizoNUlJAopnjSrfLe
7cYg8SMf5CqgG/D4SdjNQ362OuZAkFKcO3ECmoqRnnm6Qy+1u6q8CHTrKXy+Jvb21c281RZUmZRU
DJbyrpMGuzZ3JIvtquptvbT+T8NgruGmysaxghSkXXSNDY1RW1XC6+d6M9g92zjG8ts4lrUhBsIs
YyZErmwU6lzIb4cxNJ3/PyjmMlV7JFtLGvet08sIglHJetGEQJVb5zrOZiEAynkgyQXpEEQBmTtU
FiGaKUI6F6Y+HAeoDqLtSApn0L6Yt9Yf5Ka9hdAi5yLdNsC/Mdk2X0tTh6xT8Qaq2lK11XrunprU
MO3KVHjllM0E0Nn62LbeqsmEeVSwvs6f0Uyfe5gw7Q4jHfT0p++/MeiJDlQDhCHomMeLiMnCRFk1
ogmzARp6bPWxsevfKvajUoEWEXBrQXmQ+WBrXpp5rXU4vSguSm5xKwq2FNvlKxKERtD6U2hOvNB9
I2sC+RgRb8k/pU6ZszxOQrmaKmphObiBoIFt919oaz6kCL7wCuAbHwzbp0EfxkQMIOMfl75XSHK5
rzswUmGO9d7w1wMk0Y4TmsPoqAWvdPr5MgEYZL5QtEDLosXOkhhmN0GmHGCDkJ1iAVGWwdO9+mzs
FALXFfoJZDzjmPXo8pqpFkG3IghXouZr1RwKteV4i00MsGSCidrSaUH2cs/qudHGrqffZzBuoq71
wKmbgJ+AJwz52adjLWc4zM0xW1OTqStwqlVy1Sn1wAvrmytoAG9z6Qhdb45zovfsZeh2icfsXTrN
4zLTdUEiat/40S7GcDHtYMc7xuUxBdCDcw2MuT/afmrjqANYhmkXJaTMSWBi5zInbZocJXIWYQzS
p8wMGTMhhzwa8uBx+kwk8YcQSV+u79s2hKlR4SfooLHcA8qE17u+oBwX9T8Ss3Hq/PX/AmBLB2Dj
T/TVAEAla66AKKKp3q8jbFq0CU5WCLmBkFplPoaQyo3YR0BQh9RZI7/roECZNe51lM8vLLSxg5gX
HE9/5uOYG32OBKtWzdT61ettaF7vZG7zQjq7egYNxn6s7OzEI3dDPe/TB7qEZS9AYyVzGTUVYMfa
UF/1aRYrE4pyzWB8r3JtkA5CBPrbcJllffg2JUbfnda1ksdvYi7O8XdJmyF8Yy/mIKx3Q0MqFDTi
oYrcZIb6FCg8jDyMlhbCBfLaarYqpwIJwayt6XZHoPcYjNZIvnW9uEguIWb1Vk3TcBTnob3rUCQ8
oUtx/tGnYP2zh0boRwfzqYqbyTnUDyFVLxu2ABKF7tSNvRl9ja1McpWhUx+auoRhy9M0JiEIV8Wd
PszyfGiivG9OploWuaeJYry+iZA5vNPjOirfmmJSk2CJs0ncoUCPTo5eHcLFSvN7XaIW0GnKSIJ8
TWZkEo2yG1I7jdU0cywjxQDeLGm1G0XWuo8E6KXO8dri6i2zsX2coVDlzUrf2FCSgJK0JY/3JZlG
QFhCmCuKcFB7kryVtZGD7KfRT4Y21jeCuiJGBQe4u5Bx+EL6CfNGQ6OldocBjDe0oZTHFYTiQdwP
5K2v5+LBEnTFn9GfcqcmBmTVZi0P1XjZd1Z0l8fy4EhLhTF6gUieNgmWo2nl3Vo1mjNV8U4ohfdy
LMO4jqW9tCqKE7dl5rVR8SR12V2bNG/msFj2KsTdTVSUN7Oo3RR9d5BKlThpscQ2aBrvc1wtaoTZ
Aa2NdzNJjqKeP7Qi6Q+d0qRe04AV3xLX1OvkXjqMRLccRITSQY8M8QgqR93XSkUONWvIQReu1T5p
ZMjtKcX3iJDGnfNGdogZIyGA6vJJj8z4KWkNVKvFebdoCUaItfjbmlYPJomJK04iwoOx6h21WjNn
zJfULvrCJ/Gqu6VojP6aiCXyt3ggFqrUOSpJ0iPYZS0nxt+rZX5VO7Px87oJIHuMnPIKgbpkbqCM
sUj5HZjPvbTKjVvwqX9L4wx3XlNE9jpPt/KwvKtSYj3lZJxPlkHSu1pVwSlSpT8lcWocQyFvciE/
VOZyrFe9dlpiOcWMshwZ0I4+4MM32qEt8tLTUDh1DLX7iYK67A5W4adrthsX+SGuzbexApNMqyga
CHBl69THauYWUqPb8Qy5XmGUj9o0ecOKr7Soj7Ek2wbkEvrhpo/9ZE1eoFiJ6TYyhaQSnEU5Jkv7
oEyiL7RKmEBvNpsafx7qQCToQo5wGM01bMAHip6YW7Nf3HF5LEQ0fVnNTaOkbmOlrqwgSdS+g4/T
i4rWaw0/h2R0ooA7QivfrWR+zav0GBPlh1AWvtHHhzab7ox+Fh08C8MKG9WIGig8OoJlEDTIFm1u
D1Na2+Dhem1b6yjP0XNd5TerUoS1nBy0WL+zRvWpj9L9tK63+lr8yOTFF+bmaUyjm1g3HkfQRScm
irxt7sy64E2xcStGuisVvTu0y7Et+kNByp9ijlC2vckHP22cefk5Ws+kkGxZtZF9Xy27/J6b92vl
QCG5K3xzsUs8zpXXuPWz9M0swSAzOutdY97J36W7GeqNEbQLfOVdSr5oibtaX7vv0goH6ZY6RA4r
yNe9Jk/qA4gf8USovvXxsyqtuHAeFCjMiYk7LXex7Fqlayl+DPMqbfQGScYp/xLdtirV93vBJZEi
2jLNUMj3S+wSUGmhGPAoPcMf2aQooDnwrCS7enga0aqqCIWn6HjZl6stpGhfEAR7WvCNrCL7gj7e
UyVU36Aq4sJzY6B5eJDn5gUUWo5AHvshgwiEN4vRfQ3CdWOp7Kk37gWS2klLbiswWkJLyYsTyRFV
cFk2rvBNqdAlp4KYOSjQrvCiIKPXW17a+NNrRR6k+oACUZI58QFtVoWwl7r7Ir5ZEnQrIzdwWi2n
TkvbMr2xdwoBDEAQNHoGPxrRnD6DKo5kuAog9fZECtAkRJM/WuRR6l6TCHXoJDmBYsOtsm+V0QdC
8qrKGAbUXgQjt+EE8IDuvxfGSV6fEq11RPFWTrtAAAl/ZrelF6VhRUIU5JZ6pxhenzkqmKjgh2ul
9cx0RlHEmWrZ6ZTINowaOocBib7o7TssXBx/5PFbbQk2LsC0SaFq9pKslrtEj6OGni5pdeMV01Z+
MsEToeNefFDa/arv8EGlgzo4VuH2Y2BoflW+rBiv1cdg0PxBrjEP8LMkYaIFDdxHHijD44QBaaSB
xad23bXNTYLE++wmWlhZTxKBf8tP6RRqL0nla0Xhdn26k3K4RG+oKihauzkCd/Nnl57EPoxHB61u
GOZHy3gggW62eR1zt116Z8aTUjY8af5uJY5VvtSovVo3LQlWdCJGNzDD4qeWHyfNLhsPm58OzpDd
YaRGTzFUcCimY6XvI0Q0DyJ6bFNbKwPLcPFqbKrdlHsd3v4Lpt2UwbY6Z7TsJfqaiG4SHcD0IQxh
qexrw526BzlxmsfJ8IYusMhsRzf9FMTjY4FMWe0v3xPB66y7KHZbTIknQWTY0rRfc7s6dRk0P0Wn
bNz8LZH22UMDghvcPydTCrLCp02Bsh8fEhRpoAU6nAiuPCNEujYTnIT4Yx60KDsnjpkfdRA6xM7w
JA5HLfctPOatmyq+aUVPqW0YL5FvItGTIAs9uup/OLqu5VhxKPhFVJERr2QmJ8cXyva1RZQIAiS+
fnv2aXer1vYMEtI53X26ZxEWeKlNLSTzXb1h6C/ouljyYwcHbHrq6qNd5tqIcyiqCi+c7GzWImc9
y6mJpmUnKIoDN6boPjsok4GG983r4GQKT74/DWI3thCH46gQ4STu0IeJ9bp6D2XmtUiRzjZgKI3k
nMPvokyHvgw2/6yhItD3vD3SLtXIufBPlXzxx2NnpaOTO9gWZfte0JfZSOoSx3BkIvZcz/16jgDW
IY2tds2UGQFbTgTpHhTH47F23xcnwcMpvH9TGTMHbvaRCcRbXizstjLb2vdq0sNZ+1ehPKv/SWA8
Wgx5TGi0n2aTV3/0bso/3wroFiKplLSv87BHeqlyQ7NOxZwgfat/lGW8TAo75A2mcJoT4nXe7s/H
TvZTlXHI4n3sL5q55aX5nXiswc+rv7MqWep0fHHxX2gcsT/ram/VcUUgBT0U7ufWpEa1M+mpeSDC
YIKXBM3I8tbPwBvWyPstxZmR2LCDTruO45eqYq8M8X+yPnKWE1AdgcvnDXMzGjwvCpIbbtCoEpK6
TC4PRa1oYnnp3L3h1m4pcpMQCNtUocE+mdrX1mF0fvDFxZoTANesjXxaZMt8U24X2U5s4tCcwnmp
IW3LrSWDOiDwVDpgzHnYm4gQNOdU4ycTbzLyyC0fG3TC2PpZln8S1TYCe+TbvNrJsmUeZm8QY2q7
ZlBYZegUeARpUZ5Ug3hCuFjZNBJuwMQrFLJB353WaQgt7414t57ghDsi/QxlmcdiilvJwk2mkfta
HUiRQ5wTVF5Ws8g0ZKzGtIOI1mlZhgI08uifrO6tdh/1KrYGPBeUs/1Rb3IEC5Gvzf8rmynyfBa7
I7DNNsSxSem16SwkPN1wqBQw3ikrjAcexjotYe3hndgS4l86viNsX80JFT+t+BmqdKnzetw7Wqyv
J8tIsZC6hY7mw52PK/xXwPwSPXL6S+d/WSTi8lx3qJukDIg8K4+gPEzb2Y9bwsKq7i6+NUUV5rCq
6c7IEBHVZlP9qOc2Je3vav1Dvg3cqVqaMO170B81fzXW762vsnJTOGKxGL520g3nIlaEnC/1DQKm
0GGDG0gLHJfVz8dCp/GgG/t+6zK7MAJL/lk1rr3NieDfFw+G8SksmVTKipcBF2HbB6zF6LOBLmRV
d8d6TGpnUD0Z+DfDreDeVpzg4xb12tmUJ8dJmvlOYeBlorJqd/UYl9V52WK/uWBzmHPsq1PJsYIn
BdcfKXbMz0QXj27u6vnqd4kSH80W61CiY91Y7aOIzAuZ9GPMnTqyvRLRllZgNy8+RlamedfhbbLf
7VrLSjNWS4MyLmksMyaaG1d+0nVnZ0gRF1zjVXfMt9o6lzgHdDpHQGaxvDsNrI7VIwEBInvaFSGa
Ea2I5/VK0LLRL9v+NIpHVTjYiUawjPdn+QENuUIkjA5JUNcYYce1YIQ57JMPnn49fUCqNOoKKxnn
hIuD1CM5QoaFRrTc8KgxsYBrlm0H5u2bJe63sz/c23qE+jYbddicyE/DDsXGw7pBix77JrR8Im+s
sGZXUT1GGcNxwEU3YIdE/uMy5XY483htXnWxpLpxGPAR2o1GvD/79X7ASSn2AimQ5XjUwMwZr0yG
LR8jjkc5Y/qMeRA6mc9DlBwkqbCH6mQketIIksFtAO/ugPmcgy8S1UMYonZy+6jsky51jHyGlha1
tAWFmuFbok6O9Cak28FsHpuRWHrS4jZEbVhFz45ParnBj9Td+UPUG/Wx5jRsn8Xofilui/jU8Ue0
es787WvCLdL9yCV3NxkW2xgNPZ4lDwjaH4Ygk54Xj1JTQeOukTYsJ+nxne8Oocnxu2igwZFB4uRe
iI7W7w4/imB0++sGt4hggxIk8vWzZvghUd7dFDzgFGcBibvqd9pSBCWh0I4rkDgzHM2+qPcm6WGZ
L576Waa760RD9d64TrzoJ8733rTz/fPKLm3/WQ0yKvzQ1Q4zCRnJiNYH2pLi6sXrzdzfbkPs7AYz
4ybu+sNQ0uAZmfM3+Y+x+pX8psTeMt+19WizY+McBlRv9reLP5ZXLBCvpRtRFq6IaCB3oB9GfecT
AsyiGQaw3qDtqJrSuequ/qSlJsz7LQ4a9mLNXwJorCiqAG1+vJQ/a4uMqXjo3v0i09Ame1eChr5w
GXaJgxrivXbCAde1H+o3o3itZaxfdLrzedy/zmXgsMPsY6jSQckR4odRWLTJJhMaOlvezIGGxISr
ubyOy96bn1LY/qMr4Wz8dMW4d26+faB6EWVmn7pTgwq0QY2b4+afOricteivoLDjMLY+rOZuNSPp
JJ6z99sUe55aL/gArYpQVpXuBTXU4Ow6QDiT/jAb2MA3uJLGd2NFoxXYiBX4bZvQk98ecgV4MMzP
CuPm3lxgECLzjYj+6fDChMVDd5i+HTcc9sLCZa+Fo8R+JUhqbUL9F1d8m9gfT/cnd79gJn89b3Ui
nwyLuYMvo+PERRPp5s4dLv4brkMdzd1r+QMRn8AB24cArT7466qnBPyFAyNp2J85rz5eoQKnCcK9
g8aJrbcZF5UMofpvc69I/J+tilZcCWvek0TPq48t9YvAt3PNzDw9GMkcjEi/ggM3epmgVA8msz57
OvChS08ZduC+5NkoU02k/cPs4IKOOtML8H1LNBX39XvFOBNsZoqbOd5ddbPe6xki4ql5r2GTXIat
HY5V5Oy7GYPReFDiV3WJvZ6GKtFvlRdhkyt0KHMXez/tP7DliL08Q2xNi9OGghxVnJdBpOPQFD2g
GxOU7MVB7TlmXYy9ZQSVuau1pOORVr3W5n7paeRVoXchL9VZnwO/y4UeSisb6oBekLtG5rCbMz0v
xNn7rtJaRh5ehfehCsxDz8O1TnAEv+gyHN+0Kuv4mX84TrD+awSsrvHjZoSzAfEd7RDIX+PaXXqk
1s/B1OQjgBt+sI/ou+zUgdwt2ZZXj+97Etp0xyLeBuN5I4n72Lqom67NTwcxBzADM9Xk8w9vAmn0
GJ/eYIF2BJzrNVHvXbjYN/7D099LWPAWwNeSrf7lWli7IRA6h6OneOvldcjnH3Hq/Ou8hOtboaMv
javGji0U7yD/y+NihdpBSMwOWmPY48b9Uk1Y8pBhtg+ebm897rQF09zW3wSuYvxtjvyw0P814E8Z
v4NDmUSGGxt7cnB287/qWALn2vatEWtG6tmZnELdOo/v2J/LLzfCdYV7m74rmrzw63AtTmWZ1tup
d2/VdraGhyKR79zMog6HnYceuItxQxKZTjKDf4lhJFX1MfoIu3isoO7s+YYmRhSIC90Qch9TCz+E
W3VO2xaDLWznibvu3r1aJnyCbTF7V5D6Eu3WG6HdByCDsGo/I4exfiFiWl0K+6f0Hk0ViK9Z5Jae
bwql+4tDjxKO2Mal3GLTx8kbDdCf9pi+omFBe0x87RXNgcqRUHofYoSPHELL0CCgRz6MOCJU2KJ1
imyU9sGMo/qi/9nQnbGQQOR1IUNgTOHyvhwA1Zh/C07Cm5rD9VKt11mGAA+ETBHRue589NEJulIM
HRRlhNUmBvKes7ZCb5it0FVhC9RDVN4tfACV6K+0Bz53lntYE8Lg6oBPhLrdnBE3k3B0XWA/9+zB
zoWWc5w/Njtsu3LfN/H6VGQtbTh9yyOSYAUWGuHtY0iWvHsHpmG8FY/ODBDy2Oeal46PTuF+C7z9
oP2Vr6OLaL7UxR2tTvYFlqh91piRZlzRIE7JZr7q3R6dcHtZYYv2grdri/tzha1TGPvxwKz79q6O
pPnx6GHlMV8OAJsQ/mcic6S6OSrsqhOcrYYaizCkHH59Eod5PLBUGTvLPRTH8h1rPRoBWvpnUQVT
AGnnPbpCHzUFrGlwlPlx1yAbKJ/q1EF4ycX9rEmMup2hlV9jVMyFm5X3coWte+Wm8hPYxdaH4wnB
XarPILEH+uiIdOyv6/xXOhG7FmbQErjpmRFe9MJ/2AUqOKAHKf/ZyrDAjYruHgF2P7L4B1ymnT4x
kqcQNYizGM/pg2YIj2+1dH0TWOv1JBzEJWUN7oFV2y+ouXDpjc3e1X8Q7LdxlMtR42zB+AD9MVin
BSDBctlgcbfFsopKLVKAJ+A7bcTTP4mDoc/RLBo1Cj1g7P88E7Cdu9N3aGPZz/o94UZl6XJlEpyX
lY2haAPxuyIcvQ/m8blrt3M3X8Cdk6vEt3SB0bhInnFCOLsALpwjr3vtzto/hmf/0ZQoRti+94+6
+/BaoA39eV3yIWVjbHxbJ4GYbVyOyMkxjQRcnqD7/uwefBQu6PhvWG8Xio0h3yKLpAwt6NmPmikF
OzEZKJR3Im/7qHhtNVhhMSMrSIIPZteZZsfogVyCdzR2vHj5eJaE/ot1wO3WfW3gDPSg2CJHAqwN
1E0v4k671NoROABKOGtKDLb32KXqwnZXHq3h3SNf+pjYHMtEsf0mwGFhU2NM+G0Gvj/l7pndizYz
X1onpfDcbe4Fkn2/4UMKDM7sIheXMe2yCVVCr+FQUzUebIi6ygd27+OaoZUR8uKEg69fgcAFQvci
ZX0oa9c5Hzo6SlD326ul2l1XDpnaPnWFiCsslq5FcNdKnA3NOBtiuK4BzwTKV9209hcmNMGs83Sj
AIbsKizcEaZFSJycZqCxsbuhb61kopQZF76HBc7saseWL02SM3HrfIUIreX1hWhqZyktsjSEJRtO
wD3zQIb3anuVgHMLYDrC2F7m7tuzAZ/bsCSlN7cqAx+3PIYdgkLxdCHL1ezfRW2GyjcfoC6A2LW3
jXwrpCz/n46FeUcI0ENrG0OpfxpLjq6uw2Sa9VpYFy7fWLUrh3tTpa3/mDn+QT+0/qJvu8Y7oPeK
jAXGbPWV0oRqKmQr7puDxjgCtuxgRI2AgZtuvNT90XA1YIF3v/hw6quaMjKdzfa00ptSsT+fCIKU
phY2nAM9TloX29BW9+zDYvdZ/2YYu7cQ/FDsiP5WoLAdh4sz2YHozJCvn30xHKV4k6hg14ZFusZC
Ay/O0qyxpX164izaXHqZScjbotfJgI1uDH7QGEDmbgYmF81176s35juZN9+Fj06njHonr21s178G
a2KcW/bC4FNs5XRZdhxnvujayCtQmOA2tSUEhTpudjzY6kN6P0NP3whOmsL68Fv0fDrLkAUUtiP8
aTuZUdwG1EaeU8fiHj3P5pHc9kVWNiQoUCsLPN8JRp2shIbAfFDfe7QotQarSOz2pI3n2d7L8X2u
HquSMdNPReHAT/+dw9CCT+LFU3UswQnVDZqjrg71+Vj7kMWiw1GY36jUS8shz5W3kSWrayZsbnN7
Qb75AmgEfnB9t5xrXC7I+00ojuzKVklVfPhOu3MMtCsTbNrRC8HkGC8uAIOlxoFPxccIcRnilXb+
ygDToNlorW7XAw4WMK23cT3qmh3Cmy5gFZw/K35qmhdl/HNUd0PCSNQM+44ftvaPlAovVhP06GRd
R8sdTUuMtk9Hah/NfsJGwZcZX836OOOUaQsjmTyetJYX2C3fbcZ6IO61dPHLMbsk6u5JqCSuWkNr
zsy1jzCnGzkuMoDVl23hNQXrpQA2+g2c0oCdNPq+nNEvddp90v6AjjbPcpmqxNb/rG4KeNMlVtFk
yqj2bq1yNuPQV0CcgGtMNT4MrzKjnEMDbK9qvru2DVvPCwXMNxYMD0rz0M6iDq32DGSHoqGshuVT
FBP4UJlv9a7qkcQOLKualyp2fJogGzcuvTmUG7ByF2vBNXSCBWZhManX9zknmOsf9BE3W3dgT7CW
g/rQyhJb+AE2OFuh/FspJGSmn0o0fWaBqE1oDXs/6RdcfeyzqvaqQaajSwN7RWrecDPJKxtA/IpX
p+zSuXczbwWlZb2v7nRaGyjH/ecMuMZj0FiKX635YDhZV904eh2s/2DvfXqsVKbRc+2P0dROB4bW
0ZhEjMUrLCdsAUMuXZnpzauorKzz+BefjJ2LhkPW2LpD86Or6jBKEZte/aHPczxNxqWdretqTidX
6PfZ92LfO1a1GVW1BVktopbtBjCEuaHi64z2ICt3t9Q8coSYMzGLH1FOfWjw9g+rcHMERz+m26+6
seZmB0rKoUiX1GgyCQ1gME6mSb+ZnX6bfHm0ekSM8Bp0B2YW1BrN3p/w+sfSlCGmNE5C4AiqexJ0
3qEvt51eYaZ8ttZwVk7kgHhAacoRlFhzM6W0RskBrosZ/3pmJu1QhxrAlQX6BwnSr3TgZ985ewd3
gDLel2k6De4EVKmNeyYii4IhQbI0UTJoFvRUFfiqAQzOhmt2buNmxWlcjBmh7d7Hq0T6KRw9GpcM
XmxWOsjHirLfAze42Wdjgb8PStle4Qedk8EO3OyRyrHGNZLpFzaEjrYFCM4OuvVDTFeghtJuwgLA
KogEkLWDmWzNm06vZRF1XbQg0qPKwN2Vat/6n8MGYC00AEKCoFraF9NKfBbNY+hBkod0VBm3ACS7
0HLSqj6aWu4NeTk9GMVDTASujimv9Wg1ciqPGyx7KNoNNBnkbbKuWndlfAqb9Yx6iMCcxQG5qGe9
WQfN9okJXriufvnuT0le7WfPbV/p+LXKdEDdP9UOLnL08rBSsk7euBusD9eVYQWMt/8zJxGZ9EpU
6rIXH0X8NrQYNo6Allno9NhjBVJcmrjYe6DyEaE7V/tcyDcAQiYP5nZegWKqN43lBMxiDbXRLANn
3Av4d4t9ibXk6FG19ty4nz4q9/bT8Y+rmTpzbPtT6MKwS/9XqIPh/02gamyojxvjc/POJXuXgOIs
9Cavm/HPHH7AB4pexISEZkPjAv47lIGwRKdfOnuu403iX9Z4BgXqVZ+zOEzWvmAJ2pS+/teDJ/OK
V9dvMwNQUQ80frPROwPpa3G8HksrE8Y3R2Uhp3tTh8RGszFGHiJp0B6b5FqDCxm9V4rKqNKPAuL6
IbGtD42AygPWbGmxNMz9WKGYha92iZza64h2HY7CFnldsMt5A9BQPmwCysT3oZmKMUAeK37DDiHg
9RyG7IhxBj+ICpsAufOSGnIhOpZoGapQgKsr1RKD63+d7S6aPED+sgmoh6FOFOWdbkUaVlkKECV4
6gqPhQztsTPciKF2Fa6T9zCFGir9Ui7/FlxbDqLBNdDwZd/HRsGDrp4CWFBYy0Ute8g7Aq/9m837
Rq7Vlg7DHmYlMfEO1MuJf+nIdVQXF5KgrT40GhhGoGj+s4h78eddh+O28PqMMy8sXfskJ3o21pmG
y0oOdQvlvrZ8LsaQ0F57eAO869AqVs346ergM4F32OQ6cTj52yqFKciB6XbaAy5WzNh5BgGNzWMC
dHcoEa0GRS/p1E9bltHo4j5RXV44/js0aulYNUW0lRc4m0RMowFZZpARU+4tqJUtO7KwuM+P4UO1
4DM9FGCVdenFlsNRDsygyr/XcYrqZwc0YZ00MxndXxugTmXCp6H6XU3rJhn2TzED0H92/TSjxvwy
APqZNStnRntqpXP0SyuVG+D9YT2t3ckZtKTUqt2iAawdqYUIJzNkDKOSvcx1cEuTY4SjWwHiw6vS
SR44oEUQMZ2rARFyVX/QxcfzQ5YLKKr5x/Y/+MKPZgH8WKGid5hKZ1WfS+xxqcNzFnzPMuO8cvtM
EpbMEFhQA1dCQyIy4ywFGjaAVIBGP9PBLC31mCy6G+hL+zsWU2pwuK2Q6k1b21B2LojpMm3dGZIm
qJN8L/X5eJm0b77+6hOkDSVYMa08em0Zdos4GRVokfWt5G1GRwpLO/4pturtud/6rhojY+XpCIWD
CUFDi+DWGny82wcUebbKPyqoGBajyycNESTzvGttfvRQfywQW9irtSsWWBezOSokedmm6iFqtqvA
C9VNGQtjiRuuPXuQByVvavpUigANnfQUJV7kqCZWm5bb9VQl5grodRtAqWgjNnJdLnt7QQnb2zzH
cP0OaR5v2vxhViBiRXd1q/rNBW5RzugIKnOFyMSG8xiwHTlCeNS4L/pmH5y6PHJlAW7EXt/IazXK
k2c81SGgN/UJh/KQFKPcLwZ5FlwfleVdoS48OKQHetinBh0jWzc/RV+96VDyTX4RtgoL6bBoWDrw
CgNQe57XFihLvokTMcdzaxZRMW8vjQZ5iViKXTsglA93QGRo+qPoRSR1ckAuyb4c2WUrm6Rk/KDw
XbsZzcpsAw8fcrJ+lhVgEAf9FG+rcAIebM3jj99VO4ljQwN51UqS++u/Vhty4aCpJr3727PJi6nO
IcsbKfgb9iGbJplWcOWj3r4qtBj4Egv+Yi+dlA996OACXNvu1kxbqGTuqDJatnu/nGz+1xdzUPpL
jBXhy2lcHhKuItCcctRemnVyAFoCfUF0+zS8GkjMs0hYyDo0QNDBVSzw+h5ihJ2Q94Y2MU6SrVpy
jvZoIT6mvClQrLRpgOvckSMQrkYGE+eQS9x8C+JgDRKW1nyaHAjUbHFohpvmf8zmmBVFyrvjMO4r
04b2R0Aqp0d9/TEAJC/WK3XvDIVs1X3bG9Qce04TG2wNurYFmklNwSYW8ssGl/FyXQC2a3yGVvJo
lu8+xR5we3Bk4aIl5vjD7Q/mZM2IM083Q+c5wT2+SOO0bHZcSMjIUBihAXVqLynFkvhj7mxRI3jo
8ynq+u8KIARD856C3hHAZCVyDFfsdrfPifllqlD48Qgc36r+0WLfzu8SM8aAGKZp31ER1oUb+MAL
5dEBxtHBYA/Wd/OM+4fcPB2ruqGveOAy3xa6t9eHSV30c4iAplaI0pjUl1GX0cB4qKMG8oESuK52
Mci1B/FooK0TTwlD46TLsiHaEcrEuLbglGhDaQjSVpgQGyRLNURCe1n5sa1wvg+pj5ZjWa8GZDUN
ICmvjTGUES0QCarppgoLCPeQbDoIdnWAdVSKty0wgD23Xd759a50oGqB3lI1aMYuhUQ8JrZKww6d
KGNNWVGxnjVsIr2qI18+5JyjDwqURIEHucnmNOd6rHLWwOi3bk+St/DKOgJu7wXs8pTYtbTJOYSk
2HKgKAGi8mtNKvQ1gE1mnLVHNMIQS8J7ok7RBMb6gGWw0sb6WnykTAJCRs7fACNjvWlCRvVwmSE3
YizqKyg2lz9nw7vVdhnE6UfTnq4muADLwDyLiwsaifFKKtQBUMP17Aqf+z2fps9tI7Hy/QBim0AA
hNecuK5/jCH3oDlD6kvYg0deLHGSAuGhcGxypi0ZfXj9N+a+5xZUsRjenRSIP5Hga+eDCVHgirgU
H07PE7RQPuLFNgiln7e30uGRCIl+rb05pYgguAj1Fg0ZHippwAQAwOwb+eogyLvEk1+qbAa9K6gF
cSsoQffL12UqWoDWUM/Mph2RpzpshsQJoItwoeMbgMxTcNteVEAr4CtQrLiSEbZ00OmYsvJbWuu+
WQEAFzosr/UmGyBALCC8G10rnDoHsVUwiBNLaK4eAFyAau21wHCatmzhs2mc1xJ9wVVuUI10UCWz
Q9G1oec1B2vyotqDoYD+TRxAIbHlR5uE8EegQp4QJ6UlPVUR1+zzpg3HmrhJLa3AxYN10NIvynwr
FxUS/GaQjxqrITv0Yg4sVhfvo9VG1gaTUBBqagO7fCqtLRwgf6KAhQ30RG1bZB53oMMrjXiWRiC4
s4eTKaSea6ag1IMtEoIN5d7BdWGBcBmBUzU8xv0JztsDr0Dwt6GeRRzh8zC1nN8RwWX0ivm8mxSQ
cQrvOEIc6JVDbGM5pkFkAFqlleAMGds+7D3zt2u7IaMtu/lboye+S1OjA86Mudov6ms3sS5fi41t
0SHcO+bwTTq1ncYybTNF7AL0mzqUY0vdo1oy88nAReWTJYH8vY0U2ujG0KBm9xTqe4SfB2WF22Ma
8U3mzvEjdzQ5hJ5zGzLIi4pRuxV8RhUwmP86oaMrnsc/e7a/1QyeQWnjJ9F7dHUbPZitget/dHWI
KyBC8+l2kaVxJl55arj+LkY/G6bpvtqAbBeAdbLl4BRB1js9ecrw/NQze0yrTeyfwQEKwb0AXXYx
mzFcs898WsyQYh3CpeI7WF+gS1tHLRAeVIHKrfawPDjUptw5gwc1PEI7QrU4R8yKPIVz6B5NKmiK
17OKhOEVoel0KvAk6HaXs/PQrWZAyXYStfsNekqh2TcPgwD3WQp2c9Z+jHQLf2QwIMnvtq/eN9/J
Vma8K4tg0vobW7oXIGUgcHs/IIxnrFi/db/48QYeM98E3Q1pkF9hAnRld8dlR3dYAYZW57WY7kMl
vga0oD113sfVPleLc2ITlIdG9ygc/hCls6vdwo4FROd1DdUX9GZHKgZoYJ939EhVWNo13idrTC0F
oAzzmrHhgFRu6/ZaLhBKDZUXUlZDKSK+7BIAmUGaVFP9fkXYKsTP0Fx7pv0YyPSUVnh+4Hjl1Z66
uJFuZo7TqdHsTHVtJlYN9+rKgU9pjgsiw3htSpp50vhdmknl3bx24Pvo00uxxD1aN3d37s6266EJ
LVCJD04D2J1WX0zrEQtl1y4ICJtBqNffYB/Ugn3eRih95KVfF2BmyPYsptM4oaYg43JWzK7Dumtf
5DxDtAoJMRnGH+K2JxvTGhhmunHGLpjFQN8PtRCDoaGxYrsPgxfZrv6yAoqKthFnXFtteNelcbab
Suyaui0SqWkDmpH10Asbv7jv04FtTRECpgPhNVXoJufp0I4G0N6u3ekOvc66f5lnnA7mMvzp3WxH
SPW04tF2f1bk10B9J+lrXQFxD4eNuDdGAegQu38ZJ0nvNRq9C9V15saCL1uqswINowJi+Wb7ngM8
YQA5YVq6OG6rW/Nc1hpaLU8ULBtgaRsXnfLijSP5gyqs4drrW6Q46mQ0T/BPcUAHdER96G5l5gbt
yGWufPOgrRZU2j5pykjzmP/aj/4o37wGdkPPFl3rBxAxtQ4RNk75WbmQQLt0RmYZGx0/Lssa+YxI
TgUfTUUiZpNBnErK9rsbSojEtv+oO7PluJEsTb9KWd4jG4BjNeuqi9iDi7iLkm5glERhdbgDDsAB
PNe8wbzYfMHM7qmsmbGZvpybtKQYQTIigOPn/NtJRPW9k6WEHFhLfW2aZj6TKpMeAk1FnDMwVCva
6M6m2QSPY4YvTp0Wx76oICy8pDg4DF07U1AQck/Kr0kUj3c2V/rMpbBuR99rrqZlCfe6mtNjQerP
KQn7FU/JUlBR1bKtuoRmCQHLcq37cNrp0ZCcFLNu/oS4rz6lQHR73TeERUcX0C2R7ilNu4STze+O
iwj0wV3d+ZFrAeQ/TqeTzlawrGou9qEokocJ8oB7CHQ7rZpg7y9Rhhx2+ByMDTDhUhY77CcMByw3
2OImOneRynZN9CPMi0MoGRKacDfPOf8eHkdImi0OmjehiHicNZMjwXHsJmZGss5jjTyPA37Xqsu4
ipa4EfZHngX3g1c9BNJ9SrKVUKqWbYuyrV2E7uOVQ9gEfXMdER0KMixHGuGha+kkgxCxJn9jF7Xf
Jy9/T/Poa2vmX16djtsqnAg0wrHibaJa8HtJI42rLzM+WShvY0P9wCKMvmW+Hgd5nrske3aivBiv
htWt34fEKiiHVa/5eV0LYXf10maEx+NHc2ENFYzjZC5d5+zWQ38Fnk2fO1oUYLNWYXwdlJ2jd3JK
9G1fy1Aeyqp0HO7NOHb3po3AW7ys0DHbIIaovsbztzx5+TDC7gdtTU/bimk9t7mu0fRHCr3oKrwI
0Y1yCkZH1c3IfrMog8WRbTqilQhSTqwkBPJMbO7IEZiq0OmxZoX2gpPQw+OQ+RrOPy0m1C9+rKL3
1dJgHxvTJdEp1OPluBt8x8DBtFODdEU1084uJWJuHg1vleVG0RYoOU9HWeQ2O9dFbbutclSUX/vr
KG/LKGmL2zRZVu9J5EHsY8bJ6LkUYYmQPWVQt2c3VJlFM6RRWJXetNp9OS1NdiP8YGKlxOSs9jGp
A5DEKuypsV0zCHUQptbB2fIiaPxEXoaPRTx4sDjV4i3Hcuxt/EsVHbhnhZ8Ll0Y7eONZCfJOt5VI
jU9fDlp7MLmO5M1SyZ508GoRzZ61Q1N6mEzr0WJHNtL7fAAtozN3RP+lDG3bX/sia3Dh1E5eZMjC
DZICCkozH1pXZN2WmNYR6gk0KjgZ0admHwRdHV+Jue3ltZIC/1rLUT3OrlHcm+lkb4IuovwYrkMP
fUsCmLhmJiBeSU6tRvhSIx9YQxlgZJTlku3yomAb+0ZkXhWedGT79Z67fS6ZHy95o3EXgdqvQkbe
PosF/oSlNiFzk3C85OjRkrnbXNXpzxE4HoixgN3aDBSy+VQDFvSouIs8hBcyab1bTDWbXVG3F8RP
e/ZzQle/yV3dB/u6H+33LA6079Lvm0Q9uTn2usexSt3hOTMklD94vQCjYqNU1/1MpmFmIuPM06fC
4FU6T3JEyVAvjEG7uNGt5KZX87ArbIEAfl4pruhC0hpUOfOWJTrbuB8sgs1CXyTJLQ5G8hAMsT2E
w7gP/tzOCNaVb3idvse4vMpubWCCAxUfBglsdt2HTaB3gT/x9vOnhfVL1yby2RhVtOd4XvzupEJd
mfMw6Sq5KVeHuhpBkbZP7eQ78E8yWIC+0sJ3TnkLyHZM2sBU+zpJFVS79YLxPlOJjq+VDoAs8lry
31n5JbsgaBz4/5gEm1spO1YfxwXk7r1lrl08hvu1Nlch6kdeV9sGAsHlvNfSr6pNOhcukjE1Wm/X
+0kXDruuJmIaIbNfdbdO2+NDdfBpPrfDYAMcEyEdQ5vX2XSshjzIqS3NGGCvGxPxQEvTFdfsSJrE
MfI1cuZyFdPCJVvJYotBPPd3bZ3Icu9FuiXVq3Pm60J3w7vjtfqrml33vSJUrTpUMu8eFRwRfjXt
QnVFQTiy6Jic/+Ux77UDDBe2KELS0BHrAT+mRitj+dHbph7wHXCKmmFTjy7qjnaOyq9e2yXuscYe
2G483HvN3m8z4+47W4kKjGlAudLSCL9lmVt/S9ICwaxTVtE1gTK9c8STFOt9tfBh3ySz6z3XzoWs
cXyGwm2lNMNpTxWYdpmrQWczEX8FK6xYczT2M+7LIIg2nVtN9XM3SEMVabQf9o9djKH3sKrM0zfa
tmie6ikAGxbGnz3GDBu8Rs5AUx/IDltjIhb6tCmkdtKqo9InRqJN2vuso4gdOxGJbhemkKz0r/gm
adZxgm7StPXql8D26IA6VWGgdKXqEY9wF9X7WU5ptufeTOfrAGgPJVXmuc3JaXTmQyqEMD7OkPl4
jDLMMZNp0h9Oszhw0as7RVuWSs3ixpmLqsOB2ydMP7XhPu6sqgG3o7iMkAP3TFo9vfK0k0OIMdX6
ExoUwg7DeMPxdtF/1XXZHGMxCAcqshEppSjBPFHjGgUvyRR5WllY5dVp9PoGE37Fp3WiwbvujGOP
umrtKUeePxzzujLOwQl6RZZ/5kU5OFYOHgxIZeryCrtcVZzCmU8NTUELOWfmwBi6LJq9Y+obdz5J
zzAxe60o+8eg5JdQPPoKpMqrbfFSTirE1eZNzlTv22zNiDKMBYjqaOjTr+Nixo2cxKvTnPq1RgVX
TNIZeV+X3rlqW5EnKCdkwHaKci7Ll6zqpdmFMDzgsXYqoHDaJYQ3LDz9bVGcireSe+enmUye7nGP
drfrUKgvpnARJFT5kDzPKsnj/VLx4WDMTHDtIvuwzKcVmX3yCtULckCXUOfyFsxZqmHrphc/ydAB
Ar+saQ1+7ZcyrGE1w77HNmKZdUkE5Fx3J42QJFp9gUbc6sV7GSeNH3sys5/s2kF72bkt+9DZsemu
9rpP3LaF7Dde7a32PJiuWI4oBOLhPCxECu+qcLYReFsyBVcp7ycMCxNucWU6XMiMNxmH5qZXbfcC
mplEN6FTJT4qbLnkxzqoM/0wJ/kU7rnA1ftQNJBQhVoVTr2uzljAxvRHB10MkPWwbscgN/KI3IdE
mT5NexQSs5i6BwBCuD1B+Fe3HZzarQ9RurolBP9UVQfiAfOfbrwE/nWSVy7D6UgoduO4hlU/cLjm
cfaFT3CeEmV8WGzIrw/X0RT3eg6gs/JAzE9wL2Jv5OpeE7nb7kTBWEo+NhRxN2jkWZGbe5+DuFsF
XpM0KXFXDMgQp8egapqLjCdD5BXgYxaPnFzF9KWxQ0rH0w2qRC1fRtHGdiZajnHXVF/arLEteQuF
F92wJjOvX+Ip9rBt1rX3Zpwlz46xjtBI8xEu85Ncgr7YSaFafBBlDSUWOFmr7kVTwm1wjbZwjKMs
imagO4/W/0sw7f+SlhTRy3qp8MgWchlq/yWUJDUJe+zTMd5UuJcd1K3K65GbwmN//khx+Le/BAGa
f/w7X/9QGlYxL4Z/+fIfd/q9fRr69/fh9k3/++Wp//nQf/z1S57550/evQ1vf/li3w7lsDyM7/3y
+G7GZvj4nfm7ujzy//Wbf3v/+CnPi37/+29vP2WJAdkMfflj+O3Pb51//v03EUcpaSf/9s+/4c9v
f3qTPPO2xG38t+N7/1aa/80T39/M8PffHJH+noSsr4/Zj+iRv3qJ+rDvH98Kvd9dEbE6MfF4hEh8
wlxa1Q8FT/OC332mR/bFuhElVAR8z6jx43u+/3vqEwruuix4jFgYFf72H3/k/R9xKX+897wtf379
t3aU96psB/P33/4ILP+nWJUgYs1MnKb8GSnZMWlyyZT5pyy1iem7B6nAtRYXY7WrFhDwQ+Pg83pI
nEBXKP5D2CotV3ThQ+kkwb6NE+eYGIcsg9Ikzv265hYVZcq9fuinaQxvLENXsqnGdnT2cCOafqht
oWuMJ1CzqZDCdTM4CSqQPlXdsCmdEpe9H49oRZY4g7bIA0lGcbE64+dKj6L4FVE/6odwdsZfQA0D
0h9DPzefbZOgey1Bx5Zrsu/wyXd66LpPRK/ksMUY4eu7rtf6btLt8qkZXGOfxEwVhExivDhCNeXE
SziLW6KGz60Q5yyaQzaxtg4TbCrrDHl+M40zcinBDVtlRjQPKkrMDIisw3TrdR4EmTO4aAmki1Bo
V+nKRe0mC+tiyGZQMe6pkVM+AKBzvKGlN95a7XqKNXC6k5Y44HWKETZ21iHf163Un5N5JuBALO2a
ncjLaNBtR7n9Km085VezcVEoZ47TOjs3cGLianyUMgcSEKTHtMtx9sLxEjAHVtma7q2WvQPFbCKE
5W7iYanIZki/XjfEPZSh97rOoqg3UZViA2C3m4l22UKLwEpYD2JpqfwYrnkaRaRvdVOm5j5wSR0B
Mci7bFN5No2OiT+i7asA0sLdQmMx7BLNsuIHrw2GEeFznVYHJ46LfF+FlrXOIU1btosIQEhvYqoc
duA1mZlZShNdRJFNgCh49n1ojmTCxtfEdoVFWKcawtC/xEK1srHie+WtSLfHPikeYtnocV+gzXtT
feM3x2YYyJGMqsCB2zHxoNFHm0lfO8Rku7dzAhKycR00b/esU5QztuDAx9fTwGoTywJnrvxwwmQR
9+QA1Fll02OUZRn8TBOuP/tRRj8Hjton/KJIzbrV7cM9h3hCuLKdO49Qy16EPxiT59c5cJa3iIMi
2i997yC/a1Y6kADwOuadzZ3guIZqEteNsyrcf8yo9VUpo7x9LpY1Azfz0hFxepFLDCmhMyF152oe
d/PHcSI0AXgbXRLbdSza1P0+NYrDp/o4iBrXMvRYt1/8iyak+gIwj0GWK48jTC82dbaultj613QZ
zXmmfYFndErZJ/vAz6WzZU3ao/04I4PM4bwso8H7XLoZpyj3casxHMt6H0wjnyjJ2teVXdojT1hf
STHp2M/aL6q4n9NpsIf2jzP74/yuQI/MI4mcQm1Dyn966EQ/DTfr5fwPxpVRJP5oC0Ias3zvjp5D
0oSdyf8OP9qIVgVIoaesN8igw9burTu5xzJV+DGLYpRH96MpGfyhtYe59mlW5KVvWT5aGK1IfgHT
aUFIRg7tdGcY69prudjlpNBrNKiR4qQVJ5H7o8dCCZXFR/vROpEEMUVHeNd03UWTH5Ij+tFq6ZFn
n4EhLz1Y9kdHVuHbJOzThmt2th9t2zhGI+bRj3Yu6irsf95Hmxd0hpYvTy/tn/PRCvqtoC3MiyRH
3uzQGL/Sgl2u21Q50IFxHzfzbb5cGsz6o9kcua4a2OMwE/c5ksCeQFw/aouD1+fds8xjzEPK6ZxP
qduv6z4sL2baInFkdRNcOl6JaMfHxoS+cOOGS9MiTBnUukv8No+f5h7y9Wi6FFPbGCehvC4/mutW
GEWjXSSdOok+RpowfTTjZZjTmKuPJn2K3XWt9sPcmmy/rqvvP3uFKlPkqMHgMOWErfPoM2OKTRHk
63yaP0YCcK1V3xU5yHqWoDeIFnIRnDopPkNj8emQEyDq8gSA1skrlA12/bkMOZE5lW7a8FB8jCPl
BV0/esJTD1Ek++k8MSN6x6WzJR6IgIgjpBK0RCn9dtWENw6LmdQVf1wwHYwIspSgJtzF14bMQqLG
s5n/mtpkVNcpmlF6uUMsu7u2qmZ1MO2aRodpQKG5Rwk5gbxNkyjuc90xR+E3rdz83CbJRHKB7Rpx
CNJukfvc9FF8uQkZtUQd8u8JECs0BtlFz+i6S6Jq+sXJdr70neoGWHOa90JIGWyrAYnGD8fv+O1y
9RwspWOQAVtrPZNdUQ3tKK408TjFlmIr2V9Lre8ABLt1wY+c2vWhnvQqrqpqYC1MNFIor8eqAZcH
8Q2qO4pd7zx4WYb3GwJWY+FFx4OLIsrfWyfryemp0Y1uUKp+rcblthmqWxtY1rX3ceGam3qZW747
MUIedJaGrxqYf7xPbRPhbltcP9sbMXorir/MQWji1PYZVeec742OgxclLzH8VaWdFq1a0y27JFLR
cGOTKmQ5HqGVIcTuQOng5SGqDytVTu9plpwI2utJnihN3bKEuHS4dXqvLV4nTzBWyAb/nkpqjok8
VPP3YE797OAOw8L0LomcA4oqF9SbPXjBxlUxDmRAxOpN6cQ+56NLMQyohmqXu4KP0O192DqG197u
E3flslESVHsXADEgwVbZkt8qMKXxGKz93F4Fnq1QXDOIPvcs/UL85uiS7Jy1Q8xIoihXXy0t14ON
whD4eilz8cvv0qw/qNCHFC/5CSQSkBHfThvB9nP3kAyWSmZFwbXg+zN8gAHCp1J3fkwuh5TheEy8
iq7Fbyu152SCTamUimIyOCRDOZvrC3sFhYkHsu/KGjaRvWCoEUTqkEQTjw4pzaKa8kelayqDX6kx
pjgPsBxLrI3eaS+q1XW3BLV3GEQCctnJpAQVF/Hw1s4cCVhDHIhrVBXaJ7QDKB+YO1va6caidiCH
w5DhdDKXd2a3ulBItzoucL9rOyJS0I1Wzd7piE3bNHHVRHsfjD59hJAOgwaF8VqLXcHOmxQjP1py
ZCuxxaHa2j6462nG0PRWIsvlbVzr2XsyVK9MUujw0TwHUlbpl4lAcazhxpqMqxwPw7a3XdXfd3D8
GXqOoB4PwjELxsTJDZt937vjyj0fdBKhU1sgkYAPCF5s77bEbuH8QIyRLGX/Aiod5lBEiwdhjoYc
k5sbzPnPoYuRNQJcpqjoOUAJOVp6tyNYMUv1cLbtqOf7zDSYJ1ulyJ3ljqzJWogJktvQ5ZNH4rk1
KIkbQorct22OSzdpIhgCz0Uqj5G0XDDjlMpVv3q3XuovstULS6AKtRsrr5vRDva6faMR77rjFIwh
gQtePX+3LESKAelE7t4JAQh/rGKnUk+xhVQODJvnwc4j5QApFosDSa+8snuVocAHGZVpVwCCTsN6
m+ULkipdQpGT8eQOZFwRQLaNOy+UO2slrZntCrD5tff43GMYRywimeA2ih0p0qtg5CVv11Ku5iBw
RRv4KFmWO6dqyovBUuDYL5Ko8M9p0BTnkXRB5IRNjB5q4SNQ2yasyfCYSCImkUKyWOkCps/1Mebq
/DRHTZPfzV5ftleum2ff5lKSq1b4RWX38xIu3X4ZykLcZflk3F2CT6arx+4HfMQybeZFVezr7RK2
qvexn3ytwSl8UDvHLQ+x7SirtiNeknCiYeg2vr9m5fU6ojP5IzjxvzRy35bYSo36Nfx1vv7rnP7/
3WCeCiJ1Y+Io/8+jObT5z//+39ry7Z/n8v983p+TeZj+HrPrNI4T/xItGV8yIP+czKPo98Rl85br
hpEX+oS2/s/JPP6dEFqf248w2khQBRno/2My98TvfO8yTIeE/5Ik6/1XJnPP+9ckd9boMeB7LLd0
08iPveBfNoAlw9S3q7gEXETptA0aBHWDtiv3kx7PlvLbE9VTLl/9EIlxXqeAx77Yy4uQNIJkfl0m
YW+npGyuQ1ENP7y6X57jPJr3vVYD9FnfoPhkRgFdJ10t9IdsawToZRHpaQsTPOVOcgj55japqohT
fDKPo4z7ABUf0ugtJX546KVyz4PjxG+xzQHbfMyGpSvDI/Xf27ZRy/LzsMnPmIOIYJxi4nNkH29L
9oje+KNCV5mF/nIbJPWA7CCE7JBsKruFFY63XjOFOJPyC0wwhichmuToSIQWW0yh7XNe2Pgt61pE
7H5uq2/J0LA8LK3Na64iRjStSUwmZSgJvuPRwiE9I3ig9ciISymGkUi/YtGI3j1vORUyKqFF8/z7
6rt6L+Yh+sGuITRHQ+gYpJRZ8yk2yfSpEuHyooVclm1HM0LEHLzFd1UZOULMtvGXKnMRkAy6756m
nCQDO8JDxmhABgIMuunKB34Ov9ch5sgdLz+5hcSi3rUqjLAnRkNVwzN3eJg80SGHyvv1M8qK7qET
F/037cbRZqPEjkcW0xqPikHD629NKdqzbuE2Ic2xSDGfJuVdXLbLbaHrcCMuPhCVl8gEA7pxUEhC
MvxAb1OaqyMvPkY4BCWfwrnelhB0WOJNfPSaND6Zrk23EiHbtl2G4TzXmDCzISZcLPXZzx3xCT3C
JtkvY+eynzwfg1MSRKS1VejhxLwwlkR6fBkMgZoqiIJj7zXFAZ9gs+W99vZuBN4dFwQszUVCKhp6
qW3u9vh0el04R9WYgj+nybH7y7U7NLHieIgzhtvIH7pf7YJ6EFNvwa4PBgckiSML0LxmuUG3E576
Cpn2IkV5rBef//ipfHBCzzkDBtf7RkzILQY7Ex/Quel4WwZVciv8SaFNI/TmFYYVqLcjySrrUXCa
Jp/vAjTsV/USBs+5BIJO2gmyvszsbZlNqBd00539PvhodlN1iMt1JQlrIBmICR6itEmKuwLGA713
1TVv6Omik8vU+2u1pnsVSZ3dlk5vGvjsDkbI8RmY2OaN7hlVL1qf1uwTmr1nus10D0IurmnLwqtx
9NKrbkjMSyxo5r15IsvBC+vr3guKsTv0c9WiKk2IL0NdCzbiJpzDdLTkDFlk4VhqqZfbOLtE9xlB
joJivqCVYGI3eVFdB4zQV6jZEo5ZFLYVfCShNwVzUX15nOqToykMPzKncSPKKKze3CyjGYZ+7p7c
frIE3s7FgyHP8yaZ0v6LGSseXtvL35GkY3pTaw+yNa+0+FonIPamAbFRaVS8EjpuD3ZImmOOQPLS
LvHAJPN4TsUDVdU3j9iHWAFZd82jtZhhPp4cLQgzdmMTobIpEEJej8PwY6ZVOyhECsfWTymjXQ9R
bQcH4U8uwvWmhHwm6UMHrFyKl3E+mWLQz9KK+WSVl7wqFBLPA0udXaCvyF6Ho2OxelXpdUEq/DYK
y5XCC7m37Sybkcn3hMAMnVlit5cFOQRtSZqEm4kndyFtrXOztNtIs7oviAHDc9lF/tVMEXj1GheJ
rpi7U+U40TdGl/BbUwY9rkaspjiTgnYnA+E0Oz7h+N4JVXi1mBYNd90QPR+r9CFJCNksi6UiCiHk
ffS96q2WMjkmWUNL+fGOqoHNhzLkHSX49zLl9LztXMbza59UwQOCAbATVyWqu6tTg37CJo2PLJT1
V59yPxiRasdLdpdF2j5EbVec69Xywz4+j6C3xasKinrcMkhhf8oa0hX5+IpX683ZnbXC/4p6qf8S
rM4K1McFVY8XEaNdgpe6S1f0MG1QXsdzELzEla+vmqYk806EsrsaVFE82gbFdrLq7gmpF21qXWCD
umBdxNbaKbtjZXPxGhiLNTjvuuLVTQnasUjgJOFnXNh5/cG1maW9ymvBq3FX7hHBZoyTW2VQ/fHI
APjx5xlaB72nJei/1Koczhg+8591xO9LFoZOZtxSoKQVvInGF4aCodzgJQGcPC6anmIjyzF5U0Dj
V6bwgheXcZ45s/bLdWul5Iys+wFDpDb03F1M1nAQXYZKl1Kd5/n8rADy9qpe+ceg16BzfTE/J83E
T/njPqr94nJXd3g1XM6NJ3cqsuiQhxVqBYXriVfLbUz/jTPSZATnoRdjwag0Ba/ZMwQ4t6hOJ4mH
QChLWEpbV0hMl8rZesJlT2IieYQl1I1kT1dAAiB8ocz1a2Z3PgnT6jCs8/wDgKKHAGS7LM4+FRzj
9pL2aRXHzexM4jXpxnEbFfRFl9qNea6fmRKge7NNOQk3xWnirLf8cesTuGCpqU4YMUA3LwFMH64t
IGOQjtr9tnb5eBW5q8akKC7AE4nWxK4iZ202XeHx8kK9hvnGc/APO20Xv4Susl8i1zqfy3xg89hl
nTFTkcXF0qxxfO6FU96N0I7RXndi+IqiC8xsykyIFmZhigBPbYlD4QB+LEvkJXvAwPEBksQ/dy6+
C3+25rHtUkneoUjf4abt95ZX8HMukPUIeCBCXBb3KZ+4KBs+jNdy7jHGr3N1soXvkk4TVdn3jLsr
3KQlAX14HOIXqm2udwsyC87dTPjnKcyrT7r2B+rJ4oUvFonzUxon1Y3MhvRTQGn9ZjuspvmQoBKe
cb0f5Tg2n02ECmmT1Q33bgEzKR0sMZLZH0Zej3iKEILaWyV0DKKVzy8eqoXvK+8ugTZuHN/47JzA
LVcTJwuT0hX+heg3V57t7d0yh+5ZZjwUWbT+PLkjp2nrE6KWzgieURDkhCBCbW5V2obPo0EnsAld
S0ODseFKrQEZMRNRGeSSBxAuNDFy7glhkXLgEhozbFoX4HHaVsZVV3lZup9H1SFF5KXZK7qN1d8h
xinRf/XZAyhyfIkzyPEjKwk2IwR5M83s/wqWtPsZBbO+jac6OcQjwq8tzqbsyxA5c0RnLMmaHEFZ
ubTRZ5ToFpv8R5o04ksEFWp2nLTxzyQyDJlm8EFvdO2q21RX0W0kdXbXIOK4p4uJH2RddVfW9Zan
MUnx/4yw+mdhC/3qV2t9E8YNWICfuCSL6CxKHKK1k/HrXCzNQKJgT9QNEp2OhB/6hWegmuSxqF0s
qAIn4e2YQBRsSs+Y79mMxnVpPDiFDs+6Mxr1/UKkfcWEaJMDwWyd+L50SX/lCyyguY5R0Bp8oWuF
aWXuHIoigtKbqa/r747rcBogSNqgvlSPmubop6h545HGq/ssDEKMd1P6KRNkSU1LTwpYR6VSWmFK
SFR8NEEvP/lagoRbG7v3XZSzsLtjXfJxGunjAoseOibvzo+IjZjXYFcmunqqWiR5esGc7ZdDehRw
eS4SU6IlO792aYyk3VUT4p6uBgHwEgIKwB56gmI8554kbUw8RRhikG/ItdJW3MmGc5nSWx7YeZSc
/dw0p3qN5R55G26fWXrXq9TuV24khF/KJa00L8jlGYh+SVTzncs9f9CDInWZleNnKzn+7Ly0jxP9
FJnDwphjEWTDY4W88QFF0/qZo6PbuwttoYp18WxYMI6eKO/v+xDdmxrs+phlUbX1S1I1EvQTRyyC
7k7JJXvIhoSoJr/B2w4UsYkrUX8SGje9vwbkuhNwso+ZzG65fnDMmCi2PwEB2xWpuEBLngFisNuW
mNwac3azAplONSHBTSaHT6Et5W6N2/Vn1/c+r85hva5dXslS9y9OROawfCJpwHjmF8vm1ncHDukM
7Bq/dnbt8aCac0Sd2HTBjCsumcwPLZb8LQlyzMZzFT+S8r6eQkCvhAIj+/OSOfONdoqOTMQE/cfI
ff0wrWmpj7kPt+tRAOqDSoP0W2PiRm7Zil3e167h4quWtO43g3GK76xhL2lCK5BaAkM4kYW2HO5O
CORTNs30vg5rcVcHa/U0LDJ6hK6rJWd5EMxXS+uI0zzPwWMKVvmNHBGiYwKSFU9ek6fPztTaH44a
OuaqWd3kbo6uKkP/e1/DghBT5F/CJjIxBM9VuTZ3LdSd2NfTDI4Kc7p3HfIIGzbjCFTWUzAf+sTz
UYMqyix0k0ZzXSPHTPZN2nkpOlKSRTmTBrMvZIMx3YN6osPoO/3sKTXfTl3oX5nK70ipoKn97gk0
qjvIJyYNsMPlrgp19sAAXN1y9sXqsVtmJz86ea5vFtuAc6pFPg1DWxD8JN3yyDHYvYxlGx8HouO/
JD6MIu67UnyCmGnjTZSmPql2GUrCMQJqnYtxOIxTMqabMnBAewHQ9EE6CAEtJvNTRTGB5SX7tTrk
bu2cLUIlmPkl+uXXCRkjQqTZVZyl/j3NkHsVhq05qaYLz5Iu4lvsq/wT3p+SoIqWSCQcTctmzlPC
dMQwBt9G4JWrXncgY+lapjcZDUG7lcZLdn3jAggAR+s7DF7zQ+XAZwO3rtmbnyhS32Bbfs4iDgkP
wgdK2VhSRi9POTCMlZONP2j3iGYZ05xc8txk8FGsy0i+WggLEriiuriFQPof5J1XktxItqa3MhtA
G4RDPU4AITJSSzL5AqMqaK2xm7FZyt3YfGCrSDBuYKr6bcbarNusWcUT7nBx/JxfKHDuch/qS6Wq
c/tH4cJVFLNz4trHgQDkdPOzMVrzmklGM60beUhuQA03j2lf8DQW6Ae81WYV3CIeF7qmGSrXGAHI
B8lOES5Mmyq98dUif1cHgZRj0lh3mdWqVwWEj4ey4cSlRAl3Ra2zxnJ1xVePZSFT4S+9LkDaj0r+
kzBzBJaUKn/PpKl+LZIpzTdDWOPYnvGW/GzKiYlGYhUqd2HU1txknVC8fZUHvPOyBj1LRaqlK8yy
/H3ZCgYf2sWLz4ULY2DU8jt0LDLAnnIJAEToSC1g+BPuRZvlnwCt+PuxDULYHTQnJOgPjqCkDN6N
rxrR37qN1Q50cRhJAWhsGhV2W9hf5MEI7nulxm+Ud/pLr+b6i83tIKnB4ySPOxvWyKukGQav5VxO
vvu1riLpHCQ/wj4DImBXUnsvGPQNwJrwvoF+vzc0UGZ6VYTIT4TGK+DJ6q4qs/YgBGi3Nk18SIlq
JPYjkE300pK8g2mQ2clNJItmi/WUhzioGB878tfbxgKQsMGbBMGaVKBwwpsO+bZqrG/CQPEPcqJG
d3qILFIJAX4fDy0ygmbZd9uolJCRpLZ0iy1OSJ83HN0xAkMetcLm+qpQK++hpWioaL1hDFTCKG9L
RDVj1XguIzn7SpKHoxY8sGsFsgEKuaq1i5HQctrU0q5TvSzvAeP1O1AZ6DFLQZi+al6X3Ahg6NvI
R4gtV+oJLYK+ufKlHIOJgAp+POXhVUfpDkSNUX8CTGIcilx4jzKtHJpZZUm9ZPxBxhRclXkdPWWT
ShsuiGp0Olr0MpTQ+iwVKLwN1VTc6p03PpToFF3R6pKvwG83r9yb/TZoi/KtKpoYvXjUIDZZ5aMs
T0Fu/AP3LRujA6MJb1J2yq5txuQm6xXrtu/z+kerZNPBM1TxXMGqOdBbxRYH00XhBFFOh1MGFDvy
fHwwagVh/xrfCUR0gOJHqrSfRkWGaJE32XMOOGeb06x4HCfLf6BE0eysMJMOpiK3SONaKGXnmRLt
M1rr6H/1wU9NH6AkD022C7XRehoFBQullJGdLegwgbce9S9VCQELQGx2pMyvHjyKSw+8XHIQPBSk
kKwxt3rLKSsrVXttjKNH9aKOv5OB2+CGLWiBsj2T8mkicWkZsnDbAPcK2ctRc0pGDw0X4r4VQRw+
aXplv4bhgIBSZ4u3VFUwY1BG1fgWZnx+q/DMOwWY5R7FuHiXKTDjSa+iLQ1+kgKj7a9H8FhXMH/Z
47KWu/IgmmtzGuVH3g7ozYp6HL5reVxdNVqdvOn0lg867aUt8KLos1QX2o+gDHlVh57ylGZ+Ne/J
6LGsVes2ErO6na2jJt5p2ie1sZsfuZ8qO0/xg1vBpezRO5SlJykDCrGxy9gmxwX7bMVygFxjG5ab
iPbYrQfU4rn11PDp/w+wIbX9/76j8T/Tr8V//a/TdsaMT+Rf+UczQwAztGQFMCftBw0w5wnMUPzN
Mtk3ppCBDAL/44/+ATMUfxMYl0POM3hUAAY1ADz+q5cBANFQaGUI3lH0OSzxp3oZH7GmtFFsoaE1
ZpHBKYpuywujODPQWeoaugEcopifiCjGLUItRwBHLccBbWhbaVFfD0T+2mthKFzQfum9n5VcZV5T
Z/dTWeASHgeJpOwFoK52D4NqQC1Al2iSnkzuGVCkYXw0VPz1e3/9YHouNJuYiI+gSNgNIDqA6AHW
l9InfFu6B7UTFjrdFEs3fg+vBYqoQm5nRLK8Tdo2vNFVM/0UUP45aFSlVSe1qUK4UZn74zaYsvLJ
7kJwxBCE4z+aIFKePUmYCqoWABWvQ62AMu3ZYyBuS959cCa8UMJUKjYm+4Y6I418X8k1NE0SDyVJ
mxIi8kQURnm3ySaYRlFFk7pTWiP/ZJpmNquuj/5z1anljxxoABxR1f4hoK+UvO9jBduEwmh4tVqR
BNuu6qmG0p4JEZEUdSK8HW4Fc9koHllum6rqFOXFrpVGfk99oOxoA0ihgLEtWWiPoJMa190j5TyY
ul2d7nQqDBiG+LMYCXJiuyxLBpP0TQVN5emytcsMYaI+IFAWA+Lgf4aYgJwivAte76Netw/hWOn9
rd9WKtDsTpvqYyf0GmHmMs0Lh64qopdZpOfQR3yqk7gcdLyiMsMHLANHS0WGq45mqQx7UJ/0akB2
oDPVsN0y3dZDX6kSmBet/snnR7qsBJvxecSHGoH7cRrwhgp1ZFKLmnwSDboUbE9rg5Hj9kF3Ixjq
Y10gdGwn1Bx3KNFQGLAoI+z9Ei8Mlnr7ucojKrGeZ5kbpfGCN8mqgiePhP4uK3jCbbAosJ+VAl2T
jSls9PisPq5LkJd4XLnYxys//dxUOreZ5r8SDRgUeCo7RqpZTmVuTnw4fVfMvQE3rVQdyi6trAD/
DehHT8BLwnrX6WF3W+dj+LVryoGGy2DT+al4IMqw/5uu3k4VnmXHrjSMFwxEe0SUctMq96Puq8M7
QKTMcgOtaDpXZGr+o4308NoCqradYt87egHtfqcGJYomQpxp7VaDvvSjsJvkGKPCs43qglQEiFOC
DsXY5e2NAAKLUqAXtGhvqXkQIYhRpWBwwYHxeGubg1SZs7K4Ne4nNLbAqcxMy8K7bacwPlq9mr5a
lSXupgQOhJTr1lulwuTfKKhGJpuUBY0kdioNePqQWgAsbupZrsEHZ3Mwder1OxMzvq09eOA0jDre
+hjQot8ltcE3/ty7rw1ZepniJvkCjg3mQh7kuzAIMwyZBvtYj/7wkCFg9S3NDTvY9p6MY1qgM5OR
MqKMgD/7rhGp9IKCBy0tBd1FK0mHHfXRkdoWXaSrSUPqyKQb9BT0yNbJPsKOQRGNYP14OByUQeOh
Ken2tE1z3kg2VZKXMUnhFuE6dleImvzQts1nLQDoqndZdCMlQfosFCAuU2HVvJLY2aRWmoIyCCnK
1I/KTRZISCXFeYU/WZd/UhDFeaymHLiMpVSDM3PqjqAWI3ULBEnQKtYa1CcbIbutDJ3ey4tuZork
V7BezKOVoJ9nSXV5NYJCeR167GcgJ1s/5NSSj3EH8HjDgd7c+FRT4INFWXVfW1H3LCeV/jkrKB0e
eALoL7IeCWBgo3yU6sDbKbo5Hcq8kikAgHVUELTEjyILruUizvYTBdM70IPmbRcG6R1ujFKLQEut
gqdtFFB+loV1R4eqNtgX+5perzhETTEeaLP7ThZl0pdqgAdvAo9H5iumRAlQcgux41umVp2DLoR6
a7eVfZtUbXGLTJv6DtPU/OZrdnDU/Hp4MeRKu0oDW3rgpOndqlTiXRn0+bXqt9Eeizplz/aaQeX4
DfJQYRP6lv5dNYpwX3NiulR2qxu9RFewm2VockWliBoAAP4GVjU8VPkMxw0xrAswOb+exix9wGQx
YAfHObLlntHzsCwAlqkSujYxhhqcocH3OBXhbeJhk0ctvkeS16CEPTbtH709l5WCQN75OC3Q4uIV
PdShx8es1WszQXg46iHccwejFkPlCV5m4vvlzwxvcG6iPD8meZHRmK3aWWIoq18R1JJvZuDoXgKY
6njlkN2n9NucMRUcDUgBv+bos/7wOaPRxbYg8U9jrahOYdjjlZEpMt5qfXqvVJnyUAN7Z3OXuHn6
eTpbmME3G82wP1asyXdNEclXXsnVtiVpvZ/ChBoWNTQUeaFsI+TUPsWxP2I8CZDnCIQTjahSQpK7
BzH0A8QRiOi0RN8y9ZUSX7k2wfihL+EhWW12NbA6QSez3MJUlFuFJ+5tyHFLjYmyc96DEBCR6b9m
Ui6+c81Fr43c2A91K/ufuigIUa6qkVVo4ug4JJB06po21NRlPlinfuS+kWWEXAr1EFai2ueT0uNo
EGm4VYnODacRvCOdC0cKICMoSjTextS8kUDDdAdkEBwDu1VRdi8m+IJmpmP8M1FauVcAAXyzCq21
9mYxhHemNOZHPQ5R1Rh7xGAUgT4ZPASkNnsMGOkVIAzEqjRG7Ejk6tDrPbKTbLDHuM3okLQCUeNc
LU3gGoMhbpAv0L8lk95/kosBgGQlMDVQUYEqIcp/szR/+AHhW3sC1uE9FqSX91MrqffQHBCfYum0
6kCqZoxWci/FQf61GdUG1Q3aeXRngnAHAbS70igdPyfgrh/ySMneQ0gMB1XumneFex46lCq/jaVQ
b7Mxie9aminPVudhmlNjtAD4RHLpTXuIrhlA7YaatESuAg0NUpDo9ziKd8dCi9TJKdj/2Fy22YPo
ct7FiNugWG6j9USvN9518Eu/T3lQ/5TTsnLSQebBRx93V9R4xiWZmB662JYQ51CnQ9MU6pWRqNUN
ENvoYALsOOSeHoBdDtjomjJcJdVs50MZkntTafB8C2Z5Ttp4R3Mwy0NXF9V1RbN5OwaKdy3JlfSD
tBgNRtxgIRQHA6pfeEMNAcr/tNegE3wPEzs/UBfuv5JlpNeo8Ri7uFM4QIGzXgVt6b+PYwMVJahS
GhjjTSel3oZ3wFYt6uCOW0w79l7JL0hD2wVfaz2hE4KM6+SjSdU24b2Y8ntzbKyricto2+tor0Bu
MMFiTqETFRay1DpZYxHZvmNBjSwHNugmk3PpDU5lcWtIZQT9hzsOrRupym7gZ0xPVMgndHEngf1Z
r8r3NCSmry2p/CH22oZm2xQHz5LhpWJbIV8WbQKI6VfmaHfw8qW4+YltIegb4avSJxXqkRULilt4
u6PrTIG1+hSj49BsukJIO6vutKdp9Mu7BnFgdW5YiPTFRMEmd1JA3wBDjFlgp2wjNJY1r7mLIx0J
Z6XUBjSaA5TbMdOV7riJMEUoEXlJwHe3CIBizxo/+Jao3zpy31lXqXmKbT95mMIQPd0GoHbPs0Xn
nCGvo5SDq6x9Lyeh8S4k5nNDcxxghV41rFMEFaAnSKTRGGaNvpj5rgXKpwONVyjuxnWAyC0C/FnR
5zcKvHD+0ikbf0RyKe6RVGpYtVQiXrRQTWtqsXxK2Uj177WqtoheJEXNc0oFTYq6VhXc+Gkw/TA7
naRPRtLrkfcWxsUAMnGnEn5+UAp50BFEB8pMSRHyT9aUiNBXadC91lpTNJtRNsUfkRQViNKaeQmc
PlPEnqxgllKSTfm694vmWtU9BSkxGK74iiQF6TQ0IfNdlir9RaJCezOpPp0J6mnirQFZeY0bcPIy
9hFEo2YIP1WhlYtNj1gH4EpKZi/SkHk/zagNvhZqpd2UKL7Mp9pAvzJPhujRjEZw5wG3z86jtoux
MAgN1WdTrDwEAfpR0hn9PJs5gL+egboM205TDdUWusYD+ZQbx+tqJkwDiq2VqHmIG0jntl10h8vP
TWVmWi7DsMsVxGFM/stY4PxyUci8EvF58wGHIqQ5+OTuef+geTpqlU2tAS6a5D/0uIBGlQIIp6kB
7h//hK5qPgufZ5fj6XG2+3+/lAKdUuUx/9+XUp7/63/n/+Pha5vkp+WUf/xr/yyniL8phqIZ58op
2t+oJZJfU8pQKbLOhM5/sTaBlFoqfQ3gmjL/skYV5J/1FFX/m6YDGrUppsiqDYT1z9RTPpZTDGEQ
gYKPDG+UA48f9HFdpkpaQ0ayZafKIjfO1Y2qFMB5IjT1V3zef1U6/r02/xlK0wFyWDLVoEXlRpbq
2AffpzrR1UQpxr+dXDwdrY29HXco4T4hMeKn2GfFLuRp5+TLnKnDLEzm/zHMf8deDDMEHDeoTKjT
zmbqPcy3T6W5Wuz5sPn+PkBbWCabz9KAJS6CwCQbkaFgLgV9+z6V7/jnPmtd/yWuyuPl8SjzRl5O
5mmsBdcW/hISGIwXDk/zqGIvaiIxP2txUhgLMM4z0vAxQjoW1yKE9/3s/XL8c8vGhhgJfVin6Dev
z9PjzCuUqgpLwieK4jYWWjJIRcioelPs+FMn5z9mFeCywozCKbYWJ6ep961VUcJEqtP/hILe+4ho
zeXRnFsdNvvAloUy1+iWkylymJEBq6NrPhvpt779HMb3l0OcmTBQ+mx1yNEakdjspxOmRbFvFLQe
HYuEJRCQI2g3TtG+6MSfn6+TSEzcx0hGGAJqZLc7dS9cFasvg8fQ5cEoZ0dDG5e5AtbOMfQxRkuZ
Xm99nDPkPWWwF3uXuMMn//V7epU/oMLqxBjg2DeXg56LSWtWn7UGDI7LxZKrYbIqfTGrEXk4ZBUj
sgm13qSkufHgdsg3rsRT5k+y2GImVXDORU5v6t3zXXtCZzcLcObdvCr6Y3qH7PzgIvNW7wGI7jHZ
ddGud5M3eUePx/7ZvGoPl4d7Zk1+iD4nFCfRx2DIGhPwEzmk7ijD905511Aw/M+CzD/iJMgANxm5
bLjpfoIDshxocJfKd1uS1/KSj+nPr038YTSLj5eYiAymU6o40EddvDCLXXdoNsa94gQHdRO6GEiv
rNG1iIvDWEnzmIYsLnJS6+0j5LREbv2Hs7c4NqpAsf0q50KrG5uGM+LMKq1mygFrK/FjD+Efs6fJ
NFEs02YeF9ttQNlMirUB+hMGY1P8Lc+V7Yi9emhqd7bluXYFG6qj8IGHEiWxlWHOw/htH5xEX+yD
FCwWpQb2gR6OW0ome3jAGS/l3O1ymvQhBqitZb1cXplndzsoIZTqbEO37HlKTlZmAvOajISV6fHa
GWe/z6GEOvGHByb3ciS4NB/GR1eK9EuDrEvXS+bOXKzNCvHBaPAwl5Vt30RQGxjehgK5/F5meKDV
mkQL0ojifdvK1WdJQdtOAiGzs1BcPURFDW4JQT+UaKAZPDdJMzqV6KWdMFqEmIxgtmZHljCZ1IL/
T9UPISIRT4LaxzM4PdMBx6HiSt7w4KMQL94hgpTX2K1klNA1Y7xval+3cBaafQbc6OYatb3bAZlK
qLR4l1z3ElKMW0mq8DsWItihKyHxDPfhsSSRclNXdGkVtHR3eCF4D6qQlAPIjwHzbqM4UlpXVnb6
Ytv9mkyLpIDbWme5G4vFEiHKRHuYyQTdjBfEj1JfCbB44pAy8blOI8y/4GRliFGFOp0Bxqtc79Z7
hKp9sNzOGXAjdtUNkkErB8lqwMUhqVVFqnktQ9Lv8SU5pgf/MXaaLaURdRO7CAuvBFybwsV6JFNA
IhElSieFaAh3FtzOil7Pkg729zkkFdEE+3p+fHycQzVqKEtDZHHQFnbB0+2qG3vT7zFO3ZY3HNJ7
xcGJ2bHf1yZzcav9FnhxkiFbB4BVmwMXb7hK19RhrHbl5jw7fyeDWyxBQZsJGhwxGkxOO/vZ7ldy
OeXciWGdRFgsQclT66HqiSAfw4P+DbHTTXBHLc21H0z38ul0JhafSPBAozmqwQlcjMbPm7ZC4klz
khtvX+yGQ3hj7yFXbH23XTkJld+/zsdYi3FFiIkjXkCsxm23lHP7feTiCuz0O+2IvNY22faHYL8y
wMX1wpLQSOh4Qwho02STi7U4RmOD+nQnHPEoO3DrZ6W8TfyEg8vWfjLAQoPQoxvpFE+Ng/Hnp78S
3jKFTobHDasuEnOhQXMaOsJ33/ut4oqj5mqH6Hn+prjGb1vUe5zGMT75rnZ1OfSvkZ1crH8f+b9D
a4tMXQfC2FJfJvSu37YOpL9j9G44zLkTOuHmBQPOLaLh+GM62XE8WCvnzLmvTYXBsgzguOyIRYYk
mboKb1QW+Non+me/TBGHlCuMJrI+ePorQwW5oapgF3jILc7QUYfmqSHMgRlm+oacxK90mg7hIb5F
sukKEs8mujPheOy8TbqDtrV6qi4Sil+TDZlWt6jHqBx8i18gRBJ3TYEbiV+H2HRiTVU884/hTJuv
bKMz8wruQAjVADYoE/jj4WqEaDHI0KkcgUxt/AVO+cbHQ+HyjK4FWVwSHqUa9LP5eKl4qcpPdY1j
lr8yEEX9LTOignAyksUKGZDUrNKGkfSOshMOMr9P9MG39h5Zxl2+dinNf9tiO3yINh8UJxe7mYQZ
GpTzvO3Ndh84MdwoJ3eqg/QqfaUnr+4QOmQz/kQLXV85Zs+sjg+xF6cAMuxTbIzEHpQ3dJ+uR7Wn
xt65dlmsRJrP0N9HSY2IfUBaqy/Oc7hq2qjPO0GLb2gPoY34enllnAugksVS2DO0mV7+cRqTVpLk
cSSAgNdV4UPtF58vRzi39k4jLD4UbF7VTjQiDP1zbO4ALE3WymI48z0MqoTsV176qiUW36OGo9Yq
cYc9XfQctOiuwswwrxW+yp8eCvV4mYK8ofG8Wn4NpexJ9OH1O6jJbRS/3KPetAvaP/nOng8frjZC
2LJGVd5aDAcCrxlGkY5VHOQyf9xjtxIE1e7yWM4kqkQxDAMOvzE/FhdRGur4lRfQiDFuzXvQuN4e
MDn5Ak5r9Q1+cPtofznimYVwEpAq8sel1nQ+MK66MRxjAIFuAfq2myc1efnPoiwSBN1ARLWch4VI
3BelbD9lQUaTQl05Uc/sG1Ohj8560ITMs/PjYEY/0ZrAx84vpXHmqXjNh39cHsj8Nyy2/mkEczFd
qlePBmICOgdcc1Xv4z3qaodqXx8uh1HnI+S3OFSg4XcxFmNZnEXzy5jwpdOd4buyCxzlOyQDhEec
9iceJNikOsDRtsHXku6mG7sceLv+UKzW635lTpd+xuIgylC4R2Ke4YZv0V7dB5QKuxvpMDpYWe7C
O/szvNgDZg47mRLyRtxjQL6pb5q7buttxMF3k7/wgQUgVUQdwGLSlfn4gVFmHcYpQwAZaQHXN1K3
SL9dnvkzpxaP7H9HmJfYyQ1WAK2BY2tj0gqdr/WbJ7PRHrG4z51a5PHK0aWcW7Cn0ebdeRIt90Dl
hTXjUff10b6PHtJD4nou+mhI/u6Z9t3aY+TsyiKFMixydTRLlneL0CcgThyjjvFYfg1exm2/r1/9
63Sb3+o7Mted5HzvPyd3+UN/H4AZ30bHtTPnV7FruaxoHgGCNFDigkr0cditaGh1Dwy72QGMkY5g
ZqnIeg/eC8Zjves7kJWcT+oDjmCOfUx30rt4uvyZzx17p79A/fgLps60Cqh5NLxnPGsD5qKt6E48
//ko1NdNXn3krcpyuUp+2Mcq5DIsaQE41wgP1I9ht3IknVtDdBgFZTaFQsDyDWBmcsjDCJs1zYby
9DPuVt7iyz7Vr5vPoJEJbBuBLEss5goKa9ohdWqQ+AMLvPWuvk9O/KAezKvLs3Vu653GWWzuuA5a
NUiw/gBcB/Rrcu1OXNGOnxWj3i6HOpOnIvJDhqUybwjiLEIl6MFPjT83IhLpSo4esxJLwzbH7Qd9
R/32crBza40ni6xyo+vab8+W0YPoXUvgkaEFbk0N/GzZghjO3cthzl1Nc38NCD9F5t9wA3ZVR3Xb
9iq81qC+1tIgw/UMM6oGLXJXbxVjZwfq7KRs1o9p0qgry+Tc14OkREfR1G2ItYspjfQyyfpCpRvQ
YBLiBFIf3nfI8d+kCn2d1FfH75fHe27dnwac//zk7BQV0HC07BRnkNPDoNqHRsr+fHJkzTcNSZ85
H1WLc8puumBSA0uBj/tctreNwDnpy+VRnFkcTBr/oTBEJ3YpuAypzct8+A5O2wEeB1ibH7UYZx/V
iibncqgzEwbN1IK7iYY01en5C55MGCy3aepnX1lba1CgQee/f78c4dxgOO0s4AE8nH9Tj9YkPQl8
RVXxpQYgIFEtL8P9OMYrnfP5cbK4PlDDFswKBR+Lzt7HgSDmn3aI+auOZ/VugcOv0T0n36yAHhio
BGMN9XBuVKrCoIRNN0PIi4UWkOZTerIxlIHaDafJ8eJXBeTs5bk793VUFdse+uCIby/lvVId054h
YlAtuK3eek3MlQ26BG/M57ilMVs8LdA5/C075iyI8xmD6JQIKW+D9/4t3YZb5Cc/d1sq1Tuxq2+4
endryey5GsRp4GXSXHImRiIlsHGLdqOrbBLXvOMSKe7Uw1pucS6loq7LWQshEIUibZGy5pnnIw6J
Sp/Ytw4iXzeayyBfp7vJweJxKz1IL5c/3Jm7hICAYQDhIBxnLg4+KRONEXpQfOq4iTfV4D1rFfTl
EoebTaBLrSv8duV5cOaspYUizyVlujS/lacyuYJYZc+sIpwFx8DYq6gCxEnv2skadGMt1OLQiMsu
DkO/Up1e4Cf7ooD7NsKv+DFtLs/iuU2mkwrrqjCYxl8crJPDydfBmtdhT38UEWWjw147GrcKjfnL
Yc5ckhb1CDIZhP7onMw/4ySMPjZJ2LcTpLO9dfz7+03sqv3aBzpX8v8QZzFtRoZgndz9imN/nrsy
WMq64Q91UzjBSnpxdl/r3BwcrOC/OBc/jknNEsPHgkpxvNv4Tt6yqY/dIblW9uVV7gZbXCPpztNq
WDmwlgiSX+fJadzFwq+RAqKO1Cjkhc0uu1H/8JJNfES8+Xm6U/bkiMXcXbvX186xcyelYZJisOeo
+izLwKhFK2GUavS3rsQRsVLHvJ7r7XjYuM2d7CbHv3SA0bUUFNm5N6mXfJzhustRwyoMcpsrAPY7
5eDvvWfEg51oa7t/oaY/o8/+FWxxgKEmlyLAAvy+TT4lfYgR823Tr5xZZ9cMyRPwSIXERl7WmXCr
xzILa7Ff3cPmynD8LX1yB7ujPRwDB0/A+/A+uV3ri567uf8dVllWmyCsxAZ6q3iios0IX35jprdQ
6uOx2FqV5oTxyjjPnc2n8RYJHGawFaUEhhmHuAopV4gpu5nuOfhqbeq1POHMuuRIMZH8ooCnyWLx
4egCDaOEriWMDsoiKBr71kp+de6zgTzmCUZXgpt8WVPFnX0ybIWu5QhvwUUW34UI6Eb3WJHejrv2
RjnK7lx3Me4uH5vnA6M7SneN2NoSLZaMcj30s3xO78jOXIjijPlW7KKdeFdfmq3spi7OZibAzLUT
+9ys0tuCc8wJx/8uPiG2NCW+NIXmBFa0yfUH0X66PLYzNxwqcOR3lCMwB7QXm1v18L7pJDqmUxW9
2B7ZF0pxd8igzy60NLkuRzvTt+fapl+P1Q5lXm2ZnyBPLqdAx2cogrJTt/5X87sP/kHaavvkGvDu
tB22vlM+r/eGf59JIjNEgIPwabB3+XiKFQBJFIA6mKFbA5YCY/om4AdeHt6ZGLhX2GDtNIiq5vIa
bwJParAtFDTulfiAp1rlAn+W3ctRzlw9gkSLooqm2gYWTYtrHEEqJF4Hwmj3wb75Pnd8cWZHsP/Y
A3vGCW2vbYu99q69XA78e/pAXJr4ZF8CDqW8WIwsIJElFQ6TSgFBxpdfiiA6KL1210f5DdrxTmI1
2aaBTHg57tlpPYm7uOKFUeW2T9HM8ep4E3kPrbXypDo/sBkuzxYH0L4IkNhyHoXQuBxwtHt8Vr/X
pYa8GbqeFEr2CKc+TxPeZinS75dHdqYeyZSSDOFuBIiFLf5xVaLIiA5ExNC6nXHs3PbQOnbijG/D
VYmj40b/0rr2Mfo6uuVuq+5IKHaHtZroudm1+AU88WT1906VVwVe2cO1d3R/Jv8hJNuvnJ+/Z7ck
thb4UzBq7LDl1rOSGTSR4L/TwOhUWijmSoalwfeVuTzzFdkNGFHQx8FgdVlXzc3StsMOQ0yx77fe
UboPD/mTtMuuyjt6sY/c7k7tYpjmGBvjqnTjlwkndqe5y3co/7qFu4bMODPsD79nsarkLtGioYBl
CanQQYZtMwxXWLWvHKlrURZ5aK+UOEDpMQ1Ac3DxBt30JtaR7UqafWaRMBauXgAVNuIV8sd12ozS
ZCUoWTspLn4teu1Zsvb55tPjY12Dj6YThAONx/oysbWtdBriOLYcLQ3/SKG7TdJXNWYzjK2Lk31j
funVAj9Qy+0xN83w0x6j3EFkAnUD6h7iPqqKb3RDjwqY2T7LNrq3tlXOJAL8Rl6dM6KT22SZgVSQ
2lsU1rBrAgVsPgNUdKRPyB871Ta7C+56dwYDZ7ercX+/pWfUuKJSjrPZSPri8sL3ANaGQXG4Qelv
Qy3mxf6G67byLdynV81dom+UV1/5v4j8+3f/GHhOaU9ejFMbDyKMCEzha5Nr8WcK+isffm1s87Y+
CUFvO6nwIWBs8atqtK5m8pW7du8j13X5hPh9q3wYzJJbhuOrbY4FkarihRcI4kf3xuitBDlTgvkY
ZXFLUmXWNDak4dTbgSL+pnysX4Nd7Ax0LevGKb5kztrD4kxa9THm4qiRxjIoao2YYu8f8iMKLU7t
hFsq30jv7uaeEjzIW/HU3K7lxisLZAmX7TpA5IEXMaegeMm/0FoKV4rE50IYmPyRoXKuz3SxDwuk
5h1XJWWPTr70rCbfuipd+WRnApgqlzA5FQ05suCPAeIBRYghSiy0HgfMd4ptIv1xeeXNP3Fxtn2I
MP+CkzWuVGPc+BUR0qhHNv1u1B8KTXfsDFNgRVsZzq9mwzLaDDrH3x3402/j6UKRic7UkNt3rP3M
UUt/IlS3SV+y7Xhd7azt5cGd2cA4PFBUV7l0AfcvNvBQ+SKxW2E5Uyxtdf01Vsw98iVJtFpz+f0B
DW8QUADFF30e3uJDNSZWhRWZjFPROR1ceYsPyVW4DdzsEL2hr3mQHrNtti+v1zLfJZVmDvgh8uID
trjHaH2KWwu+P464FY/iqXeyK/zBkdH+Ym+BHaOcn2x8p31G4NC9PMPnls/puOeD7WT5oB6MNH9E
9Fh97+QXXX4w/INl3TeWvbJ2zhyRH8Y5f+uTSCWGxVWuMcONHh0GHyME5CxRWL26PKCzS5RqHZoV
PKeR21qMqEyzSp7UkTg7Yz+4BodVdzCuEOnfi5tiL60QUM4O6yTccljCLOxOIVwLYLKP/rAQp9Ax
PVoZ1dmdoCCnKesUIsUS6lwnJcaTMd9Jfx63+V2xwyrZUV/Mx5lSFmzNKxf5BOdyUHVOvZa73QRH
QMJr87TW1Y+fzBht1N1HxibjDoGV3TZ+sjeGUzpX3XV3DF+Ku/ABKYNd89ZeqYe1Wu+5IdO1UQxY
sXSkllkbVhrIYKYK/iTjHYbZXhCiSvlVbVbKnr+S9+Uof5GJFdIg+MaLBHRKUXpEhsV0cMLotwa1
SGtfuLo77PAbdAKMW3bh3jtkpqvTffgBnOFZWfkN52520+aioFgyPxVn+bjTzdFAH8rDQgNO7vTb
6J0n4i84O2wD73OLJzSfOP628nXnI20xbotnGY8ahQYcCLyPMfFxatohI+OsaQiAUKlf51pvc6Uc
DDD098ZL67Y3+m3vao75tdh7ZKbZ67jWXf/9huQLCyiLaGWAqF7mnx3FbhxRKB3GqeFhnZLjhtK1
ysr++X2XzlF4X3AL07pa3sNq10/o0hLAyr8r2ecWD2+qpNvLM3p2KIyDqSS15OH9cUJHJAIETDqq
oBizdVP/rKK2+Z+FWOxIbEttJN5MjzovULWAVrY1VMHKvj87WSfjWCwMU0bMlP3gOVkbPcSDxKqv
BEBGo5NWIp2dMU4YlQe8RZK0yL/UHlIZ3jeek4z4zRhuhnjuX5iwkwiLV4aO2VymSXyTYULjUCTy
O24dK6P4/aBicdEnmqFCdJiXva8sqVXRIebnYL2gOtrYaBvqmxEXHSLcyiStfZ+1ePOfn9yk6ZQP
noep3mzdYG4w8kjdZsRdvAi9m2TEJ/jyFJ5bDr/yPRW48dz+/RiuUqJexsyBcMhrW33+1eirjZGt
FVnOrQUkgKnl/JrK5b2dSikWimogORNGTZscvz1tjFaSg7MxdM55KqgqHad5qKcz56NqN5S+5Hgq
MqqY4c76KupfWHKQ/P4VZPF5QEbJOk6/nmPK0ZMEjz1vtZUVtzaOxb6R/P9D2pktN65jXfpVKs49
qzkPHX/VBUXN8iBPOdwwnE4nwBEDAYLk2/Sz9Iv1Yv7VfWxZYXWdunTINgQQxLD32utTHjw80Y+C
ygR45uQIm8gLobVzs+xtN07enEJAnpHbaGMUEmKQcuVByGz7T5M5fj6/Ph5BoeR7M14n8yvJy94l
NsaLGicdu2kxAVMB1606BoirTlaft3Zh6E7lIJFdOI7J0dpQWxvVilXM6Lf/rInTfQCnmakbMHIt
mqgcgJi5/fx5E2ffSSRNcXeA2BQE+/cTmbIAaKESrBgp2dfQIRn8hJ8FXM7+s2ZOthsNOpatgwLN
jN53EqgX1ZY/YK9zoTfnZ8CfvfHe9ybggHYB0TD7wHGRegO7ATIWhmsO6nbpVcn/yhTAaQDqb6TZ
P2gVoqmsfNjDo1a5yuslcmBQWPeTvlCmce4RQWEOKST0TQgBnKw17dT1NSr7rEUSgUoAq3fLQ3zN
r/7CI3rbzMlqQ4kVFjRAM+jMnjVfCtGmtR1eCNJ+vB7P5sK4HtsgJCJGe/KOBj1oWBy0HtRtAT8k
AYp6guHotSPjbqFlxZajHhV87zhdfj4Dz2icZlHVrErH3fxjCGCEj2ygJSWZWRTX4hrcmH348MKg
wIB56IVeXmrstOpwoMLHmZgQBGA5jPE33bpZhwfzNdnBt2N1SVJ1bil60zXv5CWuPNAh+Ny1MDa3
SB5dleOFrcg9t4i/beLkBYZCNELcGh0qnoKX2fMRsQ2zqLeyT/0FgFhLGPhCwOUsutuhSeVyzArU
PwzL5NflipgzN/N3j/L0DlvFY9hPI/rbR1vxSz9BErxk62LhdXfg/kBRc2mAz/QeBiy/y+0D+LGc
hveQd7ZA921QLoFzkizze9tEt7kPHM8lbcmZMGmIppCLciCR+xh1mBLYR+aiQCVse9NGm3GJytWb
4Eu89W9CgEiukyt6HdO0Afl9qS6WtZzv6J+tnywClQUaumOhddj9AhQWwpWuDb75VfJ9qvML54Iz
92V01UG2Atrd6KPcsRIUYQo3t37fVS3gnTNyVPf8nq5UejgwwLEXZapQPbrUm1kndUnOfmZhfdv+
qerRr4ZGhQrtI1jlTGbheQ8gdFxYVs9kwt/18tQGQKEQsdQMrfQrD/JhBECWwRfw6HElNzCTrtMc
OMJMVRndXYrJnZ9Mf47wadK4wzU2BFHLWlTIBckHIGTyp2ZHyxXI2t2V3IwrOwNSByjXckA6/tJk
PrMuYYAR8QkiJK2RVT3ZjmNdtkrGGGBG2tQ1EE43FwNaZxvxMMYBjOqTD5lbBuqny20LCNJn99f4
3EEoFWbsgEBntCMLf2Nd1H+dKeFHc2+aPDnRjpWJZdSiSbNL7ssHmElSFJQnS2ddPqsniGZTvr74
LD/G0N43erJzJriB+hZHo/YOBvWQ9/jbcRWu7P2/v9gl80A6MAtAMg/P7v1Ti5IJRBVj0axxXEQg
eWrbT/BqTgPNL7wbH45rODjhphtCKYsr4YdYJIPRFIIpA81CmHuOFD4mMGwtHqnfrwbYrHx+APjw
ts+NoWwMqGcwqWEs8b5bXVyAFAVYUIYb1RFe3VdJMixEkl84s5/rE5LPuMe7EO3F/kkzgwcOfKUS
7E1xBx/9jWc9FO4XeKLBzHm4sCt/mPro0tu2TjZlT1awsOZoK5JOdWVFjrW2CufXvz9uEArNpzbM
hg+H3NxxQ5jhTyRjMarg6C8W/pjyf3ulmHvyppGTfUciXMBzhkakX3yhEHq4Q31BQPP7VPAuTIk2
AieK5wgwIqOn9S+9w4aBxCHJ3F66VyH8+oB4CC2AmxXReu1A+AX/8jhkrrOD51nDviCeKBaOXZXh
EiwY9qjANnpua2a/hAbl32uI0lzcNrU3/fQhUsP5iw/ShsFikT/hslN+s1CFsLJ7uBJZI3h0fel+
L6rA33hdjhCxDdBDOrvI/QxizvetXdIt9xJ9BM2WvgxR0F8sZzz3EiB9OPtn+niip+92CU9z10CA
n8mXCrWZDxHooml0Fx7CG1AUvGf4xN5fzv26H07989BDQBPhDDXXNpzcywrP1hBtEJpNyoBhUTBW
vgBN2u+jyAVKcfDt7ZT7ZNdphinMx+imbHwUvfMuYOkIIMNqIlF0BbYzfeClm8Eqfsh4UpKF0zb5
t6KoQ9jhjlxsi6ntIMuw2+bgdgl5aaFofS1smV/VDE5MWTUmwaO2Q3FpaOcZ+mF2wUU0mKkt0Cmd
dNE4klfCxwWaYfaWHuyh2bD2AZhsph+fv5CXWppXhTexJ1wtiELWimS0tkGS5pscWlNt5antbf5C
S7BsRCANC+cHlwMvZ1EorYBkQpbYvg+iXvJJpRzQkc8bOreQYXFGbeFcjInzwvsuuXEO4YMzUchm
QCd1wlSRC135/S9On89ciwG7EeQGPwgSbcvuc6AFaSaLugoOZVyFA6jGbf6lgfvZ3qY1KjWioRzW
eUns5wJe9dDNgwYJmqdrGZiYG7PtTRSlgSta5PmVBtHVfAfGSWStcZ0viQrGdRESMMkbv9pqq6p3
MNUfXhuAI37BxtpK1p8P27m95m2fTlbN3iCcbCUucsvEXuf+tzaYISvLAWgJq97+hbZiPJ3ZLM6F
Bur9I2KyAkIS0tHM9aw0JjvZvHZdvdbOz7jpf37e1rlVKnzT1slRByFoqUDFo1knzIpLYEdUl/qB
utClC80EJ/m6wKlbx+I9hfm7gJYfzDjCYUhSLT/vzbn3FYcB2FEnNqLFvxfHN+8r1uK2LUROMw2E
YQp66KInFLRs8ghXDPEfNnYydFbd1A3LSZG1xTOpFYHRE/fyrZcTYA56fsnN6tzCHkFwh8oqJP8+
yjhKGFsi4kIzv+KPllapgBudUNmI9Ricn7Xlqwtz/txSAZwoivyQH4O2+OR8lcCBF4JjdNCE8RdX
qa8WDbPPH5iD0ukzqzkAWA4ka8FcuX36ZvkQKukC/YIYhq8Sr5wRkH5gdg5nydrYk9nzwoSrupcC
d9QeZVFdGcZHwGPsb9iYuqwhUbKmTljtVVJMm7CtomvEtvpVrTlboEixXrn9GH+f4KO/tsopugK4
uvnOkE2FiX4HxNZoD3uiXNjXhLTIb51CyW9VAP4mDE5QKZgCUgrQB+DWXgocpTrIonC+xR2wMKkn
ZJuNRV3CBjQGcQpgu3BlvICva68BVwLLHmVdCqatcx/ZY/soE14h/p8Y/eTnltSPVV7ZBppGFzTY
Aa9EU3KVpEMryr2OYpM8yGCIVIZHjpS+kn4KQLm9NSDW/QD2pB7TBuiBDRKLAcB/jW8dJq054Cjg
JRY/isGT8QuzmER5ggqrHKHaQB0Mjp9XIh6LdISa+srGIetqsGG3SZWyv3YGJpyuiqtDgSjF0qac
7tx2BnJqP98UveyXpAjyOzy3nKVdXg8HmgAPWRWeyAyRYO02pjtaeCZALU7BPm4iswmbQa08HrKD
PbFp4QJhsxTAP0Ll4YlyBWBUk8VG32nb2NuCwPIxgS3iLRierEztakK9ouOKxRTyaDHWvdWmfpWC
RvtiElEugJCEtVqULErZ5vsQDJfDBOPKdZ1XdKXrsVjOukKzatxYbSe3bpcAD/T7OnBAcmji+iEa
tJ31NlAcfd8AjgCA57F0Bjta2qw24TKJZyoGCK5ADscSelIP/01HwVguatUCNtoT++hzsKP8yhX3
Y1hLvJdNuNZJ42Z27+kUrvU1HBAdeIKPvp63XxBpDMiPYJi0IHaHUQcERCiXDKihg1u7AFWTJF6M
cd7McCjifhm53S0MoEdoBalx8BrL26Tu+wWOFXXWdLxY0CpUOy4igXIp8IWgQgK7Yc8dIC+aatI2
DLWTLkzjgke3vnCarc0BbGpAJ1jnrg2wegjjmNSWAaww2lHtAFRzMsJHIAiSAFZ29tBm7WgDiGzs
eDNR1RykbsGe6/sgjcEkzsBoUimhYbJrrTBcjUYz+Mh2iKlbkgngqH3virgBuJUkcYBJbuFLVxbR
ciS62RsIxpYoteQrPrXV0usBfAeuPnoKguY7oM1RCgfBfj0FLgGALAZ3oPdBXlaR2RZVXz25gGXJ
jALCodMCJJA1qXWzJFD03fkBo78KcK4WFk7PYMTpZiXccFqrUvWHkWm9L7GO35exGTbxRNM2Vldg
j49f0TU7I74vjk4XutcMAcr7XAf1c8vc4dF3RffkNv20alpW3AKXam0HN25RNOAmw7aqChiZQLIC
V/FOzYDemhy7wYsyXlCKkeL2uAnZEO3rnOPA002lfeNGMtyLCbi5wcnlYuJakpR1VXU0Uwu1CbP5
vVtpimBW0edrkztVBqYoypF0nhyayRGZdvNoGSciWoVmdG9AvsgXwEnP+ulmWPYNHQEDa8Z4zRyg
/GAxI5/7zgJCD5F9lEXXgpaP/cT4owGz/BAXLuWrUUczeNwPcRoLrGPcjsOykBEAbl1ToCLKBRZO
5KVew83F2hm/CX55XWJ/lTXeRdxtA5TMktoFb2n0c5SfJUyCn87VAjcTHHZmHkztgPLpOgROqGB2
ZbndOWvlsG4vgSu+hfoFR0Llj3e0qfyjaDSITSYZfwC1Ymcx7ijHBMvc7RQ39rGEBdsKxtPdvQ46
f2Ux4KP8DnAaVyjvq+MN4obQl0jH+kr7br0p4F8IW94yrtfSqSHpK1w3GwigzgThh3RsWydzaEw2
PSi2JNWUmqcxqusVSUo/1QUwMk5X90dPwae8gjScYwpBotcRyFQXtO+LdRRwVG5Am5H2hTcTRMzN
EKEqoANe7iZ0BNtZbRBsErsSXyqIRB+a0vV3kS4mXNnMuAGIRC00ayIKgBRvjzj/yutYcftOdVDD
A39YBSBHe6DwSFRnVsy67sra34/hDP0xLjx2GYsLSOUdMPSA6h5uINoal8IT6iupm+oZp296p4BL
LdJidutIQ6B4f3FLObfFFPE00QmcABGjR5l1bMVfSCHGY1BPoMlNddIsDUQniwYgu0Nd5hWoU05r
bYnAfpp2ViwWTchQvebq3FuWOMndgUBoHXrsxou4m+zb2KbWE/6dzmLLntErgk5ZAeIBJkrRAFUT
8SlZsoK4M1O6A0DPimu8VCLxN1iiAfXuSHU11Z5/Bxt8H/QX4FeOorMgULKLuj9Uw9hdh3lhburE
HcDFHZuXLmfyRvqduwgqBMrShANpBYzvcORCQYroKRuLNpmGO4PSB7BbqP4FYjrP05aI/N7CLqMW
IEq2910BEqWKWv9+dCf51dbFTwmx4TK3oMWDNE5vuiKofknHJK9UyEimUR/yO8JitqqcWvGUTIH3
QCJWPnlWVN13FXWWnSgFzEtsBRA50gSZXQ4gVDsc/PUALOyU1oreNh7v9wVoTQ99zzgwzvh3ZVaE
qr7qGjd/CYIRbyPkdDjxYDNcwCZUUICtemy+A833A57MvgZabgmMjvV19KzkqB1OYB9W5sVK2onC
Mu4RjZ3KtgFnGOSGjF11HNu8y5DRHr/1GLj1YEw/pdNE67SkXXwdC7zhqUMLukWtKDCHQdTTq6Az
4hYgaRvA8M4+BJrVFNYsrb+TXnLV0f5AO//o0hU4G9G9U070VijWXnmAWWF6iXozORCK+vU2Bjjt
cYIV5oxhop4urwWCTysdkAnLX20BGmgFQNoxLWZMWI13ELzVUPXIewTE0y+VRL1mp2q9yYNxWMz+
JEjG9OGuNYV5igun3pQVi4+AL04HBECGayvG94Pbb52FnnS2rdeKTQ3P+QXir+0TqmJAsp5AAcI7
KTdBQBjY8qSS6RD3+grF0ygPpdgPkDKgmUp8kL8iiz20ppxWNU6YmQLqe182UfItSvoupbElllUc
dcccidsrHRqUuE54hAR3oXvwTtrjiM1sqZxOfnNobbDxsOin1wCEmEvXu25wWH3AnwbHhtc6K8Oy
2zhVS3a2p3ukoPKkzFQT8Ru4d0OYAhDiKlFTh1Wh7YG1cxFJioJq2BjfkCQF4Bjkpm6Iij2LZX1H
+np48Lux3WFvipeVO0ZfOo+VmQ8/lxujoRYE4yj2H2Ndt1k3Nlg7fdbVdx24Ko9I3wJ4b2t5i4Je
4I7EVDXbmjF3G4OKDqA5i5c+9bys6zq+lFPzM+CSXFkKpEoZ11aG81mbEe2NEw5cor6LKzWkgIzW
azBN6jXB85wjwu3Op/GEE3xZY5UgFX4TYFF0xITN/KWTYk8kx5+7esDHfr22Yo8eG1u520pFI9wO
DfbNBnqAjS9Hs7FzKa5Uo6MtznQhdl+GEGZP5U9CIJtOkUShe3DvENYfMY7FUsIU6wsRQizrcqRL
4vTVbRWVdqokTGiEZZUZswayNKBLZrZD8k2OV8hYwHJ6ymmv/JziSBYT+04DcLUvBoNRoFa8KpzB
2tt9E22U3/NvzFGYFGOrF6Qt/R8tmGbXpurbjQ2jm5UIOnXXwNjvoJkcNrgEVa/wm2ju3ZLyZWDA
MQzFUK5jEOF2lbFAjW0n4mxqpqu7WEsIbWENkKe4gMAihYjh4POpvG5JgEMeXgbsJU7Bgx8qbjEI
7eTB1D3x6aPV2u7CLWJnDW9Sfc8ETdLfz6d3UZKc+mYafjBFEMbzq67dsQDTyQ8s82AQAQTTbvIy
HxaaX3mDW5hO8tifl3Ps+TAdJu027Ixcc9XwNUA4bCWwQmWNbjlCaNWU5rIMV6H1KtlPzJYGx02G
pXvwQOPLZUGOhVfzEZc0fxLIJsxcsoF49a0qaP/kwB1rG0LqG+NZUPKqxwHZmhz8n1vS1Nadh/lr
A26YIGc8JOERGFhnPzgawSo7GOuXYeinbe5z8hUyxvAQNAOfecFORivs+Tjb0ubFLZDxX3hUFcfQ
7fmUui5sT9OWeWQL793ITcPQwkW0LoWddS53H8LCTnY+c/zroA6nmwHxuO9Q6sEzLjQJFanDLDot
pLHiH1ElCYywAOEThV3EGaxbkCDt7PlElCTVQSvm/zQ9JWqJE0stlty4wU9YFSXwLaLJsrLr4Ucn
ooQtq6EgP8lkkgrneQR5F6SrNEDuXu5+s2NmiY3dyWRInciML1gUfXz9qBlxMEQA7yHGfcIscOXG
xJis+VIQIDN809Ipv6niHjNtrMA0LIVS33AVGH6ANGAgVominqR2o7FWzFeENbNGa8/AK+z2dk3g
oeszJvgiHls3gCyI5Te2j0vwwo90F26s0mVbXgIODDshPkHQ444iDQC6xd01ihqydYRwVKoBG8Y9
3OFxDc4mbdsFRQ4QYXrPGY+9b+dPrOnpl4AOvFq2ds67VTmIMUIxvoD/sh8U+A6sAXm7CrrkwAjW
x6wzrMUh03M4vl+HHsRBixHUiWEr44+Y+OgMpls8VWOxxsqZN4sORE8nZUxisaqMxLnJBJ55YFZb
33GHJ4hpeAVWdp4EPUrnfVwAFmasMahxROmxivDAMpiC9neYLSVeG0xued1V/YC6H4ubVzuqHKyA
Lcejw/5HHnRSljoL9VjyW6giujadytafA+utJzZGmDK+iUdePvuxoF/iSRSQpIQNDHkJors6w24c
W5vegHEBS2PSJbuQw7f+4Aovx/5NvZseftV4CahvQOLK7TArRwADUwosp1koJfPZgWvMwZCoSIKj
RgOZNE62VGFKxJJlOf8NzLBnFHNuHPCRRYPfWtoGdKBVQOC4vrS6ydx6MFzrUyhii19w7HRF2iGp
9pDA7KnI2DhEt5EhI8Opp6j0onKm/guDy2y+JarCAI6wFQeBmtgxnrMF6zaspZG3gXUXJmOJchgg
/nQcb0zOR3JlKq3oyiT4kIQScxgRR2RWJvAzNiypi2lh47IPz6VxNGbTNJ6FMyuvyE9YoOX1Aac5
PG2XekmqQZp9NBRQC8zlwP1mSgeTp6Kl2nrV72/K8GpvWW0XatlxG3PCGlh9F/BJA9JcT9Oux37s
ZZbtcXc9ady3MuHDsi3zyt7ZCVyEn2bldrxkuN+bLEJ0YZ/w2tDMG7oOkgl30GUa48TzpCqP/HBK
yUxax51D01AU4LCC0UXvrCEAYhtBf29FrNr7FmN1k5kfNeW148uwAw/UQ0Vex5KoXLbzjIVVT47T
UGus/dQk8TUo0061oCPAjEsgGhG0E1PSLPoBkYO0EygrTkvei3umffMaVMTVKRuqbm+5lvsNS8+8
KtiYf8SHK3QaOfnUpL0z5DeQ08ivPcU6Ywkfrw6gicO0gVS1CrNGwIEoLWHQ/EgIaGZ+pPqXSYNg
mkXMxusCdKt5BccxhEF3nlsZrFlwSJkAdXxkjmdeZ7+PaVkRRY8+vv/3xo3yuwRvzAhEmLD1XHnc
HGq7h+s99Is0LQu7BLDYg+GbCB1QaHMv+Vbi7HrlxHhDF1MzqYdwtMrlGHb6q/a89gsuQmStEIot
FzlM3fy07yRMVz0U76UG1/r7yp21QklVW9i3EEDZRxQw1l7DukJLNdx3NCpXoY5HnKL8RHSpNCTI
UMfYXxcs8I48H3FZiEfNQcSdKrGDPUXzLBvU2arWkocxIvVr70eFyYpI6TvRFsFR+P6INRksZUg/
zGvkSpHFTuBsugHLXgkUN1ikUdh+ETF2X8vJPZkVjTNdx9oMTxj+eNtFPS6cKCVJ5RjxhYO95CBG
EWEm2fEVG7x63RU8OUyozFogImdvQMGiGY545sGGqfUKiap63bd2uA5Kkmz5yPWRlom4Dm0P53vO
lLUUec62pDThE0xt46XnjrANqXBZN7htH5qxnr7iwIbXh+XDTVXVcuHXAVI4nrIEnLZ61A/aGn4H
IhZbaN4EPJsG5BSl7FKlWLyNXNXs+3wINpMecaAvR74Rk2MtuZR0nfR9ezVIzQ5hHusdiRTbtorU
K1xz4DAwV6+4o6sOKq6rXejLdh0Ax76CFNXNEOCNX+YVHFGxmRLeJO7OJwnZd2GOtQFj/dgTt95R
X+Rb1wQh8o/aA3m6npYh5ktGzEDXYoiCtERwCQRvh947iIttijIpFq60+205wRlS+fUvJP+e28ST
W963Ai8JQgHwBaJL2rhBFjNse+2Yi9uhs+gxHptwMVlTC48dDs1YDNSxdmIUlwlOnpBL9ladX1UP
DYDteyB+9L7iUBUEcQUSHN4blB8g9YwCBOB87B5fpfMcVS4Rpi4WCMa5i7425pYr65EBkbuWiau2
2IvEMkBRwVOJrFFWNdqssLCY1YhIGyqu1LLsMEsi0nffJVxE/QV3Ytw8q4mtHONXe2mCYT2EObsd
3bI90CkcvnJcJ6ZUIbeydp0O9v9ygNDNm08Hfd08eMyxs9KS9tZnxS+LmHwb2rW/FG4hbjg8TVJZ
2yZFNhpc43gyWy4LeD5jreoxgqMlF9LhOJVKp9snahQ/e8SmkL2d3y5jW+1SjHV5o2xNFgziiK+9
ZVWgGzKnvVYOAFc69H7UJU4fDqnjXVXQ4tA5vfdkpGz2Mmkh8VR+94X0bpO18RDeGR3kP0bLGpZl
1MCko0ZEbxMg+IVg4oAyQ0rooXZDb6+ZaX+OgPBmBRIEV1YQtKveA7FiQPDk2i3ddj/leX5FK9E9
DyIerrwh1Dd4JPEmIF15CwDTKxSUehcFSq5xGRs3raom+JKAlFzHAb6Qb4/7OnFQylyAZl/Uc2DX
nQz8IaWy4JHUY0lPuKKPYxs5T7BnQLmcVQQLWkSWj1O4KW3oSZm1klEfbIYyihYAtz7Ct2fc6Gi0
VhUXw9odVH6E+FsAbwvfSUf45YqGApnjoTOZ5RciCwKV7xPttXkqoEjYOdoD/sOZyxEHTTeNSvp1
75fVMia9OuAo1O/syUGYthjwamPZYdkoO5HBcKra9O407v2Gj4j8R+OL5Tn2i1Te+Mviw7DCtQ9Z
TK9yOQ4uCiFqHCzJbZ3LYEVYSbY0rsvvvLTaPRxi5aIcm99fvK6zsY+LTNgWSk6dqljDA6N/Kfzu
mzMhrg69dr7oVcO242R1d5CGtpsGQ8tSbes+yWRr/K8N+NEtkg4j2VkatvsldEPLJJf+pkHu646p
6mJRwUcdHmQlKPiCmRF8LlwAYN/npJHUUjjkNjQTS70cDt31+Drs5QYawxhVzv7G/VHcX9LhnUsa
x9jcwH6AfB15yPdtIu8zQvgrIFXg/KgJpNAIPK6ExMZ4IQt5LruPoDaUsfACRTXYSca9rJnp7a6l
Wb0tbweE7cWi2Ij1qLLgugAb0ZMpHSB3HjcWkImX/BrOanbeNn86uEageM9jSMKjhN3zYdaA/JLc
FtBLPYBEuW9vUP10KJ8jSNrZ/bC24Og04PqbYZ17rO71j0tVxOcyv2++0G8X7Ld5dFT4JnTEeMh+
3iARL6zuLgz5uVT92yZOksuRLXWJTWUecsDEy3aFo1h3Va3hyfMSZwqqdnXXiQ1inRcdDM9lnN82
7b6fV307hETMT7v0l8Ot3iAktMt39T1KaCFRI6/2fZj6Xyc4nGQcrvOXHvelnp/Il1oK/LdRaF5N
KE9GiqDC1udFX6upuZDAP/sC/TmtT+2kKtcffLfAGCN9hQwqyZCPhGrl5fNHeamV+fM3k2V03Qo1
AnMrswSr+lEVzxWsGv+zRk5UAjZChrUs8IoMHvLMEbRfUl7J9pKf5qW+zAvFm76Ar9nV/oRmJtVe
GYbrdrHC5Xn1eWcuvV4ny01SE2V0glZCpJwBEkXk4q88E9TnJVjPZm3xyYrCEfjqK5hMAZiLE4aX
8mGrnefPe/HRBWPeE/5s5HSVIFoiC5mgES+tt+4vvvL28oYs82z8hsjhA2yUs3E/XSEI8uMSXOns
O4QCRIhMYVOG4tP3z6nBZTC3NZpmHksTOPj5OGYSLbIQ8efPu3m2qRlU56DYfSZavm+KxV4Z5C3i
9Mj3LEXfrJIYQjU1eN9s0jx93tbZIU1mRwNcUeZi15O1QTt5UE7DnBTIUH2mZSr2856gtnyFsFe/
iR84VkZQWc09a1NzkaF2bma+bX/+/M38h/4oKhEFgnI7f6ybV37J+eZjIQrmzNsGTkYzKBMe2goN
zNZE7Sp/ale4fyDTsprNVn1/Ga742pSLEiL/7bBWV/HdJQH0x4qxk+8wP/E3nbSphvpd4zvUW+z1
0WrmH4tsTgaB1X7Zw/bcBHrb5ZM1xWc8QnIKzTlltfcn91pyGwHSZueS+sJcnUfvRHmJosUIzjse
hFTgX7zvGafgANkS6miC20456JUUNMWVdfP5NL3QTHJyMPPFBEq7i2YiXi5oi0IbOoE2dUl/dqmZ
kyNCMTVdgewXri65nfp65kW0uCqR1ee9OTPn3w5acnIcqCCSoW6DZlx6H0mYeWDcPm/hbEdCmNnD
bACOmadS8KQhQWCoIFlXytQqWWaF12NHF/9ZKydrojtyt4w4WsHdcmHDCwjqrAVqTv79nRjOAn92
5mSOeVzatRdxDJd4lXWLGOr1yJwLfTn7TP5s5IM3m1sXZdCjL7XIpP4ZQbX0VwYrCkJQT1CfcCqT
zw0imiaoCarBOEk96twXDG63Q/Rv166HHqzEUAbrO+CQQNn9/pXUYT1URiDH6kLfovzhSER4aSM+
O1pQhcKGBp7AH5xYm07rAndfktk7+nM2Ae8ek+sua5/ppruf3Syd7eej99H7Zu7VmxZP3pmJe07v
+GixACi6yb6Hz9Bdbott32T+KtnB/ebx0rH9bCdR5ZPAMfhMbTaBKo9C44qYXtQsmvagwVL9vFfn
WsDowYYYhZIfy5YbBPJH1yBqKNSBNMNi6pv/ntb/42X4n+SV3f73Utz987/w8wvjIzKHVJ38+M+r
4kWyjv1S/zX/2f/7tfd/9M8b/treK/n6qq6e+elvvvtD/P9/tZ89q+d3PyxbVajxqF/lePfa6Vr9
bgTfdP7N/98P//b6+788jPz1H388/2yKNis6JYsX9ce/Ptr+/McfM2MOFmxvBnxu41+/cP3c4G9v
n+Vz+7//19m/en3u1D/+sPz47/Csms2tgwTWuwjH/fE38/r7o8D/Oy6d8LrEYc+G75CHj1omFcWf
ue7fcRRECRhudSg4Q0XGH3/rGHIv82fh36EIj5MEpNTETlC3+X8H4d3j+vPx/a3VzS0rIAr7xx8n
C/lvd3hA6OA/kLh4n0/xFrzGalKHqGyA4TNk7IGfKqYhdQge3gzMv9r9vB3ALiMUzqFeD0Y78cnr
5VSJZ3EH1QbIuW3HVq06XOC4dWEbPzmYoDfze4Q6M2xLs2HY/Pmbc1CLg4nKgSn9P6Rd13bcurL8
Iq7FHF4ZZjhBWZbDC5cl28wRYPz6W5DP3aYgnsG2zrOX1dNgo9FoVFcBDygfckk7REry0jsF3h20
9i+VKXXMR7Dl12UFOQrXBq5mUKqqjQrFRDPHas551t73bXWCguDD5ZXj9vCrGRVD1fjQFrRjdM6n
TJJ0oKJgph7z75UJMILlpLVgvu3dwsEXEL++TriAWYEXmehaAizMAmA8Ac4JYBjcqaFub8qBrf4l
edSrPxAT1m0wjUGshp8FyfGkqROA0n2llN1e/amagh7Bpi8rA9xxDobnKhmAFYCB+myY5K5Sf7by
dTwJOPf4qhueWKBZgryNitXDOciVJ7ZZVKYlwZMElMvqo7arcKUpTlL9Y/RfR879y5Hw3jHYcwCp
QcJgg05cJPRRPkG9MEv9IjvHBPiBJfHa+g4zAIJj411SgGOY4GXRjRl66AK83UazGeGtSi2hwlwQ
v6gnl0af007wmXiu4dfl00CPiBu9jkchg1u+lgGvrDlCz+Cb9DD57X17lx6d6yV2Jy99lFMXvL9H
yQci4v7yOm65x0ReMYzEWPot9u+rLIHET4DNNdBKME4aoOqAPwGavgi+FiuDVjeX3+6trHBfy7ZG
eVJMbCkj2oN8gWIGZCf5psCXLSvgdrEU7TfjA2cl1uTW0lJkPOLMwULLFteJone7zpTdBXgGH69f
l1fvfT6CQgqUGkD3Ar4+TBm9Xb1JVfQJL/LI5HQnKz8k5SPRtzLwKr6z+jwxzezJ7l7HgkrwrO57
P0db8bITW8sGDm6ceeB7g6QBF+Fq7owD2LewbAqQqgPG9Dotd9Oox2y8MeA9jrh/bxBMFdhVCg58
lGRvV20ZlkVTF2RxuU1ux/Y7lb5QM7lykoOmCg6MjfDGSDxGxUx0/wGQYh9wtX5AaRg5GAZSH9MM
6LiYxhmvOQcMsDqCSNg0BH1F9HbQ4EEF89YQkvygNTbSBDQgHmmMHnc33vTO/J8a802Jua4deBYM
tpVQAv1jiL87KcpE9VFBplDvmDYtmixf00/NafLi269FmPthdF98ufy9NnItTOI7gRIS9RE/d1fq
OpBrPfbVJIEI3fxp5hKEwEGhlIjYrfibx2/vAHjA4yW4E1SLW0Ycg22ezjivom+jNroe8FlqAGLa
fXtDf2Z7fV/e/PXNA6UlTiwcwgaGeiCz9PbLjcVSyF2qpn7fvlQ5oKv6zeXl40IDdMJvDXBpScps
lEfMwNJ8lbMOtxvAgsaf/5sRtslXgV4swNFPs405NefWag659mKmXy+b4JIdROBxN0N+hSwO5gbR
Mn1rIuujGI+0bPS7+x45iZtkuiATbVvAG50O9nvMQvJfX+qtoR8pNlEOCGFFrzViCYq7TRNMTwh3
DHTS+K+tOyjpCRBGvqZMbpFftbIg43Cb5fcqrQxwXxvjVFPWkjTDNTPaadXypJdZoDaRT1VHUHRt
+wKBdjxqsmKIM5UVQ1FgrC31oSusoEuOzrIgU78ySa4O7ldvNIMpMOmsRuB5bypDpUQx9BRtGqAd
gtGQhtFrurpKTiNmYFPTg7IVhiRiL27nHG/lzgSWTUCuhl03p31g5nj9703wNmCvJ6FdlJijBX7E
a2xpeJCqFn+EFEmN+m0hD7W5DN9wuYiDuq50vygwOdQ2ZPqSdcAEqDmAEgXgMPHo95NybUexs6cJ
xgQq3ZJORqcmh7ikVmBIRgpdzt66mXSzOVadCfrPAaCVuMy1ABNG3RGTKe1e7SFRQqCECWywMg9h
WbB3BpAcpvvLO2crJkBxi7leXC7RI+RSDESQ8rw1h9SHEPOdtpwgq1A0xZUu64JTaMsQmIgw/o+j
HLma20BEwZzJENUYWo5td2JP6jZI02xpR9u/zTdIBroCkgYDjDMG2ODfJoMlW5RIn6bUl5VJ2ZWF
fEdAuR1IqX17ee340vg1BNeWuCiPpQggW6jD+UyGAxMx8ZN5LINSh6Caq9zr7jK75q7cQQwlE4q4
8dea38aRiyxQ7EO822RbcJVWTTvpnRSoSVC0aS9zgEGEI8SyqGvtVR/CKCLGoK0djfe8f8xxq0rb
AtOFDcwlSvU5LburElh9wZ5mf4Pf0msb3HpC8mWS7Axfri8ecsk69lO0nwxrJ/hsm2ZYxYDLrQw9
BM6VosuQUjoF/PgP9p22Ayi/dYeQKRdC/2jfPjJ9yA8tH8Z7DBUp6z0vbmu1ydiMFk5ac/Ty5Emz
BZXQe8I8FvZwCOUCThAQsbyNh8WCgBoASamfnevvRopmbAzhDeUuuiEHO5TDKLi8jJsBsbLH1eaW
Q825j5A5TGofa6C4W7wuXTax9aGwWirIN/Hg+k6OtKV5Dj7MJPOHDmCFpPOsenaXWihktuXK2g7n
imJQo8dwVQqgpKfoQXMogylU7g0g5V5wiMhn0Lj79fNl57YSIk4v1OTos0Hri0uI4FRYwL2H79Wn
wDamxwi3QAsz1tn0gbpiZYjnqcT8iFQ2C7yjUTIFUWxIB7MZRU9NGw+sYMVR0NBDhQywKP/eQKyp
kJcWR37+1EDqaoY4BgBbKoba3YHRxB+6IL+FyhUaPjYkaEo/3Rn+5SUV/gbu0tsP0dw6Zpz5EeiI
qDfJWmWBicgcACXHSAYk6TC56oOk5YeqxoxekfTXy6ChIijMFJO3KSDCVaZ8Hxfb8nqA427NqoJa
g5W0mDIv0Qmr9Kjw2zptFTeKFFFPbHMTrxeRCwrNoPloTljEzsfk62H+tpyYqsjkaYWLYQ3JF2GC
3ss2IG38sfhODBS4VSMuKlhUHswrqdgNkDRJiSu5QMB+Yxz/GMQHFyVo6IBO87NjtRfpGWzuvn8C
B1TYbxOXDmx333b4BQ2GI7v2hYqKUbZo/LGydpHb3gvwXuacwADQVvsSsrxd8K9Er9kPvWSHu4XI
FeCQM4GdYTc+9WCDBVojsPAmlQWim+FmZlytGVvT1eGf550+ZWRhexrvYJGDEn7ylFj05LpZZGBy
VP5N3vcOFkLlusWckgk7fncen6zTdKKu6Wq/xhuxvIzQGudVlMqQdKtgjUFPUL/75XhQv/a7JUDk
gQJAhDZk6eDdB1PR3ERHXX9PjJ2WRldMGexpRP2uQ8l7ctJdmgFWUNsYj1IP3VgJ7mCv2KRLNrlg
TNNqwkR2m/nFeTqXAeZ/DtW1HooJ2fh2zGuBaKiotFEF412Lv7IOIHMaqYwY6fxlZz61XnSbBhAa
dM2byMVD6T69iW9EHbv/8g3/scoTrjpET0eN9Ky4Uo8MywoE6U79wjBZ4uy1mTr+uGhxqcPEnYtC
mAQHN9j5VftqbP62QcKy48oA97XamVCnaVG26XSBrDxmb2cKTt4+EpBJixzhUodidgSEQ3CktmSv
ilrXFjGMb15W1q5wm0tKI2eQFtRrw855Wfzky/SYBpLXBBBlBldL+cg+kPIjOYpwbFwTl49Dvo8f
R6kdJRV8G5z5NgJgB0PJgU7pbUWHL+PSiW5lm2l49c24W0Qx2n3aN9jVdqFdTXN8X2rZUVsgrTkX
oRabrYsx2jvQO0HNmKSJB+zE58t1iOhrch0vSUZUqhILywjthPpg9SLG4c3iceUjV+hgLq2qLebj
mCb7BWP3i/WgYTg4XUR3sk1fgExgsjtAd/HM9BrmyIwWWu9+0ZDvGCZ5TB3hKbPpzcoG98XkeEQ3
bET7LjuAF8J6LA6LD4vGZwUjkSDj2y/B+EArv/x7VnW2v9Ftk2Vg8PHGxO073ayVtsmZdzr4YWAO
w4KXY2F7361McPvOApNjprfoHGJcTD6iIRGkudt+oyFARpOn7rpjdyeHoGc69CJBwc3zbWWau+hK
/WhFcYwWWV4Q6UbFsJebRGrnje0sn0qMv/+q+zg+S1afCS43W1GDxyF0zhik1Hqd6ljVJxin0pZx
Yc05W/HlQsVzTSK41myVQGsTXNDUmKZI2hpbYJbkXUTV2K2a+V41qSCfbKWvtR1uM/dNLBElhysD
BnQt7b4lvWvF1U5rz+C68C5Hy5ZTWC1IJ4CMF8/8HFgB82qyihl4rNv8YFfQMQCpVaouH1g6PKZZ
umqiRQuRq7fVI3FaadQl0GREZffN1qvnIsLofC1b95e92Rjewb5aGeLSlNWbJBlbdJyZBul4b+3G
YPHHfet1z8SfMVTk1w/JJ4FRdibzFdbaKHeHKqE6CcZYGB292QMtlbec8OaFGwxTIzcOl61tpa6V
MR5dQqVcr+Zczny0lNw0zYNFwVA7cZHOPhIaf9bS4GqdccmJ1DkLmiHgHE0kA3RHmWsMtnvZoa2d
u3aIre5q506OU9tJCYeWOvYm62tMHi8beO2/Xvg+BpdzLah4TXpVZeia4inok30F4ln6OzLQOWCK
sfV+OMmNq7v6S/JEMBzfYQSKIaRFDYOtvY3Oiwm4zmsHnFtTOW4y0KZguy1s0rQC7/O5zZ7SXPZA
JC34fpuRooP9Fq8EGNzj33uTErSxzoyFrZslSCItrPT0zu7kr4YzPl1e4s0i3FrZ4hK/neaWWY8z
23caxPqyXTkEg7d4rzvgKxEe4OyTvfukaLcD0WXAM4dbR0zbawCaa5mv7vUyYJ9weaa4KS5H4ziZ
7r+QB9lczZVFLkx7cP7N+CWZP3uDzwbX4kDNXBBTElfZG6937vhmqrxS5OtmyKwMc9GbgGJBakcY
1vNRBfcp3oZ6EO55VkQxz2k0GHg1Bmv0BV9082BYmWXbdrUtlQqE5umAFY4+Lbs5GA7NjXONUVbi
Q11CdVHAoN9GR0Ey4B+9X2t3sKP+82G5QCKLquPVG94OO/KknFsv8V8Grz6QQ4wHcMkXcc2K3GSf
feUmCCO7btLgZoeBjFIPIzM/1LFgMdlaXYpW7vgbpkyqZRVOqdWtWZPAKFXBXt/s463XjTv4qFEv
eDiCH6OXPE6R2+/x5Q7x3rlqrhPDncNkLwgQFvCXnOJOvaksqlrGTcevzvax2Q2hsn/V23ZzhEYh
8u+yNfChv/1OmoRHX2mCteQAAsoAD5a3hbt48/nfyGJc/l4G3yCs5ckqm17BGZvK3tJh6EukHr69
qTVUQ0CkQiOKiwi5mmiaQYHPl0fQjSgvdD4M2s5OT4baCLbUdoT/McVFhoph/9/HuC11YATDKIv6
aIPm9nI4iKxw0QAttgm4aRQLWlL4QA+fxra7bmz1L/FS/8kP/3jDQ37yBgQzTpEjDcuSO3af0kpy
4wmsFvqTlkyCWms7Dv4Y406ZLFuo7NT4Sj0YUjJyPUaifSuIAx5RSe1YV4gKd6LWPORkuK775Q7v
M16tQ30q0T9d/koih7izBGN8QC2MYHBWTPpFISXq8UpUCohcYr9hlVFbNtgH/jd8odkDX+j0BfTu
aQhvWjfdM2gWzqqMnmcfDzJCwXBBGPIvrV2noVAd8cWKAvKMzXcHhMoDcEaXl3H7mmH8CQzu1ACA
wYnSDp+NvcMPBzWHCrqX/2w+d4G6U66UnzIIn2pPESnci9zj0oZU27Od9rCrdrsU/DizYrjSWO4E
7m0n2z/ucSmjwr+UBqv8yav0cobkDk6Q1Jt3SoB3XZEO3Hb1aADEDNilAYQic3sVMhjzW8oYSq44
9GWvXKAuzZ4y+i/aryJIH0S5d3MTmOjCgHGBKXhzR4lS2YliaLDmdGCRASjEtpcPreDKBpc5lqaI
KIbEUbTtgUv0l5PWQkqO+EnY7VUtFDbB2cZ9dxiv7LEvulrB2OoT57XWx1saaiaQo0AdEPvOS8xT
EoLaGU0uQZBsxuLKJJdLwPJXDqDnZhUHbi+pq/haqIGsy1MP4Fh6AoU6tA+8UtDdElnlskudgHO9
l1VweEafeumHaT9HVvWRE3PlGReOdErM2Wxhw7KeQfMyom8xOR9KkysjXAoBtWIEmjoUNPoeZ6Y/
1Dfsk4Hb6QXcRv3gml9i3WNjupIveoV6RUpfihYujVQxKHxoiR0QXXV4KZfuawnYeuOoBXOYiyTU
2cl/yRiXTIittGmL8YTfWwGpZNxJ+39xQRNta64CAV1fjklhLGjnKzuwTdaYF6jc6CB52h5voniI
9av9R3IJnrrw2OsAY/NO/0vradbJswaQ2QKtuCq+LWPy6/JG24p4zFwYGKaFyBigPG+3tuNkYEkr
AZm1zHspfaTtKa8EdQ6LNf4T2TpKUSgjYV6FHxHFXydJ0QIwmzcvFnCAaUuCwbKCDhSaH3DGwMCX
YcIeBhzfOlOCSHZJbKwXeDAzGVOo9FOqUYGRrUgALR/Q4YCgY5aDy0zlmE4DATuX31fkhJM6cKqP
HMRrE+wnrPKtas0peOAGJL9uKHYUvL/gY+srXLSA4IwE/mxGANPoBT+QjYcD7jDpy6gpC9bbHp3p
RlGSQwWOJ7foom+XP87mOYzpgH8McadI2ox6VBc2ew6XPXL/m6kAiteB6qunPrxsbdMrC6MW2D2I
CF7HEUq9VleAbxOM54NfVs9gnwiV8vtlIyy58JHNhuNw9ZUREbw+nwHG+g5EvzjrK81ripsZisCg
gtzZ+g9spELZXTa3FXmOCuwC8K2Y2+Qxp908QMBFQ+HUW4qbqVdgUf3A2eQwcip4hWsjD+KaKdj7
ZdKgqQeBEwdceoO6H4efH3DjjxEewKXkErgHWUs2VxroMaAcqwvBSm19/ZUfvLrwIDVWBBkWbKAB
tFMYbxgg4mEqz/+bI1xAl20y5ebCrgNg59fxYmM3gnvv5hfXHYNN+snyO7xKqU5Obllo6EaT7Sd0
eSRy+/myExtUKbKM/I94Al8xBvm5k22RusHWBta/pvvpi3nsUdk5Xn2OErc+W4D97KHIcDbDGfxO
IrjWpn9/bPPoiqKCyq4Gbl1/GB0f4yhuZtT7y/5tmmDcZ+hRs1Xk3LOgbuhEzIQ+prtBiq566IFc
NrEZbX9M8CW/uRhjrNswMaG9Z5u6J9Hnyrq9bETgBz+fpugVOOliXK51BxoA/S8MUAs2/ybCxln5
wcVzk3Vxojiv1wqQ8stXYBPENRdArNAKkuta9zo57EtPOqqhCE+8eeeFWh8wv6hCUIpwRaOlJu2c
jigajfna6F/fufTay3yorj8ae037CsEcPxbiBTc/nY3aSrbk10eTtyetXqktxrCwqlTSPadliqej
CzEs//LHE5lhJdLqQG/sWIvRdURDTgYltHVVI1n088/LRl7j7N1xtHKGW0OpNkdrwtQdni2iPbvl
xgdnz9DfIrjeZh/dWVniqm5TLgtzZFpd1P+NbEucxzx7mW8hguS3N7YWkuLKSAVb4L+Y1WxUiZYN
RVSu9DIhgQtoJ4p9zFsUKpSRrurrfj+E+bkgOzk6SvsiiHeS4DBhGeL9sv6xynbm6uNNkElVwU+L
tlYXnZYugfbP4FNMlIDZw+ujKmwWKXeNaP77EkY3dLBzGgbkfyHD99ZuZiRxRior9y0AdcdecsFG
vWva5e9nm/DKhV4FuhKYmOHVfyszrxXEJ1hpCXnRFMx3WKI5/43cBZIEBfIDCuZD32llVnlRNRQE
t74+UeCMNVfRpOBy8G/sMJjAbC3oQ1UdH+vtYi3lhGELC6HRZPdQswkji7ioo/7+MIEV8Ehg0ILh
+LlauXEm3KAq6EtI2k95ntxovr/sBksEXKzpGORAlYV0ACwDF+GOklTQAoWBhn5u5CLIh8eCFB7o
CwRBLTLEBXWfjklVWEh0+jJ5FcSyzORFy0ZPGkX9gM2PD65u3MlwMVNf64/V9tGN0khKAy6BmvOr
2ZAzgCKx4Oja/Pp/bLyiwlc2rGWmFdiecx/iM660PGcJJGK0z5e/zXtpelzCUUb8vyevcP2VlSUq
qg7DD1AKq91pl96Ta+IOuQc4EDunXhaP0QZ/pfdq7s0nURNO5CKXDShNCElTKfdtk4A32lhuDSsz
vHRqXi67KTLEhWCnQyEtQhng94wBu4lCyLxAFUrEsrV14uuvFHYqOhsMRvB2x2oDcH5VDzsQNfDl
oNpJ1/GVEThXANK4agj2oJOIbmnTNUYh9x+TbFOsPuDYGlmLUWpQwQ7acYHkojk2gZII8vZWAwye
Yb4fjCaIdx4aAdLjXi8oi8YAvHhqsJxSz3wwjqzfJirfN3fXyha3imAzV+pIiRAW+UOXdIEJVrS/
jwcQc4ByAfkSPW0uHiA97AxphkUzSgxLGN9SHa+/iQiXuXGVxjz/HytcPiJDsUy9gyaRDQZUTyLs
SgCVLMcGOEBBEzFSTqOSC65XW/GwNsot3jTr5ZxneFIk9a2+PEbRFBSDCOi09Xj+xjUu6uIWIjXo
GsHKf9Ar+U/n2vEmTA11e9ty/5Kcgz1ivrHHHYUqSN5MQ0emaJrWL/oRQmix1zCEDorPxkgEJ8lW
VQZ7yIvAVaCK4JsGZkyilsxYRfvT9AJVo90ULp1Hwb/NIDrAVTRXpsjo9pf7xybfQ3ASgoce1lPU
QQAZ2Jll+7lR0KPVVrPgdreFeF37xzcTjNKOIYsC/0BpGCh+Aejwcar9/msJ1EjnSb4NcuNuCB3D
E92PtybAGE8I5mFVlE6Yq+MyliKT3kggTknRds5P8cm+c3oXoh2hAfRK7UFUqHajwQPH8qHUXP1E
dbekf3+6AqWgq2inYUBSeXc3ww2JjHOOHyHR604H4KPXwJdTD6JR563M+cYSd6/AmHih5g3I3ZeW
7NL0eravlbqELkvkDg6ovPsfMZ124OPypoYK4ljdSKVvjHOdAq2MpR7iecXrWre4oH1anrXPzW0C
wJnpT6EW1h6uo+6AhuVwpVKILrlQV5UOHzjq1z/E5trY0JuA7FKMH1IlkBwl0EFKZC9CiP91Yn9j
hitmqWrE+mLkhZ/aY9AN8S8IyoSKVAmapNvLiqu9A0onoHP59Bc340jNCO2+/DiDkRYqrB+IT509
LwBlzNjEuKgpE3ssi8HAvTdHSU4J2hbXnRCwyn4nV5obaytceKQmGObMBOqw5fRNi09jbB6WCGOT
VFQZsT19wRDPCluk0mKqHdwxJseNnALC0JkX9zdy7AQ2nv4vR8HW51m5xWMdk8xSSi1CU1mhAU7Z
0JKWw2ULW32l9crxxLB2IVeVg9oL8xBxWPgxjsHEUz6DK0JnDPGgFCj2aeOXz5ftbpwRuDujs4OW
m6xo/GuQk9BRBhoWzewpjBNwd5vXzijCP21dChDT6KBinIQdgVwNEZW5qo0prs+jpx5BxSz5VPGa
0Lg3gsmDghb1Gq+HhMmenAzJFREcbn69lXVuc9k5wLlZbqCujBqo5r3YywcgUQaubnh0gHM43rmw
j6KhGawWl54MIilNChWcJnWTRT3J9Es3fb38ybbeiNbW+OfICARxAwTu89ezluFgoTBZolRqD3oo
+ZrA3NZOW/nGX+crNVmscoBvuTLoTGPqaBS253SKCsXv6sUu8Eh+2cGt77W2qL49z0Gjq5eahssw
hnih5fIznX78bwa4aj13ksbWGxiojF8EypXEGPzLFrby4NoF5uL6EkWreIpnLFqHO0FG7zAY4+nS
7PZyLkhNWxt4bYnbWr3eaAUd4EtHoAnoWtA/P6Zl0eyVORPNFm1+GIYxZ4/UeNblPgyY5fDSvsBW
nFH5rM+OFQ4Ohn0ur92mR6DAYm+tMMa/tTSVBfJBaBP5sWYFdZHfS6oO/UAhRyT7yvwRgm6YijEA
FI1oqb/9RkMRz3raI/UxiFUc74iX7DANpruj39xnhpscP1KzmBpmcKAgD8qO1yJ6FRUVUdK6hgqd
bzYQQZqK70o0Pmm5JNg/Wzt2bYY76tMhM+RBAnhGB+wuK3+oqeWyvUu0b401C4xtfa21MS71FXOD
WzykzXzSoXXZQ1JGkr22r8O/DwqQsLEKHyU2wGFvPxaNdGi2yajDOqhgpdZ129heLs8f2ExrK9y2
rfCySxUougN1nGHsV2m+VXZe7ZOoEyTVrfsSo87HnD361qrG+xPnNlR2Ce5mpuGas1sMLrnOyp2G
gx+cnu6AVDG4VX4wfuH6tP/ISxK45Uzwq7BtjFn4t8vZlZiDV7UY8zUP+fXiYybrKr3q95HfhPaD
Alj3J/JMRe2LzTJgbZXLH7TUUbY1uHTL+2xwIctm/1KXT3kgBYAagt8f0FvXfHaeWoDnb3Ph4OdW
qGLvYd1xBQepMheqiZll5QxlbHS2Pus53nwyxwOU4+8DdWWEv3QDQ9SpUI9C+0w7S+onaDwzSVnB
ptva4SDIAUUquyygcHv7+bJKoUldwwjGi+5sJWwgEB8NezWOPA1qjR/waGWM+2qtWi5GmaE106s5
JAShPkjoi6NEj5fNbB0uuLtrCsiHDRm0SW99aspJmRWS4bgkteWqFXRh1UFE9b/VKzDWVrgdruSW
FBsVLlrRN+mm/46hCbDv2O5wgsDagukJ6G7nbvQ8hoh+MKCcXxFrwWVPt9AEb34EC9TVOdBntCEN
Qa8AJDTnrHF74saG6zy334BCxAG0eNR0KXGdp7lyp59isbON+MHJpwAfIwPOgPGHtz+gnFSzTU0c
5EmeD5Ctn3fYNaNbN7ECQWxQwRixqEO08XnfmOSK8CWOIhvat1h4C/WxEssPEEm8v7ywrzTL3JEO
I6BglmU8CcLDt35RO090KsMIFvZghcbOeo5u86Ptp0EeYFrsMHmzn//uKt4Bj1JjwrDSgdigO030
Dsu2xaXfwm8bvMzOMrvS6/vJTzyauHGQe+Whvs2OsxAbsL28fzznvmhCkM6TFiGlm/RTlsmfZSaI
fnl5RTa4vYP7dh4vBjwiyqEwS7ccTYGFravNmw/I7YxkTtVqWWCiOrNF0z4n+FwmZP+kY/kgeqEX
+cOF5NBLfZkXMJb3qTdGS+/istMKXNLZyl+KA7YXV5tdq0EYHmmwgr9Pwcqi+CwUc69jbVLsfyah
ke2se3K1+KbXftcDUHSACScNQL/tg+T72t4VAeNzK29UX7ddVAv7LIQK6JWYQGbj3sKEUPDGDbST
A1Dg2x+7ND0GmQf82AT6stLJqYCk2SXoLl6OpK12+Bs73KI04F8AHhl2skMaKrYbYXxjekxyD5LU
7gRqezdbjuny0gr61JuffOUfVxp3IIpUR/aiO+rZj15Kb6u4E02LimxwZUY19KWZEXQmLRLKcY8Z
Y9O7vHxbBF7r5eM7AGYc58YcwQ0p7AP2LLjIbgpaCdml2sGI3cEbAtnv9i00kHFnx4UN/Lg/m3p3
+XcIPOXpkXGMjiCCKJBDm8aF1HwoWarorNzaPgoLSUy84FVSVt9GZFkTxaI2e4Pf00MaLM9Fuss9
GmgeJmBvChO3AEFwbu2BtUUulVo1NLeHBKU5Tqv7vLnX1V/mogY6RN8vLx9LZnxmWBtiy7vKDLNU
RVUHBWK/jie/Rsc3gbq4DB22y2a2HpExYvNnCbmkmpcalMUXCxzAv8wEMAlXObP5cMmjLqpgu/OL
+39DRiVyj88lfcaWEnvcKAxXl8mPgiznlFQCaM7WVeqNe1wuGW0DoonszGBv5MYuD6zqQM2jXT7n
V9p+9ovAGA9dvi/mfWlciaaXt/bAenH5jKJ2KGgpPiJ6DORO1it6D33kXrDjRWvJ5ZRUnxLS2Sxf
Kta+rfqgRScaJMXB5VDBY/VWabjyh9fBpWqbyjlNBj+Zoz1xluFJGeI6TLp2PFKHJDeNPVrUL51+
CkmllfsJnIh3oMWFWENvT94QV7MblSV65To1Qrst6mNtp9bepODAMWY9PzQtgXrx0tUHo7WjoBkn
e68VThwqsxSfe5mmTxglmZ4g6w5xOehTh3Jl2v6kpuppKqE3lpYpUD9Jnd1qmTnvwMQ83EhAzl+Z
ZYKZK+KYQTPEz1KNxkcZ14uvg+QcPD9J24dSYsk3xeiYSM9yf7JjitdYkumlS9VOO8l5pH9rwI6M
fRFpXjs15VlrI+rGUhx/LqSkjjy57PMXqxgjy9OyqX2Zk5aclWSYrzBf1x2SQitvLCSuwgWmtvRV
pe+/LWbaPxmJou4Sopu3ZTaSwa0r2y498HnUn6sKrHteVsTZpxr3l/t+Tsh9blvUciuIzicgnl9k
9MppXtYukfLhS2L1TeEnDXGeMyPHcGBSOk641F28Kye5vzcLpfXaLomO6tBIP8qsbTMQOzYTcUF2
AXYUKa+DNG2bk8SYLVUz79xxqI1Acwp7p9k1HvLoMrlL62i7ftKtgAKZ+smwUucmsfF/tazDg0GE
McUzqonxyu5y3NtmEnuDlUiLGzWz7pnOnPszA+HUc9xUbhv3HcVY6NJ7khPXX7osj89znJUHUlgd
zi6afZu7Udk76YKHKrUrltHT1WkB2Ct6jvUOlUGaqJjTxjifha//kI9j97OsLPmTmhfll1K3EqgI
G82OlMacem0ZFTcqeNB3qTaNuyFK55saj5jQ0EE74nsBjbOn0pjKmyrOy5/LkjSeDubt2aXQhDtq
RTc/VhKp911iLwGZDOrRtituxs7OrtIaROq60kZnhSzNjZyk2m1tm1BP1kkR2nJteFPl/CjiqQyT
2sTwUJSSI1D3dthjlcMmz+ZQWQhYcrTc2Q/2gAkmzcElxWIvuVlP7H3W0ei2MpT4alJleiJNqn8q
gdgv3LZTJL9ekvLGTss21Aarc0lbzztazUoQ5Y0ajBZp96hB+lCXTMmN4PiuLTVlJ2VZd9ATZfDH
VnF8/DklnAx1usrkOtsXerHsVKOBBnUh2bWb6VW000t7cStHV/dak2CislfKEOTQtZsaBdlHIzXA
WpR3foMPeQXi9T7Ml0H1lshIzp1Taz4ptC5xMaQObDQmBr2KzhreEnDfzp2m8lQlcTy76+3AdCol
lHPDCPMuTs8GsFa3gzxMX+2lRVzHknbsm7T2QAgCksq0a87o8I63A5EsDIG1WPQsMfYToNoPbaSU
Lrr9zrnaW/O0n6HiOpHpmKrqTaeYO3ugTxGlN6WE6egeQRiRk9WrQR+B3cNI7zT1ZYrsQ6X/GJQi
6NX+oLTJUx6N14RGZ8jS74oEDNyR7YQAkYRUK32IzweQVf08SsVNgiytzvlRbgqXYY6pvgSVfdCM
YZdNHWZtJmwq8F1G2pEQcj2VdA/aY83VImtHhjkstDoAnu6IcfszFBCeUkfd5zhBe8iVuJpch4TU
z10BmQjNaH9GxgQMiyrfSLa1o7kFhtBSjdxpwdh3OnyKTOOWztDsScAUDcL5HUgpb0cKmfHBupuc
BnKhpm9ms4Kh/vzFSUZw49fOV1Itd3WtHaFYP+3yTt3Rrj5l9ngfZ82hG0yAK+KbvG8+y10ROrNk
u5AZucKr+UOdT+AfiD6rcmy6Jjj6YxDxA0MZYcrEhhpOn97PLbi8eghFz6XxoEE9YCf36o0kO19V
mlybo677jT7cLmqOS5PWH1La/ZQS2XeIGVZLNXgaMDt7U2K9iwrPzvJkONCF7qI5vUrjPHskJMld
1ZKpi+2jeq1h3DkWSIE7S/umq4vm4kHvqaQ1SCZMk7o2nSsvmWcMwkyS/n8cXdd2pLoW/CKthYjS
K6Hp5HaOL6zxHA8gEEIiCPT1t3zfzpmxx25Q2LuqdlVKHX1v2KKwhCad1rE9hsKhzBaHzbAb6aOM
T+O93/O/a7T9gcvRSXcbTBegD/zWOKQFBpsxKtDNP8lUX7jk9xut7jEi+eE4iXOF4K+0qYMnM/Mj
S5xJMY11ZxvzMIEXyfRkVDlvY5zFNCq9fU0XER4RU1/4Xndf8+A8RlVeVVPBgSAtDUzoaxsPKfXG
MI1buBnBK/5vo3HWuqkryS5eRC0+l3g7u1+BShx112THEdPzuagXdzVuew3MdDf642O/7ypvPfxz
PTG4BwnLYtlf+j246KnP1wgzigvDUUvq+1W0ZVdXP5vGPEwQonSeJGY/MW5S8BV6dzMnOYQ7baZI
d7CyRUysL022xh6cN1a/GBS50y76kFZ+9a7NcHoi0UU/qlFBXAmCjnQB4BNodvp5/+BGHQcRpn3v
5TTp63Rstle14T33tRapjN1PPcYK7Acv1tH7WT2orNiscOuEWQUtWb3s12iV/p1u4mfa9h8IekAs
WFytKcxgnyb5exPq9sCD9tib7phY3ORQQEbjdO53iF7olvh4evoJi0emSO7DZyXYpTvzshm4Xuq8
5q/XYGgvgXEO2b6d84KSu3kpRq+98TG8W5ZJLFhWNral1/m2Qjw3qUQazwEukomrvz0cL/6rYy4v
sAHy4STovxuUuRmWiUkHfEUGScJ1nlixInDDjZ3LJkxdfuHuguu2baaUtfsBgUNnh+LXYJWImj3N
foz5FDeavCZ2OpglxmAeMUuq2CQzTuuL5uhCFKtvFF/UUVUGc3WPpAp5HvYti1VTCt4Vo/CxlhXW
mW/KINyPqpOwJutimo5tf7OzfwgXMMT7gusUgVTekPVieOp2lGYNvfWefEgG2HKq7Vc06U0mm3wj
snUaRnxBsOYLXXXuiabE6dSlfOLY8/4DVX7RIK711tRcZMvUnqeoPyxQwXJ9nBQc1QdVdG2NnSRU
5qtfdHcF17C3/dnx+hp2LEwxLQbFad++e3LKiF7HtCXhoYHZ69qbj2mJD4AIDjzuPQwqRn/rARXn
uOeJC96Hdjpy57CMvE/q7YfeNq8BmQDVClGIyBTJ6g4Yd8iY3b9mAWK+1uRxjxEJMcUvXPmvKqlV
mrTQ7vp1OamqQEX8y5sdQhLeBlSfaV/p/5Co9F1H/lsEH5zUUIMIhpGmzA5NmmzsoVqSdxq422+N
kkZteAjmCYUQfZITHhjBsg3qVxjnf0r/Fq8YwiDTA+v51UGMm0V0PAk2XnUsunSP+NfUrY82bIpl
DvMaM3QdjsVN+Efmz0U/istO7A4fXLmnrVc/b17/6bVtlOrKf1/3NcxVX33W+/DgqDsBXc8q3z5K
Hjw09Qa7N7tljfW/hGC3qFdffGKgl4IBCepD+xCZ6qdSMNEKd/+LUQERQ8Pz1pCHgRnccKY9MW9N
qaZ/8JflsOt02D6j2kLLgbuBRfIaBe7VNeZERoQAzWq7oZs+tWF3TyCEsyuWMb0bkz73EOMkfDzn
HUfGUpGiE/gRfO/HrFvoGZ5wGFJWKZnhhz6IzFqZLRGAcRkdeVj9A2dRzv0apx0ZsnaZK0Rkdj+I
7vnWHDs94csrJDzvdbUjAET69071P5E/ORCwBhP9LOdqyZnBo42kJmk3CawAhMUY5/fpQChJewpz
FrugsLNNPhEIQsMQ49lRePaFLw5d6ME1b7/4ImRHQ/ht72TZkOEi0G3ikT/D6Lf0cSkwVNxKqk+r
Ecu8u/XimPnxpqjCWdscwlY9R8p76Gsjjwgk+28kA7IK61AVRPJnm+izi/qnfUp+yDY9QpOe1RUv
NBkvFj3Ujt9d79/bzIotiZ+VJV+wMoDh21BWw3jEBjqZBnf61B6XGubP3ZKbFuJTg7twUcmT9Oo8
wI3WoxhbE1oh0Dc+EBKdZhsXgV6KMNFfEhZgaRJ3T3sUFFtPL80aFlHFb0M8HjfX5KM/HMK6RUkc
AjB0ONcHMZu0ClDgw4JXkf2d7b8/CUETqTdg0VRxJpUptLOnaBFpt8WYPq4K7IFjL6A84q8cl9mM
4BhT8addzn7uPJOU4da9c7jO4buX9znGppjcWdV1n6KfyrrdPcP9r8usmR9HNdwtDs7KyjZbGq0x
tASBzZEPiONjKChoj169oP170kGSetWQTrX56AKUABaN3M5TggSzfTAQkHsvZtMwL25RG/+LZ54v
HVphbm6qDU7h0BY1m27BlsDhBzlo1ZKO8gcboViDANmCW9r4+ioIw9sOUq8VJWvBdDXLo1q7B4LU
yKa52yJ3bmT3HMm+UINLCfHSho93Cm3EaF7iWmWe3V5s+yW8L02f+2AvFRnf5pkd1OxgyAS/dP4W
jV/e9D2JDg8PkxZ2xFoMX9sFStsEpl1LqumHj/mzeUjZIG+trM4LGXOopdK91ylVN2VvRL3whmHV
7P+fLazXAZDiX5x7GGp0pwGNh0deyVofG2HP0bwuqST0igoIpwGAAePl6/QTItsp6doUUbN5EDzA
oDBFevgtVAC74mvj/Vm0X3gLzeYtflqNu020KjqNBTq1med32B7o+vVH31dFUPtnLbt04T/1KlMb
T0U9PjVedI3X+Z7Vb9Q9NBWO/aG+b2tVsOFNNTtOTVNEKHbhFHDYIkBPIcA14mcEdpc1zIJ69RlM
3V1MNN416Ab6GOKe7uCj1Uo0H/UJw+UoGMhF8vVQL38d7tTODencO+w6GGR6uPR4BbeDoQzwbDHZ
D//6+tAAB2W1zkQ3FMp4ZxE8hvOBBDIN6hXZYnAXOVHxurSfPXQTjKtC6Oawdw9U4wqID3SNclL/
J/cxj9x6IOFJjTeKSKjujBxkdGVIvwoGmXKtcqQFZxv7WkP0cl6V7sATLab4x/q1Du+Jz56G+X2W
JcJZc9od2PzR7146NWgjTchOOyr0dAk3KNaSv0w8blA+eKI/2i0Agt3dTO8dorop4lafxXrzWnvW
AUQlMrmYMLlOc41dte75ouaXZOeojD98mCwbKKG3zzUabzK2bxP7DgKbmrgtWoFJur1ZzgOugGCX
RSdfud5PVdw+RkP4vNcwEhbDO/VRAnFdNC18p1E+kKpLY7ZAlUjOcIxOUQ2nA2ZumwE3SN8dfbQZ
Hczn9cmRuVByPzi7nyIQSOnur8hAeVknWiT1C7M/ezAgIOp5jD6cF+ZB96Dih3o5O+aQLEeKqUII
R1vGYXuZPJmZEceosngf2DGINUyqJbMYSAgwOK+0BVI2pUAtzklkLj5eQtVIJKOHzxFbXyGITh3d
Ts1SF1MN363lbtlw+lbtNcBq7nTwSOyxqbhN9fgT+yKDgechQmXe9gZmTA7xXPYCAe/LNC5nq+VB
r4C2dJwRPOSIF1HI/kMvQNM43B70yP+scSSyJNAPLR0Bpqgno7dPR5vfjzGmPiF9xnfx1LLoDw6E
o+2JhLh5fgwN0iX2AE1Ai2ywSaFK7dp/za5wivsYbmn79UVRfLFX6TXfg/jOr+IjY/0V/40Cqid3
zUAA/t8xPRwni5hQNA1aqgfjEczr/aZrJilvb3orLE3wQtp/QW9zWFRnBsgCXbZbtdcHDcALKTwH
YdCMRjjvWw83z1rMKAFUL85tO16NhpC/Gtd8iAEwj5/d8FDV7csyrN9bZbOJNUfubSnG9gpctWnU
/As2h7PnA9E0qOZEATzRz2N/vCwVql4sTBuimAYAM8q7nvvXeY+A9dnD0GN1j0ikxVhlkoa//0gC
NVCNMnkKLtz9lt1JlvRxXrnpqwbwMMkpbcgPid0T4X3Rxw66PwT+WPQeNigQFw3YG79EKK6jiguO
NREAL4SuUuBIQdt5oPiWvRqzYYmeZrOdCfHThv3VPk0D195x+xCvSaqVTefh0DuE3kU9nnaL1nRr
49yo5rAkLBUDro0oANc9b89rnZwHn71siTmjKH+OgreOQhXW1WcAW/nmNUXInx1DauhAi3g4Bni3
blwL2DFmRNk7TE289Yk69ENw4uq1jfCldNYPYbBcFjh3DjvPZRX+qWP/BTZRKaOoTTtzJCL5PfK6
C0DKO5Qax8AfPyLvd86xyTEQe+/XLwZOvxzhrnINUm54GkKD3ADz4EgSTCocp0tRwfWbtQPiAvWh
Qfc/DH/9MSqRU5Y1sCHEuZLNybPxVDHRqz/7p0Gp/+hQBNWx8zD0Un1DLpPg+c1HbumJsqDonZ9H
LV4YMcfKbumAOGAI/vOELLmMrpMc+mzlFmXjcFTYBLF4D5cFqwfKKBw9ofsiVYDYWHnFlPAVmePF
MKMSgx00i04GL0u3ChcJzL+CN96WmEXLalyX+MMeUmQHeYkzA3qs/2rUGR6OrQCoAPryc+UPHxT0
RVXtHz5Pypq9yg3+sq33lzTzWfvNIVl+Eak3T+M4de6iCW6ubTt5+1TGrTwo7PZ2YKkVwXKkG8P5
7qMtbof4Y66Hm9Dk2ul1Q289/1dNzWmrJlMYvtN8WvwnxG38a7So0CJ2N7hToLBC8wznov+EB0PJ
cHxKYvtcV/i0e2LvRyte4Dr0FGB8gY38G8n1TzBtRGzj9ro08DyeDzy51d7yvMRP0ELk9XDvJx89
rhQzfUYUo9UUnou0P8Ek/6QCjl4dKrgQu+s2cQaZBrnzNizyKSzXhh9q2R93829B3I4GgqqSNosq
wAoYVgSEnPR/1YqkGquKBP8bRja1uBsYSZvwG7b7hzr6XFZ7jNktRqONaNdDa9uUJP9mPM/O5gyW
jDHu4LjRGE7UmTfAJKsOzsDZ0kUftzUuY7qceUxKpQ0gt/tobf5UId41EWlCsHJGcZz7X6R8kcc4
3vebX0+Alibo6MdPvj1gIZ9G5/KIk0Nnj3Ym+eY+W0QXCm85rO6dC+BbkSwBAJxizY9x/ZHw6rz3
y+V3hFEgKc9TsMpmSSm67xUas0RgmrdJjhIdOcGQUeqi7Vk27sVh+nCFMgThGw2MdkPlcBq+/M4l
xvFDCy7DrD+wneJwx02ASsLhIav3Q63noxBTFnoQtBnMNdnlyARNveDRRznd+X4aDnfT9pzUkIGI
P5WJ04RDQLi+NYj6NOtzix5e4cG27TkQgDG6RyzptHUs/S0+pAO9od+lP2eGXaM5yJcFHUySh82x
B4MO+HFQQAT2nz54CQEFVe12Aa6Rzj7+AfMzeGMau3+D2kpi/Ovg5J85slkkk1yE8EOe66KX8Dbq
ghk1hDltXnRcg4ehf5DJi+1VOazvFTWpXmrke96G6DWCz/qimmytyoTwL5uMiD+khasBEP06Imr0
twChZHRh65svkawGF6OaIRxJVsUGaDZN1BGpASWZ9mJCAd2Gtmzb+UzWNauEWFIfne6s2VNlpzst
N1SVTJVV3xxgZXCKmPfcg5zzxXDsYvJUxaqU4EjSZrJ3Rg5PVkqZCtt4KWzJSoOEujmhYdZEgBQd
LYgnaTaM4QUoZkGH5RxxhL6ZfYlh9RBOh6DCyRgEB9MAkJ5dZLJey5cqwkldz+E/uI81p06H+SDn
10DAVUey/cq2fUaWSUfKKYmK1qJHZN1/Pt+fzWKvYO2y1aNAOvU5ovKiPJBb1ZYS+d/SSkxv9ocR
7sfR8jzC5iLov2qFOLUK0cb7C+unYqfrTXfiTcrtCacmJKAArlvzUUtxcbV9auRyVoqiqf1x2hz9
pX+JZ1DyWtgyAiGwOnGYYvh2NDqzCGlFAdReZslKPq8CzwJ3NDEdWCNGP4zn39utL9EG3oNduQK5
PQToeTxD0rGC51WIwnKLCeYRoZuGsdgBUs5s3eoLdPfPW9s3Zb1Pd1Bv50kdf8eTAuuA+C2/yih2
74iSbZ7/7WICpBWXapMn4QMB65brUsd3ngtz5NxeWxvBoFSW47bm7Uretm36RXz7tEnEQ1QhMnQf
z/FUH0SIC2JV5yrcC8lUUQGWox5eTPCy73MWtebF79asXim+nKF4sVk/zAUa3Nwkn3Iyp70B8UdZ
njQGmbpVMcFINPXG8cHfddGzGGfujyL9uZbRm1XdQeOjE739ugbf73uC6Gb2IdY3266HRLjjsq3l
7y1vB1nqzRaK1pmV3QuU4QcdQY49iMJx/uxRbDxQvzGa3GZtD32nsgr+796CYwVlzFK7Eaixfwwm
bKQpPnhh99/MkbCBfefvD7iPwSPa68LBG9Hp1u2gRuuLNEk+8inzNIoDn2bKb8umcWfmtQ9b2Jco
BwvMPqQ9ADG+t4eJ8MyI+lolyyGkgIIcvQCGqWfQTU1Vtmq4Ic710viqcH715Ibttm/Y3RteWDgu
mez2Y7RVhQp/Rm2zddZHXoGCAtYVGnnzxuY76GY0YONlCNSjbnkhY0h+dJjVXVjAiuGjCvA+Fnqy
XXs2GzjJWma2nV4gwQA46ucezBgH+Ujb4Eg9VG+yTV6WHQ+n7s9kwdzo7ydPqpSiY0qSIU8Gns3z
W0DArNFiHBle74gElCaft+nGe51R41Ay8INRtrRwtG48gzUPzdrsHnv3Bs+qY4WzCE7yB46MG2b8
l0oCNA9qcNL/qG6zrU9K2oGm3ZNDgIs6WZuz7OfSn+qnxUSHYJUXJrwPHtjzKIf7xFiStV5SKmDM
yQx9gbSXdm2vsgK96fHrSICSV7QkC95BuJd8C4/+huFDU//VS4iJYJBC9dCfVQJMwfTAIszZtugJ
4jENkq4Q/npRgJO1F+XrNj5hvvBKnTmAm8982d3xxBZi319pp++RN4yM3+A2xmODh7MccVBeFtX+
CcfuOtQgkSJSzrLJNvfVgLhCFAUK9/fI0MPcIhelw/rksSrmEAV9wg6OxtdZ9u8JhYXYKs5Qk5w7
Lt/qJkZk1eDfeVC1jDYu3TJmAGkLbx3uVsEf42BGCTHtz1WD5mJBxzSI9hCL4VHAKu3UJyhKAfM4
/CLqbJoRs4vAbtUQnQV6KOs2m+5hfKsUMD4e37UCGOiMJQPyJqcrPQqv/Rj4/mUshueQYp0hswxv
mxWB+q0S/18ez0EWueBtFx6Yyf2hs+IbAwYv/hIsmTeaD+oE4pA5C/J4jx5BmEJ7a0sYA+K5y+4y
VRIX2rSSsmFoUKybogxNB80QMn5PBjKmukMjvE3miNOWZmLkDN1Wf4yW5IrEi9Pkz3CaoY8N36/d
hAuvSnJWW2CuhH1WDnfn6gxyJqv2zKromXSIlWrh+s5xeKVbNX8wNK9I6fuABAATyxbDzB19qKvu
sq2VTadkAVaXrNFxD4TIwi1AttGk3Q151GG6s+Vfxcmajyy5gzCiLcd4jko/nm7GY6dpEP/FA1XF
0Pcgx/TwmkxV6W3LO23mP0irZjnULZDMxAY9bCUu3TrngvGHKnTHzXpACof4jXTi1OzbP0CnPIX/
0JNpwWGYLsoBYGkU/8MINJEOqfTo0YUaR4cHmk0TlAJ0ZRCHLCpON+nLPOBuyOk414fRqTsVAF4K
G/cIhOVjCRGlYQdW5wNGwFKyet8z/EAOVR+/400jQtY7DQ6xpHvC66xtwR/QZTqHUIsfE7Sa29jS
bB2rmyfIaY92V85jd2rZkJsteagpl5nTwk8R8fsfOC6douHyU2UQATYTdtwk/iiJRtgh7IBvItz1
SGMnz7tm2x0VUOh7EKhkzCUBNOvRvy4AUxUm3ZK6HpCETmY04RTM+JQMz85nIqWE2htvhg8cbu82
qMeDauNXXFP0GAj3zT0j08opViyS/UVG9COoynvfwGPPSusdQ7+5zBXSYyHUq9NOuMekxmfiABk1
VkpBR5SneKbbsRq3cpuwW0K00jrwQBjGwZ6u8yyOegufsNI+uzruQaS2SeEEAg0Yg1KhCUEy1bDJ
zrVX34MLlaDDR8wAge3DtMqDkARFK0B8TAiZ+1oOXVY7Bj9dWb03AcBCT28JlBTiY6u9F72zP2PN
u8ytMNvqOkhrksqGQCmxBaopeKqiAMw2qfMVSZGZ722oKsP4DwIjX2kiugy64DarGwnPhCABQ4Jn
A6UAwzhO138gYwlm1h4q7mlAlztUiZ/5rv6Ba9WUGbKc1kGDxhuG/8iU3Hxf4fpcV2ywwWtyzAWj
OMaqxQ3rw1VZx1OaDMvrb2JlCoORBeKUFakmZNRFpe0baaAQGN2EqYyafE3h8GaJAhEX1Hu9QvrS
8oMFZHLyxAaZyDBj22oHYcE06/tJc4A6gU6gKWrw3ojxTjhfvbyGWfaLhafUsZkhzk24WrM5SOqj
YgDj0K9b7z3u5+E6MxQvk422stma/tLA7rrY1WrvaWLcnhPFp69uSsYMSxO5pdFETizR9tDRfgDQ
05C3panGYoIy8MSXUJSR37yxzvceokj5gHBx/6mNIDrKX9AKuKFvL5bUa/c7X9uWElVNGRFq3ubB
Lhfq9HDdk4Y9z1sSHJBeV78hnoxljtZzOk3E5cJ0fRYKHMTC9uujMEN1zxoBpkr6Ua5bRuBchtJo
j35twvsqOmx2QNNBdgo2mK0nITimluGqgEfTtM+mkvRQoWctkzkCFdIqV9BgQedkOJovL6hPkG/H
5xUZ3q/jgj5u37Q8G2/j2PgxuCIv0XcT0uf+AnEG+DVJckB3OpQL67tzvMz+dWmcOlQsnCBQDmjZ
LmYvrfHDcqojeKgD9DltUzTcaWOaErOmmBJrKnnsN/BetsJrx6MLLk0/bY9mXHQGSkGfLBS1GKij
XrEHM0GtzoG/sWWE14qqtvs5WWS+NY33IRJD7xYQzNjlOw68hrAC7EL8FuMsPWk1k2KHsgVPax7M
zbrV3Bzly1XA9KxUnuvLDrXpAY92x427q3sR0m+PxCO2pLIoNbE6WLxDeLQFfamYx+7MrpMrTnF+
Rc0zgoYA42ISnGj+NjGsE7u9scbGFx1yjQOBzGOJW8Gd1nCnYeoxAr4Bzxu8rNE5RYTyD4R9zV8T
hvtth+Hbo0jm5cmGCWqaXW/dzzIQzBdwb8lbMsg/0nX63ExMzyg9Zlz8QkXBI5uJfDQksWjtrMGu
XNgepgp582CMSAhm+Ncbnbn2SPxoulRdjwkzb+5BZ2yARZ5XvweFZSczP0H26eCDCvcbKA0hDClB
Rw3vuiMzDuBIFABt5hefdQl0/k3Q3Lmew1MIaNQBeBlsNXrdnbvWEyBQUDu8D369XdutlVcb4Bk6
D+UvfmbT41CaoalEMdV9ebRp8DsiMK+YGtE8evL3FUDw/Ar3OOz+qaqABy97orKw3uwPUx5gBuyc
BCQ3NtpnF3bgfzp4u7wu0QCyuapEh8GLQW/uWJsQjK1tKvvSuU38sSPeI6MVLp56qQDQdmCA4TQT
Ntt3HRD/c9y66TLHEwWdgDiun25c9TMLHL7BbjtIg0U7XIMJpoAviMWehwIrlnbQlHJ2CwdEUU4d
eptCgb56Ynz0IyBboNxzPzTxdIoSKW5821Y0t5QPR72QDYC1jfwxE56NwXVUM/9V1TBEh/sC5TnO
7qD+dnqrkOQwBzEygWG/3OTM7/2L4sy3cHaiQECnjluYh0I8+Ao9EQqxbewqU9Y0GP3SzXsMQoe3
EAXWu8Lv1jUR9FJVA1ljTbv+aUKND533yBh88z38ZFSLA1rXkLbrn3kYvX+wpUQR4lMBoY2kcxI9
KJyhY6YgLMW95kGjg8lyoCSXhq32TyQpw8CMRpDmQ530GrKMJlr5gUXC6bt6m9FL4RV//Mo+MSwk
/AboZaTokBFgiRQQ64px7lUEY1csNEZVQyoPZN4esf3VbeMo4UUXbf+2LVZD3nTOU5dooy1G7+QK
kaq/WRjl7SoQUOPC3zJLtgiIiDQkWgpJlnrIR48s9z3DC0wRqIWKFDbhA/xIRN8/Y8e1YS5D9PQn
TIDO7g6yOoakhH0GpV3oCcHrtu6GN56gojmstJ1K3sVLCSoSZJlFhEt7bNgehynovmq/1xNOgKwL
e/bgMMZ6aD21vBgZmOoou2HDdtQCvPHSeCfDiLo2sVn/W7maabrCWwRCkbAXwPJm6sG+cg5uTM0R
zzCq3j2g3pUXF85JZgK1nWyt5MHzRv7Pm+tphMqNEPARFodEwHd9EUGn75KGr4Xp4faCfrIJnlcO
ekRDggQPopnyMmlX79hskjx1nRjkcdZLf+U26eYiFBtkzNQCZugInJvRTkNf1jcNgBVGFy/rQ7o8
hvBpOCTWSQzkL9IreTUlmXKTfheOo6k1jbiIHh5HM/jrC69QayCJZcujEAgq7zpbQu2lUifqBVYV
VL3NUDek7b73l3Bq3GnahX0MwpadUFsEQK385on2pDrWtbIQ0BpcwnLq3ujeu3KTuIDaZAhg6AEm
QtG9PnUgSy90w37D9B1whwT0XdBDfKmqhf/bhnU+e0CeS7T/JIMCYwMhYx2UtHNzhBQHcI4O9CPO
Vjig7NaUHId22fWqhfASIMQ09KRI5nj+7qYwxFiqXKPHyif04DoqimbxNzDKbCzqWeI90noCVzTy
i+eW7lxZAdf9eR2e5YbDZ/XCOgsNkMkGENxBNLA5E5X98nsN0ZLyvTzYUe60a0xBZiOWqPNAEJIA
DoMCWAWz0PP2cxhdRGL9+7nz6/9cont0a8tqXr1EYjAAQlSWKYn6rJr85TwmnnqpzIxOt4fDdG6j
YP8ccIqefNfCeTTqwP/aKOHfiPrqP1GMgZSp8GnBymwHVIM+RJtxxD9jOQVxofxq+LtSvueV8rpS
sxnzHtHoIdA5QnfYMiN+dM2b+0qr6X/cncl25UaSbX+lluZQoXF0b1Xm4PYNL3tGMDjBIhkM9H2P
r38bIT2JhG4SpczZy5lWJOmEw+FubmZnn0tXmPqVGsp8Fpilx9GC/h5t0cQBbTCV4dXJ+AnkJTnG
vngYQiujXS40qpD6iUuGqvS16lnAX/+a8dExfW6LgDMhYsuWTZEbazlhEJIF1TFEUXBrZoHzolYG
DbEFMTN3m3JvkC+8K6uEDTfSm++tGXX3Ui6zL4eiaTdFgmDAHSha2Kmn79wUL3MXf153oWrmcLKG
PqfgTjPPoxI05W2bmGaxHEyXCCg1OALpkjev6HNMH5u487fCzVvkX31549utTMdDC+uQHpTLiEj+
C8IINsdSD560zg5u/NrLb3XKjRd22jbVopBkce2ltvSUJo1Kd4YXSCiPO0MZaLlMSOMrJMpeHF/Q
o90Rb7wavql+hxLZbLqkJPlI88smsa3qsiyS/E4pvepIf+FwaHxALlSP+uDYNuHYjh/MkCHOCnAU
WRMQNdRRtfhRRdWldW71Heqm1ouPcp9vrDlYw8wIfwGwg2UieqGrtTdz0nLxkn7XmYf4q75nhEbi
KKBpkIwpYH18iCBTuLN2sb9San1n0jUCM39jk9/+XN9zRl87jgM5nBjsDHYClU6DhpcNhj6t5J4K
HOh6lTTvRj8A3pwlLvxVTPRxuInCrcojp+2dhI4sLR1T3uZOrtAAOB59fo1xRcPf7cwD/lW893HE
caLfaeoyI65aXeEB/S/pl25VXiYbVJKXqAB8PJFwt902T9kp/7de35/TOpG6xVrn0TzHqJJ4i6JH
X722g8uZJxuFZB/VgqNaX8eci1hF/Qtg0OBICOWoohOUYs6PfokoZyuetZ0ESMt8wE/jUb4gbqi2
7WKOTnxGrvtx7PFvezerTdb6dkiVlmtFoFzYgWi45ajRg9WW7dYSMReZnNPv1dOU4l6SO1x8SfaQ
B8XPeq0RdmyVVLM2cWbo28+n5cyH82FWJl9/4JZU+FzM3OG6hghV/CtcQY524f59Of+HKbAmvEFN
ln2H5PfoV+8cRtzi2kKc3a4a2ii27r9hivpxuAnJIPF9swky3nacQI7qEDpo9/mcycjM5Fnqx9fa
lXFTB6qMzTl9RAgwjOChTG4+f0Hq+Es+WbfWRE7rep1tFCVPotwZ27ErFECosR71/SO6DE3MkU7D
cFk+yhsvXhTo2iGF+nMEv/OPSlbQUkZuuJjsC5IWyr5WoxdKB7pVssG8t6t8lZrd8+eP+y8+lT8H
mmwFwNuH1BmFSQV90VgTOlReVqhDVx36yGX1rK3j2W32rwfUuFj+HHNyevhuYJXoTmgwGOpLuwwO
utyfPn+uM/vqhyEmO0CeFlJeIztbFUW5ckmLqMUhie7U/vvn48y9p8n3bMdG2GoV41jJ9969SjVv
aVvrz8c4cyq9fxZ98imDVocq3zHGUHJLInTObG3d2nQiOQcd+Obno51BG394O/rkUx4GvGNSmw+g
XDtbUu/HAdUBDBJ7m27IoNMetZ8ZcWYS9cl3LcdynJty66/oiDeQzZs7WhuuvE25MRa2t4yvSYCu
4znd/NzSnxJ8rNKuys5kWG9fpYv0pwGiu7glRQkEYVXxWc8eTONy+Ovm8sfKn1LEU0IdL1d5le2B
9r8yX9IPF9U8crTBtXrol2SmLmJvrfygZ8SAl/735d8fX+5kX8kb1XR4wf5KRT1oV/EVgrO/DeD+
OMRkR6FLuivKnmmN65cQJXDDdU615rbpcdF/NpOTPcTogj4IjHEml9mF61w2GI6t2wfcY4/2Mryg
fUVO6WAZDQqPxobmmvmXOfddTvYYzysjmV4uYrd4Fd2LpbJQXmwcO9uVsbFvzLW51ZfqLtoa/+F+
MNlzLBF2Qg5tf6XpVPsRONBJ2Dvf0uox6LO53WBmxU7RHaUcyW3b8JDywX7MSMp4K+2RTo1DSFfj
svnhLHRK97QfLvI7eulv5zaHmb1hSn6jdayxPZXVJNPsbTqPFDAWeb79z3YgY7IDxSifuLUb42pq
OOept6KEetMuKwp0q3w/wmyBfIVzMMIzFN0P34oxCTY8vOQRdPF0Ymsc1Od4ndA8zwIeEULds7v0
1pBQosOckd7MAWxM7zldEoTkL3zaBmlo9bBIXXcB1caZWT0fSv2x2xmTzQYhXRyQIiSI+UHVEK/S
aqfe1atyj4/zZu6rmFsok20nLgLIRSVTWaXo52j/HuhpRxT1+TPNzdxk2yHOlbKYhlqMFe8KpOBG
MUP8OXflfX/aG5Ndpc66yNAk3k1Fj93C3w07Y6Xd+PeA6NfOcu4mOLOHTbMRiYxk27Pxb0R1S/sO
XfkvFHqXDXlngxLj55M384r+kpjIMoleNhRAsTy0C9uRnI0d0DqkC4pKnw/1L8L4P9aeOYlipEEx
cwjA48Waw90C0FAvlVfz1Xa3hb8eA3l/69zF6BfCfU/LintDWxndf6f2OBtRzT33ZHeheGg3Ba0/
o1l1eiR7Suuitkq39tLfy/UyMRb6D1rM1N0cMWxu4Mn20vi5naYyq1V3TpluLszmSdWV9edTfQYP
+GETMye7iQhyC7k4X17g03O1dvsF3Q32K7oifVMuR3aYR4FPwWtkLdxVeJ3g5zXnLa2Oj/JJPGCO
U/Huyi8M1H9UwwhsbhDsAyUSeMnTiBstjGd/3Rx7cuoHPKbp4d/IF/Z27Albupi3RNu5GGtuVzcn
W1EdwpeSxwi6XXrs4Gx89Piu224TkQaB8NNt0S8svVMkzZxjM7uTOdmdgtr23DZnErruTm5I5GKH
8/nLnhthsjtJsQKlcYx58mqIv/h1Vm9azUxnGEln162tanjxKpAnf0bu715mHweGEZqsW9ejtwm4
ZJ7flPUck//ss7wbZbJkjIjgrTd5liS0aI1HqOXPfRpzDzJZCa5lUJtL+DTCL/5ltzI3lKqda3uN
avo5umwu4430Lf76+SuaG3OyCPCQj8BaICsN6naveKi2c2ebIgT/z4aZrARX69PakFjkg9ffKaJ9
TPRwHevZzOXwbPz57iVNgt0kcaPUHi/yYlvsy2241bZohWZ5lOcvg3+O8xNh927JRZlaVeo4a5Bq
UPOjf10Fm3hJAJhctSvIMjvp3p15U2dIZ7RK4XAhm/hoGKY6OaSEXKMP0fC2thL1oKXIagf6rJdZ
Q8+yriLdCSS3PvJ3mdc2HQ8XomjBAFeojC0JEpWZZsVN7SvwV63MnInexqU53VDf/22TQ0tpZM1E
MMGGipq/R+4TJBtEtkjG7JmVdO471EyhCM3GSFqeWiCnbq/qtc1H0qAwydNb5CGrv79WuVpTm7OF
oGIx+SRKlSRT11IRyfWj7O8s8gweAt/PBzk7YaBcFZ2MjGKpk+2kT5JsQOzHZPnSocb/EUlRdGHk
8ZUSD3Omzmfn7N1g041lsPLBiBnMKcH5QJwwpR+fP844J395/7gW6goFR5ld/eOBmvZemyom7x96
E8rdCBwd4Xy3TZveOHWe/qoOFHU/H/P8FP455vjU7z7CLE9IR46JILM3aImn7q/q9CMad3KRbD8f
6twuqb17vMnbor2kkcjdkeY1h5WavtDrRT5tjoN3/oFMTJgtQ8djcPKBV44rXBEyiam4d0vUMv2u
0EfizZwZ7dn1gHeBrZvwW4zpVStwE3huFjmBpHIbysGljkgs0a/+/qQJWTE0BZtMleLfx/eTDhl1
BTBkq6oNdsK1Dqpf/RDJHBf53MO8H2ayDNKsUzqaZgljHGUFAvXBHpA0ff4o597M+zEm79/PsJb8
6YssAehPlRfPfvXVEozr8+fjnFtngl3NgFtNe/UUfW4kfl+bWF2sDJFu83i4tJrwqmmQj38+ztm0
raDgxrZMbt2c3uQQcArINwxU4CpmPbcnGv2dn/Dofiz6RN1yLi/983iabhHvhpze57IhMKrAZEh6
Stf6prij301a1Nv0JIELlrYtZVroelv6gtcoeB/mrvznYoP340+/Lrcw+tJgfPng77RjtYv39Z5m
iJkr+fnl+MfMmpOT0En1KsjHVd/7CmKL8gskhYf/7O1NzT0CnEUSe+BRdKIPlUKT9nUMPhB4b8gC
HcRMdVY9t7u/n7rpJ0ZXttMIxqtW+B7vk2+djOpqlW+9TXjj3WGJtkKCsUY9eFmNl6Rld11fB09l
vaCB7Am51OfPP/fnTL5GOhg1hd5BYtZqnYitCO8QVK0qA7VkNbOHnb2uvn/0cWd4d8gkllLBHmSs
cl3skVxqX6V1vKYpGXXzWORY5TSEPUTbaknG0Z1NG5/fEP5cTeNUvBve4qKR0RzDGUc3t85MihHD
1M7EVGfj2fdPOQnPEyeGeTkGCMpV+UUsAbbcmWtlO2BQSZaDCrA3c6CeDWbfjziJ1AGfqm6gMK/t
0tqOPHCgK1G1GO0BtCUwQkT4d8gG55bOzNc5LXS3RWL7uczXqfcVKIx0Selvpph4Nif37tGsyUYT
V1FJu/7PRwO8tyqXyV13RAi1pROYKv7MTM490WS/gSeLCcu4k+P+sDGTeIz97z7/3s4uQkz1FM5y
WSNi+LgIbbDGtZcyaTQq02zar+32taI1/vNRzi/Cd8NMdhnUvm3eyzyJedetFNidi2anbZ0FIpoL
sSmWybab6XsYl/VfjqR3I042EklH24OWGCB8Bp2OOmZz9PsK64TBacObOFHqfZ2Har6gP06fszn5
2fb02eiTrQVhgRRhB8QngOz50ThoK49dRcm2OVY16r3Gbg4QUVma/4uel3FVfDb2ZF9xUk+UckME
CFfH3+WknKqFF2EhKq+CNeWL9efv9uwifTfRk/0F1yuj1fJxBbnX2SCQTdszI5yN0N6NMNlPQC+Y
XVb4Ab1fRQS6WIv6E0JU6UJFwb7P/AYr4c+faVwcf5lCC+0lXhfIhKZBdAxfUWJZ+Ks678FyIMoL
xcJiD/18mPNx07txJsskFqobtu7v2wlZjQWd6UJnpVgXgpN2zR1/SaL0Xl0VS2i5wD2eZhtMzs7u
u79hslyauKozo8OSmbLJBQ7vF26kP9lV+5TCavl35pWbt6zRyYKT2ORNulUrR7GPHaUpzCez104y
qkjXR1H9+cSe32/+HGgakOL06itdzsSqqDU36lrZ2Wvlpn+l73uRb5JDcpqr6J9dMu9GnJwMPR22
eeV0PBogwb5FmVO1ZBLzKr79/NnmBlI/7th67xiWMwZsMdRntVjF2V7zZjbP2fmbHAu5qnWgrSVy
elfpl/LZ3PlrZ9UsodXIr8o6WNuruRD+7Dbybv4mJwTc9N+vR1p6lUImiGnc/3zi5kYYJ/ZdvBXY
8hDaPyPdor5W/WAJa/Hb50PMvZvJ92z0sTnQVoFXrQGQ/VIRzcJAOPGfDTL5YKu0UAa7ZwGE/U0I
FkGG3lfPfalnd4V3r2Oyq9etUSRmQnYiKmJ74ULXhrOnP0noZGsp+i2s+u/X7v+4b+n1bztr+c//
4b9f06wvfNerJv/5z6vsLbkDgvxWnZ6z/xl/9I//6z8//ic/+ftvXj1Xzx/+A3aQX/U39VvR376V
dVT9HJO/Yfx//m//8b/efv6W+z57+8cvz99jP1n5ZVX4r9Uvv//T/vs/foGOqPH6//v9CL//8+Vz
zE/ep6/P/KKkPPNTb89l9Y9fJKH/ati4hsnY1GMSYo+1y/bt5z/p8q8kQlXDUshVUvmwWM1JWlQe
P6b/qhi8GixbcRXE03LMk5Zp/fPfFO1XYYCz53+mQau0rf/y//7CD+/hz/fyX0kdX6d+UpX/+EVR
fzYivTsKBR1lpqprMuUckkr8QR+/GrdDXx1lbrhM9T450AwLxLoAsqkvOmBloF5wWJUWLqK5B0Oz
kC7UpXLNH69tTF3Kt4UCe6FoU2s7RucPoq37y9iEZYGaN+cjyXQoAIPulksFTNguQAfzNXM67Qvi
Z/OL4Q3GD0itxr1iJdo1VsDpMUeO/aCKEblhO+2FYWSptRAC9FmGSviLcNX6Ww7J9o55FV9NPW9u
qsCzNk7Rud/I9QFdGd0htmXmiksPWMVLqCMU1jWsE3x4Y8vChImiFaG0AcnjruS4YOOzTPnSQ0a1
L3knt05qYURtJiZpAKH6lI6HGNoanotwAWJsZVItA7HhWJu6dd0bNU3N1aAG+iZqY2dbNdBJsIos
NkONhNDzVWBnesNFIu+1J7kRym1QICeOqUptuy7yKd85wbe46Z1+35oGMVxoagCAXXvhaz5WmU4N
br0DWxE0RWttjAwZyyapeA0y7DwrBeIoJ/JOT7TC3quB5hz1yH0damlBGhHnvdznPZbZ1zp1siPg
8fgKKyVU/cD9d/QoS6vYUIS3kgIoIlYRZ2h8PXMlQ8GAauHFsbYBeO59ZY1Gt1o/CB1kQRfsrFSH
KS2VuXlAuwSLtNbNijNFqe2nyElN5ijxQ9LWhpJhRwA3QIAOP1JBFt+KUCgrrau0TWkE6XUDYXgd
dCm4ENzTvkRyBfbVA+nD16XeCSeyN4mXA2LI4n7tdTI8b8WR4MOETg6aVTY2EcYWMEeA9iBM6lde
3PrXEB083DosHVVOF13jBupyA48tZgNN2soJ4jvgRF/MGr5vmlNHtTO/fG5bFNp11hiLOK7yH3Uf
0JCbKBDHWWPFRZ6Y2s4XUniTcn1bRS2o1xKR9agn7+joCUAQ0sibij0S2vyHKoBgtZHjniJtsK/N
oO+OWarYS3befl/4WrOxOrvcGaZL55XSgjNRQvTdIwZXbr1w33Q22hbYoGDJ2nanmAjrpdJqqWzX
/jGDQL+N84j7fmhLl2lvaVdYhzR3eWZA73CA5dfCyk6Q5WCE6hWdR+C8l07ao/N0e+/bUJXABgq9
0l+NLrRfW08pj1o1kDpw6vzKqGQZEFxW7dywvGsLUVywlZQbqx36G8NOQbCWivcoJWp/8DpFPuAD
ooB59updYuXo4Atn7Xld8T0BXVMtWu2UVfmdjux1M1jycCkVjnzE68Fao8m8j6XEPjqe3+59zfgB
9zQ76tbgLtWy4jqpwIUkBa9BeEuadd/UABiJ7jeShy5bTYR+y0ssj4ECZEXWDAmAT173p9py9VWU
+NUl3H9beyqSgj42c6nXBre2HopVXgoPfnmjEN156W1maZht8E3KoIcTIa9dLEDgfTl2f6gGeHpJ
XTt0v9tyv6Vwoi9ML+uu1TKCBT7E4gVREDYjRTh2W9Ww9QZJ6ZayrlkPnibKk5qnyoriUr4xHLs4
uTEAXrW0tQcr6509EBE4m3r3aEEvX3mdhH18aHZo5KL8MbVC+S2QFQBqilG+8UV0RymKsSTLinhl
yrm5st2KeDipHFZ0NVxDGsjXgEVh6RoJUoxWs7dZqqcny0HN60Uehb5akrZ1Kjj6U3ASdtDY2woF
7H0U2t3OyxHlkwy1FmElLOg4yJjt3JTucmFxyRck7G2g+xujKtpFbF9ipgiw2qmdtVF0/lVracXe
NlP7ntouPKTSikFBxmb3pSuMYovXa3eRsTfDa2pBSijwML+brmqIg8VWq69l1XGDYwc4qF9i5qJ+
l4Is0C+kMsDDA9s0+U5vRPhS5zGo90RrqxOYAEwzND9tqgwldZ2VNzggdcqqkTJTOoC/dS/KJk6/
a0mUvER2Y3eUVW3InIMjk9ju/cBHXe9p4VcAq8Gr09mAUwvNifNnty9ocYlh0GA3MRhpdhUneequ
kbgBlc465Oxrr7eRH2peOJq4ye51AxtzLcrSufI6cA4bYMJWtsmTIXzrE79Tl6YUyNbCcYdWoNds
ySpE0Lou3FRSt4BSvFMaFuJgKHrzEIk2W4e6p0MUB1SV0P8i2/fUPOW1rAWhWAozNp/g1gJ4F5LW
3geRbphrPjSoY2HLVw6DJLMvrJ6C28LqjH6sP3c+eBO78G9KqbQvwtqVASNRF7xJA1vBAJiFtLc0
yboMzcC+DEvHunR7ox8W0A7QBg7COilCUq68rDZ2KcINlISQVEL4RMEi9Zv2rTUkJOYyF0Tw2FJ7
X8oJmvUhsdYihhixbAeqTdwUXQVICgfCc1vk8i4tB79ah3LsaQTDQAIWZZZb27YprZNgX93KctlD
yGyr5NDGdrRFHdzdW0NcX0H7gIRh+t4NGFbvJoSzCXDDlMVDG2rOFbpSkLuQg5xikWb8utZqnSv+
Cv4W9nLvRjgmknzVAn8R8YxlXbvfLWMczfVjedd6NT/T+fIulDTxAALRWrd8m7vWbJKD8DvnKsQJ
GiRUiUyft24BhcRBIKwK6BsleDac8iJ3KfvSd9nVBOajo9BTBT9j1+hmQRhtRQ//xaIF8WhxqQZt
gHTpAno7nsiBb48eTZDcfIUXoIbdfSrx/w7jMuM7l7Sl8PgNZeBLsE4E1h6yF0OLyWW60XpOctkc
YQ9OxR/j8wvbqksOcIm0ZRnX/NV13b2EUsq0i0Zh7k0WgDxo4+qRteJREPkswgZaqGXxkG4KUvnn
T6PzZ1WUorIvUiWwF+b4z6j3vZtiBEtwHrSbgAW4FCKTd6ZctJuW2V+nLkuojYs8W0IaTlZuQSLP
BHt5KSoehm/ABrjDxwiDycP4w0YL3+h6eCmLiJpGxTqSS/7w0siztVWF9uUYed25DS/jt4c2+vF3
K1ZYbhrDZ+bTJIPDa4WFwU/ooniUU68Ct40OuoM7FHIp0kWXblIFdexvsXHcA0HwSl4FeDMWG47z
xzYoxyeW6MdauOq48luRRfUqkfWa7lS9dXehI9H0W1nVbUKPyK6ypfIOnD74IN2sD2YLf6aNeuUS
X6Tg3q1s40aKc+2qpBfvMnZcZxdFrsC9IsjdoyEsYpEUVrjdJvqx9pJqV4dtuq/CIN8ZCmmssM2K
r4nhRTdkEbDJ1LGw8JqkjwH4Zgmsaad5xtzqi6tmIFEcOz0NNpiwIa3Elk9Z2UHmUddSJrtLPcPc
Xutiutts2dnXbWAAu9bsm3IQ7Qb+kP9Dl0JYAoUMdrGOk7XV6yw7mZYVzUzSk6r21YuEK/Wyknqs
blXQksSC+aZXBosaeVyuBkuDDsX5rq9EWhWbAp+SlclZeVFLVr7JCaE2be2q39UuStZE6PYqBHFw
8Inv1joPDFUvar9EZTOc7Ka1b8e2XTAIHORHTMa6t8z2FVxQwMeS2UcGIefZizUUw6PlSzkYuRiw
ch/L5TGqi2JnZqEFEcNTTKI7yAkgdhP5RvF8Oi8c2YZOJxUVSEm2i++W3FvsbGX4Q+H3K2u9kOKt
krEsbdFFEsruAMShEic4eeZ9TrCBQ50+bhGutqYYlFF10jMPunmlXllJG78IFlaKp4jpwQADMH0b
lZ4WYHQD6X5w/LrZc3iZz6mj49uU5AJkeKK4BdFc4Xwxorwqln3dxD5IDziPqyz36wwIQQN0N4bV
8+D6smQtakV2rssUpa3uqCCDrZJ4YKXrHWK7tjYBZFhIqR/kCojgVth+iFWKLcMxcYeO26FLMx9G
l00Z43iUB5fsY4O/1bCAijcdOnnl8ufm3baCLZ2oj8tHECtYyw1D+Y27CluSnNqJtXNzP7qVrfFQ
orbTq9uqarG+giVFLMMFo9oUTeScgppb8MJLnKpepWGpXoZuA3ckdXBLoZ9KCuyVhf3SY2tTmec6
0/CXysVQBmsMtRlADF66AhMiak5aN6NCTRtNuUg4LOgRDUPsGAa1sZ1lUUOlDKjY18tS8rNTjXz/
Ou2GsFmEwJiuwrIOr2sXEzxVKoeTUptRugaDB+Js6GP7RFnTs0AVjvC1ipA8OHTs/zuPrqBNSbli
JQ2DlOKh5nb+hubrgJOB3DriO0J6nWMstsQqj3XeuNbI0iWOw5heRCWqfOYR6DlQAK38BpEmfqtz
MVRgWoc23hYW2mIuWXq4pUVM/6r2KtZpEd5SyaIxLeVKpBL2Xq4RvjW6Vn0vjVTdRwJji1WsqW67
rdsMlEJUKP4+rnBH3OlK6+CGmHlgNTI5OPVKmjxq4I84onwVKwGzAcoYu7Bc8daDf2YEqhAnyp1A
G3JyCD6X9aiXVmwHNed6rkViacnYNMOOCIoW/rwqvShcyiAvZjbmQcLSQK0ksgNXDm6XMxxiF57s
Lm6TFmimSWi2SGXca5eRYajuC5so531ryVEP/kiI9JsV5COm1yrd8kakYQT12Gni+pRy6gCDzbnv
WLoGnA6gkjDWIuvSVyADyje4RP0JTYhOykNTU277gQLYyara4Y5URdlA1yABtw+kgocu+ghzlK5W
wMVJLRjUFU69EkDveCRsswSKCEgTSK4bKI42HdCql+ITOXhduhM6lbhNJxyjA4pjluESmbBfr1t6
OqJlVg1OsursDkcv0yV2Xla5K6MDVJGfxtwN2LuDmkt1HuAqY+BUBrDZSbgTl8VQrUI3zRMAnkNT
LobW6qHwRZ44NrlpPPllarxAVQGtHttd9Babnv8lIl2A/SO+9wu/05tj3NbitbHtIoKUZELfC7Ih
0VaVRJy7g6cNWduKuCkAqfLzpRu31VsslXW1a7MoOWbse9Q1mjD52kDQXBmKhn6XldVckK5QtlEi
in0O8ELs26qW8cF00jfOkd7kLw+wmYUse2X2yhi6O1o9Qimb4QhySE8XHGH9leMMylMjdcqmd0Mq
Fy7OnHuf8+dW08GcL/oyxMvP7FT7BThKf/CNrL/R8li97uKy7nFjUcWl2+j+N50sV70AsguKuUkk
romGLMbzG/AdgSyf1xK3FCfYxlkCMAq7yAA/nkA3r9S0V33UfF13jS5NuhWaL73YuZo9FJEDwKwJ
FPcGMyz3RsL48hY2if/GR2K8BFlmm8vSoznHLKywXSaWGj70stE8tl1evw0tUZhGf96pK2sIRzGA
WtyfcKKHP9c35tUAYsJcoSjsdzkEuqOvqO4ld0Dvq2XHMYI0U4HVCMLMeOoGv73TJF2+NfvS+lYO
DbuiiWekI6v2TciOA9dN11a9W1i7oM2Nh0JvwExnWqftK6XACy5stGgZkpe7KkqpfcwzgeTOlPD4
BmEQPJl5DmXMF/2d6Uv+tyLo8FrSff2iI945qbIpLT2J0yAB4XHI7RJbPAXNcRwAK4+CqF0qrks3
I/GOBnJu+KZmLUYxBYf7QvEL7yD7zJOj6OlFmMXhGk2s1SwgH6U7U7WaEVjbvYlUDDdO7eYblTdB
z39RNhtDzsh5hGmxEY7W7Qro7LdGlsGo7em9wLXOvomqyPzWxa7/VYmdDDNeSMe60zZXVuZznzJs
i/hScVn3RUsVcghuVBPEDO6kNPIbvXRldhCJgAjoK73WsaSUq/JZl6A/OzYEmaSQBRe0QQPcFnoX
SQSDnnutv1XVyiZaTJQDgXp50dla0S2LbNAvOGWMg99bwZ2KyQe4ZfBKlZTVazt1nAV4OfNWNqBN
0vKAdaGVGXsj5qsrFQ0kj7JUHfVbUOXVBRBD7h9kTi+zoR0OJE9rIPqgiR2ROyM7ngYRyTdwvzLC
L002xvUj7oU9leD+J5zMUlBwhnLJJQ0o6G3WDOJRM/tqk3uQ26WK1h2OTTu7gVxLa3vIquDrgTlq
kDlRuwb0rQuHVCFttm+9TGA8Zg/XSp8FuC0o4Un0IOqDPA0OdtK7O9fy0ytH0SqCe92z2pWiecE9
1iLD0nB7ndueXGPJGrcg6BNvhFG7EeRRIGaIvH3txdH1eB81QXvRtM5wlEJJHDUfJG3fyiWw+zTe
EXvR64crWHKHhxaoogiXGpNuhFZtuaTDI8panBaLfONwlX1JQswVkjAOLwzFze+1oso5i/WhvVdK
KIoUTAvwhRIgepG5EnlIzT6FyUj5B/Spn7QEw5ikGFSIbm5/SrPWuWdbTrADS7lmoK8EA0f9/MLU
Y3i4+BFBQVNpMaYW3CX6BbA2/9XCIuIy6cYVlBuRtsH0LywxkgGGu3AjgRNm5sP1wUnlu0i53xiO
6p+sUrekY4O1AXeaPlG+1lCIkHkFCWEilyfLkPyjRl5r+fNChXdrhxCiD54ToUbbIBm49GhF630t
NVL5QpW+4Fzm3bhWyA0dcMsyIE1ywT0JK5gxf8A5371ASSGJAGlMPBQ+d+Yyzfg1RVDylw0NN2uR
yt5XIcUypDq/JBQLuf+lHpnq0A3Hy1ZNOgHHBu6jHE77Wo+cWyvQ3Vud68xF6NfGk44H2706aNqT
1bsWeZawXEmlkO7BuFMhKMi5p7UWbFUd2yI422JhZl1SL+hH8TgMsSh1ZZMWSZhgG00CU8ZCzy+4
Opb3pWltK7eOsCts0wu3zcSpj7r+pRCjQqQz3KekbrSVbmfsqSn49xC/p8uuU9loAaVTIiXxcO9m
+vBqtDZLPIs97nRW9xqaunIQIXdYzSaHX8oqIe54vXtOk6S7D4nF70KPdUAshMU5svgdF95q36gB
s1aEKtw/C3T6XamDj25+4vkki9coG1yOi5yshLBaomsf57KdUDGnXQWdJ5zfyp3/f9ftaIillvav
63a3afHsxzT3/lYG/Fnr++1nfq/a6davlqXb3BbMEWlj2hRgf6/aGeJXixIZDdH0+Gq6olNW/b1q
p/+qGhRTcJ0yNVtWNIOf+qNo96tuUxuzbUWGBWXTIP63ina0Wn/sX4EkZFC4o2FfQU5hmWLSI+B2
QVYacQE5Eqgb2NbCE+QrOj++y2UMJUpbDp4DszR/lK1dHWoPt46ueTPybmOgnUU4q9WLosYwo3ED
Fasju072ia86/VL2jOzGilIY7GmnFie1UiJt2aFTfS0JXG86vI0lElpgtHrdRayVwM5LwMcvoMWL
NwULpa/WkDlvuC+YmMIV0kXrtvGdKBGULWpsgZ8BzwV47pF4OTlkLb45nh1e+rqe3PmgfJJlnhD4
qY6Oi1KjkI/hZDHtR3K3zeH/UnceW3JjSdJ+lXkBzIEWWyCAUBkZqZnkBoeiCK01nn4+sLr/ygTj
ZPzsWc2mT3exizfuxRXu5uZmihhOhzEbq89KJiYnmeT43Cda+0RbDBJp4G7ozddV2pwGowi8PtDz
u8yXkyOwaP8Q0kK/Qy7MwkjKD09W3QePUYsFmzkqAW1n8/idrjr/ezAoVCJA6mpHM/XudYx7zDik
qDhOtR6X5BV+fygoP5wokzVIO6dFdy+MUb9VhInEXJkW4zTBMPvKNhv8WrGxpS0afVA30sxsJ+c5
9jgpb+xDPDcKnqZ94ekaIrZS3KVbdMWTLxadJLC5VQGVorp9NDFP8/Qsqt0M0csbIzDapzkME8+Y
knlXyursRYlsPCT+hCVEIVpbS556nE15tTI5ML9hUdE8tmHffm0sCzXL2aifSObBlXTezUfIE1qJ
x1yVPk5FwdMb4xci2UWnBccyT4aHuUsLD6kh8bkuMwV1+qh0Zyp1XtTNVPg00Vc3fZ2bn8jWMQ4q
NONgBHH4pEStfsiDZvaKLNGAYLE7QP1DMz/Phg52I/viTWWa3W7w8UgJOFnuOHfWA17ag4sg5PxM
6VfL7EqPMN8S0AY9CL6l77NSwkDRLPq7ptWtrZpO0fMEp2Q/d7p0NyBce2wyv8VGJYx7m8JiihkY
OodprCPeIgviTa+DAqZkO1htmcHNpON4kMdk4PgYiTtLB0SijolCOW5c0S5Xh+RUVYVKAURrNo0v
pbY2y4Ky6XX8bTKLrpKoQekpIJDDKGXkX8zrHrxAQ8uv1vXbLBuCz9XQ6Tf4HNYbHYRoW6V99qzg
4fzQqgiii2mVAh2MBDIYGQnTaWhCcLdYGMpCfpj1RpHvsbD35fJBV5X+bhAG3gszm6rHQuXxNnOt
elQ7a5F/7ZToiN0kQq+mFB3FnKBObFv1Gd/44DyXYbFtljcbBB2kh7SYUn1AHCiAuQaNhtJ5XoC3
B/SNLzbASMmGLW9c35P9izW4sdnJYKbYa7uqxQPe8ArdDoYiHINaHP4aMe+8z3uj3A5NlNsEm+NR
a0xxa5Rp/yPlxLjwXPodmqviU9cU4a0iD53HD+ZKkVJzD7c3vgusiqAhohAh4nVxLDiC2MfhBeOh
8Yo8awXuT9YHqvBrpgXUyE9q3+WHum/HW+AmhCe7sWkQhx7El8Ek/Cl82T/P+TzRctfk1oNq1Xy0
ieIX9N4ZFdi4qqdbQSUZzWKa4KK+wfsSxVAAYSXpoFi2hNBCkWlYk4J92GobANaNI4aVtIXpd9XU
YkwDdomCRp/0T6LSqZ4WDuXnIRsbrFVn67FTWlAoRc7u/GpQbrEmN3tA6LA6FqmMrYJcsuqmOht4
o1Fdt2WSftXKH6duFk9IWKKu2VTFXgG1h2gbEQlhmQRVcopCTBKCPO5ux3mOceUZGhPegoyvuNQr
yX0LPv8N+9082mtNLG40Y+wf1VpNvmLWDVJFZe2hIad2O1WYjlo0L96lbVS5QoUQKent1Lx0mlB/
ndFxDe0YcP40dTBAfL/OjqVKvV5E3NUDP+day2PNUdGLoye17pCjrFG5D+vggYJHhjGKVEn7WuiR
xTdJIB/KpE8h6mSRh7gJIpB9x+8HeztLalHTTCtp2R3t1houDgaGn5E08S9qhbkn/h4O+hA2T4Pa
tVsTe4TMTnFdI+HrzHMxJvKrn6G1G4UErRMavE6WVcH3SYuxU8O8k+KWMNTuJNclMGkynrUGmNWu
TH3xhhZ8O2/H4bGYfPETVMrlky9CScBrN2UjzKk9SHH2V5JQ0i9VPH4io5oO6SB3O6svrF3cGvIm
LdTpG52WyU6xWmM3l1F8l1ZBeZJancqsHwdPA51+mIuntYveOBlOo+C626koxGehiXo9WFJkYNkZ
iKV0rEPq13GaCzeQIOL90IvyRpF9aW9iPPuoq4mBz1Vseko3pHu8kGtXqePKE61JfcUvOd/lQ9Pb
JcjNhsfDOCCeNR6sVJu57ULlpFZTvven4bM5KZCLy1baoEslbcWiLg5tVOqk9mm4sVKdftlusm61
Vu9cqtwFEYXfn4OqyVxA3xmWkFWXP7Qs0gCsC52kRAYXPCqZKWwhAqjHbC6tre9n9eBMi1sMhQDd
G/0K214W7Qn8h77mCHdoq2x7dPQNhbsix5alLObhLEhAecTUA8rbZSVQYbK6s1kY8XawhAnrDJ3S
g8iDRxrdIPZYp1sEvEMHY6DoVp6G5CgXBomDmc+fcIqRAOryeFvLMClMqc5cSvXxnZwU7X2Qcgyo
c9Dmr4/SLjJGwu88HQ8D8BI6rI2uPzYxkDyGCN28D+q5t7BdLZpPcxFi21iavgfqGXslOqcOotB4
XQPfbAEY432ZV7JXmFmBN3SBnQUXFIqGiwuxHkjSnYAW7lbRumArADjehsrg30dA3Dsz1NiYvg6Y
MpcmzoeKFfZPM3Y6T11djXgdhVF5hDBeOUXg0+Oj6pPjD/Xo9UMjUWkYaI/cDhQ88YdTwvyA1xVV
qzZT9+ww/xThMgowEpSP/VTk90PBe6IimbpRIx91VvZ4cMryfCg2ZTqTsQoIU8NE9836JpclYd83
XNhCG1jfxwFDCRseMhhOLJF6w4KS90o8zpU9thbqWAmJ/RnJ9fELV5Vsj+irb9Kxm708tuR7Mu/Q
0RpL3Uqh+YUS+rCb22K+n/ukdH1iBxIzQ7lVrE6iD4Un4iDW8ohKtGD9RFJ43uLXUe7aUBwh/8h5
9qL5QbdhjvMr/GTo83EtL/5jcfqjM4vyO922PZHooPF2GErhaJI6PkWN0njAP9XXboappk0FRUXa
gbEQBY2EOQHu/CrIRvpJ4rbb6G0gvYhFI259VZ0nuzPr9ht2Lfmun6J6myWDjlhH0tw2sd5sG7NA
69wHqL7tgi7fzXFBGV6PiMacnvzitUPm0bFCNfoShpX0opphs5cA97xhaqo9D3lwElUhvtGpFdzq
s+p/tdpJuG/HKfyB16+8j6gUoqyUC5hAV6UPRaqTb6wMSXNb1wUgVGny44OqcI5Q4TckW5BbA/pa
VN4GXdu5ojVQWZyE2DVKETeMXMJhoDNxfJoo3iSKCYgoZtSCBF/rjjx5qTu28Xw7lYHoKNUseHWW
osOStuMpklXlJras9NBKSrpLVQyiiqmIvbkOKHF06oBbZJ2dokrwuSmJHCkv5pTOcYQrBcHyuhhn
U0lIo7/8Nh2fFcrShVZDQVWG8KmNCv9GqDCGtmQ8NtJagRWYGEbqDmqPcX1f9RikVZL1vU8a5Rul
qg5PVqx0v4Zj22DW6FdbiUncplEo3ptxqd2kc6zd43cu/hyyIj1TvJuAmCbppMN/sqMsVE8dJrdT
UHyqUvNEbOLFaRzzu9HVP3ey7N/McYMTYgD4PSaS5sVwTnCzFKUnHkrpDFgpbcdWbD7FiZZ4uT+k
XgZlk5ASh8SNL0w0PUaikmyEqDNdI5lwdy1D8VaorPYGwg10rAmveGPEE1pXQqhbupK5DR/nUStH
8XOrx7OrcE7vhHZofmbNKBzmYKp2s2U2r4o+mngadOktu8Q/l92gnw0iYbvn1qSi0EnGabIazU0m
+BvjMLEfIkU7p1Vc7lKeiH1uxKrXWrK6R9moOwJmNqD0QqlTJoRSBkpRnXAzUeDMN4XH9hW9rgyb
u2iM+RiS0TyjAQacq8f+dqr7+Tml59Rrxs44BL5o3mpY29wYuNrNvMqpeaxa07+VykQ9CkDkxwkQ
5iFNhIYFk3Pt1NO4vxlHtT51qD7z3+bMa5t2fEZInR0v1p1220YQMtgNDTLj5BHVM2bSYNSC3PP3
EZoR+gr+KetS05moIfSYfxjDz5YL+EhSWEEpakgD7bKwkmcxbWSQPkmSvslpQJoIKcf4jHgGX78V
zed51nEWTGM/C1wLcPhU4+bqwirsOW3VvK0SNaPmkpvdoobSyk9pKP+M44o+Oj1X4eLQw/5lyFM8
sggk0VLvJS/tkup75AfNDmQoQ8pdhTfJ4a5wjiEYRTsSd8C5CrPNMIY61WZLes3Rwb6FODU7jSIW
L0gDtrojtiqWBJNfd4lN0R77kEFUtgPc4LNYytAPDcF8rgVDuq1wI7gVW9isCTLdcPhSyvVVIG+6
Bq5DZJWWTVYUndty+asSyALGHOUO7gMlNLAMeg0lwddWDaT7zl+80n3TP5B9mrdi4ifu0MraNseQ
tzm1okCZR+xlc6NUqL9rnVRjpA4DCFQ8j/InSyebxIdZQvBeH8z7Gv5wCugIf9A2qjE7gzny3tVm
7L9OZrIUcfQWp8a+C+/bFq30sg6jHSGX/qXoFeGkYJCju3LqdweqF/KOwgJO6l3dK3dQtvgOBWSy
W1Hv/IcsiVKssaIoOVCkkz1MQwl9OAvYS44a5cwiT70IDpEKt76rNnLGQbMNtQXErdraf2yHweSn
a8pT2wnasS3zDCPDTHnsUgxksKGzMrsI+PjOjE/NIRqU/KjIk7CT9I5LpcVQ5RxyL8Lal9uz0U3G
k9XLySYyuTVtreX320KAP/aY+80r6Zf8pdFwTShkjFNju8bKz5zFc4edkROmFP5NIS1PTZnywGZh
/gkb1vGGQJRAHYEe8SZHA/FQyEO5nalehnaZE6IoYR97dSej8xZNPyv6L/bN3Lgx5jgOSSFGOBbq
wNPkdxvgIEzSyNJ3tSzn95rc5z9RZmiOkV7r8KSVxRdKmJIztU3tLhO13lXarDylqSHvpUnnAo7K
kXpfrN2WeIceMc3BUFWf4/xINUsEClVl7A6EwvrZFWYHDkyKAhmklhy+cPozCHwBe3I4wnHS19tO
r829LIwJUC9vBLwqJbtDBL97wBVc26p4J7gBboPWBmuN8IuQEojn7VzXNmr3/V5W5uJB7sXuUUs1
4UHAUWOXIdiwE0JstE1qftsptvBrolZ7Gw5S/ymQeyqMUtCdcHEPNtTDcqxT8AENZd04G/DPdloB
JIwpguzG2Lm4Qq/0xKNp6taWFLyYWIz9aDq/uE9hqH21dHM6ijEU1bEm7G6yWD7WlVZ6Zo+7RYIc
BZE5tI5JjxHmn9LggeK2MeOaiz+ugl/mctzD7jkP5+xbb3CZNHWP+QEwJumkkEfpra5W1itkoP6Y
1ilgTZEZlldOAUh60GqvhYJ9BgBXlxwTWWseiNctV44UaZfgZ4lxeWDYcEqUkwR1B8RkoZ77ZfmA
79R0ByEgPFql2dxPFTWxTk5KgHisp3C5U6zXoI1xvE7C4kZP0gpXPrHdQhKl/R9O1ue2x8rIhpob
/iTeV/edPjdn6KX42I2RoXydjd5/Gcei32LjhkdAb4nC925Q2w3JB6Cn6YvwawK1xqcFDVN7KqXi
lEOt22kRZq1aEoyO7uvxzUSa86NNGkHkYjcXdzzidB6C8eTTubFrkwgWi1oKnyC+KR53P0FWkSZ3
pZo3J1Tzs+eWGolT4WN+lBS/e27w2XBDwac22kn9LcHAz3hqLWykufbtCJvxrUD98gWt4exGiYFl
sMKWb4EvNa5QDEqysf5pCRZ+tXIM9WCeqz2vh3mCWSD+bPEHupMoKrx0uR69WDkGcKPUj1gsmjzc
JhJ04RLXWaNp7Oe4kzxpacOStHEhGSkd7rWE9Hf+EIQnyWgrOm6KhRmsyOeGROQF9kl/RrFw/GlB
Esu3UD/aH7mV4d4JlU27q0DbbnUYPXhYU8Q0kymvPavT1G5rpXQ34Pujl9Km1FsL4GYWq2cB8MFb
DMXYk2kypWRiZffaqGKQ4P1gJFC8GrOjNxrmkjfUqQzrLBQmpw1mH1pbpi+COCYgAFY9pbkXxIxi
6FLQVJJ6aWTJWxibVd7JA+9CvUPgRjjG2UA5xoSVgDuVpA3dJ4F2dpyfGlr87DyMlc+Cydvm8OrC
JoWPRotm0cGUrXF2uTekMrzP9R7aX5IHCeQjuebPzFaleIpVWtHvmjmPFLceagiUaEdC2JzG8Vvc
DmDtxhBYt4QNwlFVa8q9dQ2vlv8nQF5ujnCv4JaP3/K44AcIHfUzc4AvTzjH/27HcDZ3siJFJYkC
BhO2WuaSo0dd5EhTPNMGklIDrqnmzbxrkF1FCQAYUjOrgM1ldKQXNYfnUIeffs0zlwn1im7IDz28
LWhOZKQBhtUttUQpFXe/MMGeUGDTWIhhbotsME+//uHfPFSerUMrjKMb1F1/R1KITU8vsiQEgDxC
nXIXhIZ/AGoKctsseOQrxbKeBx26SU7Z7sQDOx4azFG+00+RoQAnittSy9WjSoR0E7cKwCyrcjCb
ElvkQZV/Evfiuus3YvCtNsoBK2VTfxE7EuseR4dHPGT0rSDHnTu3PPhLyd/lJqYzJJVJjaQBVVIz
4AGLfSPzIGmRlZc5VMekhMJoSMYmUKrGRvhDuRkgfNoj5l/nvK+s+1wUESSrZ7pEBis4i4LfQEXJ
km1dyx1GsrwVUeAPhzLuMZaN5kDdYNZeH37VWfGwQgoQEgFQyxx/pTlofM0kJXqZR4rludDTXQPC
5ONKPLJL6tlPe0xmcNyyxx5ZXKCg0d8X5iS/4vhMv0YTqMkG9ob/YqVz3eyqtvQfBQgmd7qhd7cd
ToikJWmAOlVt1fyVke7Xnyi7ivpZwSi3pKmpLOtN3tTa+Leq3x/VDU/R97poip/t++a+902C/+e6
AmXocnTIfVBdjIr/+vHXfx2+5n9FdfG2yPivf/XfrYHif1tYwqiGIuu6Lv6qJP6ryKhSZDQt5VKR
UZBpG+QpWdRODVWUFZVS57+rjLLy34oORci0RBxbJOPPqoyrVlcKy4ah6oiCSbpsyPoy0NtuWoo3
0XLoEM80873Y5G6ZdPcUDq81oq7ljDSNv90gtNZNOvEtmFbvBypz058qNcydxq0qh1aTLZo0dnYj
3Ic7GTVvY/Pme/yrB/Jdz+PSP/um4/FfA6JApyoiHmLGqnhqGZHWlyEdieP3/AmaTQ62GDv6Rnxt
v6J61jrhF9Mrt+UBJNq5Mvaq7XYZ22BlRbx0FuU4ddVAPMg4MuKkSEsfdZQ++MsXDE8PR7ujvEAL
HgmTbPspVOPQcLNk3KvIoeUNcovVrsz/6nBu/fgHLd2dq7V4+3u0VcN+rxVGhHsR8vTC5AoDHg0/
Swy44NTgNvicW/WV8da7ajX/tcj4kMDLkHDfw1+2uhVy0AotOgf5tWbzXyKO63lJoqjSXqtpOq0x
7zcVpauKPzWw2TzQXGU9mgc6FA71+RuIkuM/9geH/FdytK/xfXqKPn28qL/+9t9Gx86DbluNX2Eu
O/BtJ/o0wuuyMPlcpNT1r9Np8WRZ5HGwdH/qT/oOOOfKzlpOye9DGkyVxhdT/dXm+2bIvkom3rs6
p8pJz25AwbR5/HhWl7YuNrv/HmHhN7ydVC+Z6pRkYeN0ysEYsWWPXoQMl4jgDwXbfp2RtwOtOpJb
NOg5Dtw8ENicnvpDli7llrsifvp4RtKFm8CQZEgZUDZMaB2rmwCeUNb1WEk6BB14wRU2sHBhG166
SU7al65x1e/Zk+klXndVKvri9/pn6LXAXtD1UjKhNQS9rdbdnnY5zwQBunLXXRtldQwgrEdVBq3V
sfRvFaFEP16zr5EvDqGw5STZWnQ/VroYQeuLyQgj1YHV+er/7LYAIXlvqy+V8+QXXrTVbcmpfkwb
47Doiw0cOooRXvBo/fj4a14+829+yeprKiqmsp1UNA59LDtlZ979beQTboyH0gXRuKluFnkqqKXh
ifLecP/x+Gsx6L/3rWLK0IZ0VCDX4idz1HS0RBU4TbuTC3C5NffB1t8v517Y4qG4waL+09XX7NKN
Kv0z6lr+PNUwgIuAyxztMXyKf9ASrewWQaRN97nB0KAPvNjtdsm1K+7ibUDxVlJk/pNm2ve3Afz6
rqT3unakx+Sr9R3KZuWkZ9y1H2uw0ggqjl0v4ja05V+56S5O+M3Iq+sBx/CsoSUT3+RedWHFb2bB
x0MZwtf/i9ouRAnLw/fbfarJokz8o5DLr267WpaqFuvb2tFpn0SlwMlrOh9btA4qE6sG2t9ky4Pe
7H487OWnQ+PdYGUN1CRXD/I0SFKZykRDyjl5aLsj/I2T5VgAlItfzGZonF4nif9TKbK/N6+2xJ2S
hKrk+nafs7k18FDkeyowQ4sfdX9NjW/FWft7BF1WZEs0VYNH6v2O0fEymeGBEOKF5p72jEOMWqo/
4vAXx5DLqx+DOBwCeljKKLhyNC9fDW/GXq1qTJfMaBVx4+AX7LV7GVuAcZcfaZ/C7qj8KmNOV24N
BDUHFKeN/cffdH1DWjJXow5LibaShVa4upfCuJGaSUZPwkQA+jBOgbTnsR7/8FisR1HeL+9AN5IM
vMzEQvlRDDh/cgwZZJLqKyfjtxt/PdIy3zehRp5Mk9nCH3PCveD1r9FD9TC45aa80RtPfY7u8Tja
FI7hgt0plE12GOjq/JqddWdemfNaxkj79VMsSGFQMlUFauX7n0LLr+7TM9fz+JjbaKd9GneWk+0l
N9kEm/7/w/1ufe2tBlw7dMVqXQ+5SWm4b4e9MYSeqiTb1FL2ZntFounCSPA+ZSI5yWB2v7b0m1Vu
U7Wifjh3TlLcVvVtuTT1Wbuh+DMPp2UFebN1xF9E+G9A3e9XcCpKSTU6DODqXPmrUaSXXC8PpXrt
Or04G7JTSaEnhbx3dZ3CmRthV+itkxMbGBqk9Vtt+pJ1156ldT7zazpvxlldMs1MU/7oUxUyv+Sy
TTCHqc9WxVBe3UXbbK+448t8Co8BpuKf/If0yn5ce1P8vZpsRBNeKHH4b6+iVPHIRCEVvXtjb5zT
p9ChfeVgPud7tKefCY3MjfVlwHKsyZxxsnOMkRF9Na64Klw6F8pyIP79O1bLTVdcHU9m0Dvw83H9
PS3OFP4GJo/m6bbqZZ61ka7ccvLFpX8z5mrpKxB7PaLA5tSeuR1v9K+nble5IgDCJnFlNzqQAj0G
22LvP5rEBrUjizYkStHTnCU4+uNU+9dW0IATEVDSDE1d3qM3ByisxFA1fdYgJ+5yVSd8XeLBdOPv
l1Qf5XnRKzbodV/bguv45Ne4CD6BaXCeGPz9uIgzJKU6cXDF+0XgF9Lqt3iD9JAD1ntLq8o2da4l
f78lMsuYikhBmzfGAt9b3YM6Wkp0kDLmEvq25xKJ30OLbumi7GseF+sTpJPLTe5cW+VlI70Nk34N
LGkSQS9JlCYui/FmkfswRDQe0RWHntx9YaHGyS+gCX3Ixe2gXVNnXd6w30dDXR2JfwlJptUbh4d0
rZQ0BTmLSSf6039hpafa9YvuIcnkGE8fv9trMdhfp1lBHOjfw60euhqqMj1prKrxOHuaJ+3UfYBX
L3I4HkKnm49Hu3RDctdb3PTEfbTUvF/JQK9bHu2JAgEIfWQ8VaKrWBAOxv/gXXk7zmpSkz4q5lCC
wKjBKQipYcfdPqy/lpJ/5WX5Ddhb9gaBLGilqKoqb8z7Gc1BoJeiGf2dj6HP40yncTffzo5vB6/i
7ppI+cVD8Ha81VPG1dNKkd7ACICmbPv3qtNtzdiutty5p8lL7oq7bFM6kfnHwfN6pqtvN5Yt3b/W
TLtAKUPmJMTtrz0ty2dZb/3FYlm0kJHDOWN1o5eDUKrYwDdOZPkPUt0fh2j0Pt6BF1+NBS5TNVpU
kIJbHeY0URotq3TAuT2s+MmNjtJOcM2bcdj43+VNuU1P1xyULk/rnyGXU/Hm/ih0RSsCqW+cMuxc
Y/4Slob98awuXcdvJ7VauLRIxVJUCf0L+qWKxrKr9DmeXv93g6zvfGmkM6VjGpYSe+JcIlNibCKq
TB8PsxZz/3UjabqsSYZFh5G4vm7NoEQEnyok93x8Z+z7V/UgO5lL3dt8YYaO+VnaRluN/nc7+5G6
oYsOxz50aXtwr99YF1dWp7EJ7IwHQF1tlyYsJsvqWdmwWlrr9c+trG9j9LY+nvSlJ0YzlUUIESSX
A/B+iwjoIFZaWDOMkHqINdCkn9qS+trGiJVmlfPxaNJyK60PGivLeKyzKa4tavNiHnu0FWpSCtGB
mokRkXqub0WbUOHP7AZ+fU1dWkQeEctFD3B1baC9RCIuct5q8AVJ/RLRwvjxbC59It1kAJrDsXBZ
50d0DbX4MtKBUmo/fJ2UaBYggFwTXr0yyjopMhOsH0WDoJsbHy22zxb4BDX/Kw/kWkz57+WiskWI
g0mNZa72mw9ZsFCWgG4xiOp+5k/SDWijU2BdnOxKb1GwRRQRDfrcLTw4bdc9dS9uDqSU2Y2GpfKu
rfaiAWFWk7oJEMaXPKNSz03vH5IJCknZxz4SXuKTL1mfaIR1h97y6F6/Yudw6b588wOkdVAbCp3Q
NF3jYKsNsSGtXwS5vhLJX4pEKCMqhqQubkDyapLYCejiLETEdNZ4Ru4NNTej3AhiXDpK0V+70y6u
KUmhCjJESMenfX++Z5rKtSRl96CA4i6GGMVzsI1vc3faXTPDuLR6b4Za59R5r5fjlNO8IZZ3gvCK
UtrHx+3X8q8vj7cD/BbyJHEKOsIAU19ukMvrD7W29PKUaud1xRB+nfpGs5FkQAecxg9tnMX7K7/h
99NIEZWryyRS0E2qXO/XU4/ifPThoQBDS14bubnX79Tcq13Zi49ZaWfez/Rkiu7Hw/5+S78fdXU4
+9JU2jbEVglZjW2ISAia334ab8bu+wTx7uPBLkTmy2jsTY1aKuG5/H6OgWnQYFfAnB0O8sGgZFzv
5vtsrzk0RO7LKxfPxQWlVoz0A2ERfh7vB6M0rUr1sqA50n8Crfh+infvNS+IC287c9KXehSVKFNV
VnNSRXpSENHoHeFR8kKnPEue6KZn9bP5w3iOntVz5ECjdIPX/FSfjP0SQE8HDadRSDW7j9f393PC
TyEL0QywmqWW8X7GTRONiaikPb1G3V4M0oMRNZ//dAhoCtwwiBtDMZDWGSuaD5o0D6RyFtgg/cZ2
Vl7JP5Z74/1ZXEYwSUoJUAwYxO8nITdp0g6B9HdOvDzjtYuckHfNHfFCmmOB10vAdAvcIv368zch
rCzVWprLzCTep3enJxylt+I5fZDtBEeZazZjF/biu8FWhxuV3YWxgWCxOpXI0aaRmwbDlyi/5ht9
4SZ7P6vV6sWJkU+TxqzUbXpH1uEi8+MVT/EhvBLeLfSZ1Xd6P9Jqs+mNrKSwWTqn4r4yvwo4eHgz
kFHoQWSWn+kfcgZvdsfKq7fXDt3l5eS4WZBqVFNbzbJu+af4eXUOQi92oC8ig89z/PLxVr82yGqC
o0Ure9a0eADBq0bzeyvEtWm3ZnglnLyAPi4r+c9sVqkOlPKhUDRms9z8v3x5vOwraskO5L/zCAI1
eVaKJQupgKMdaJ+2g+uw2xK0vj92C68JYhMVHhkQcvUElq0RohUlAJpwgS3ex4Y7/6oBA3S6xv4a
AHXhqlqwVmA+GZISd9b7U07fZlQZHYtboNQKjr3NY+nKbXhxh1qgedqyF4BVV3F6giA5HamMkVex
0NIlVSvHibbHnUS3xnbOxWRjlmKN8GZkIiWHflozF/mPoaotj2ByRP9c6m+6WB6gMKY+3NPJGmnT
kJthn04oZl17Hn+/+t7f36uN4M/WMAR5tpRFkD7KHMUrPdpi4k2G21e3URzxqbTbyabn0Iu8+ppR
0wUkZhnfQJIKOpeirSPIlJbOFHWCJQRhnogzBQ9NY5ePhAOIsyvOsCGFCz4HTnXG+u/q8Bf2BCRj
kddaW+h61urAWUiqZSbsb8c/EVG6CYmB0NjK9u8qvLK/zr65cMTfjbhacLqUfbyRiUdS3XoZCuGo
y3JiD6N/5csuv3x1uN6Ns8IZ1FrvS1B2HuZC2ibCj0lAb7zZ99csQS9AQXw6ghCIiUsRfO2jao21
2rfxUufy0Nj+2tj0om2xyLXDnXYYT8Ef85esZa+8GXA1s8oI0P6QGTDUfkz0kMpXjVQvfiPKXFTU
yLYNZTWCPHB1ziUa+vpcnZOpPvYoqqM98vTHt70uvhlmlc4EgVhbcsYwvvQ5HUI7DV6lP89jLHhe
cEAB3CnZrb+Ojs6EOrUqi5WHu7JJvsZKeiV6urRab4dYrRYyeZxhmp5gWke2XmeOPL9MzXANbbl0
VN8Os1otxPrEQTKYCTdVvRlfESLYKrtwgyC64CVPzVO7vVaO/42ns2w11NVJcS0kRpRFw+ct5tiM
fZqoPtg6bWLK93qPKoEz4qOAdK4z3hsUbJa38ZOBoP9/cjVplkbqQklKRidotaz058xD7ze9U7/2
nvyz3evO/KmmH9iW6WB3kCw9X3shf6OUMM93Y67WGPY+zPKJ5yvcFzZlr1PlCE5rdxv9dYkFrpfe
Ljw/bwdcgxSlJRZdnHa8l3AinL4Y8JdIhNBF5jY9QkigM1orpHsTn4aHromEKxnwhT31bvhVBJIA
ETWWtMx3PmIAgQDatfzzQrL7boRVqjaVRSf24L10iAQ2nWx2q36ZS5RdfVzSrmVKF04igwHfgUWK
or4OqELN9wc9Q4mVDrcd/jxu281Onhnux/fW5VX7Z5jVnIoO1bMuiwbHQuOH3Mw1Z/3x4yEuMEfY
ifCN0WMF8sQm4v3Jo2tMkTqJqfReK9uW1+9znpVyl221U/poudFfrT1Cyw13LRVh68lCftsrnWtR
/wXI6d3vWONA6CtDRhL5HSqF6hJ8JLmp9tkmdPE+v3bDXfx8C/MH0FCEk7/8+Zv0ELfzKK0H4mH1
fglGMqzKQk/fILFIPjNtss1/FI1wvf0z5OqCK4t4CMwZLAa+ke0Xgj33XzFFuBKLXNgwSwUC4B/k
mvLvahQLBbqZLqDeKf19oMM4LK9slwsrp0vAD9B64BiKa2qKWio4XGcCuW4GVzueHG0M9sh3bj7e
lWubWHBl3gOKyTBggF/oCXj/hZJYQVA8igfeIP8+2GWH9htCNA/Ddrb1wZbotXGtbf+AmFfziPaB
dm385T5aB3Vvx1dW4+v5iCYBJ6/eiE7xIB2jk7aV3OZ8PTu7lCLC9RHN/yHtu3bjVoJtv4gAyWZ8
JTmcKI2yJb0QCjZjM+evv6t9z9me6SGmYR9gPxhbtoqdqqurVq0FWjuoH6Ll4twWGB+GwtRgC71Q
OwgCRI7k5hv0GrPkkgmu202/Ah7D7T4BmPGNhyB1ij2DxgnmfGnMxAaHHvK9Jio7XMAMwilFLToE
svKOPpT/E1sGuI9A0r+5bmtpG2H7mBg21NLV34+VkwNYJwNapJE3dwGUdRKcOyZIZQsQN0uHARkg
9M/LyARBeOp8XqXJHBCSwYiNXgpzgngBuLevj2Mxbjm1wXkSIoOwOWIv6/Y124Yg9P6O3MQztvGW
7Kza638Rl/kwEchuef7+DI075yk4p5KswVLZNfSuiFrtQEWF4oAVCksBLPrhT8LpCLldMeZzTisw
HuAk9qCoc3Qg1mOHIS/aPSjGvpSdCrdp+fZLcdQFuIiFoAV3659hcpFZC37NliSY3Wyr+2jt3bAz
mOxEd4/KpuvaGLk7MM2BmzYzGymnHfqJ78fXYaV4DDCZrn//yQem0CPr8C4+RA8soc0Siax8KwIN
La0rMiaWDBU6/Ee4tHZqJ6A2n/DiAr34gGzAULlEKz6zJJ8Ep11kiQvIEk1PopGlIxp0NTpVmf/S
i+mFmuUsOCJLc3s6JM6Ta8SsK2lE3kGviRtDRLZBfrz6ZYaiNOzSZjk1xLnRBkwAoEfEDZttxwPL
LY87aa1uLEG1TzRxnFcJqhh9s6DDdFsQV4IV7bOfZH8sRBX2JeeF+ARXLHC0jPT03HnlajEUs4Kt
n3aAH0FWKZ4E7nEhYIbv/WOBmy/QJIfVwHC6JvgKEtCua1HkyCOYm6TJyaJfAk/JPpg/Y6zpC7lw
1vzFx3dj38ogrcHyaGvzdbgJtpkz7yDhBJi3WBh2oS5to4XzjzVuew9x36cqOuPd3HYmF8C0124d
rqBp5IPq0R3W4T26z0Fi5qFzmPzUJafZi1Nui1v/5CO4NWzQVx8WOov5Hu0vhgkhnzmgjspa+2Iq
3NW2deV99Xl9ohc3zolRblkBU0EmO8d5gwaKY4D5u+2frltYPAEnFrgTYFotREI01N5on66yzoCi
jrHq/qdf+Uye9KwldOniOV1C9hknMUKL9n5FBy+IO9QOmW81NLOApGfVvBdrewXShTst84FVhUwz
5A7/zROfDJKt7Yn1EpNoT2CdATc3mhUTotbgEunNW8PQRP2Xi4m905FyV2xSkBbSk1iyZIvkw9p2
sjdAYr0ePFUeaGx+1s/CG28p1sOnQl4UwTVyb9xFo9ZD0CjgpUP+QZ2c1lN8sFI9a+jIzI/WFvyh
r7I3HNtf46p1IS2Hl4T7L5vozwdwB9QYlbCvoaEJYQ/yWqX5GzjjnonZC5zc4l4Fx4uK/A4AnL8L
vCfLmBedJRGI7aDbAWQlLOGd0lUA+ZPro1ksfqNErCDNiAo/alfn26UpCpqpLASLDiXyR2j32rLM
bP+ibcQA38Uj/seYzS3emE3A7ltIpigGtE+nx6KtvOvjWbxLTyxwqwNmlxoSs9geqXJvB29F+dSN
2yi/s6u7cQCfvwgQuHgXndjjPCW4Ba0+nrBMTWmVjl6Cf0QLV0FsHqDB8J7JsijpJxog5yVRCghj
ABkYapn4HToCO384qBthyXbxCjgZGOcrMxAzGii7MHwUvS1AcgoIOBj6jCMYtL3ynlXflK20FRVw
F7f9iVnOd1YtXu/g9+xB1yNvVP02b0ofvGHO9V0issL5yGEoFV2eCB6M4N2J60BzeqNFdp0qz9cN
/S5OXQQPKAVDvd5E9Zd/IkN4aYyQDmCPkGEFAV1fOsab0Pj9DNHWwVoDRAnkZ7vIk9HbKcdO4Ssr
5ZneRbflA2iINqJAfQlhYABb8N8XcQsLeT8zgtNm5bQiR5tT5ktu5TWdGxyhQumWN6Ln+fJk/zHI
LWnchTk4TLGT2vwtBoVZ0j2U9Ov6PC8hDM5Gxa3oDFB12kclwqaDtSt2LFaR1vNNLuyOWHZhtgwk
Gwo/6Knk/KXSJbSnSFRJ6bsKgnBNUCpZfNKBeOM/A5wHK1RQUucqToB6r7yyWiv4jx7QauL3+/Ix
fVZ+9PvYJetqO2x7VGE33SHEuy54SN4bAQRANFTOt0HLSwY5JAtFuwrMxu9S9A/JlNOhcr4sUfQp
imwY6Jv2Fx1VEHUM+Q18pqhbdHEk8ByM0ERBSoUzFI0lBFJBCY0abvZk7aafxXPqmjeDNx2UD9Dc
eakgll2+Vk8scqesresR9EPYJskWCiircRMefrcquKBj9EQhyWKJ3Dixxh2xJCt00LqzF9Fj4bxr
brpjhWrrDXTFq2arPye7x9ATpRoXb6ITo9yRg+jtNI09NqrUJ69tiizHBH6VuAKTVYHOScOGHJ7s
1+q/7BoTXCtASGlAadhcbqXu1bFrEYS5rdmv5BxM0EOxGtF8InApSzcgy+Civxi5HLDqnJ90LQqm
VpYgqGfdaDtTdeimwnVrN45+Y64Nvzlm9/kzmGnX1+0uRRSnZrlT12ujVU8VDoXWFmsjzKGW+J0Y
1GWqz6Uw775Uz0Oe2gbMhjVBIXl6PkpFRlpf12GuAaPUVltVYMp0gu9+p36B396LdoEbHkWQwMUN
i5IlQV8IsPymzFmdCjOqKgmBYLLtDyhGgVMidtIdZKAc6HJOHqhv/X8uZxinlrndw/IGXdXjNirl
OzrcJ+beVAR+c+lgnJpgPz8J3SMIxifqOLBcWA6GQ/O+tzqvhcCoWf9UU8UDE+laFkUaS7esCXQi
IAngdLpoXh6SekqgvNm74HNzQMDuZSR8lnsRWGDZjEYAscbDBK1l52MbhjQPythCyTmVj1PXfBVt
CGI0JMoEx2/JZaPP8j9D3Dops20E8Wwg+9aaoR8OmDela73rZ215H55Y4ZZKtdK4SlPMWutZdGX8
MjeZFyEL3u/ZI0h9rT+mx+ZRTBslmEaeuShtSwKlao2Rgk8Q40LjLv0lDIoWPcmfwfEtc4GW6FEJ
KVvXND+hAgLmG4iSQ+FzhFg1RQLi+lwuLhiICdCojLqvwre6zICq9EaCMjYYav10rleW7V+3sASd
YwW8/0xw17gyGoo516R3p9pJnqpVtwo3eAJ5+V6C49DX+gTUg+qB01p8xTK3ywfyp7a5Cz1qlQa9
Nyx7irqa6uaesmfAksknq+xeVGX6nVO8tAb4pkxA7gVwzvkxa2sDmmA59mUSO9NDS1zzy/6SV9Cy
XtmuvjYeq8xtXtVX+s1AF+JC82JpDxfsfx/AXe7xEEJDocJUZwcUmtf2UbV+t14HHrmdb5V7aLv2
TrhVX6FwdwNYxut3uf6XtyC6rVVQ0wHaTQg3CeVgQN1dmweXdsSZDWhIQeDAFGyqxZN4YoQbqA2g
vFGHMJLo1AvKh6F5Gy1NcDYWjOBEACDE+sBs4BXOl3O2urKXJgL92xotE/VzMT0G+sf107Fow0Kt
04RbZsJgnA0wMxVzCRvBMLpttFeo/miT8O+LCKbyxwr//EktmmS1DCsUqrMWhTyDlrsSBDOuD2bh
Cj0zw01YF9MwkojOMBWMbQDVrN8IB1E2kS0ud8zOzLBDf3JTQ2W4TyMbo+lxsJvwRw4VC+jNOrEk
CAmWF4f1zAHeYEC97dxQp0yVgoogIp1kIxVbQOwdqG0KJk1khN/KYQ6sRo9JM/WHMX6SITIs4oJY
uFIwYX/GwV3/TQqYcaRgHDPaJ4PZ/AHC29YBP52fGkHjkjn+vL4RllYIAHA0aoKOgACVfT5xSajM
KVzD4OqD3R9jWclWFDKtbkwArZO1utlet7c0h6f2uAGGTRU0QaRhodJNET4anQyab1HzocjIRWxD
5USlMAJZrFVWj54RoKlLFvRCLK0VdHrRUasgZwa4wvnUNZCqBoEJrLS1dqODzlcLQFTbQS6V+KEm
emKzb+aP0qk1buL0savAS2wgzbVDlV1dMXoMHeAk0yW7GhE9APu3ISCJw0b0+l2aTYTbqDvLJgAZ
PNfBqAOPESc2PHhb3eTpM5h7n4ZMMJlL7yRGxYY0nqzhLci3s8ejTcFvjNkM6Sq9RVVzjx5iv92o
0LzrnAE8Dv0aasoCv7EQVJ1Z5dYwSlutVUpYjYhyGLX2UEOB9/qOXyrinNngVi4tbHluA7gN4wbc
rC9o7/AYZ2r4VGxDgHfEWAHhXHL7X6IVQsgeeyXaonzzkW4UEC01Xr1HZdXVXfKM7LIg0l9CC56N
krsewdoITuYONsMP5RVR1ehld+W29lkM2axBko+6lelCX7n5AtFUfJdstH0EoIQQwrd4UP5sJL6A
FbRAwOQUH2Ld1AfNVbYGYGLFjmX1tK95hXfH0V7rrhgmtegPQAMnM1IX/YKQAQoekGfI09Gltuxp
bbCKIQdeqT8j6DtWeiXYVos798Qat3NNlKwCbQb1fW6R9wEqXhMR9S+ITHAbV4skPY/lACBTs9pr
jb5RZREPEfvKC692Mgpup9pqDML2fBzdpvqag+3QQWgwcvpJkPQVLQ23OUOdFlZUYbLCFi9P5W5U
WijlgVIuTUHb3QjOwtKr10TTwv/uBH4LkjLWWj2Gx2xW0J1W208auykKAfaq3KAoDiAKuDNGTz3U
ruSp/xBBokEOGE8E9iBh4GIuGbIQLRKD2P80ephlCHQ15c88nAT7b+lWODXDvRXrGWUdqYBXC0d6
KCDlaWbjvWVZgrlc2oOsaxh9khbSkXxFs03UIooLFthBwboJoOwlr6/75wsLSIGoFljbwFKEGeO5
WiD2FRqWVE9uSX5RegvpVPe6gYuZggFdxrdDBBi8qxYXa0+tMRihBiLTsYYaULEvEoi22AIjlyhp
zgq37E2Cdm7boPAHwfysh+N3b04PU1ved2r/Jo+qP8+qH9qzXxJzp5TCtju23mcnGfZR58bDiPGL
XrTdZZ1eg0QB9sF00P2avdwbN5CMgyLPK8peIPcTte4srdupQfbzk7eFqdX2VCtwtzlE6YYydDvr
rwk5fo/JtgjgUAooP9jKnpiw4p5CsjkfXRn9Hr10HGbFVU2Bb1raHqib/GeEc+Rp2Q/BDFE0d9R+
mvpNan4lIvcnMsE5cjOKIz0ssTYFlLOyufXmAY2RorTskhW0oEM6Fm4HuApuQaK2tlAFgpU+Ocz2
V6cnEK1PBW+wy8IP1uTUCrcmICDqIEBcghZ4W24ZTXj7G/FdO4xEUrQBLmIJZgyxrwxuRyTTLe56
KjWqJ3la4SVej8ZP4OdTD1ya5KDRIibOkMzTVhplBQQjyBdd9xoXL3RwmaHpAlADZBjxNOO8hmnm
cl1q5fTfC52sWQ+CKBN2iafn7HB+IwhVM7DnYnKhfbqljQ8y5n2KDg/tqV/lD+h8lh0baHN0rt3j
Jap/Xx/lJRyPM8/cyskRmwa1laG3M6HJJLlrfpDt/4f1N256H0NrEoqviNiKbbKBiIq8+SVuf1pw
I5hnDWrwAMDhLceN31BLyYgVjJ/UNnh8Faj5hJbg8bZ4MiBFL4OHRoPeA7dnqZQMMhRucf4s2Umy
0kEjuxONumDLXCYVsV1BBcOayoELhVbv+WQWyTRpStSNSCoSR3cgGOR1wFOi6ORKoWN4+hrJ1Nvg
EZRuaO/O1mHriDFIC4MFUwSDPCFLzZorzz+iDoo8kg0w5mZKvZFjJXIqmv9ItOrvJxU5PwJKK7Qm
qaisnduJGH93yEQ2q+agmA9S8mjNgtfhRXQK5iD0M6JECeTWZXd8DEmmiELzBmRWoIBpibkpWvrc
RNm6lnJBGLI4bQDdgaYISDGTXzvItg2NasBWAjJgUEnHAJ/O/2ADtD3IkwLGxNDD51MGpKEN+m1M
WdpZe9u0sR+7u8qYV9cP9WUdAfN2aofbAhbpwas6IE2agfkRCJy18mmha/NHtq8Oipttxptpb95B
IkmcWF9aslPTXKTfWW1UhD08dj2bHyGtDjR389bKHUhY/N9mk4fkz1XYtAGBKQjtOl37UncfJKwE
993StjgZD38NzNFAad/CdVBpWJn0nioGFPIeBQvGFp4L3uAw0LeF6wbJFz7FA3ncFgLNeIZ1OoN8
1h5rcqDrL6p50x0u9F/DYTgmK/utC/9lfJCyQ04d7RxoujvfklliBBDknjCJaPCj0+ug/RyHzfXh
/YbEXwzvxAh/l6JuW5kS9mN+gFpUjZLOBiIt6+yIstaxeIIec7p2GP9+4aE2/5BU0Ah1RRkStumv
fQR30SBKVRpJw+EjEYSCo5+Slm70YQadTuW09odKyu31YS9unZNRcw6SoFGv1AEhgUB98lhr0NCr
6LtijYJjsHjiTsxwYZ+e2EXdhzBjTE0IkpvmJUf901Ji18wiwdv2MpfGPAsB+hr1F9R6eCKiuQMK
h1IZD/kX6aj7003x3O6zPdTQ1+QFr+k3kXTC4sn4Y5B/yqvyVFoRW7WuIU4qz07RP7UWhMyivRG+
XV+whVDkdHC8OMRU2JGq4Ri6CeQ1w+jBovf/NwPcFmzNRobiN5aqzXq/k+GxClEIwn7F5S7/b4F4
0t8o0K1slMzRnQ0jeyBIiEmrghZtcSjUKGif1TCc3u3CglwaVadPC2Q7z0kD9YZtPWVDsu4qA2wM
hFa97bU0HEcH3GzSbtSL9jBUEspI1G7rzUhL9YC9LUVeodnmztaC4m8B4r8j0z+BIXd8ukaDvmpH
4P00dQ31g5s4QlilyYIwZuH4nMWf3PExM10lEkEAnAz7GJ5IJ++y9lIPovz68sKgkxooPbSm8+FS
YvVG16ks0wa9k3Bf7QCXeQg20j00nH/YIlWgZd/zxxo3qtBUsimHjKKbDiY0En/W3ecc/TVU+7cz
+GOEfcTJ26ErZQppAxgxq605gwWiZpy+uzj5zOoYdIuJmzd/3R3HbCIiZJxvNgSauauEtnlVZBQ2
qd47ZXRrIzMQtIJzuuzmTqxwBzWFJNQoG7iwpt30a1oR3MZp5QCCcY/1eqIAVBLRil02rP4eGdAf
KJ/j/cCz9EHtMrSrASOrVubRWoPjdIM9v4vX0YeFniTo0uzx/BRE2JelCs4qd8q0sbELO2MbBaXu
j/puugGFWANegey23AOv+pSvwLjU/zUnxG+z0KKQCdRTLgRj8syouiDGS6ntgbkPn4Cgdiz1g8id
0+qiS2vxMIBZG4VpAzR9POtVXeR1VMsI7dtXaKb2T6wCZKMCBDR6vJX9EI3AoOhZ/YOvPzHK/M7J
4SgkPZ6LCpfJCNFZeZxuutEWZK4W7yugC3FpEfCrmtwhT3MAicKY7Zg2xI0Vx4P6qGhS/S8BxokZ
7piP02ibGbuCh3JyxvRNKr5k80GJfl6fsMVVYsg+JLBUGX2I5xOW2vUwGRPbElCpNeR3ou+6VBbc
j5fdAbhVVBTagSJk/Gd8pC3lQ1COVgRNXB+vBmPXrQvX2Oo3SebYawht+UQQBV4WI5hFJvhlIYeu
XzAr1rjIkJkDIUPvDyvi5z4IPtttsw6fx325ml3ZG5ENGB37TaTrx95aXCyAZ7nKqGJBLH+JZTSU
GR9WsRQWvWXEHZ0f34kpgha24ZkZ7rVJe2SeTRtm6jl1J/lnJ0TTLt3RCJcxh+AL0C7o3EMayw24
6ifcnfmWPqgfrAnvK2LV1OFQAA8X3ILK1Pvr/WidGuWGBWnuHPwIMBpoACaP72H2QXPB5rjEwWFz
nBphS3jiJeYozyB7DyOsfSbe5H73wWSVZtbjvu6pQ1/VY/RA3MovgNIck793UhauUZQLUCzD64/z
/gGUrZNBHSdoJycrra68SheMcOFUn1ngfFQZU1UtTbZ0xXdUbnMTVHqdIIRbsnGaquXesEWJhMsI
5kCXtqhnQ39wMD2a+H+/HTQFkjwg4FKgVckeKicrZYeyDjX5GLdVnlKngz908jK4KXrycN3QwosH
hTYW3mC/QxaFmzGgTKhSGNhzdV1kftRKN8V8GxcyRbvtoK1bcCYL3udLB/jUIpvfk6HFUGE1QymD
6ASYMopnMvTO9SGJDHB3YWZEc0ALOrmgQVyhjWlFRGWJRQtAUrKlQUBKuNVR0eqfZSDucgdQk5YV
KFlEfvw3Eov3ptqJCc4fWMo0Fk2Jh8Lglp66zrfmY32w3A5IoMgl+3FbAcaXHshu3FVb6X1eUa9f
oQd6LZLuWB4rHhJI2uDe58OZEEQ/tj3D31qm7LbJ42y9Xl+uxfOEfrb/NcAtVwUV+CpJcWMFYGlX
Mn3TSOpdFWr/cqKQCSUQxIFz5+nhkwQi8AR66G5X3MmT5kwJdVshy8XSbMFPQzyUcV+jknS+uYMo
0/GTdEICL3k2s/K5szPBc4EsXbTYGYjdgShmZVjOxgyhoaicwbkExthJf8IRXsXNLYic3URGp0Lc
eVUACtO+3XbFSmuoL/V3qiQ7VpJtqua5MyOfVLNfaeTYquVmguCmPh/L4Oc4xvADn8gj7QtDcWj3
ZA1v1WA8RuiUAcONZ9fHqEudKb/L0x9T3SFP8ji3X3+/IaAKogMapuFBbnFzqOR9ij4hXBNdrDpS
uzEh25kl339vBKhvAloZCHQiu3Q+iVnWGA3iv8mNcUeUxnc0fmnAvlw3srQbQHQKrR305VyCiOVM
6aq2gBE0s/pBkz8MtuhJtXR6wN6BBBnjPwcX8/k4ArNO00FuJ7cC/YGJFu32Vc5F2QR2BHlndGqE
23GzVNJ5CGGExQ2KVwdO7s8/LPQVQc/vfvKSDYTbVrII3LU4Njw3wEWFch0isfOxZWqrT+EIs0V1
a2h3Y3yj1oIX6eLIwPwGN45mfRA/npuwxryWsgABA3WkDPxWVemY9kFwYtn0XEyfBbQ6dFgYXIzL
IrTtYLV1i20wQVMu7ku3MCcnBhY2Vu50LV8nzfs/7DuocUBrHswOF4p+VUv+B+Ri0ccSG7sRUVUs
jQjADzyricKEDLhp04ZSRaiJlQkkUqEZq9jUCpBcqVzvgokcS6J+NbXoXl/aDqdGuV0Y6hkJ0LSE
wKELvCEpHLv8lkUx8tKRPTXC7bm+bLp8NmEEyUeHglchhmDu9dVZ2nMmuMhQfTagy8ZHD6EdFkwP
fHLT/Ds1CqdCR2IROmkleLAvzteJHW6+JmpJuZIz71M+qeObUr4Q5fX6UJYSOhYSKpDjQTkJLG7s
G06CORupq17XcH7AceYlJbrxlU3vAMP+UucrwhqIWPpK9FhanEE0WQKIDesKb1VS1byyoPXizuZn
Lv9URqgI1qvmX+bvxAr7ipOxZTaYKAIdW6FSnzpEqcr4bJn/4BrMExvcQTIhwaCEE2xE0UevN449
/rLRvhlPlZOM92R4EqzXUuyANiSC24KAX0zj7BldQrS5gD1t3R9Kb0ZrmZN7LEHVeBKUXYC7BgN4
7VS+mEpnCbSGhso/xrkNCW4UHIgcKTjdgfoioNEh8o3FIdpk70IiYZa/4X3uqS3uHFtShYYr9hJk
dHWMFqL42TsVaHTQYfUsajJezPOcWOP7eOJKGeK0wsiaFXoPKoemTgRJT1T/XHQ8Rs4kVNRbqnKe
TqbOXSqBNRRGUmIlm1V0xyrv8ku0ZeoM8xYZR9+CeVDR3prPwVHWoOIJrXFBdLOUt7YssHWDhBxK
nkBnnB+QfrJRsK7xCcFNiD7uQ/3EMiWG13g0cKJ9sBenSZbcM+sgR9IOSnsX72K504eclJhoXOiu
nH1aZSkY1ZLXPLXAbdJAIRLVC3jnhqJ4nDzlwWMdbq8fwyX/dWqD25xIOtFSymSAUNF6Wc+6NwSZ
W1Fwl4giAcFo+M5YOQ3zutPxeiP6z7z8Uai32Shwk4Il4aMbJU3DciATdkHzmTS3Wrm5Pllswi9O
8p8l5xHOHbGb1p7x+5Wqfs6NdD+mUIqx5vs2bd+6Vt0isP6HIQH+p0NpTkMORuM8P+1mJYbODmaN
Wo7dzs4MWbHro1rMxZ3a4DzxpGkkLFscHnWt7WRXe0k/+i2aJ0BuxvjoyE7PnMA30bsQfOZCktel
fYFrB7J9wKdBjoE7umVPIk2rsAPl4EdRP0sduvQ0wcKJbLCNc3J/Ngp4JXMWSpV95AfZi6KgzXce
vOsTuXSWTkfCvuLEillOtjRM8AiK9E6kI4mfTOt1EDVHXI6FMZ2wblNAxNCsz66bEytNLetzxlyd
lPXOoL5XiOCtThRWL2TvmRlwG8kGiLgt/jWXaGWid5LKruf4QQLD6qFxGjc7Rp7t5r+yW+Wl8KO9
vBG9IhfKgRA6xAsVPV9QuTX4d1Ak63jHkmKG4UT1ig/7tQF/rbQCzqNz1a/yRfYSSFaKArlL38Go
0gAnYZJ2eKxw29Ds6BhmaonEOjEz32jN1qVNLYixFo0QRiCNOi6SMtxJk7K0UCbbmoHruymGJ6N9
vL4DF38/npDQqGCSfDzif0AF3gyQkAGHEXVj4PkKWQBOWLRgWsiwsQQWMKXnu09v9cawhwqUN03y
2bdgZc4nwZV06WWxEgg20SFuoaGWXwkrsKcJEvGzO/f6kwEqpAEPO62L11P+3JitZwapwAMuhA/n
JtmoT85UFGZZFNYEopCI5C1JXYVquC2TiL3t3Cyq1/W8s+hdGbwUo7zP4IJRw3WKTnS2Lz0IvgOq
SNCkQVUCpYnz75jhQYw8U1EbkwZnCg03Q0ookdCQmIgwDJfEWiiQWUyQFTETtDJ5FCGxaBzM8Ty7
5QxysFH3ciV1e+VHRet9JN2lRuZYM6B30vf1PcoiivNL9NwuFy3WbS6TimCui8DY4HWxUu2DPeeO
Gu1oivC/tvw6/evcyrlNzmcq1oCCD0BUbhFST9GfVRNK3co2kUTc1AvHA5OKvAphnADo3jhfwCkF
TqyUMDhq9448/iC64IQv4NYxFI01hsBLgUGSCwgSa1ZMqcpkPHMBp/lIYzd7M/cg+E5Azl7VHtgb
RuaaIVKQOupu/PkvUNezT+Bv7LEPK4TE2uzaNPFqBSBGGY2Vig2E+ef1vaIuXHano+Xb69XKmqCa
Z2DhfrUHsCh7ge4EN+B2XdFbFB9QVO43FjiC/WhT1JCjdmaIutogCYmFbwzBp/DtWsZMZj2cx9lt
THmbE9lRitTrC18wYnYFXByPP+vLo9gjPVftOtFnd/TH2NEegKc/SsfxNR7/BxsrP4KCfwd8rB/4
6A8Bol5+pdQFVxwTt/euf47oa7jnQWRKehul8MWZHoCsfkD9T3LScUeH6GBLoqDjurULTG6R1XPY
Qg3eNeqHyeydtJuQhkDhHj0hBXWuD+36ehIedlFJ2tCV0Hpyw+qlwHs1AMJPjwU3C6DMiy7hvwW9
KDXbZoSjQmsZYiz6UyiBJUqtZGeOxpuMVggySEucrGyeaiveNCS7MYg6OhqF9p+mj/cDNQ9dpmyq
oLzJKuCj6uZxDLLtpKpPtg3OuyixHTSXrrOZ3gDg/zyG4yaPordKS0un1q19obWqH410gx7Bm7KM
vLwmKMlMthPJsheXhoMC0TpQ5U+1qF8DpPHdSEULqS1L3tz2nSdXs+IXUvmo1oHqzkrqk6lfz/Ls
N3P9aBpztgqTOocoouzTYHgcFfu+MaApUkz5ruj0V8Vib8oeDiJH9wK6N1SvN+lNPODJiUsWqbkh
M29AcSEfJV3bNmSAXA7Fl8pa8YM20k5qqeSEc3QvU7IjUYqfAOXbKeqKVQMnOhzCKC1do4L2MM3p
Ssstv6rynUHynRSrg6uO/REME3tgat/bdk68QrU+u1y6b2LlIQXpsDN23bNGkrc2Tbad3PpVVOzB
knOby3nllpAVh4r5Q6dawaougi2V48Ms6ZFbR1LpakP/rDT9N43U75ZI311UPgR2cz+qxSHOJXQg
1vJmsMON0s7+ZM79C+T87tRCV518Vu6q1KBOFQWSp8vo84st5XYg8w64rR+dEQAp06Qm9MGGwgN1
66scz++GXd0nUVmvUpkaqyJonsoxX88SwIeROshrWvR3U4m2bMVsX2eAhoPAcEgCljtteK4QSVnZ
fGvJbeo0aNUtSfkI+VWonBH9Xu9VaHlAttAd6aT6AOY9Qy+SOsiDVCuEr9+ybP0EruxG16AsGhry
6CiqvZ8ipXHmtD4mQ7MtmqFFYc5cTRCEWOVBf9un/dYewg0aap+g4ukbUv0gl62vVf1BCtIbyB2v
235+igmE2xN9WBe1Bp2tvE7cKLQtB2WldZPPmYPKTO1EsfGAKtAKGA4LF+14F9PKh6KlF+Be2tBi
fizL8R6lwx9yGG7KXC8co82A8o+b98S0jtA92Xcl2YUDhMD7eT4EpS25Zjg9pn11kJV2p2v0UKlm
5Fh9+hyNaYjMuI7/A7lKOWqcpFXRGxaVPv7dS9Okt1o2eX2Wb3NreIrG0fZHOw6dHCR/TpsG30Vk
3mdqba0QPR/Q9PVmj6qXJ9NdF2vvdhk8mnrukKiEBGTf+VpAP3LN+jbKyHTi2nroZ/M2HREREiUf
V1Srw7WZJLMztvq6SpMDJaDxzO04dvIovseS+nIHSfrY2Cq6eWzm8FhLEpLftF1b2vyppSxyR8F+
NvZd0kxOSNUfTZnf4sEHSafRD0lyaPQwdkKivzaR9NU35vdMqzcTJBwjlsAJ5Mnvi/g+6PR9H2kp
xH3qtRTJK7NKNoZVHkIr15zOBqu8Jm3qOXusQS7nZDjajlVlaK5L5+9MGw+aPbz3uWS6vd5/SxZu
VWhgQ/RxbrZNVtguqVTbsUNj3xoGdHbGyVfn3rPV8HNKkvWk2RDXnB/qEM5I7g3iBHb1kIbGz6Sx
QaxY1t8JtvNUhNs6R6FYGaBzBMbTWN2mNt12euFC2mIb2k+DYiDQbyUNlFT0SIzcVTLtvimjjV0V
qzhWfLA0+pBt8qJZdhoovhWA3AwlEqvm6M2SCX6S7iaP3+dgOFaN4epq4ae1geBWcpWmOurZ6BSW
ua6ScVOR1m0wafUMQBz+etGvGt3EYepWs7Uh6vMUlS+ppOyUCiQWo71VAg1UTLjfpbdpgDIAUHUP
Ofkw7RTXYw1xHk3dpFiKPKqf0xld/ulRbrQvcH1tQzSdVAXAfiHGWNm4u4t221fJjRagbBXmyZuN
8CGpjqatb6OmfVJb0L2P6iprrU3UJg9JDDrhstwrkMUxzGytEviAtnOaQHrOcurHaE0tmrRxqPkk
WY3Xod9DGW9SNOzU1eAg3+Ngw/mhBSahvtScWQZR1tSCp8Le0Sny4K/9KTDXZdzdRM17l9JtUlM/
S6FREKXunB+aYV5LirILTCDHI7It0A5qZSA1kA13MPRVSJ4K+SNR8wezb1zDnHZR9E5Jsy4SkJq1
zZ6SCFX7bi03uZcqwFo0pTOCmi8rKaSNSkdSHiADsdVT6IhJsmeCW4Dx0A+K5tnGCATyUK5SajuK
dcy1CgibwO9DgizVR4nrHOCIrdmooHNYWdmHZiReZz73du78P9K+YzlyHO32iRhB0IJb2jRKpbxU
2iCkKgmgNyBo8PT3ZC2mVTn6K2P6LjvUJQggzGeO6cgv5HjJwse4yA9Kta92/wzxnhtv+AWpyhTM
UNQB4OiifCB3jKQM9qVnxGODOtuYg/rtZQ3PwTD48DhPWvjHlV0f146MZzLWYeH/zM0Xyx0Ts/RC
oDNCw7wpTGOz5jsg3hLlzCmzxPVQXwUBPFStfZ7zCnVk6NwZ0AzCo6LFS2dDDWnKptwLy6K7JhJZ
nzCvpLNsm5zCvqfZGMX7gGY0Nat9jWrWIB+9GX69DLRcM+q6Iq2aKrbxPNXLo1yLz442t2RNRy8t
czfmAi0clYeGcVgUnOWbJl06vPl0yeM2uBfF0bPW2PdE6GG70PLJmj6XAYEmPtDgl8cheNUGHDGM
XTntT4EH3pLIakhEgz4yA3jq0teuL8IlANuvPwh1FeToPWC1qIW2KS1QNaVhVb5AkTL1l41SG0s+
L+ZtHohNaZmbYvU/Gwk6FBnjOe+PxWAlg/tMyw81e7Hws8HEmK96sq4q38+o9SKbOQTkFSRh8lLP
1Yaqcgh9+4Pht5jChgnZKwHXluE+Mj0aTj7uJdrGvYIMDRxtgWVx/UdlJmWRRzbwt6x9X/Kbmt0L
9oDwocLfXMLbtF3fS/tQkTHs/XuHHFfXDY1uDg22bnLYHkmFJhKF8RE0MOzBiUX5YmC/wZA1lIGd
OCYLTXnj1A9M7aTVoIYxRODeQ29pn/tt0phuVnb6SXdNDFUPdIbIFNLxipZ2Wq9J2ZYRNe+L6a3L
N85op2Le9VButW4C28j61gyXvEub6hl3Rt7bt6dhmf05SXiKSBzQ0bpnnRV6uYx94SYGKQ51Ue8F
Dg5e54gMn0Ve4hs9+PzGUHNYyCVbTl/LgrmM60WOM4e99zB5P5cBgoSOkZX5M1uanYnzNBvtk27y
7UJHJAk69n0gOEtxS+uNAlbbNz8YngaETFEfiJgay9ZUdeIHLMw7N9FzkPmiziyG+LOtorVV0Kcu
NxLXUzA7kSpvRvO2KJ9rvafLkpj2R9B/1mrZOVPaF9vW29HWgCnNpuuexPDgdj+dOeGNiZs2qY3M
zhM2dSHKRvAQiBs8EAZIBgT3bUetcFYHnT+6wbZ1Y40+BeYslk+63BRBFw1zWref+IMz6D9sRvY2
BOIVapGEQxGcbrR9X/oyGrBypcSTlBhjZCzdxuh+2MtToWEgw4Cruls9FEnHcUNIFwaNtxngR43d
eVVXQ+jk5NZvmmvW0ViSYsc7/GpviNZebYhBNmYNaaiFHHs338NVaDcbr6y9W8pXZEuZNY5hYQrI
EkAp2eMw5aELYqMq5vCYx72msMelj9KEt8au0WVVBwa4T2MPAlf8Xlt3QfNeiqOSdYj4MaId0tu1
SpbiAHe9LPceLPqjKO6c4IexuvEK6X5zEeEcPM8FfOxxV4/jT05QGQ6gsF88D4JD+HQ/8a0DwoEt
bLzHVbaU+LBkHqJJrjtXBumY18lQtKlTzZnBAAc3EO6VZdy3iOtxvszVirVZbpVd3FUD6txjkzkA
j6xDF9HGxaj9HZ0+jIYliwQYjdXxyIsdc+0Evtx7Z1GxtKxEnfYXcgnkx3M9hlDj2cgCsoBTFZH8
SnIaMfHWUhK51R1zEG80dkRhBDfrPATQbKvGMYYiTFZiday2QOHPA8DEvh5N6y2fqzocmylezCER
tMxWxRK7yMTY3Jddhbg0eOwpiM2WmTFkZNr1rlyb7pf2aSw47lWk8D0kytWNVcyJO/PEUV3EdRDX
lXuY1ACZ3CJ1iyXOoWzCV0CBeHUrapJ5qPWrq1q24QAQMOBjW2Lk+CYmOcgGuHc8AAOBV57Ei1cv
ISuqGF72kSBgSVrdi4sH1CxZymqVSGQL9Womqm4yhnYZbBk2nBrpMuKKYbfd6ZMAY7xKWI/nRaI9
Owu0Fw/LlJVOG09TDrtRFXfLcbDtbV0eVTWnSj53pD9OzsuAWSwtNpuEzNlJc94j2Vq5oTPlmYNt
1Fj2a7CiUoR6BizgJ6pfXL3uR5SY3WDJBrYkgXkzTguyqB7Vf/HiDmbo98C6ErXt8Rc1rMa7s5cF
SZ0Clk0I21eLx72uIm114Yz2bLD2MfcXMGvzw2oderc9BHm1b4Ix5CtPOh8XO1uOdmVkSl/PpRsq
ecVX2GfPbqQXNFrs6kmUiJpFGxX0kVn1lWbyaCI6NMmLASeEgn+s8yNMqhFz7IY+iBfvSjGNtORk
466vaA/9g8F/H3H/wu8pFlivtolE/5O6H5M5J21RZQJZ0Twd4LOKq/ade0eX0o1qfqHmeC2JGykL
d4fh9NvAdjLP6KAy7HbpWgJhPlUbV7f3ne7x+3snrYV5XcOxOKRM3BbjkBrQJGYt3dnEuLV9fpyd
OjH94KAlOfJc/6yreQ91JZx/D+EHmTduwO9Nz/gwgDJWwRQTp/2pOPgiCk6MfDawecfRCUH3vekG
c1sznXpukbBW7dG2+VFVkwjrnmeQ4txVtArFaMa6rjP4BG7qotyghIGQG3lZ25WbLnd/9XiTdcP2
BgCotFU3wQo7BsHw0Xs8hIVpbxcyP/pjNZ6IobHTuTtHj0e8qZtKIrrtndjjKi2mLj2VE/wC/rSt
fNKVc2OhC40th/h3tXJsi/U1JwSIQbVZvI6H08qjoJ9eews4nsDt9/4EaaSgOtTMf0Z/PAitYvl0
WP/i1TWkXgLxDGPKsJHiI+CkvArcEsSZxsEtsla4dwZjp6zqBl3iI/BhDIM2CyzlPXgFMP7IC38j
Ouc0J8y4NXtE0t49G8tb1y+2pSWfqmUcot5BVjM6rUiY6V/XlDQwteaZY1s/tHaQFI3lvV/ZPaRU
hxYLlycm1zeNMbWhlLYIHVU20WQuVQyvtU1nyCAmSEcrdwpCr0ZeaxD71eZrBgrjtj2BNqd5Yzb8
SjTICOeKvfS+e2S63TZO/ZgXXbmzx+l2nOzX1aA3s93elkq2yep5fqyCYFMNDUpf3u04l+CyzTZP
rM5TWU/d+mApk8Q+H3oo1E0sUabJUwh6PPqWQpLuPoAzAb1969prx93qd++G0e3kYu+o111XHnbv
4MHcu679yDGq53qo7mcOSMFAno1VPJlufTPT9aedmzeGB8HSilry0AP8GndkeBToh0UKsUjYa8TS
rt9uvAD1s9xoP4TP+9hoSyjNDOMBghhThh6bBfBlVQWITPStmk7Vt0D0CUGCGJotRC8RgcRj3pzc
o40imgO/DYXQVmwW/pKC6fRUOurRrqaYLsEUcd74oZsvH+Pk479m+7PpVxUvFZeQJEdtqpxkglxE
6FCsgt5K3552dh5MmVxWiO9IEVzTsTUb+II0eTaPM9SZ4U581wWgWiVNu1oqccvAPUibuc8KrtkP
S2vLzxbKK2E3UAAiOn+51eMQxGXbuWnV+WsiR7neOU1tJ/3s6M3ge801BIyGyDMNF4+KZ9+WlQUe
Zm8UadMty21LENsLauT7Moc6X4uqyCvXufz0q5wYOBd9+2bO7F3ZZh+KaR0bAO98OwO6voeShFvN
T6OnzbepKUyUG1zjlxkI8YDjkaem3+WxKhD8O62kGKXWsbV2XdzLEUlOT73MlpDViRYx2Ig9S2c3
1YSCHl8ZqaOakuH5G5Bou3YFY7JOg0HnreMGurkks1kH0VDm2FvmFhVql7mPrNOstzbzSKrWOsBP
3TLD0eSpYfX+lSgH1DRqVsUNd72sHmEyjIQUpFcia9BhGyePBZvAkTKDYsOAR9/mrnMLF5LxtsrH
0Uvw4ufzm2Hx4bMnTnEoho4vCA51icyoGyt3eJxsxy2PnprrvZfrJQtWGGD0retv/A62BWPDRNoQ
B3242bdfcNFBRrJ06oznI0q6BXqSExd5Apf2IbKgj3DjOKK/XQcUkiztDuis5VOydCz/1flze9MG
xNiB6NB0YYVDlXl5Z6fUxAsOVhT4XTQ3hl2ha50a5oI83umWbdHXDGGJ5yXGOiMtUma+9U4U3bUx
SGrxWkJPV+MNbZHhjTmBqlDXi9i2UWcxZmt+M+3Se8I7OjxCTdWToGcP+DcWVZaTlqtk18bqjRuu
PGFGENAfrnNVdIhGRHVdD6z8AdYJB8Uf8PYf/tp3cUEhW2f6ZXGowESdYJMVwCQoRKi62DEtqYGY
Z+imnGxsMwf1wZgJGAqFszavbBmwx1gzBe2dD9EAnlJEo3Rb4hB2sU1bMiR92RUyhPqgQjfP0YEd
iUobqCLBOi5UlSQamUxhXyHhsnc+sE1RNQw4+GplyUzBFJh8bh5ET9XBVT57by24+oSTJMCh2rJP
GyhBbieHF0fWtCRxgsFJHB74mxWY1RAuL6g3wfe4jBBEmqhKLVNSlBYKKiYa26vfmwdp1caR1szG
s+VNiO0AQJp494ygeN1LbYD10fXs2UKfIHQtyGGo/A6C2DJssXOTlsOxoud5ExI8YTCvsCsf6QNk
Fa7ltEjoG/hGUhl1uy+diWwsT3gpsQtvw4AMyLixIlu3p+ndEgqsUY3Hyh+kuTGYSX/IQPGdpVoX
d47v7j1JvTDwtH9YzCJA7QNU2gKdlVhOPmLUuYCsPc4IPOMsA+mT5z8Af2CiZzgiFVwUHn6EEKk3
+84uGD10hmddHlECXTdTP0HEB4+03KjFYDtjUf5uAfvhKOxaJHrV9c+8NlmmRDDv53UOria/5dek
Q0GNKd/NQzgyT/ccfWG02UsnmaYKhxo2Igj6+bMeTxuHUDeq2NC/s8GCnzCfhqvKmue0nW32SXJe
3KquDD48SvVGD9N6zP1RXmvYhgCuW89FOM2SZiZbg6yAeGqqC2dhIerwEABdC0ruVSDqRyBf3PCE
P9gPQ+VeV4GsbrzVJBkNDOJEbc55KoWDmH/0QA13uTr0oCIflY/clo3FmvEeharK7afYnLzyWjpF
+wKyCn/2TKDIQgYF4FtvNaB0C13KKw0sQ1KRpk9pWSLnKmzRXNcrN7LKEPrRMQTLuonCFQY3SjLi
sspPUCZzA8kesB/wGN0oPZItmXCj93afIfwUO5vKRaJaMedHL0dGAYXo9YZg9d5aHMUfaJ5DwRzW
9nGA/R+Do9xumdOx44LufAJnEhMep7Pv3kmboLwL/tLR7DmLlDDFDsjHEi6eWrShUdPuOWeIjtii
vWhFiQUwfzSwunaaj0vr31cLxFjRpZ3JkyuYhhG1GFZvN+NA5rcFM70Nmgt9m645N43r1a3KfNc1
phWiGD59FtoJWlTxcmaiGFfZH3zm7XbhqCiFBQvq42JRRErcaY1ohRl7TBtCPklZCCT/XWGuofSG
7nPyFX0SnW/dyKlBpV8Np1qsYdPoFJndWJCnR1HdHZ0AeBp7ygxelAnonPOV0ChnCGNxyw1i5Rn1
Q+hRo8ORk2k/gxN1mEt6SmTsRX12sw62hT2B3Ff5coYxL7aXKcAk97Wmdw6KSHeoUE87o12NIx7e
NsqrdnwzpBNA5sgIPvsx8EJiDyIabdi9VLK13U3nkH4zgJqws1BIiC1icCSJ88hiAUWarTAgG2ku
uArhSqOWJ60KcrXStbjTenZ/zS4KkFpagPqSksUt6eR+DKQdj2IRsfbKFsXZqkM52+eJObQF8owy
SJXlFhth2hzFApzXtJ0KiVjVWOoY9UQvZCurs74zhyMPFi8E4rO641yh77MwFAu0PfqpxcruQc4o
hIbuAkX5mvZOYgtDProNR/1E+QMSOAod8VHztDcVItRpbtH5cOVMY7ts+tDUznqsFPET1MOLpDIH
gBZG7a1hbS02cvDV3mm6rO0pPmRRWWgPz00u3aPHJ/vF7t2uiFrVDFfQfZ4jdHVR4INnqfhVEcbR
Q3Ysa2+Az3jnQmkYts4bayQH4ZV3lb88Nsby0NeA1PW1jZudytTs2nvEbikAciJSHOobDZKhoAt+
BSvVsZf32673UI20+c+AL22cG/P9aJiYeIFWpmUYd0bvQSVsmG69ZXJiR5IOMUyNmMKat0q7U1Z3
9IUEC7T3ZyTm+dAEsadyveM1st3ZQVRqBPoWmgzPnMtPSf2PaQzGCAKvmZibIpry9oguqpfAMibS
JaAR/qLjko3I1zXqZw12eGta+7FCpBmon6dXP5x58asy2odAq4M3Nm8dXdewIrkTtrnzqHL7s3MX
Nyys4rW21iGypYdLW1lNAhHg1JQl37KpRw90KjMoDvyCXjy87DyRiILcV/2aENvH3aNoEhRukGgE
JKkeljnslHxo+uKG1u3Gah0SEtkeG9e+0QX34pwwnSiCJRiRCRBavreU7dyVcDQN8Wy0S/m59C6k
vCvjtYJCStTa/AolCLDju6rNFuF6YcPor1XCLVtBIdQZ7m2B/WMVAmrji//Q8WCjBBwCBANMx8n7
X+hxX/cg32P+6IIwZjz0s43agGG9uaXz4grAvqQWdw56RMkc4FWd+EjSQHebYZq3jswDQH1oHZKJ
Zwv0xldHo/Ceu59B6QZpsIikR8XH8ww/7SnazmBZ8FAafCcqZw1NLh6qcvxo6hE+xi5DI6bCITbn
IYWm4qZ22PtAxhdaGe+DXk9+88Gt77SAFikT4B7DpTGyxSdmKpzGyYyb5WTxWWojFr2Gz2eu4XPb
MERBOaTrFlRYAunXCWSnGEKs8hFGGjoJHO5n2nKPq4d3TVN9kxPUdhfjfXH4Y4lm5zwg6RIwigtz
nzcbnH7szgYFi6nKb+xm/VE7xhVeJVRV+/l9HvOnqaIALeTWe7lOz2QOrHDs1jchnBvTq/C/cX7f
GaYf9mQc0JEIglhSsZmo3EEayYpRvkErV7sRoqVtPSOlrstKot1l7gZzyJDhXzOxvLXD8nNEbp8I
36kSxVFz5x0yaHtiIa3VkVWgxJam+IVd5aGjTcywtbv7oWxQL4eeVSh8JBkUYjOoWNwUFk0dR76v
0B+tUTUp7GDLchkpVu5cyhO7JXG3koMWQJk1bEbxlHZrTAt1sFuIQsCoY6pR6HR08dpP/ba0eQ1A
R41qJitTl81xZ/SZGqws7+uNCH5UHEUBMtS3hdE3yFJ/aMNLeNvtl2FMQJTfGlI+F0jNpb1mTj8+
uytFxIoN0tYnhSpZPXLXN2K+4jI+XY8lVanlsBtHBK82e678+dpcvYjy5lDXQHESj6BCohdsaej0
otiJlOJmGXAg5ZJwobrQK0815s44eo33qAfxXChexa6EIjJJmt4Pa0k/yoYOcVAaKaw9AhSD3bey
y5urAo8oM90ftfvky7exnFFxtG5Wd6miCcwbgmUtfdxO9fDElj4C3jo0+ykcUItt5QApJct/omqc
M1h7P5caY5AGZarR+jXX80/G3GvfW/N4VOyu6oZXExXI0BgYaq3Mgbz1bCbcZTCVNXW5tbT9Yhho
8lb9XgDYA71vH7JNFbEju1rfpVklRZff+WpyQ3ih5CjLzFu7mT8IFDBCpRh20lzhcvI/PQEIvvBR
TFA+QEoQRQ5dZ73WbX1PJeXpoHt0M6QlYyQ6VzAD+CwQRAHtwF6QpOwnZEnwqWtVHCCnjXyhP6zB
VfjV+duIR5wQuEsBOGwhSMc+lo8FQ33KHZUV+hyoIa9iM3pmxop+a5sxpEvhai8HqLt2aM+i5NjO
/LqwJTAxDNJ4wMFcdx3fwf4WBSR9I2FNyRc/K2c+YMcwKIoIFiRrYO1rtBNx0bnAIUB3zHL1Q5Gb
bkKZ9dZqxWPt5091gTxn9gjq4jxHg9BRMs2d9ZEPCAQ77bCU2vKj9Cv0FGcyxR1H5xT5WZmpBky5
YEUsivfjw1rJ/YASQoxVRb2uWEm0VvTXOPJ3vtpVpFSwLcfGQI9tIHtv0iyCbeIlBtFvlc7/G01o
/yZNfgE2t05VGEvQn9CiKNydBBtwOZ98xewQJa1s2orf2Po+nuNgR/Ywtbav+K7azy/tg37tImPL
x+iyVO83OOeT8j3gq+hEwyvyDANMlDhpea+AyXovNupGiPZCi1xPml/A330L8vsy0Bnwd5GNKvC2
n/C4oM9Y2wCYp2W+gOq/NBv7T9Av7m5TuApIQkTtqTW8OQUQVs5nVfMLaMxLszlBDb98TW1oe14d
YH9PzTFdv6A4F8Pm8N+sGdh00NZyQcE4V9daOJJ7YQIYXjIwtYwejWg3XiS9gHT9Fgf+ZZjTZL9M
hviNsjvpn3gey5XMjMTO5NbaXHIC+0ab2rJg//Cf6Zy+3pdx2o7Ihi0YJ7inGVxJ0bP4RcI8KR/N
ezxHywYQDcBom2TqQyut4AwjN93jJSDtdyjQwKQBtE9PuoHnsG3bE7xcECtFrjeqa/RcKcosurmw
pt/sRIhwQzMaBA3Hdn7Dqf+YK9ygoCMAnlPgwIhMjZuip9e26BHQu8vn3wG03zF1IGFiAvIKJhJK
tGf7vu34XHcruGkQhrmaAaTd2HEftVEQOWBd05/6aYFzknFhjt8cAts90RbAuIbov39agy9zNOhM
FnZixAF/vzXG5jgRCJcO5ALxzj5xLc6uzj/GOePqBKCTo3IKbZMBBfM+Apv1gcIjEuX3AWRlil4I
rk72Cx5ROPgoFxzWeLxrduPezpprYJEQhkOgK4jb5O/L/u388W1/86YtCLz8Of+Vj4amNnCvLSIB
0b5CKhytuUvyyN/s15MeABi1qCGZIOL8OYqb9y3NHbDM1uae2r+G5u7vs7j0+8+uMhshw8Qpdqpk
8y1b+1fqAwr19zG+X6l/5nD6+Zed4gBJ7tdII6K1fIZZddOIkF2yR/uGPAkdny8LdbYdawFx2Byl
3Qh5YHdVONHJ0V3EPyWQYbF3tNBOik785/bG2vQkWTeXbpbfTLz/2qiQPIBrNoWSg3M2TbGgw8Lw
METW7fwpbibg/36dnnUwwKJpCOnLsJ9T0cRjdulu/fYjfhn5bO6rNIhecvBhQXF/56x+Xv1LfPbf
2sP/PTs4sznwS4XGx9kYvmPmfi5y0C7GmaBNAcybVE6+Q5WcvLR9b+0me3DTDki6g+5MRFbI7kJe
mjzyV3eO27L72TBTfKBih96etm9c9EkzuTYqRskdgbILRAivyXiosY7Yi2TYGLaxpnqkINOg8lVH
AX6SrUMlDmj5VS9OaTkblDIWIFSUe1fAHRFIpgXJphiMhxq6I1FpzP2maj362NVemwJRCnKGMmA9
TKW/tWsbRnq6J/uWdi0iWvQEc9l2KSnEfOpmqahxSxiyEqgRGz16cBMEkZ7hvNWFwOzIQ7O0Zqb8
Yth0g0sOjSfGeEXXG9B3J0i8btCJaS2zG0ougReZXDcBMttJydCzg24sYyfMZt5JXvWxsjw7/fvJ
+8bcA6fCh94QBRPIgibHn0dv9GtTKemeJAGMKqK78QjlXzwNGiCWfRkB/xVxO14SPMYR3FMu6QGc
NsX5pgFmDeVsH8w2KIL8OXxXQcd7WcEp1o5/HGp269IyXRYj8bAaf5/qaSbnQ7nOP/vz7JmQTVdD
uAekX86P2tnr/CDySzqu303n6xgnxuSXiyyYIOgJ1i+oiQf/OCfOW1omfBdE/iuch2DDCP2BzVTE
f5/YpUHPqD+tdspetxhU9XC6YU3Yz0BVsSvm//j7QN9fof8s4e+ff5meY8+iAwgayiNb30m0gK4T
wrNDt7eO7U+UpdfEsUJng6MdBvcFqF2XrtBveEc2KLNQVcaz6oJb+uf6sqD12wJFQRDaYFaIWicZ
P5Dyxgzt94skp2/i3j8GO9ubwwyRs99qGetugnQeP5zMUczNpYvz27sZBtMETR0IR58vKnHywa5n
fL62+yTAGHiovP/9u307gueeDnhA4Tt4tmpzMS6zT0CYVQAfWCtO9XpJZ+nbPfhliLO1Kiqr5GiD
IZ61RIQHJkLSHq8TPAGzv8/ld9T0X8fYQ0DpQfzPpeekYyLmBRUYa4VqMaGZKwSgFmLJt01fk6gd
FMkCwxN7BF9GjHqLeSxs0j9Mk+ccpsK9JGD7/dL+89ecfv7lRIjSBZXJOkVfThuu+sGTl073t9cW
dBQDMNY8JApn1xbp69mfcxuqC1rb4eIMGYhWNMzNf5OSwJTrPwOd3V2snc22qjCQh004TuxUnk+b
OQeKTYZ//4iX5nR2Y1l1MwZFjken1kOKNGFXETOGA8eFzOAb8SA4QSDxgHOaD/7CeS43owkrdO6d
Hjf11KV1pjN+cxIq5xdNRb/bCF+HOvtMbmGNesrxkPkIRVznRS8XlDG+kc3CZIBWB2kZVzDkHv7c
au7APb8+pTkwbX1A9wvPdQ7HyJNnavFkAStwVcGwqb5AyP7uxv066tndoVr4lUIZE7ImE4Clhl62
nTLe13q9dofuSM36gm7gd1vj63hnFwlTxINo7WkXTkAgKO8UrkFr+5IZ4nf3FXJSaAR66Nj/l9+W
Xy6qRgiLYEDnQahECahitRMdWMtK3/99t3+7Nb6MdfpbvtwR8GWevdU9LWEFgFOVh8El1jy5NMTZ
7ltNwWavxaUICtDb/OSnehNEc+r9FHduVKY8vnTv/R+78Z8FPLstxhrAUqfDiE4WbPqn5aG67zZO
SEM/oUd5c7ItpReiq0uTPLs1kD15dGqCFWjB8moAZ8QJxuTvn+r73QdxNYLSDzR8zs4YM6RplgK7
j00spt2bRvFaDs2F9/jbM+VTmL3Bt+8kEPDnhrCk60yMVzoipYyc8dVTD3lRRH4TACNSpn+f0rer
RqHS4eL+g2nD2QGGgErPxg53bTnqpLTKbRGIC+rW387nyxBnZ3Yt5Tr0J3HCaiIAkfVxCVCPAvHF
5akn3H/xeAA+858J2X+untuynOoJQagBpHmPDnhnH4Lmf1dPsb8OclrVr2fWDBoyNXjX54oAbWdB
Hff2/++7nG0CLsxZrgLXOVgzoJFBLeF/tw3Fg/Floc7und5ijWh9xGTKajPeHWpix3bx8+/T+PYi
xVlxCZSLfegP/blQciWiUj2+vTfmYDQdfFsllffALomufnsyA9enePhw65hnkxGAY3rKwAcRoHYh
1c8CCYCyuST/Zjr/DHN2kZoANkz5SQIwEE6YFy8K4aySt/mlZ+77ZftnnLNl65yF5sFJ3lVU+Y4i
Xq7J/ex1WYNq8P8+I4gYAQqJ7Bqq8Gf7zKHG5Fr9aZ8J8EKXR5NASdGnoe1cuJ6/fYS+jnT2ifye
THDRxjuHvt3WaEN7wz8g1bCV23U7RCCSJOrCRfrd3fZ1xPOvpfy+kybB3LritoQWBZ0vybp9d7eB
koPuFwkCqP2evQiNoKO3UGwIKCdCacGNreCp7B/MOUjrS5viuz3+dayzq3ohk7cAgYTqQf3h5C+q
RMDVvv99O3z7cH8d5OyyrnMtWUUR+bj35fV8DamBrWtGkGaxM5io7ssY6gZb+m9q4TDPhu09GhCg
Hp19KSdYDQYdA2QxA3xgFlmkgOkCrUnG9N/Mj8AsGQk1cUx6NpLlDGYB1OfJPgV0mB0oh5t8J2L3
+v+xdybbcSNZgv2VPLFHFOahT2Wd0w7AJ86zGBscimJgng3j1/eFMjJFurzolepNL3oZIVFGAwxm
z8zeu1fbzG63s9f5lXH9eZtHh+G7Jg8+5qCSA5uUOza/JXmRfSZcPVXuP29DXf6Rw32v9a6Rg+in
66iTExYBV/hS7Up/Qef0a30/UtO0Gh4iL3aVfX9GBcydsZm8hqiPsrO9Bmkb7sy2PjGMjrgGOK74
8esc4sUUakOmtOAkRgDxLRrPpADvRrrT97pbu8GuIb/k63hbPDrACBekZ3dOKgP3Lyt1xX/uPn84
Rz+cd7/MwYdTi3mpN+EFkIxQrORc3AjhYBos48fPG1oe8k8vgUqP7whErtMOXkJsRXoLiILloUsZ
xuV4OxQ6aQjJvKuNALSFSkk09WWka91+3vLRcw+45v9s+hAX281xrVsaTQ97e6N58Z5cb8MPrije
XgeXxrfPmzs67b1r7eCJcvZda7BlCOlUxXOokbaMGxE3q37SKLo8tXIcHdvvWjuYk4BemDnSbEK6
rbkBPnI2PKZniwMrvQi2cM9estvp3NxGvv4LbCHt/VM9CCYL3Zz7bCA6lufgWy0r59VYrUNYLZ8/
zqMDFFAx3GmTy+XDM76u6spqyumgXDtXOUgctSHp2jqp6j46E2koiKzlgFRxDl7bYNi5AAXJruwG
QKjfbgKv3xuXtUfO/T5fW9fzialPPdXiwaurC4NSjaVFpoC9ddW9zK/Tn8aX2ePSFSoLNRCrBlLM
I4kdSK0fRp9sVAxWVK2eiAWOPuJ3XT94k7ZChU4QscLkFtmnuuaZaY8JQjnxJo8FboSg/3rCy/N4
tzEIQqnt0poPoxdQl+Df1ZazzxrFD07pXE492aXD71rq0kAxJOysbp40K0GJmpl/+XxUKssz+Wk6
e9eZg4itbfSArF/WlHFdP6rudNGfGb65Iql0/d0geGKwHP3MNY07aiAX3Dkd9Cgnd7lsqCdw83D2
Cy7lhnwr+nDlzK2fO9XGpn7j8x7+N8PzR5MHPSy5GllKWtieXJDP+k33w621LveLCGdYb8q92JJ8
6uvnyZbayut8LW7i9b9vw2Gp1KwF3k+AiLPm44usDPK/A52Zu3SCteBOUE3HEzPo8bHyo4nlyb8b
K7VB8rq5HL+bk7kUYKwmQ5x4lKeaOFz6RsuZENOx9GXV1k7lM/RQm8/f1tHzWu6JdW5DOONErvGx
G4YjFJLDLWLTq94Lt4XXf3UerA349bdfuRF/19Rh/BKEPZ7Z2Gbe0r9Bboo7+8R8dHw79KMzh3Px
qGRjHhnM+YOrfFHWxvm8jbzwfN4DXHDHh3hteJ8/vqMz4GKqtC0enSkfTP4SdWtV2DEDKlA6VCr/
W7g7MvWAnzdzLAYiIZDycm5syZI62BFVtawlacoGghp0Yb1S0melX5J+r2gQefqv4tSl6rFuvW/v
oFuVoYd23S8blphE0U7LzpM8eSbbdPt5v47ujN43dLCUtaClpmQmFhhc8JVk15OaYe4qP7xXXJDr
7rRC+/0ryxZpOwiFljN9kKQfh7w9KdVUzgmR8VxBFLqJ1cqvp2+/1DUq5XTUrYp5OPMWkIOmkTo9
V7sau43qqr7CYNRXyj4+t6/sL9pjczLn5Ph7+9HmwdQ7woeuSK8jqJvVF0q4toHaU3iWnhr2R7Pb
bPlHQwfza2YogT313z802e3MVbkPdjHnDhJpNYCCXc3Pr7qvp17c8c/gR6sHU65hl6E6LkfuCO9w
Zf4zK/LU7fDRuP997w7mxERQZSyGENw1tUJeGJAWLjUTRYjwjNBryX4NgyYy8n0N22yU4n2mydFK
7cYTJ6InXufh0bjoutquUr6OSoFMIoDmvI39/efj9MQzPdQC1GE4k0XEx5DsxG4hxja+tT+tAz06
Nb97pod6gDCDaFRDZ0JkvPBpKX30+qeZ84HwWV1F3/fWn3fs2OIJwtlUZF0xZPlwztTDOtLUaZla
qoDKknFlmCdiq+MtkHxlaksO7eGxx9AX4BNtggzRXmTJl6r6lXNEvFD/auBgvEd2V0eTxPrfNtaq
ka7IW4Vx8LWoToyz4x1xdJvDa3ZMh/fdcD1ms1Y4v+He3o05Apt+5eTdVn60cNCTDG5MnWh8UXNv
41wJyuugkf3PX/ixbcL7Ng6+2ng0hpwjfs532yWnn1IHoyg7MGjJVh7SE/fcR6NcShTIVgHFu6zJ
HxeRWMlbRaNE343OOx+kkhb5/XXmMcPvanc5GkoeKU5k+lfcwl/yuKKN481v3TY4ERscn4tVx0II
YOvcrB7MxVKXqkpZLV/wuULd2J8FecaBF6ynLyRnePMeYNeGNLITsenyxg73MbaOuoydtWE65sFS
ExhmlDkZVQrqGK8l/QHU9TqbvtVReJFFwhVG633+eo9NVJwFI11Yrj3kw7S1UmQkrlFv6lK28Sr3
pRtC56mT175dQI8AvYMGRNefnzd6bAZ+3+iym3sX5M9KiQGm4y3XMIXG1zh+ka37z5tYXs/hg3zf
xPJxvmuiyWryZkqaUO1IWimddV3JzqNcmfe1Eiaw2E6JXY/3SddZviHs/ZT8VIKXkWKTGLWnoCge
o2vZDq9U6g8/79eRz5HhoUBGgvZOMcvBsBToxhxtQoZg2eJMphiPtHwvVeu1Lv9CbgtNEc2RSKNR
on8wFuVErSOrHkmD7UEwKKDdtcGFD3PiSzvaI4UtJQIGi0vkg7hRkItXVg1DXpTxzmqGs0SJ4MKG
m9pITszIR96RzrPTiE6X3cVh4kmV670hxfTIspv7qotQK9jnptE8/sI7etfMQY/CyehDvaWaxSlD
V8gQkmES99rGUIcTo+HIEkOHbPKCbApnmDU+jnJShvNeSkCLWOGLPtwnxdPnPTn+wH78+weTv1kF
s9mTa+wOuuFA283z57iQBrdA4lf9X/VFORRRyE1Cen7OyNaq51Q5a7u7X+gLEhvDZHmBBXHwVkpO
SIUlWbNrIsyrA8Nr25slte7zVo7Mp+yUf7Sifnwj3YDfuYixB3yn9mWwtfScEnMnza+lJHuKF6h8
YVu+zonR5y0fW7E+NH0wq06qWcL+o+nFUyqx6Qt9ybclUp1W2YrC2Euxib0+8Y0TU+2xwF7HHaKo
iz3FwNr3sc+kOaXBqKWymz7q+yVjJ3WDLeXOeBH+Bx69o2MSIY+5JOfrymHtAWlOapo5yVJfmNxH
gMJuTbe6iu7EvvMmD7Ko8mtbQLr4o9GDudBIDLmWGoElRX9WhkejhBQbv37+Ao8OHRZ/g3wdW6Fw
6+Nj5ICvNUUIKDCXxNoJLw1IozAnhwZ+vnkfD47XpJvPmzw691K3RZytEkceriZ2MsutHCA+mkvb
NSBPBPKjHWO6puz385aOvrV3LR2MkXZoZRK70QRB31rpmQpDtNzI06nUzyPL/nJT+q8OHTzDqaw1
LaXKjRqfJwFgdgYNHYM7NbS1Epwyrxx9eg6eBZIS8K8cJvDGTqHmWdIQrPbdvk8Exx2Sp403Ajbl
50/v6Dz/rqXlz99FM0mnK2XdMDRgx7idoJYwv/m8heMf8bsmlhf4rgnR9BxeL4FFcS7ONW/eVlto
4BwXwQDfnIquj40G8j8B3yhs8lDpHjSmNWKEykjUmVe7ZviSpv3aIhf4RJ+OfVHvmzl4bOPQGBCl
e0ILb/AtUoFdkJgA2FfF1r5ieiKMhy6znvjOPFgz7ufNHxuLioLPzFTYMNPVj510+rou6SjRRl6n
0H6TfqXK1kvtFBe2Ce4j7KRfiG/et3iw+BRFlrYcy1PxGUXbKAOgOGp+G9YnMmmPv70fHTt4e/DY
HHCafGRyn8Hse5vzOyf8lY/rfV8O3l3Vyb0qZfSlLDaT9pTbZ1J+1sIU/fwlHTtB4SDxR2cOxr3E
ekLwSWfE2r4xGBrUra0kN/uz8zTXeFS3LTxW71caVRWq52QEcISiH4dGC6QjmvPvSzVlZtMjTGA3
vAjBo1LqubLXiQ+6+sRbO/qFk0nyr0YPpmBZKgoSK1mmk11eu8a63djevFFfi0vDrchp+ryPRyZH
srQ4+1AIt6yfK3VHXa3sjli7BHfdSd1uqgRpbpU/ApP6vKllKBzs9VgzUV+xI+K24PBD0wqtqxz8
JcTazSrvn8z+xKXUkQFPA9QdL9dvOhdgH18XtX95qzUUwdfVa9VtSxW4qX3i6ON4J2xDcwhrVPgB
H9vgrDPOndrGo2ckF2PcnhWzc2J6ODYCDGqYGe+LiZ0ki49tTJ3RFrqgIlx80b6InbJ1fO1Gf/2u
qV6fujY62iHiCqSKiqX8VKszFkCbqiUq7JMcLA4MQ+3EiD46xBycBczxXOH8tP4WDgw5wadrwXxt
osuwaD2hbEvrxNp40A5F3UhLlvLn5c7T+GkoK60tT11VtK4GPTm667SnuLlqUWV9Poy/Vy+9G8c/
tbM80XdLcKCVpILmtKPcpY+9B/7YV+DWeuke1uzzUtELG3NTAmO9Vc9NLPCnZ6aDkf7Tr3AwGwqz
rZReToCf6Y92ctmmD3p34nz38G70pzaWx/2um2hQjKmK69aF53LG3v85bWtlRRGqBG/KkkfXqMJz
U8ovZ4nzf0PqTmyUDjO+fvoFDmbfeEgjY9bHxs128mbEj13iH3Idv9yYHuTP5VLzVvgD83/mT2do
iSg7SOANnA4Rvh+X//zKqZZja0GIcDh1qdBqs2oZWsnO3qt7/bZfT353mfrSZewKP7mCJCt8dZ1W
K50N3clin0NUxT+exXKTphKMLcc8H18GqOHMGCCHUm/RnFtXbFfddqM/G9vJp6AbkXZ+rvjGflG9
kfu6qdfDtll/Pu6VZeH56SFQa+3YBnmOXCB+/B3SRlEleY5aNq6yOzwqXrKW3PRs4WWYXu+n15q/
5ACa8urfvDv/R++XOV3l3I4zu4PeO2BikRvCKbZG+UGdyA4L61MS6oMw8LCN71LMd8O9sCGOmCU6
L9UefJrjMjtyAdNBXHzTwn+sIv/xOv6v8A2EbTaFZdH+13/y368kWjVxGImD//yvq+qtuBPN25u4
eKn+c/nRf/3Vjz/4Xxfxa1O2eAwP/9aHH+Lf/6t970W8fPgPvxCxmG66t2a6fWu7THxvgN90+Zv/
0z/829v3f+V+qt7+/tvLtzwuvLgVbJ/Fb3/90e7b33/jPHzxH/7H+xb++uPLl5yfvHgR5d829Kct
//at/Ntdlx358beXVvz9N8mQf+dM03Ecalc0ixWElXB4+8cf2b+T0qMy0xO4yLhgmYULoKwRP6ZY
/JnJtQQfjKxQ9EKA3eL+Wf5M1X/n3HfJg1c5vueUR/vtn7/qh9f24zX+rejy6zIuRPv33yju+/hR
QBrBSMwVAEfJim1T7vrxowg0NQ4DDdzTJHdxdl+ZWRkiAyli/UaYeuzkHDLHRviktlYj7qqK8pR9
luQdNDYdUG+7ZyR1+T4vuzF71qUK9v0qJeeLqqZUa6VrGVJg9HVaSnheVBRsxh+QwG1Ie4ZcVcNa
CiVZxVeUgOK71lMmbMwpZV6PfwD5ioWvl8HibomN1vBTKKccREezIoFttwZ0LByDldddHnTDZgrJ
zPJlo8/mTaQpYedOPR/E+ajFDfqhzBycewLFTD3XAI0qXgAroLmSnTpCKCzbdqU8pW2D52DVy2Uf
nPUiasVTGs4wxodYxKaXmVUFayzX7HBvN7GUrtsaIsMDtrz2j7Dm6yfTM9AfhiAy+rWdDVLuLtTc
8rwqKNt00E5n13GT9uO11etQIUP2TCNWErNdnHRFt0+TVFhQERv+eA2W1WxGDIhiKP3eqUcOZnIg
9L6S5KG+jdUMnQIok9JBhQG0bJ1SERs/mgrc3t2cRsLx5SwOwuukDZMMcLGd8mu1ep+pVwPYt3Jl
W3E7+PbkNDWpZEoLFrHoJnGjF1mv7+1RgJcLwxBflZqnsQkKNMvmq1jVRbmL0lrtt1Yg59Wl3lTF
E9UZOSKLEiS819HiU5jGaJZymBHWRSNPBtg4s40wuwZ2/zrgYMaTEv9ZVjn4w8ws5lU3cfh0HSHt
Q0WYy1UEY66eZggWc2PflXHZmDe5aNOg9zLw1dAkug58rVCcYgS1ivXIc6ZmKrd5KAlrG2p2M24D
Q6nnS61rxmsiyETeySP55g+SnDbFum2TVAMLG9vDXlIzYa3MxJSnnR5YU/JaAYrmEMnslHqd6ENK
zfIEWnlN0XgDM4dHO+3boiZAU4IkNy7bycZBVe0MayIXJgncflDeeqvfDpXi4EdrE5ss876hnnxA
Ldffw+gOnF0Ljfg6TKZR301xEZ3DzlYfuJusCRnkeUCs0A2leSUXVb3rAX9wdIJJlYwFIDPFyrQa
MrGsgZcqrLaMPCVHVOQFErkBG0gdqgVIU6s7DEYluQ/O0FammzhANVdDPMn6pVO2MTUN5Zizf0q6
INoVTlU/Df1oQeZu9IWnTlneZT8UpPiMsWWlXihmw95lFP7Zno4pUPVNLW+u+9ouY3+upGl+q/Wk
WUQajj2cic6GSldipRgv4RGwWauznO2aVo2xtI7zpr8V4TAAUjXhOa4Ky5EwSQRCw7zXcMe1AWud
wdoYFIFdq0nkyu1mCLUr+P8DzgKpBlfpyNx9+2GeOF8b2JkMbw2pTPUYxkHdnleVQTattAAX5EBz
+3YZ1bgih3lrpnEGFK9WB5kKWhmeSX9mJyKtV1VhhTo0S6mH8F3GAA5BKAIHLEeLPNBHEWIsan0M
BsnbMCZG7w24WDovlHJjWHGpa1LXUEJFR9M3N/JtXPYZcEwJO4SbICHH7AUHkLnM4BdY4zkYLFyn
sQ6eUk1q47rnAL/1p7BLWy8fjBqRZBFp0Xk1F9jlYLs7jVeo2bjuFUHVuc1JF6qEotJLQM0BDxK7
8KC6g2SQ4yM5eh96miLC0h8GKVNvC6N2/swboPhbR4koX6+lUJ3OVKfq24eJs6Rsb1UZBrdYEsPC
iJHBWMoxi4Wrt6n5MAa4PTbcBpjCj5RM0ZFiDFK7JW09sP20icxFIdgoX5pxQvpmMVkOcHHHNt9o
aUxOhAPxmfw0WW77lTnIwX1P3e/dGOczbiyV21OjhO65DSs1De6MSHzTzKm66IaOHbKISBJ1i0QJ
dfB6ZT76kxg7EmRDPWKN6LIFjZrmCGjDQEgaZPGskM5MvcAYlKnWXON7GcLIdSQxqny/8vCgUaig
r6xqxE1Z63I3eFICDBjWq2j7ixnKeHPd9i2GzWqQhu4xYB9do0uua/1MlhquZIfWaZqzWauG/nbg
NzRvojmIIzcIGivbxtQiFPdlIcIQcL8UUXMS4I4ATA/d1s3xUWhUaM5F8hA11Ps/cBBbJvybkoGZ
JyZF8TJquynZZwgNtDN1NMb5XAhtfFJGqwq9Vlg6NhBr6u6LRu9CP7XTUd2nlj2r7mibcbAtKpDo
LheSIPMtqfAno9oP44DBK9dnBlae5vCrxwwh7NoOOkx0JrTeYU9NLpKOEWJZdIE0tq3wUYAK9znL
7SyknrL8jXlUU1ZNNw36tRIEqXOj5Apg/HosrL9uE/6t4PO/DSk/hKGfhqj/Dwaf5lIf89+Hnv/7
tXl7H2x+/+t/hZqm+TtXA0SMlEws0IslL/KvUNPSfqe6i+xTIltiTk4yfoSaRJqkmRpLiGosoeCy
KfpnqKkov5O1z16NVEuLGBHU0b8RagKQ+BhqLrehjBTbXhgCZHYfZhCDLhUpqlzZa5O+zl5aRZp2
VTpQJlg6pSmxQIwEVl0vtpZVDbdRLqOqTcdmOyVRcx/OndZQ3hejJwhr62nI84o7zhYdW20OWeiW
w8iRKg4asceCkvp9QYWt24Qgq2tNCqJtXaRIJHRY6hxWl8F5VCuwTwAonpdqAwdYdziQAApuXMhG
NJ2PeWK5pDygpWBmObcn03ibCZaus7CWXsekyB8reRr2lSiTdaJMKGTyxvIJTLNdC2vlOu+ddheJ
vnVFDVYaXRR01L6xaw8SFz43oUO1ohgk35c6vT6XU0SMQ9I1N4ndGc9jlWYvRl/0sVvrgXNlNqCG
UYWgKdRz9TaZJH2XsczvDGVY/AckZuhajrKisoPzpjPDfZL3BpJcSV73TY0lzBpT6S4rrfBSrvpm
PxqhdF1krbHnyTTww+tsU0kiAVU0k3SdjepVXI7isiZdaj1ClX9sjSKIXcdB1jaVcXqmVUlwjigl
sFaqhFlVyDJY3CZXd6qa53eGLCxfDqJwr41ZfxlyfAdqXK5Utzb1aROFKhfF9GUdd9F0URED+pbN
nFdP/bzritCB+VU2KGBQ79Vh/ocsVdcjW4kNMGEFAJYpqDKHwT4E4MDY3yQbGEiaV8mdlUPfZjmw
MoJyfEe5TxI+wpO6z3g0TXpLga/sRWNd8wtMky+ExFpKYI/4G8UtEFzmWUfRXud4HPaNw2K+otgV
0bLUS0SrVf04U4S8NWstuEqbuETP217Yeqzgncb1pppTty9VOfeSjGk0IoQHeOOYtx3HA/DVIDmL
XgYbVlT9dS24Tc6LDIa4hugUAHN4TZNiXXSSugYTrPmjMclPvTEP4iZK26q+UhQgRdoOKXEZ/5GT
WdXqvqTOLDTPOVLhuvYNKkfw1kiSRDjnJipLvOTpM/ZvXOmUeGDtHdWCPQaZqVzoDOJ2ivtpjs9M
fASpcl3hFtiSYFJ4XEpHEH2N8l7CGQ61OtXXwZQoD5lkVTddWCr3y1Ljyek07VhoxFMxzhQvDWBE
rnuDWu20mbRXYxLKcx1FrW9HqUV2bkQI2Sagj+2AXRfFkc1Z32jWecDRcrnqikh6zIem38/sy/w2
0+dLA/r4tWwo6bPu4M2OqxLd69BXstuaOuz5up1l18BgsDGm2r4sxhSrq1GlESE6EoKrBH1bvacY
HplvMevEpODoLVfYk/ZHn6X9dVB16X7OZn0Hga7aWplTSAwic1iPaZ/sk34yty067Zumy6oLlR5u
Wr3Ozsu0ZYWMk2L+FtWZutOIXXGQSeXd0MitNwGEXg3VpP5RN3L/YEhBoq0stU0vUhTeOxwh6saO
A/uespTqygmN/NLq5MXOnGjXnd04TxWnpegXsYs/Do2jIVxPY6uAHRGh452kon4j21F6KCiVuxmT
ushdgx3OVxFJ8fNA8IB4umyrO4vNm8dpz4hcMs2TbxDsa4ZdN+PcGCsDpZE2Wv1GxinsRU0gs8k3
jL5bhWpiSn4pS+1lZEXRdWZl6Y1jTyl+k8aq2SQZ5UXaF9mNOtSjRkhm4xmBro5shQijXAtNpF+1
AhdxJaexH0lFdBbIcfZQ6mF/hi5S30YhG4O2yExzFSZCvx8r29y3RlBfqiqaG+QNUnOHB8a4U2aD
fIXJMl4CaHz7OXK0/RRk1R+ZNtekrxsdqsomwarGGHJ2WpyaRKWGBmO85HsLCWfWcdE5l3WYtI8I
YstNUwvdxMmXOpshMobXUjKU3TDNjdfHdXjeFIm0rXFArWVFya/mVIq8kgO3bWxXwWtZo4EiagIm
F/MGXX599AVRF+eJR/VHvI9lJLY5Jx1+YqGa0VTVhOCddOWO8x+Iq9xgb7WhjvMVd7z6qu5Qjna2
3G7LKZZW6WTZF47V6m9R0lGCIOOElOOwguDYB9Mld1XSWU3d200YDs5L18vBQ0fmI3E+ZeWXQNki
1rIU6HkjOvkbbNVhO7IRf1bksQD2ZUmKWyGVWcZicSGmYlgL5qCEvOVYP0ucHLF9IMRDLiEnJyMA
WewQtdlTlveFH3epVmAvQDoZq2p/l+hiuK4nvVnr+FkujBZrc5ZX+kVr1NU6cuD5OUXS4oJW+8R5
LUpOrHf8Wf/MfqZwiyiQL6tQkQB3FRy2oMjT1xwjUQpdqVbgCawrL12pdRsyIipvsIeM6VMnsm/k
ziNvyKQvpt5iqFfN4MGaJUra7QYR2yS3gM9acJFrbYBYniYWea69Kt/D3q8eTEeNcSor3DB6chgm
Z2jl2zVgTQMlXDh+lSfSOpMgzEkl6GbcUFIXbARVPQ9xhpSN/Zq+7VND+WoKBV0enobRNWuW5FJV
hsuqiAMPNWKHWGTGwssu6qJttGKrZG3lyYaY9lIaFZuQc6vdVFSWG+h9jrYgHOSNPWUWAhs73tZy
Hp7FNpktQ192T0Yp0C6HaYFHkl02oMzqjKO59sycpXEdJYO9leda2lUqW+WMOGiTpKXFRqxtEeAo
01Wa5eombeSZvUmmXihKAmzRzApPnVNMAU7GSptGnJI7JrMwAE9fFgxAuWrqS9Ox4su5ybFWB8hQ
V2NdoUhIUFh4FcecxHFhjQtFU/PSNyszOJso874V9Wh8k+F8enoQQ/eN26q5EmMxFmtVspZkPwtP
+SCd6wFEgIuc8TB6Ta1ye51nb6S5OfJKSwN8TEZm9XeYAHCUppY4T8J64GZljsyFa6opX5WhC3dz
S5IRx1/WTuk4EOiGSl1kCXm67PieSkryvYFIwLM1xX4e2vpFMVgJLPxUq6Swp3UqTdkLqaita9TC
QaNpqj7aGuavRe3UiFpccMhVcBCVj+eWmsrnQZhw8Kho+VOgycOrySmK37eIusakl9dKatp3k2L3
1wKTIBCePLmRBrQ+VZCDPbeJc1cVQdMKgIZ0iU0hRDSuhdfmzMAzA5lrOnjyzm1VCH1XZRg/jcFs
vDg0x701mpGnpiZo3qaLcEex40XuVqdfLSm0vbjQod9zjICZA48ilVUctdUj4slEMTEYO5o3KXIP
U3Gknqo1tY2eJ/OZsDl8qPmAWQK04lmZp3EdG0lypmZN5+XUt1wkhRDrng5gXMJGN9sODqQarSx5
pNUmhifHA6nLLbQTVjmsAttsNMmJMVPwnprUbSqQJM+TCMo3cDbYYRzgu9sRMoHXaXPmYXAI/Y5z
HaKg6s88pnIuKKdso0mFtQ7k0dnZnPeeCzMZ/bZR4rUemQUnrKW8a0IEJfmEn3ceMS0OLOqwFnEJ
J4NkeaXJFXVWt8E+Fcgk8Eiip7fxwtgWtLgoI8BPZ7zK/P/CH/I09I3CKVdFFs0biVXuopy6dhtm
WbWfW8m619VRh9QBHs0oFWVlZ3Z9x19xdgrBEzRbO6ECkIVWombTDRQt8EITuYnebuLU0VZ2rab3
ZlkyN3Z6ccZPl76mSWBlDcaBjnZnO5jxXTBHANZNe1jHc+ERcLdnI4v0vplL2eubWayGqHbWvaOb
u1JCD9VDu/abdiiZ30al9aS+Vm4k05nu9MBWd983pP9/b/4bmcLsjT/ZnGcvYfnSvt+f/+NH/tqg
a8bvoHkXXPBf23LN/l0FYGrx78rfb2W5oP7nDZD9u62Q6MpmgAwKrmWW3fy/tuXy7yQhmCRwkI8A
pJErm39jW36YmERJqoNAQLZg9+uA9Q/L1PLASe06GFnSvnR/Di+Ri4l6F++yp2Ft7eMvpzN2Du7+
f2rw8O4/knDuZjTYa/UZMiO4z8RnjZOqJ3KuDhqCugk6AnowDB0OOMzvdPF3N6KdHHXaOBNUZWa7
LizrD0eIa70Jt+9e8193ah/u0OQln+X9xTK5J0ixlntd0r1txTq46G9CJClokMqVNRhGdC3JXT8t
POb5NpcmRJqpGiXzeWXnCmfe7QgHoemGgn17n5gbNFmazgFfPNe7lpgV9TeWCqLYuU821Mxo6Obm
fB3K0FpIbVXdKB4f+CGsXqYxa/ddHGHvM0tUgx1873Suk1sjEFx+ptG4oXBcQ3wYC7TXLbpW9Mrj
bTC05roqy3HLCabZeYkkt80auU2xJYRvd07TaY+K0aPBEc54m1gRC08t1EhDfGMZj9DElSuWktjT
uZ875zaAm8N+HMMz/IXmF6UOCsRN9ljdocCt2NS1+q4pcZEr9kgQQS122O8bKvz/NGRORr1etkIW
hbqrEGmS8aTi6XsJu9xpvSAZHJLlMttyvIR4dYs91rqcKiv+JtVT8ZWDr3xb9YrzRzv2s3PB/bt0
Ppg2pmjsgOLPNp7s+yCsjTcrRXZadzJs7jjOX525jyq3VYrs2baqwG2jVtvJBXI7XRAfdLUM4clu
bATDWmdeJlGh+o3Z2dXKSCsOnYH7qzl+Z3XcqjOvi1LGds/Oq951sS28PAmjs6gwzHvCAIHkyELZ
nUr0dW5HN43U4TnAgJqupFDBO1UV2XlY1sEVt3wNDo2x4N41LUeEeVI6A8HsFPuiZxF7k5QmCt1J
muqCfXTfnuMB7C+MsJmAa5TtXaKlzh0X0w0pag4lDpVA85Pios5Wta07iOwhxmO8rMO9oVfVDsmw
2DJKTX01NaXOoqLFHO5IvWvpk7LuY/Jq8cd1/QU7+fKSeN0Z1o06OZ469eV2pKiDYJoqx36qOhdJ
co1rhP39FREZ4umojr+0gC8vdWfInsXEGcA6VqdO8gvyVq1VpTftOovTe7VnVxNEin3HBaYR4anX
sq0oBuXayBG/M30pT3aQsbHTodzfpcOoU3tQ1ejM8ylYz1GImrgcnOeW+1WTDLp5vqtQVj/oOo7S
FWj6/CybbOWmFH1fuGZiKLnL/t7ejk5cPVh8GORhckV+E855TcCQaTbt60NPYNCz4veiyOfFhxQ/
WgoCMH2si+eGKoVN3JrOfiq1+VXXK+2Nu6cUhYaqRl47w3fEflVSh9H/2QZl9iwXKiLI2TGwrKfy
Kvw/1J1ZcuTKtWVHBJmjB34BRMe+SZKZ+QNjMjPR9z2mU0OpidUCr+o9BsjHMKq+SjLTh65ED3d4
e84+a7P/P2dxTgGHr8nRTWAWw60pjXnA3FILLysiO3IGYqrdXtfH/C7vffsc5yN9PyryxCy3C0zZ
ccSTqP+ph/SSTdG/afRQq69nUuyBo5aJ8TcxqUSRy6EkvV7V8W3gx4sXFRwhPNusWPtF2kW+6LIG
DUYalo+lSviHGI1o9K3fdeVZMIz1QUq14Xvdq/0TwSv/JcbwcWsFRvg9m+bwJpEJ9jthhrs7Llll
eT5VRohXSB/xJq71YfjOaiFrn8hpfD5UZbVlgo6ml1n8cXwNJoUf12fBiHeShO2uGVr5fGblGOpi
oqn4hCgCTXpKDAwUPeK2fNZIzORA2yBUrwbNsLahajY9kTY/7t3ExhiLxZNSkyIineJv2NO/otAY
fuPQVHDpj7W7mOLSe7srSEGpalXMjhhR+GELFKbkmOblja0aMTl3Lcn3iRIPVza+9aC5muDvILVL
MFtNestJQq19Tmebakp5aLjuQ141nDhZfBqwjpQgPeIDy1aCuuFQZuGl31jNS17pyVNrRDIvXw1/
djyAycsK0dXmCfHTSubBWQhQRaM4WCFHYBlr56Ou6PXJ73m4BuQiHc6Sn/XY/XP3O9IEvT0IP2wD
9SolJXBThbY6Biu/hDVe0YYZ+gwepmfz7vOjdvkLq4MW44P/bmElVqlSVCaNRgtS/qOPUXKMudNp
mN4SBA7CLypL/xmzN62RNnkrIJwWuUq4tNaqF2b1JBtPn/dm+bWf9GYNKOuLyur1gL9vjGTWtSB4
KsJ+I8/9U923u1ENdGfK6xONnvhI+qpagEPdmNV6+UhmFzmS0V1XTXRiIry/eC3+FP/1mdbFvhDm
gykVtEHIbauVF3pVe21cf/l6d9zKcit7c71r/awuwolWBBX8Mhsbik8vKU6Ick/1ZRnPN61Yw9RU
fkQrJHRq9aCGl0l6guD9Tpj4ujjfjNfqRhza2iwEoQYnvFCAkFW3EdksaHlO5Epu7y4KUesXT3rr
V4C/3eeT8NR8WKlk/QKxU9bTtlZCO04skgHqCcHxqSFcVvWbIVS0QY3LlCHUTMh/4X3ZqTh5nqr8
WtclrpervtocykQTGb7D1CC6y5nsIDx3KheqoeZ0mDI7xrZ247MADOTnI/j6jvhsHa/2ibhU67Ge
6V9z1nrxDTZs1VX4HVKoi5LuW4xk5T6/8i3MRD39hMj5xNCuH291KrVKsDQdNb3xm5BXcLBlrlNO
Ftin2LEft2Vy37ORLPJwPf6MPe7wUmrSlgyOox56b9SRH6kn0NgftmLw+CVFLOCRLv/8zWRRfQWF
UKMxmOFtP5JYiYmFnurKMqnffbE3jawnPYa6Hfp7NijK6a7Gqd61cbGXVa05yM0pu7WPe8TZq1hI
r/VXptybHsEH6GVy7Igs5v48ineUh7uyqZ1YZB8eJvgp/N9WVvvUYKRKE4yMm0wYlvtqT1bHImhX
442cb4QdXdbJtPt85r+rJHjduN40uvpYsAgKTepoVOwo7CwP84W9TfEodeLt8CBtKq98Dr7FFhQN
HxxU5IXD4VQt2hpC9c+yf/MbVt8SXAiPmZrfgOP7zfDXfinu1H3sKTfWfXzFsp++nXZefFdbsO74
ai1UpGdTRJqMth3bh7BrkaSNrZVudIRmjjxX5eVABmJTGiI4EDiQ3FYR0cFCfLj//Bt8NLugLC/q
DSpE8VU5Xi+V6MDTZ+x6cceDkFxrl+e7tD5VNPLRinnbzGqUTR7TlUEW3xFD56g84nsM3yv/IR3F
f7Kdvm1qNbZg5HFBJMDrtB6vvfSmcZJNmrjyOWZlm+m7rW+LmxjkUFI7yt3/22CujhB1sHy9qGg6
KmualdVtWYOPIim5+byhj07dt31cHRnaoufqFIazsIyfk6TcyFZ6YiM90cS6mMyUsYzuk+U4tM2n
CHFlOMYPr734UrD3/zeJFZZOi5z+f47jXj7Xz3n4v/9X8TaS++//179DuZr8LxNRlEDOpPEf9sLW
/3dQV7P+9boUBcROtnoU/v8d1JX/RTUc8VogOICQTcHEfhPTJUCELQyoK4BzGn/xCzHdZfa8Od7U
xephqQZeStSBPK9r/OJET+wkwYec/2W7QV1KsY3h1zu1y2BqNB2cW8RNe1EblpvqUvq1VfTaPOh3
BeIhtZKYTh1vSeo8QjRS+8yRo17eN539KBVmujPV4kSh4WrvWxqirBVuo0WYBTO8VS0jtrPZnBYt
obISHf1QyLPXGTMZPkQoJ+7oq9W0NEW5P2XkNEaYTF3tf3lHNLUm3UlIkNgP4A0kq6N+ov5zfaz8
0woSOVqCSEZzxyMnF3kYzDpqIm0nvXS7YJNBuKgO7e1pvsUHY4dNtaWoKh9KeUd9jyq7MuQ+YI7Y
veoOWF0cMFgnxomR1fbN+rn5Z+K9jQusqbn/dItvRU6YulkIMqtu1bYIsG8oHHGG5ORgPcdbMe40
T2xraOzbYJtLJ07FDz8XdV7IIamjla3V50JyEgQ69QgOlbbBfrLSwi1lYJSfd+yjMaRkBnELTrIK
S/q4X7iPV/DrmRT43t22aXKYlPE+mU6VOC9/ZrWcAWdwHzXJ49mUkB03k1Uo7DU7LxwdtwbDybCa
/zXbJNHduJDKX5lfQiUZkso/0b33g0iJEUW1GrVBC3di6f6bi2unqEmtigKVUdGG1+wz2l0d18rD
54P4waSnGXZSKqUYQ5Dfx8006FPMZpn0tSdv/ceFvyYOxWH4Nu3Vrz2XmIg0tTRkMOVV9sfjpsyo
r/rAQIQ4Fx14NXRu264awciMXXpiBr7/aOoy2ekP4gHcQlfRCZFqBcY7MhtG0tiXdR2dxfGQv0S9
mVxW2aT9TGwMyr78xWiUnYr9n7Y5ao77V2gqlTLLtJ99sP5SXnzrfH30Pv9g76cFG9SCHuOJxp67
fs8Mgu09yGPweLoNTOsFvevu8xber6vjFpZf8HbiWZSO+RN7EyHwQDhREYSHtB3twRlmNT3RnVON
rbaKWmliCliY5UEvd05rFddjFcou99ufn/dq+UPHy5heWTrH1TId8FA77pVZFrkSUf1ANL+Rf1CS
Je+5z1v3StGHv/yFcfF5ex99J/iTuqLzmF5OyuP2qM6wUn9RwpYWEaVsfCmC6YvrySYRvTAXFgE5
dInlYvX2Q/mGToprQU0NWnpuIUD4WViDfU7J16lg35opoC5NwZijdJkFzDVq1Zt2Vs0kQCvtKHY8
X3e1Vj1OKQKQPstVr816cR5p4bQVtR4/zeaEY7K4HJXUUX1Rn5ie6yenZukK1ytS8OAj2VHWFxxl
Enkj49npDJLUPwgB39tA37gz5czazXo9uLYSU+RRj0BZ9UEjlGdMgZtXqeH65CncngJDpM4iQItG
md7n3301of/5ddy9TFnjugIp8Pij5EmXk9QnOQnEz00Qp5D82wShcmoUlr/zZj6/tkM6AU0dU5r6
0dVmI4doDKeOyDvVXfWPXvSapxDqIJs7otmucxkJn4wAnsufa0/jQ5xQSvJ5V1dLav0T1kuqjURU
ge8jDCXb0lOWlOm3iB9MoVRctz+1nnKI7ectfjS4pg6Plms6XNp1i9hUI+/uxoxyut4NQnsvE9HJ
Y+XEprQOZv7TM503wjLDOEOW4+XNFiing5UUk8gc266lcpGr1ZspLG2IIJUkLgN9NjdxY+s34SgQ
vxtV1MabxPYVpLVT/JuoiSqdmWarPTYIFM/rSVGvW+zGT0XS3o8HaTVqC7hkgXBkNhz/zkCK29iP
ycFVCHBJNbbndQNPNW/mE3f99QbAiNASPGCIlPhykcI6bkkafK2aF6X9AlnCid4j/7vYbUu7dodc
9BRVabV7/tMcVx8YjuhIoLEcN1dqutF3GUV0ME3z2w6lxlVpq+aJYMcHw2cizOZvEBuU7VcPozef
mYCtCHLFyp2+jJZKRdnJteTRLqGifj5vP+gOjHuhELZF7cOefdydrkjaHi4mm8Iw6Vt02P7BLvz+
+5db4YDj/kGlEcvjlYjxpjvm1NjUhaC07O28cZrUp+6wlE45Gi9RmOONB+9ngwLhpTaJXXK1wWlp
3kqRLy2DFiA2UMvGyeJhQElXbQu/vCw7/UpE44m+vd9rjltdnXVZGfiDb4JXFkH2bUREQYqz+1Yr
4yP6qv9gXgBKVznzVO7f+pogGk65ZEn1WDiBIbw4sFxlUf+k+ebz77WsmfVIcudGtwThEETBqk/g
iIu+4GnhiGb+rcXm5PCQ/otegER8VHqlVOtfn/DsZwooDFIICKZWq9gcKLKZMBlxyjT7k4czFeMT
do6BpJ1ibnzUN65bMrOQNydRmuMZn+lZTmOov6hT3ZlN+kgF+9OUZCh35HOzsn59fShRm8GVxTKA
69aqudJXBiT5NBcVv+c5dgqKfGEaB/ouV069O99PRV1jg4JiYtESI3nctdiPAupNubLCW3EzX9qZ
g7SVs+RPoj183qv3+xO77hL2YKXJi9XDcUu8zTp/RLCHiLb8o5RR7+bAGdxBRKcueB/0iQUN+hJz
KQtM72pitFMVR1FP0KgtAnKfak3cx2lLRZRejKLkLqPAJ/zyZISyRJoJ3SPaCK6xx73z1WGgaEZD
IFhGitvRzJ+YXXqPq3F94vj6YCCp1qTy0aZJ5BfLP3+zM/I5ZTHJPGlii0S4XlnJed+kkefrdnXi
7vB+q0dNCqeXYcQAnQ3yuClJS5uoDcE3QYXT9pos9A1vNu3Hl2cGrGaQiktMh61q9WoPUMFpSsr7
djR/+dzw+qg8D7P8RF/WoaNllnO5sBZlKmwSakePO9OEua3V1Co7Rur5u24XbqN+/8Kxssu21FRS
/nXq4F9n41+bXOItNlIZ5sXr7f/Np1KCZkyyUOWK50sp6zknG681GpBZqR8crrSAKypz3gBEAZ2V
SU2+zyRTHUi2afrvph4BQtCZwHTkQVPFhngoursxLipszqnq6+EztCdmsrJsL8c7OVgjQaxhgQxx
bqymsm0Su6OKtaDeBGn6gxnhL7zgM6hW7KeqEiTAjXTYx2kcPxVdRxVHit/INUxW/yelGGxWqMz9
DE08kn6nSsIp21DFNMiOWdZq6PSk1gNHgqwh3KlBHOf0emx/G6kfrNxWQ3fPQRzUaDVFZneI1+I+
V7eB1jSyNzWUNYTNnDeo8gmDn5ojy1Q76jvXM0TSvEUA40DSWE3FKtJU3tEUAw91ZlCDXnERtal2
aFWq4vN4m0lo45iifpmPW0sbp70sAmP/+Xp4f9xQPm3gS7NE+Kl0Xu1f0UCJz6SFy3oA+6Bm1UMI
Y4ERvO/CcnBMY/oiuXKZp5ahvM5S8vE8Eo6XBuACP9MsVMe2JrnDAO2j+KN2hH2SE0fb+/sWDXEV
IaFBgTgp5uOGtIYx15ZbnbkUhVV/6gzx54Icj//2YeZ11e7zofxgAztqbzkq3ixA8BZ5Uhi8sbRw
RO4ZRdsgbE6ZYn/0vShywfuJ8AjLcDV6ugK/p+7sJXQxYy+oSX70gzxqIiOd6EuLIpTCgJ9lQ6dw
vt49k1cdyk7TJpqxOlOHsrK7TGdLiyProlfkDVGav/9BE5rCe4lg+0KROh7BRGqlxCjoXIka3MNU
q3ENrX/6vJEPTmzyLoL7jkLmmfLJ40ayjHIcqqK4hpsRcIhxE2q2a8rRvrX67edNfTADKVMgbMaN
B/7x+rBJ7daofAUlvWJgjxgOWOBplAGpJkX82B17RZE9tQmH0efNfjARCaMuyARbpul1pNO04jgv
eP4BtKpCjwTG39AoT3yqj7r2to3V4pqHgnDjyGkdtb20YWsHZDlOL6ap/QowMHKnuN2O7ReDnsve
gVCf3QN3cGbhessUk6RTsEfJ8iRlWyUcH5o0v+rt+vbzAVx+/NHO/NrMku80Bc+LNXGv9+u0tWSe
t0n3IGkXcoMqK/79H7Rh8EwCi6bQzmohV1kTwskvid8WCvG0aKB8rdVCD2JQfGIavjL03vWHdC9a
C248xjr6Y1aK3clTw7MMzFiyMfsU14Uy0+PnkrJowtNZLFJXz9tFyayZ6TPpyfBbw9l76sB/P214
ZuDOwcZFr421i3zGjlb4NXGXzCpCR+jV3uiT5z7S96nANqfKxI80wUfjq2N91OpaPCr0bMYJaDnk
xkU9DiyACtsa8Vl8aoK+X3q0BGcXkxNdpnvrrzpLA0gBO3H6PCuvcdAbbrtkokru8w591AzhFxaC
RqQNC9jjPay1JdAgycRdr3s2hksYBF9twGDnULgkcz3jpaav+xEmyP9zHvJU01JFWIaiGw++1gzG
ifv48ofeTE16wFHCVKA1hXmxLnYacF1vhzwlWVf3s9eqxWNnc1zrTX8vh+mtFuonBZcfrW4eoFy6
kBlwyKy2riwVU0aYAubKtPF32YYKl6cSnmntGNfKNoboftq4aNXN142LyAjpfgq7ZJ72xx8sL9kI
LCnjJCiS8jEyR2rCc2oY5KyLv6mRAf83A/3w8Pk0+bBVHm8E/nnqkM87brUd5LiW4VpTO1zft6NE
dWgiMreqc39TDfWLXnX+/edNvh9cY8l1cKXkRkmkZDUzm7otiazyYJwD+y5Bztr31lk7FSfYxh80
wwZMnoA9bQlEruan5Q9xNABrcebIuubBg5atPISyfGIA10levptBO0xLrltoY9aXnsxQ/D5R2a8k
Obe4qM9XVTcAoVgS85np4Ud4Jcx4G/hVSXWC8RR0X1RwECphJZINEyaiFPL1qxcSDw8jk7FqclKM
CH9lIqAclkz63eef7V055WszfK/lVUy50DvU62hITZn3OdlseIGb3OsemDe+Z7qLl3t5ZgCBPXze
5rtvuPQM1RF5RYIZgNePZ2enqwMJr5hcAS5eFPWZVeRJCFT+k1ZYd0sVK/eH1YRM2N4oT+G50dWP
GHeNwS1AuRNtvNuOl54s8X1qVLhTrs/XKZSa2PQRLjXh4BIZgPpfnDjC3i1lmiCgT1qFGyuig+Vg
ffO4GKtAVYsqBNZSdncNm3GRULQdYL9tl5ukm73PR+2jHqGxAdQqa9yT1zUxRmNT7mmzX6VDcBmN
Uuv4aWuc6NP7hOTSqTetrDqllFUkgU9adEPBngr/fa7GF/VGw515UQ7Bues2wvWT8ET+7aOZxxOK
2z8RO5bUql0QQ2LgcU+8vxR3RetvzSJ5nAEWfD6IHzYDsZl402LRbq42/VkeIhELNimt1jdj95fS
QjcOohO3u48+FWl5WYAmYz9cB8OLoTVJaBP3qfP0Xmj9lSxZX/Tde92EeMggSyJuuxRjHc++yopS
KR24rHa+bHeOjRdO5FVa2xcOIILxJ/hI3UAg4JdPAzfQU7eRVZTon0sCc5HLAhdY0MPHzSelxNOz
YTaWVDN6ZUhmMRKJETltNNdXNYYbZ9x+jU04a+ouymAVfOlDvmt/tYd0CZTiSSFfS9b6kGv5NsuG
34pOlO3zdlaf0lreiRSiEkpetG1ER477CeEWIsbIoAoLJ9uiuG30+e/nTSxz7s19610Ty094s4/A
KE1qW+kKBzjGlTnnF+SitlYbPZtFduIqsNqy/mmKixbnJu9QJFnHTfmdhVcjL1EctnRPdMUOLkeg
SpdCGx2zOnFSfzh0bxpbDZ0BOyr3wa45mi8XpJibKz2vghMb1mpBv+vRavDsMkxGfYlW1qr9NzKl
h8qqX3KVWp2vfyReney8AK4pjViN3Gy3WqSofCTYhDupOa9rCLYmTDXjiwm71x6pxNy54/Nv+IvH
32hIJTJ1MsPWkAuMM2k723CeTH/3eYc+mgpkb0mRELcnlbDaP5QUoPlc4d5ixXm/ReuW38dRG0Bo
UexrE0EsQFOhnNjlX3NX67n+ptV1ADC2QRyNpSC4zJMvcaELRYFTBk27kXCX2YRAfq6AfJmeGcbh
PunG8qYxkurb3Oftrix0iStdFEsOLn/xbQwF8Y5Sve7C51+mow+jehPkMvi7z8fqo0lGOBxGBiJP
rrbLP3+zQjMdAk8SMMkQQ6euGY/3YZVseEqeekR+tBWQYCSRv+w17wp88lb4dqUzy0Bfuwhdr4Nu
2ieG/9gV0qkZTTB/uaiuvwYR7VdmPE+EtR3JKMoWWeZEmUkKQ8c1gjpMKC+BJnadZJWZn8eiTQbP
KM1u8ZzSQnUbDhAdvJHq6PZasuoE+cQUTPJO4y+Nu2ZW5fBSNrJAvcrqvCfdJxnZkO/xCBD5fZWp
4fyoCMps7ttcSHeRlGPvp0R+Gtw3XHCCZ4jpabjrlicoFhdFGhCGbnVIiN/mgcvPhUXJvQrNJ07N
MzW3s5+2HRrafpLhcEL2BWW3DcFNSheAkMH++EFNiZkfmkAuuHVS2plHM6fWBHa62uSjoTY9yIsg
n58t6PTRBiXYFN90qb1oK9uo+pmDUCs2GQRQxckHMaSu1i7E84KulIfWyIfMLWoooT/UHLNwpDUA
BH6kjaQFP6NYscdLFebBdZX6wfex7UJlA0TSSvfzXGb5rpcl6GoF4s/mPiuUolywCtDYd6luzj+g
LY/DZkTGpj+m3PhsPOgqolL47ggMl9QG6qUxxEN5Be+8qlypS2eU3sLkt3Z9oxlOI4V9eoacI7+a
ZV9RPJud7Emp8+RFmivlKRkiKim7KFde0HkGk1PoUNwc2ODSQU0nAShMnX/k/dzmOLlpneoaOUh/
D8Y8JmV1ZqYUrDd9RzY3bKWOQHQFur3wsfWCIdDDh6jGoCncIVLEw8Q0Cp0gKipoHAh5yRw1SfsS
TVF6K6UyMCXC5s0ZjIBMd7lDjclFZ+nln0SCEu1wB5EulaxnADV/eh71ZvjTKiAXnErHmg/Kt23e
ynKLS0srl7UzzjADnKKqkp+w3szAFU3bXCPIBFncTYb8J+jgfNXoTFonMDNYSxNMpcQ19VCJqX1L
p9ztxqnZm0o3Q0TopSTb2t04kA2LGivZd43cn8n1mP+OYwgxOPcViuV08uJ0wJN0sjZhpyUXSlXr
22Geas2lMDYKnXjC0NsJKNA/K6ty+t5B6P4bReHgVdPQ32VyMz9gxRtoLv3o9rLWxNuyxNJZmUr/
byHm+KaqBjAPIuvTTYcfy69hDoZ6C5Nav03z2npJ6Pw+ixLzvKGI5IbaveBPN4nyRspH9cHMpuFS
08tsBzu73FoiA4oHU1DfFL5S3aLTLH9VYdoAlizL9nsm4blyXjWmfCGgUt8XjSi+6SgQn9UuGn+1
+DkMt3orj7hdq35cXcNx1MSCVSh+J2ZQ/Anlvv6t15W+z2C7VoQ8a4011kr5XTyE+Z8BpU/rtb0W
61gfFiA1B7hnZxloQU4iu7427LbeSL7/XQu6H2oVP5YgwN0GXgJKSLgUuTYXpEiHi2CGM2d0j0QX
CSrqXeKS1m42wLuxD9ClJzFmHduc8STDe7/wZQ0ajpL0nEbmDSxvy8mLMT8LjPY5a4D6YwBpPvh6
W7+oUxbcpH46bCKjeB5M+zprjb9NIck3plmE58kUzzs+R37BWVH/BFQL8sWuzvxUk13IpJKnx77v
jn01O3Nc8LjyZfmxautmX8MAv4HxIhYUudGlVxUow0t/6tUtlJ/6vFVLcTP2PSxdOb3FqNf8Rah9
eKwqyOp3HEzaZtD9Xj5Y7Qx1TR2r7DJT/SxwstSvDY/wvH1HYZh61gqLWST7YMwcAJoweeayeQrn
uXXKov0TtYXhzU1peUBzux2//G+fl9I2tu3ZMRaaLnksiH55AgOpzBW3YUgPo9FoHpeui9DSD0ZW
o1Ct2L9wJtkFEwhUDgYINGpTqY6s+xJUOCtz26m3cYrSnvS6rjcmLm+XJqRkp1P0/KYM8cwb1OpR
qSTFga8xn9eKH0D8m6ODKBeIj6JetqlyLuzUhvGvKkR+VCy7OAmQHdm3s1xdqGGuOYlvFrvJHufH
rrMGr4gnagJ8eVt0deCZo4nvbEzCxNdYsvKInLZTwpt5jnQn6ZG82ll9rdVksQtjSQfPkHBGYC5b
aIcL2desUE9auld2pnLed/oNhVLPEkeWE2B0wIQEzjZ1AXVTSVm7ipn15z0qLUfX53ZLeRCjGpfU
Ug0GMLvYIvyYB2dVr54BwrUco0lytxa26/dptpmtcIcNwgI+SkzPzoU4G4vZ2Oolbp5+341OJS0u
wXaee9hCLDvumF6RT4G8i7uCm0XMQ1XcjjZl1+XiNCElPmOjz/1BtFGyNUbSk5minhcR6hiF08KV
1GzelKawPcBv30FeUQXfdu3GsvLCTcPqZZDLZ5wNxgsp0b5pjdl4CRRUCqdUF8sgSJmKNm6INieH
0Ywrzw5E6yVBCW4Xmsm5BI94Z4l+eDA13rGx1GobMZrnJf4QCH5jMEPJcJOGQOJrPy/dshoUjl3l
gN6i2HW1vq/C2rPHQt/McZbcBGF0hvkPZMygDZ22j/nOUq9uZkP+WTdUSCDQrIASMMBc8Gc30dL0
EKez7GgFxi1yUFlOlqS7SQOD40f9BREsvI+6TAEhVMOR5BAKE109MKuwW8xwVwBp+aSgV3a0yXbn
YP4WjknpaWl7XmTSvcnxDF/qe6xmitsOxp7KOd2xzfCm1AGrQlB256G88wvte6ixf2MzpriBVvW3
AJxKj+Hvb/DXGLYpBTSeqHGaGbPRHez8aUgGdVNEgw+bi2QAINTSnfRcckXQBodgUvKNzH/nUPtQ
ulHENS3rdDhOhVk76ZT86ciWeAlBXLfHSM4LW/PF55YiR9MP4oLfy7L6Adyandy6isLuurTNbS7r
o4MJ0pmRS9JjFMDtMpFmDlY+bdTGOhtF9yjX/l1YC3VrzvK13E8hYp5m/FsMqNlVPSqxcchEzJ+x
sOdxsAtA09I38UGrlWjbYTLhQpPO4DBlPEwKPQ4uTS1psesQTAtLmjddq+rcRGOxaQnd74q2ie5y
Y3G18NX0PA6oS/DTqb8TZeE/5jYnaa1p/V2sxeq2t/v8sqSOcYckIL4YQbKYmyIvptFN8dmwNvkQ
V9OtKCGJ7tCrRKNnG3m110vzQdYjrXWsiZIBR6qNtlhMf2ThJAB4gKqLBiqtCnRVCGfuE39DRWV7
lYyV9NgKY9riUNx4DORLIHQsikzg7tMwh4d+xAewC4eZvbmauFeYPpfevt0UYMk8Q+/QkulMWmPC
+4HMwYLbghs2o87e23ZwTnXzd+TdiRvZ8viU1TZkynSqDnYUlptOGPV5kmWKlyQczXORQkfPbjS1
vkr0UfPgC9dbs1OnG0Rm2sYHN7SNy3YfzOW0DeT2gC3Nvgsgh8VWjuymjKLdlJvCydUM0NeA7Y5u
Z8+yMc9XXRewr5WNmxZz7wrInYfJJAYkYF1eNgnDwqjKh8YPE4+NRn9A4MN9Oib1Ad3qOky6K9xG
4G5JMesOdjfa2PBWm8d8Zwda6vrQ0CbTuIBIHLs5ym6XizDmK1IXuXE5ql7O5/qTdjiCWPN4P9tw
fQvVxHA70eqDnIaBV4LIx9LCcAs5giEAh51zLrnikrqFNIzAQbcnxx/KvT5Sb+C3h0T0iw269bNp
+5eymTK3hmO9i4nleVYY/Gmj8DKq4oWeeqjTegtFNLnQ2vh65lrscEHSuEuyg4jCsh3TBu3UijHY
kFtj9xz6KxjsqBNt263V5A6V1xl7tMcDARhW+YSFi+djJnvTYdXglrwJXUoEf5jwU7dJof+RxyjZ
TKb2kodMoRnInBuObNB6Vx16Sd5KHTO1V6oL4FzfAj+0N8pYIZbVaxm3ozB80luFcK6CGMoBGfdY
6vK9bGW3lJjY1wK15oXZJzwPGu5svKCmTrwMItlYRdpvbaMKHg2fDTqT4O/qgV05bQtjbUzPKVyR
zkTPxkC1xogkJq0vrJhH5Fimtxyx59jzTG6etBepJVFPkkxOPiG4smvQxAoA1TQComtZP5nRbm+m
l8pE8oOXsIj9R3kaeJqBydO4kE+h/MwTBXvkIelQiIcRhNsh9MzSwpwwpiIe/xbSawORmqzIbYfl
FLspdkmengeSBxnQcCOAMo4w8GlJ0rZzdbM1H0YzkCunM3ztLImygTIhksddXV1WidVApCoiL8kT
zgLFvMhMeYeqNfLqUpWcWvBLkiR5bAZrgaE1OGCiduPtUNqeUZBEhc5zhunWoyHmc0VvSmcCnjyG
/d9IwVvaLwzZSeK0d42hCy/8crr2ua26yiDfzqmlbvRU9ioQyE6tjc8gaQEuNq3mGnL3x7dL85oy
D0LBfv885e3PJFMCV9GxBQpajLFgH9+mvXobpPUu9ElbiMG+JxqecR+x/gw9QNvObFM34sHudt0Q
801bri1R832UoJ011IKEmupR/5MfqtofORqVCqJzKjldoxD/TatNb5Y8duzsLDE6yM1Q/SmbkueN
UKruvC3lwKlT7W8RliGaUuWhpM6Q3lWuCPO/uQKlMtYvy8QaXF5YM6/3cN9N4VngF9flGFw3ARch
fG2d2Bx+WqF/V5MC2sxV9Dvngu5MfX6o5/6HMqe+M1cwnHiVdI5cB7fSaPwmv3zV9OYFie+/IwVg
TtpJz0NlHdgHz6JI17ZpTKVXmCx4YN90O0rP6rDcBVX9K7B8eHkAOQqQV3fmrO0my35Rw4i6xXpE
olFoT5QP3ahpcjnafXCOcPZHFAHHRxD0PRb4t+GNVbhGMf8ACA8izrf2fjxlt/00jNsu6xbnOKg/
WXQx8Iy4jY1avRz9eC+lue7q2XAOznL0mMdeFnSw1AMAGrK5ncdoR0QmxQFIMC65+lsoxSYRqbSY
Yuj47hiTdg5b43dsNj+COZc2nFnf5iC8KdTpu+CPd0LUnhZKZHgWBgfmfbtYSQ/mGJ+3c35OvQdO
kJIhboLMPuRggqCQRpFD5IY72WCjUoE95oh6iDd95QNkKrE3GNqDVsiKB7E9dRvTuAv9gtNfsf74
yXAfFuaOrfHal6Xx/3B0FsutI1EYfiJVSS3eCsx2HIez6UpyEzGznn4+z26gLsSWus/5MVCM+Q+l
ZU/0v9B3ndl/tfw81lTMtJC0oZ6Nv1zDl7J3k9DNmQ2nyL0Qsx3khnKzIo1Ipqp8tPuyJ4L5nvEO
kz7KT/vO7dMQWDNZQg2b014b5Z+lNOnOgofy17jarVGretIsHL9RpAiKtf8lZjIKtLkBNJhCqzFe
46S4Ja14UOTwypxzthvre0hrOlgnWsJaxbK9QS2VUzlh4zOaeEucmL1NSVnfOvwckqx2b3RiAu4b
0sUmAhsZt9JzppJZHQHIZNOP2zvvMmVEkZ2UR4u/CyUo5EtbiJIHqQh/cZxLU7DkpmPVB7Y9dl5U
zCt5/j2qIZE9p7HxOErtUUgsLLUhhZdrPL7gOGFb0RBBA8PNouyqKM1kH6dOv3U6Th+jYO2L+tfY
sHfKQDNJFOV7rIcvrlIdldbY2b1yylqxN6UMssJh9I3NLTAakozC4WqoAoEua+es1scyRu/u0m3z
LOWVjGmgczmbh2IEhFohk1ku2959cqw0JjtWRkHbMm+o0y6phKBHTjlGjAJ+RY63h+Bk27fmabbM
APZlCdQ4/akqzfIMJd2XbdGSrjiqe+pOttkwEdOVEsnq5MqvYQ0xGafdcyTshght4UnFOoIhe2Oj
A3ZX4FqdHubTiVcgRGFAFOu3jOtH0deB288/OVHCitOTwiounShuI9FUbj9ua7G+J25EE4IdzuW6
ema3PFGrEug5pxoQ3ydtIbFvT8lhMobALQx1y0L9iIRkS1/RFn9/2LrSrwntVDLhrfoaTtAhCQrR
xrIDikOCSE8O+fLr3tEztiNmI21+rpz5nZTQHjGf+dSbw7ZTydpIms24vg3dcsYndanH1PHQF27T
pgiFPf+hKADXXMaYBon1pUyXt8URT2aN15r+yyPWBGU7VeVt4Snyh0TZVWqz6QkO9EfLfLAS+1GJ
i3OHDcV34nhX9cYnWe/fZm++L8gffNPgYWnMPiTSYIfUEKCtoylm6dVi1yfFvi0iqMC23Yja+lu0
gle6O1DB4qWGuitXatHa8cXJy106GUdYiHMCjENZ2SVxKbDprW2HqNbrIuvQxKQRaJqyiyXmJcSu
V41M81CC3nluMj24izz2WrlPpXkidnNEa78sXmK1n6akZMcdD2XkQJXPFz2XnbeSFVoSEqH0g06x
RnUry/a11sfrfajh8WgOSMSpfHdX/PZFsa37FUCiAUczX8w+CmtxEcq0KxiY5yoPuawpslCavaUn
J3Ne9ohWCCt1znFrP+p9GiSuEs6rfKgHrgAndh7jetgqovYjJ6IIyHVJm7rTi0ppvioz3VNmgjAC
kzT1TuNlducNCsBtytbPgZtFfi5S0i40+4Fm1H1RkjybThjnOx4qaniESH23m7dY/zw7Y9tZ4fey
8V+dqZ/4hk+6Ubwq6ngz1xlBybzwq+pkny7dk24Om27kgDCKdyVrgmhRwkWfmdHxpnmU/cUe1p5d
0dP9UZMEb43hYhmBBMSBGpVXvekZdupklxXWZZTT1+pOz467sBEXx1oUB3NWD22PvHxx/lS2OE+s
BtnHrfSGZbz0lm37ZWEj3VFpgLQ4NqNPOgD+5rF/Ggd0kk1qvDn0Yvhr4v7SSal40yjLAwnAeVDF
TDFTwvO3Zqc6p2tGtO5B74H4C93YN7PY1Ha2WVbzbakzv5J8/7V2KazmIzLlnkrWQ8whUzRAhaZ9
cSw1dMr/xUXzl1rrBzFLUvb7DZUbf1rRBWz6J42Jos0Eha76QyTYHyZrJFp/OvR9+bdU4EVFnpxd
IAtqF6C4vitGxl6Nu40u270sptsinlCWvpHkw1jtBJRu7Lg+EEAs104bTF+J46+6oaWimo4R0nWz
o5VP14dn8noeLSUnADZqD41WEraIeHSaAaVkVDv3Sj3bbwGT/VqOsB/T0AW0KuyBv75TmYVtix69
cJ3bbEU+pkri2eV6dUftdYpzfClrvYtm5Z+WEn2NqfTmqvLkqLkIiHp+MTM2QFLCNn1cB9YKxG6M
1tlZ1i9aza5uBkgCQLEpeAb8emG7mCfwRUXTACNK42Br4z5jcTaHcivK3tNnyZoCba/aQBOlVV/i
GRng1ASMhrd1SYMYOm+E3kAYfo5X8UWny3dUURvm9uTD9YEWVVtKPdEDk0XKMGNsM6kfKFekX8OF
R+k2aVE90AXUAurYJxvKIqSggRjR8SeuC8Qm5iWtmV+HqdnPQgYp9GM3d6+VoPw2Hlpe0Fj1raHB
UdbPu3lovom3BsZu9F074C1L1SicRXdRB/ipJjnp/W3selDAVexjazm6qfmoFMnntFhh43YbI3Ue
TNiggixTWR+L3gn1+w9qGdSv1MeuMHYEugaarTyRuHRQ6nlHvs55nqcY8xK9HqNxEzalY8Y9MMZR
9ozDOOkml5LQDoZFK1QKhQlM7dfXXh/5d3l0olqneSL/SzLn2VI1IyiNwgrsMV02wpE0COdt6UO4
7VMYlyQm+BHLXBw0dOf41krPuGa2VI+AHhKf/LRk7Ch5moVJiegpNyhqoif016mdy+rOP8ZqPxo9
Z0yeaY8TMdP2Wv9SmQFHlh0gt3kHeb10ctHH5k2FUFya8doM55H3eKmjF+iij3Tohg1DZuzlY0HE
QSk8a+q2ssaYzq7osg4sfPbK+qRoHW9MFSgU73rRIP/UKb6HwB9UDvuYqZl4nxde/LCI3+pI3ebC
2SUGT5PDNpXQylH3fmO7IcGimifTHsCMRbZIv4Wu7IZaBB3ltJFiTVAS0vTyXi2DaDL6QC+n+NKt
trlpZvBZai6tHR0/lq8ZIw+tJueHMabl1bV65rDSrs5NlPSbIacctVl6fetYXbdpqjJ97OoqImd+
/CFVpg46Kut82oYbP1fV8gt2Kt5GRa8FeSvSQKXv6ayKNg8VFfRJVvo7Se6lrxVRqBrFX65UBwa9
HYdzaE/fcz19Unu7Hcv1t0013wbNiIptb0f71g0McoCGXIK84ozrOb81u2bUmDBCC6LIs4BA8YMG
kgdmfo57ZMEVhdjdLHZjbe9rbJZZxgBE2D+TdNttzbzeuFoPIzl6M0H98G1bgj1C0154YNVrCc0k
ed9lUZ+Hiq1ct4OBUVt3hqv6//o5nonL9jrq4uKsDDKlPpaoEWxtonAkzfcQf16qs5YNzdeEY3XU
i98Oo9YqkbAL/Hx58qyuODiQ85+KeXjX0/Vs30lldhM5vNPz7dVt4xVU2ddWBLfQ+A4Ll/IzTrS/
TYZPkP6ZD+uUFGJXG47PIsXpnO+UlB7jUXuLhfVjudW5TJsQ7GNLewwYMaY6eQHKyX6Syu59y51T
Qqm6MBPuJh3FzphbvjQtsGxrw3br521xoI7oNEPECCN7zCOwDcqu0P4BRsi/jNPDJuCz7we6CDg9
I/52CqlGkfATMB+7y4KpfszNeZvlgEggQC5KgVSxaGJ8qabnisUiLVPfBizs8msGOgQ3hLR5fs+s
kXTHX2ocnqPG2g2V/aDN/Ysm203frb9RP270EUHFSAezjA0vrYvPWdIYM44gS79y5JArkps9Vdu5
yXd6T442EENaahmTHU9yF3249blUk+3A9dLNw49V9WcTFLTT6JhY7MIvW8XwS+rq7Ek9uzn8qcNW
4doHyJL9kA3b0Xnh5w6qbLmNOrQS1XvL8DXYdCzen2bhHlp7uCCSOlaR8aqI5kmrxGmFOewn/Ugq
/4meBqaEZmtmB1ePmRnBvIEz+2w5Yv84FVEVpPqkH6gyflCjJJwdJ1AJLx6K6NloVaQN6aF2uTiV
8SE2lmMGOjH0GBTz1j7PBpi3sh7l6nznEU1ziAJcJdkpLta2WX3uYu0otT/Cq/ditY4DA3YNGpgt
KA4aewY+qTkL7fGTt+HXRdlS0o/FpPSQL7RXX6Ezn2JRnGXTnVOz9OtyuS46ncDpwQVBcVbyO+4k
oxTbBLJgcYHjplrfV5Gybe3uqrf6C9kzHiXVKQC6/V32yU+dSxPE36K1wCr3xf0jGorv3KmfOaGo
6x02FcqphTsT3R+Bfk5I7dWXaw+nQeZHarueMAoifIIzoSj13aryN4Gcl7bv5JzLhPNBeXITUrGK
6VBhkawHrjLUh5s7wRKbc+ep6z12jO6xmQjj1bpAp7KEVFsNziTLqmNFnAQ1i4HTDaB2EEr3qrUy
OfH1XHmETvm8/OVWboAjqZAF82sZxzdba/9mgYcWyCacrOrTFTU44PQ08slkOFn6ezfhZK/P0uQC
i0W9eJZ8a+64ntk9E8AD3zeEWdPtEiFb3xjEdmI89mrADn6pT7/z09Apj3ozX/MZP6uhPdruJ/ax
UEeGnQ/LqzYrI/61OCyBwVYH7BfAN0bXrPLJuqz/4wTHXWuonrv4tV4p7BPkzOo3OWRflJ/6dv04
USliUQ6ZzTiCMsnNvwaKbMN60YJiocIB+tWS08aq46Oup4fBOQypxh7TyAvv4REuZWfr5UuW0mJo
4/hKuF3cYYPGxJdr/aBY1E5ADLfmSyOnB9zQNZ1mveONUkVwu2005V/J0QA+4jtt8jsbxnVOp5Pa
vI2ESkXsH9WQXNUuP0wtREG6XhQq39axuNDZ8eEu+h6qgMpry5Nd7tcOTA/bg5vrfhYxBacgwmMH
/pzlP6NZ1eDjlJxAJgx698O8d+Dhqr2mzo52Yrzp2rhtRX/IWuVRFeseqfWr1c+enq1szA8GtdNz
Czja2I82jVYxTTF5sh/k1eS0jDhTkIq069+aF/64rpu2n8O6tLbxylSbH6v5lRvjwG3xJ6coFLXi
OepL4ri7ZCxO7TKGFX0iIMMv69DREUgheBL3YWuur4o5beNS26V6v7eGbKPQ0qDNXBcQ2w5jiDY+
05R+niM7oNDh0QAHmbE8F+2X1SxkXUvfUI3zUpl7s5O0io/hbGRfOQyK0Sk+rSue0bse1aGB6AWN
K0pA/Sh5wNom1tx7o2ag/b+5UashVfelV9TfWFG2ecGkbNW8mySO0qrmbuIIDL2ZrmOXnHpcO5FZ
slQrbOC6EXLw0d9Jf9s8tsCayon4jre+cs+Uer8Dtfybq+hkIGMHp96nJMB5XcoDACkfruYhyyAc
WzWM3asyGe96kh5zCs7uS45aJ1tbtP5StH4VuRtIj6DSqFgZfquu9R2Xt73T/8ZBHluwT0V5caiL
DEQ9XY1iOZDN41VgbqWgwE1L08tkj1Sy1Y9taoRxn53SCld4pf+7cyLJLK6Tob3NWrkrtXgrKn27
dgOsfeqPWRNac7fPkflkRUlhpghWMzpoSXHo5JecswuXHHwfnl1qcxXFfHQ1baNbFNMO65tuJDfQ
yw9lSlsEQiBqs+Q8Ko0wBwdo5mJjRx0hXC8LJT+zqY+cZ0gxpvR7hsimgPAocE90TAadHA0mjzYK
sdr5ZpUgmcJkyPd7L7opgVagRAt4GTpaX41sxAavsklAoOfDg6kiI4/7wyJ4d61nEWPSgzFGuGCG
LlCBileqQa1Rt4GIiTawqnMMRmhC8mknd/xuaLC04a7uTZa63Yd3q4Uuqy8ig51wwlNPG+NBXycO
MxdAQYcDS6eHotPfK8xJZY6qAbsZ4u7lVJG/bVvHgiphs7sOgnVD/Zcv9oVG3XBc7D8CPS5WZm8S
vDF1tnLF96fJ+DaIy6yzOUzXzFuk9PT4b6iXUNF6+NA/9rh7kcxPksabRdonixRFpaP3qGsAweJz
zkDuuGeV1T/GjBCouenpa3+i22pXIlL0BKddn3UHyYrl2O02S/dk6gSIGryk4Z0yxXHp3vu2CJQ2
T7xcDM9QewYXw3wZc/3barmR16G6MAp/lFkRjhEXgsMggPOSKdZqhq/cbK+GMnE2NT4etiDT5LdV
IlMz44apyKr8YRx818zp6it9XY0LPxrScNKGx7nPXorUDIb2jlhnG0NB8qIl0YEwg7eGPxqDzMNS
1KeIDxQDVUAO913UkgcR51hrO0Hb3SL5XScftan6xp3EM2lhZO9CoxJ5AwZH/vrL1izi+4e6vM2J
9hmDvt+zzH7NRnX5XUb4GUvQjMsw1ddflAe+keZ6bczmI9GcT3N4BXtQQ7HIrUzVTWHGbwBvn7Hz
MJfZH21LFAJvu2XdZO2zqycfRjRvBMtQnTwlw/ChTuXJpRFQVtpXn7j/Oll7tXYsOQLaXP4qqr4r
reTbtFuxVXt0hlQWxTQquIA3Y8alVvzKKjtFkkGsVJaLpGjsRj+m/Gzvj2S6Fk64aHa3iaz0Nphy
2NKJWD32tVIECQx+UJaMh+0q1LBOO+do1o6xF3WfBUaKTqPPGAjVJNb9hlYsn1Ixa1fOMeuf0des
z6z2iyryQNWzxqMEdGWLaKLjghvWc8u+8WdNpwBCMZZ7OczXNFtf65LB4Lj1py343grtDmiL6lY0
VbaR9vI1mVqKBAweUJlJ9ChncvqTJXoZGipUS2VgWBDNeZ2tYdsYAKBd2heonuZjPCjD3lQQ/wAw
EBVic2kjCyY+xE2vkwbrbQ957kcl9ATWBB6CZINugN+mgMeyZ/NhXJybMyY2IGqhM381IcpPjWpR
LUF8WFKdGa8nqy5QOabNGNDosx076yvjomPM7K/UuuNtM9DMIZsEGSy/ESwHQ8bknhj5pqjrXQHd
5IlIu4rMfRxNoGvT2mU1DFc6i9jrLUh1Z3hyymFXq/wRsg4JxtlQoBvMfbmfrOjLASaxQUPSTl4V
BeJ0aZubNegnOuPutJXynCfJcW3sAPabwdHuv1Oe/VmMPnkYgDpEYRjlhd+ayiQ+00jqiYcast0j
7v3GFaD67RrP4Vqw2U7aaPixU8D1zYTmSPVqCGfP1/NPF5W1RVK+L638cUrr7Wgvj6BkZdiiQQ90
s4I+pijPE1m9MUV+shls76TmM30uFzOb35IOuGHukwUsrUck5wz7IlldeNja9DH3fWOjta5FUYF6
ybYitQUxap9mwcpJlDjZ3tWro6OiKaE57p9MOdRjNmha6fNnrc9+k3U+pzmPvtnfBqE+qU71z1iX
+90DKoY/Z/DEWP9YukKvSxnvS7UK6tb4lI7FpGEqB8NN4aiShqF5LH61hGZjfZ5sr6sYByraygJS
Mm6FdL4kTa1srutexAvyAZJS93PSPNRWfE6r+t9qaAJ8c/jmc/3RCsrS19ze8h+vqOQ+79AWlbu/
MUEpoE+tH9MHBBRi0dpqa747wHRMrSM9XABU0cRT7NMs/Kn161tXJOd5Xb8yY6XyRA6bhqwxFKTy
UlXZmYCNiZQvmZAdk+SbYVgz5JTRppMNnayKy2KlsWyLtFsCjQPZN3i1vLSvvnopnlZe7pIXm2+R
/the8DLGGHOpqwMKntoogQlE+lYacvBmS/0FNphDuhaRUsrqHqB39w5CHcm02rhsumEvAK6x7160
xSXdwx1/kxKRTTPZKLD75EGzG8r5CuQVaW7uumL+ZfWfdm0nFPoOxkcyxXfw3OxE2V5Bm+jH9RR0
d4TTyBWgeVQhRaMcoL2+csMJa/7BSyeEK9PMzGlgBEDjc47pK/dsTUcmMqrM23dGfxLayazpVlzp
0+BQEKiHWZntlLNWz5QN3M4mHlUu5txkQY76rVzq52rOvxjKQERqbZv3NXv8zFQ5Rhe9YW3TG9Ob
UED7NVRvrTfjxpLyZV2sh760fug+536qgjwvr2NbfzY9ysdKgYQsUCImKYuNEE81grLA5VELps5c
fD2WimfM1bEpJHV+w6mdxTFttZ1uDDbA8oeBt26TL9YTGTsvo4PsAuHPrVyGn2yIH5aBMNTUPqdp
ejKLBsonnXZGrF3bBBBEiHyLI/Oh14zProje1ml81ZC6x+qMYVbVj/CkG7VXQJjdfwKZ7T6eujlY
BCBvkmrDbnVG8KJ1q8fqL4SWl5rr1i3NfWtRJVMRkblUURPoFGPCL0ZXu0wZaTgspTHsu5p0VtSC
H6xeeqCYNmVBevNVZ1BPaso5CSeGwaW4pel9JlwRn5IQiia85eFIzfahzBxU5vCPiShV+qi5cRT0
BaqTXjL2L8/GPeCLHhf3giX1fgu8xwinPX1pP0TkxIFcrFs0A8sR2RlxgI/2JmqbwqdVsAlbalN4
Tg1Io/6pEdjAZ0yCZHFqYTbyAFaSQ0ysCM768iNaouuUD1Qktz8j9NacJUbQoeEFnnLHEHOt3FCL
eCK9EemOmI8YpB40p/5bVaD5xVYF+izmJ01k8b6upnPH/x87WA/6MWVtLTur491sJHqdBEtQL6kq
XFOaLJsUVF0p++OSu3WQmN3DZPUHPZr3K288UpytdKe77n88FrpVhLNWNQHyOHyHkOKm4tzSSvzT
9I7sjsHl9k4VJlAJAwcOik7J4o6uRs7ZJes5nEoz84Fdk3Aw7Vscc840a7RL6fxLOwgfid4HxVS4
JPMYxh29kIr5Zms5dII829ywdqI+ukVyMO8ViBXNRoFDILgHyn7rZHKcOjQI48J6WjOf5331CFwI
jtMAAc2Q8JORfDaoL1bWbCWKvnE4Jf4sOLEAt5Fhij0DODzsPCRPvYOPP7fLd60UM1IdKxz40Yu7
RHcZRhCaHBSWnTC1FsWLl5F4fBeJTYzDate5NBEuompPkTqyd9fockbbSvFNSfs66IO9a2V9IqHp
UQhD22il9eKmjrrHJ0QlaG913kBYU1AlGu9jSRJYXxgp2m82+hYxxFVFduEjss02qQbym6/o7OhA
qbwZIUgz5w3Hv7KjMTbi+JQvArazTq3PmiZXz9HjV+wLia/nxbnMs1d0Uze1zfcxMrFBYw/SkQTE
FJzCofa28rw64jraxiuxSp4Jvd9NKYz0JBg0hH3u1/V57O3jUhjA2uldmn4P3NQz6nwUju+61aBa
Y/Wzr6c9qcN7vbHfm2n5sF2hAjV2y6bIEpaHVGi7pAaHziuK06digejQ9DF0JjH5rVufRl08W5Hd
eG1bfcAgXEbAXtwdkwzHUX3KYua+2jJf1qp7wjWyN8pur9gwg926uy+SaZU8K7FyGcvoJY6ts6R1
tjf7I2ark2gfXMRlvmiR7dfVUSOd1ohzhWO4SPzOSDYqbbtGO5+tkpBkkrkpln5y0/aFFvgdtOwB
Q9CtrHi/XMpzLeWUivaFWIMJ0an9olI1HAirogp+lNfVXN57pEl+a5RwZ609Qyj0Ad8QK7nh81RG
R9SJTeBM80ufM6hn8hhD8HVmdXIQVbLNRkz9evxIqJmv6uZbGWs/yC92vR4f6Si8wP2CdlajPzr9
N/XkY6AI5WF2c0Ss6RtiDD8vPxebkh5yhGItfa+aHpBX7OYK6ktFV2Qb7gn/ybeZ0jss1eh5qKwT
woCQLxtOhtkwRV7SjkArwLSShh9hd0G1IgObc/uodB90tlp+NOZHw5V0w6q6ryaT5fVC1ZjqildZ
D2+6YlFw7+zw/LwZiwgIMXiYGBmAUR3eFrj4ohgcjtQkBVEw4Mw63doWPXsYNsVYJ6qhTd/kXWFg
VIcxc58VkkNbNw47zbyVao541/xMVyR36NL3xPk/2Iq5c5X52UBSN5lFoNVIdpHDdNq6hoWlYymw
kegax2mJdrhXHpQ1AnAo32Vh7gyDCuf+p2rgr0y6MxEnJ29jb3wBe9hUtfff3MpPhcrx7SJgtcxb
ZzthZdvXJrf/dYiv4RSVX2bCcJAAVZpzawWoUBHDJnaQw2HfU8U1zSiGouxPZFXqLcmnmuf5M7vU
S8MawlUI/W2kfmwr1zx3Lmk2InNUn/Dr3cBOg+bujtJShN4p67vXlJb93sN7r+MCqaBJFAuchFDL
WdCkPFZE6W/HvGFC1QfYHQaVtZs++8baGsrKJKWs77bGzUOS9eNUE6Q0M8Jo5hJjCWATWOBglrR9
i2YUVWrBSD7+6dySvjXDqTdNcc/mPM9d/lS51ZFekRVKqmcx1Uwb/H5Igz6j1jIrsM7bwt6ZUts5
+sLA7arw2WpxUGYD61zfHibyYNk8hBJGY3mkPxdCZ+nfo6p9s1td35p2uVVy7gYLqyrmsn3DeFpX
Q9BYVHI73E0ID2McdEMWjsb6OknVhkSf411Bky0vgxBHVrZnU63gdDFqYhNKfHdFMF6Nnzisr6R2
MKTyy8tEH3YpdsftmMrnxLIPksjA2I2JMqbMwRjGHYcZGV2g+fZy6GCSG12Ed+xcxBE4F3LCSZmO
Bioo1s+gqg1YBX4w955aRvAgF3IbmA0MflUulzR1QsVsj2XLympmntEqIfYRAQqS7BXSqNEH4bvJ
XGckWVsAvC7tdakXqFyGSZf8RMTUW8vlonCL6jYos4KuNz2W8YJqkM+RlCOXx57Kaa2hLqxt4heG
Kl/r9XDUlg+NmQyBIK+97mIwGRtl2aOQw9cGTV5YMYYOc0KkV0DC1mlx0xaCrJZKPCaaulNi62fR
kv3YQgPZMvIhYidmBX62mBK8reO0uOsGXn9W5nrWtoILw7dgWoOBl5Ia36DOsgO9wxcIs7Br0wCz
61ZG2juFzmFFUnZopFx/as1gvTZLR77iiLSFkDbI/an240zmoVu7rIMWAQp8ZQcTlnNAMxr0mrNJ
JFyeYT2pIn4itRYZSdsxK+oOiLGYjW9r5gJBEBtEkgezXnlshNFiYk2qG50eyIG1nxZkWHemsNd5
VQY8M3PvWW1zr9o2LnVaOltFOjfMjlxFOWIHUqUEfN/6L2owPiWyfW6VzPHRowLLRTFbyJg8StO8
IP3epnHC7Yb6CDyn2xoZl+3Qsy4kteaX/cg+XiwvlXB/axQxxOJq5youdtTR8tehydpFGm1ybNjt
UVTmI4GhM22lrOu2MUD0x884k37I3n/qa+NJFPaLy0zrCUYF3WiJKTMe7DszyEZzm9L8w1W058XW
v93MXLDZyOOKgYkNvPkYJvwAVj1f7dmYULc2IG3jdO1w/gJLxwvWMUIiUfZjM20xBtQ2yWS1TN+t
mb/WXVCEoS8gW+9HuPxZqvamm8V71IOOr7KKw0giXHeMjTpZg2cI+c1cvnrClt22agBs58Hi/7Uf
SAdmvv8PzZC+0zk7+DFj60oLbIJokgBQjUm0md4SRX+ZmuWQywKQV9xso+LLVhmPW9adpePbni3r
oTOAQRv0OK5cgd5BgYf5t0X0W64p6htN5RJQ3zpSamCn0xK4VtXocVgLUpJKLEHd8rq49nHCHZGi
G5XxeHYS/WRMlBHMbArCvkpDAXS3GuRkccgMdEyRmSUgoIQMothbtJ1S0hQ6NQ/R2PtgYTIsl3X4
ASRJT1iJqqPbuf+IBqkxcGbo5OcLkqttnIEIZCCq9ygZDL6o/wpFvo8GojjcB6vfJ+1bPXSfTbKc
ifAcfa1Ny40tahAxNfknooouep0RCnZzUtWjUIo+VC26Iw2qp0SBDBmhONtQuXKdNAy5fXqbDZsP
eUrCYhmfaPZJgrpsIQcM2gGTsVX8LtLktpHzZkXEjAkEbllBZs/hjglHKnCX/cB6tTQ/aqL3d+yF
zQsDuoeYdmPq5Slyuu9IIBJynYrfzS6wO8d8+iNq8MZST2xhO1VDnKA0Y1gXxWc0WD3jMpNAls6Q
boq6NSQxKiaeHfDC5D/Szms5biRLw6/S0deLWbgEEhs7c1GWXnSizA2Coih47/H0+4Hdu02CiKpl
T8zEqDkldlb6k+f8hr1Q8OIKeqe4Hqr8StPr72EmeMFCxoTzp6g7Mgy4+0oDVkkbt7Dl86vWMh/V
wgef3ebN98Z10ocgAyETWQX46Qq+9k70KXUO8s68nhXtMrB8wJEO1uO5MwLNMVrIRqadAkPqq59m
6X1jDabrVvWgOYTRNbry/r6UYC6T+GsplGcBeWCvaWVBAaV+KksSEKFw8ieDkJxSd0WFI2BTcUE9
SL8+lY3hnnh5+6SnabuSNWeN16XaZ60M+rUFe2ATcIaWTqWcCj+ghphG5O4VKwov6q7obhLi0VXs
DeE24VrcZFb3o4PqvontkGQ93IHCNC/sgOwZdYoTp3UfObtgxSOFAYi5DIBVOiNQ+njYBAoWKtBh
qRBnIr4bsb4EDp9+DtoUt1HwlmsRG4RObnphI312ZokiXhOWV7dDYYT3qB9HGz8rphKtN/J2wShx
yLVmZxdN+oV1WkJOMe+pJ5MP6blhOozyNrVZ3gC3yXeukfUb1WqT86ghGsorlkvvhSiaVcILz4Do
Ad8e1RA5ZMdgsuKeV/0YXFq2at9brvCeNYp2t4VWs8j7qnd25WjoJ27a+BujK8nSptARigxylQj0
ZtM7Kq4NNQiqJkMOQaLSdpLHRnszZpRpSlbVlvz3MxdvtWUcYahU/g9Rye40IxV/7dVi2LlunZ24
Q8aK0RJjN5bmI8JDw6b0yfVByXmKpxdjagIVaDrq6bqVVGvFAtyVN359k4zRsAYCAbjalHCLazzW
fsV2rPxsqrYHWG+W8twSYbkh6C2/ZaT0TpLMbDfSSwBIZmNjPJACrok3ApAnWu0W59DAtWu/iaur
2o7kozkYNiM9FgAmFCW8RxMk+dL7ZnIRQJ4m4kgUgDeKV239BMj2qjL86QjiHt87AuGzDP+1S4QV
eGVx7hD+2BE+LZQ/koxJGSpNuaj60qZQlQ+Xo28W+xSEI1FaCahrsPwzkeruZTOCL4+NCXqCWBjw
7jo60ZQ23cYi6vagM8DY+K3Ut4ZhieesB1UQZACBW1V0u7Fu842HXeAm9Urr3K7ICoxRNHzr2CMg
RAhYTAeO/tAPqEaUYQfGPPV4JBSa9q0EeskmdiCVGmp1mpQloIXAgiAriT1VVZfXVUhS3vWlfmLE
4Ax65MgZO3+45SflHBuHHERnWV0lYPeQIwUFZhqme9WRBzjpktzaRyXDGcdW+tRotfgh26TbRb4B
AWL02vuUbM4nxOVLps5z77jJ00sqIZzmZQnLtap4DFEP2TayT66KqaAd9hnLQlcmnpzjX8hUdc4L
33P2/OUAeQAv3rWBI0+9wFG34wAGKAF9uHGKtr6IQiyK07Gtz9wuiS7rAvMJtya5kyhQ2YG+xJ/s
GjKEW6XVuZUo5ia3AolUodZ/YtKUM8T7FaAeuX1leAB4HBgKWyOINCKYBNozed/zAQFd+H2jdodK
gjgLi2D8XIcawS6Zko1fYCYFPpmiOqHsqZ6p/WpsJccApknneluTdG+Rl3BHVdtrnp4BvuN1yzH4
BbQd+En0WfLzLMR/QU1R28CRnupii4hvVMJyxxlK5fIU8sFgpu6a3hcUwDVGzXSpocF2X8Myby6H
vnb3EZSqHTQnfzNEuXumGZIqmR9WO9UdtG2oY6bSQAa/9HKnuTYhY28ru9NONCNuPyVBEZwiSRVD
HeuDHZH+sG8iL31IXUldAGQoni++cWoWVfipC13W9oTnjGGLoM2DNzU94t1Q9dm2GXV7n6YgfCtf
D7ZV1/8spuJeF9X5ReUhaw8Z0doEUnPOHTxmMaBAbVeruDqwkAgvO2qc4Yr0EM9SozYvykKYezDI
xYkiSCnG9dBsos4CoRAI9YqXyQhYWETQ/O0EMkMc7EzgKnDiw+wT+PIbGZjlXaOF/SlFceoQwO3d
DfJeYGdhGW+Il8p43WoFkP7YjMMttLkMx3dA0c2uH21IgnaUUPPvGgeAjBrDjN9SsC2uReKlUCCb
ML5MJYhMVmm80Xw3fCzctLgNA0/uIWV2arihrNglKCxw1ORPMVmHVYfF2WmWG87pYBZii6hRO0Sk
urIERpSbcKO7gepel0qQXwZtbzSsozbZtxnOO+vGVVQPXLYKkIQrfHjorVjcKlwi4VbpStHwNVVe
8g2pCmj6aquT83NsG56VaZVfK+lGziZ1bdjGodeqMZWgSr/yUhcavVBRH9jEbcGRrMgeyH7I2W7x
3oqCGohTKRBO4ci9HTMnlSd2FirOSuZNcYdoS/QNZrHWnYal7bJvm7pwWJZ2bF8AQoiUhxZUmHll
KIhf3OQNwIGdMuKf9Cngrk1Q3ad25J15Q10Shppj2AApKztRgtIgrtmmOSWpp6bnEATk4pRcZn7Y
tygfdJgUQknq7M+ZaBKxxX0g9M4CA4O3lS0Nap5VbnTWzoNLwEED8+pzpPneo5snZbMVXeTcon0F
6GzIBSixup7IiMBgR2edGKiO8njiMWmtQhZ3sTLK/M5uS6LKJJVDuA6aCHweb5seEr5ajMOqrL20
pOA71J3y3CZeZwEKqEz/ym4i8tFRF4XZnTeOururrDCSl9LTInKsntS/wZZON1mdyu2oRoytCuAg
37ZJWeTkhdqgOcUVIRjXsEOQi+p06IRb0NfIc8g+Yy55tMfGrgwDfhdHokY/50zJ8/Xo5t5PL7H5
R0NyK2xkw3G6jzB34JdiAyAjb/W0vEhF02SbLnY4t5SwKuQd6h3dvcGT9b7vU9ZxaNWDtsryYcTG
wTdzqvuJTw095A9OAdEDmao85I12HeAUEzeDSkP2CyRguDWRU+I12zcTIMszySkpEtbaaZZ0WJ0r
LsboZzahAmii3oLM0EoIuJ98VsmkCmKY8d6rO4F2maF3T6rdj8H2P9wAAJ+Vq3C2LHcjY8gI0Y/C
vjOJwnCyX1cda7aWGxP+noJsgFtOr3IxJis/RggJiYuQJIMNLJ28E+RHJ01O2zECdCvWAYUwIbNV
4lKygyP7IY0x9BwNzTAldU2B7wM+KG81xnSjzaaViQ4Gix6Gtr4yYvUurH5+uBldFZZqUVaS6O3P
mil6FTKm+mKOE5YA5K0E/m9aZiNlCDf/eJ90HX9r8PWqpHcz3TRuRKWRSjVBF+phrZYlFCGlvfPg
Op58vFtMvDQm+xtE6CdhtVcKbcBKyl7TeC0pKkChDfezST5vCMoaYl2VjUc6NhPPmyaLEqRjCdpz
bCzk3jbn6EbpmbwTyE1WW1gC+6wBlRPmp0AeT2Hyf7hzb1qbzVkZW04bI6qG/sT3wYcR/Ctxvx1u
YpJXzVBmy9LTn//83XrXobn8KhCEJpkqJLVFVIs6fYpATaaAyo+fY4DttyiSKNvMH8sj0nqzkUT/
10ZsGAtz7BEwbJlPXKTn5D4VdDyJq4DCDVRceCbRTMz11wvnSHMzJb+X5mykt6lfYchjz2VLIRl0
lg2ihZsVuS0nvBEQdjOjPrIcZ9KXfzRjEVqTUbEsYc3UUeMgIhlNgpCUtrjAZvHUlMGRJbjQEx4I
AqYyZE2KarMmKuhzYZoCl20tIEGZll97GoB6qy/vDy8NbamlSelVx/2aJT+Xu7ZwSsQOE3jBy523
aSComBu/bYZuA8BhPPWbvjqrPdI26w5ruy8oPYyXrd9kI2hJp7kNuUwozZnDgLRbkty4LmYfR0bj
3YCj52uihIuRMBbapG7ebkglz5WydajIJx280TY3r0RQHNmG79vQVByfbaDv5iR5a7xtowdbakYG
KU64dCj+tO63TjU/Zu71TtZ2+g6vzjETcGg7OLQRBPU1wQSwT2urk4g8PKfvdh3qrxzzJjMKAEnO
3eFbN5dwthiupg/3ii95wkIuAUMzwoI3quLT4eYWRo5rAB1dWxC4y7m/q5O6Udza0PFFqp6UUr3w
k+JIj2bKmdPAYdpkWZMk/OTuNdsOmeh6Pxlpogsl3H747OgfneI5N6x8mR6TyV7q0OvWZsstHnMb
417AG2XQqADmQiOueDkMqrr/+MgRDkhN1WycoObnVUVqWMltJmpsix3phGs9TC7/vSZmfVFqAwy8
y8hpHY8lY1TuLau5OtzGwnrjLGSPGmj3cz3Pto6O3kfNcZiuDBXhopZSdXqrSPdqoKaBTtBHD3kc
pF+3Nt9Eo2P5JSJyq4DMrFHDDKWyVbo/D/dpYQ28aWUW3LR4XLpVSCtuRRBA7kac4iyUHlkA7w7f
qS/CMVXNQhBTzsNCSfXA0FtaoZq4oW66MZOJm3HMiX2pGQ0dYLB6/GEY0wS+Ondk1os4HhTu/75/
rE3/80CqGBRyecQkYi4APO3TSUf3/xqaBRreaNQojqX5RJdz4H3m0Gn2qQMf+iwe3f5as7I0YOK0
4bGRzYRDTUf5M6nzMADh2eS3qVbCGmzcJvpU1IHMt4SFY3aNYZ5hnTgoGNfgcFTDA73niWNWXwun
DN/eNGwOTpxk5kLAAO1c0uPMBt96owbXcWMD8yFxHEdHLrTFCcGOZ1KRt5Donckz82pMLZFzERgh
PI0cbsNWIJuzTzvUdw4v5MWmcCLBHlGY/Hc297oMm3KAGkK+EHtT2Ih2L7+Y1ZEjYGG7mByZOFaq
UifHPGvF6DM/MKjSkGTrvhpW/BgAl/r4xqcNVg5bBmfMuWlwHHaIhaj4flQkzFGTIv9eOZG88B2z
ObKQFwZtso6flrItdazR3m6YFrk5korTOi5z+aTlfbOyzDr7nNeUJA7Pz8KiExCyYSTyrkEYetZU
U/RhnBeMHL6Lk5FpdBG3IO8BbZ1YvdcdGcOFeXrd2otx1auTgOK91WkIIlNHQmKkbu/LEMLs4R4t
toFBAv5CBoZechrcV21EhvAtJCWJKMPcF7u4BPS8A66HwM3hhhZmSajEx6hwkhHQxOzeKdvI0sKK
eyd1/OY0KrtmC3LQvUFuyTtyjS7OEt6R3AmTF4gzM4VRlE6LUKNDViuHqeJW1rMdmjvC9B1A+3R3
uF/TKfnquTadovTrr8Zm0U6bWwALfRpza/CeK+Se1JNx6BD463VtrwaqTlVEjzaKLcKPx3KCk5ku
chBKHktv5y4gqoyjBBp4LsmJFAP4JYSrxZE1v7RCNCSgbd5POqfSbM23XtXKyCQoUUb7kYzwZvDU
Ix2ZDpz5GHLVSVIhBiRze3YguTIkVw5IeWWqhfYVNQv7oQPTXm/rAVVkksPYZqNw7QL4/fjk6Xjf
cGhomsGz9+0IRmNHVhMUDrQsO/2l12a+Tp3If0CJNl3HGlxf0CnliUghDR1ueWmNvm55NnclvN0E
aSUqwBWVv8i7iLpzzesn7bAjLU3zMx9cXko8x2wBUWQ+f4DsbCIwLkqe4cY2CaNoB6+tPYmGSN1W
RZfsFcXn7TqR7dCsG49cNkv7gxcHz29Qxlxp00C8OmCaMqg74BIsH9sFsudASiF/O+r6d80d+u+6
76S/KDsUNwWYnmMn6NKhAyKQB4n1khyazW+PlLg1KowyasbITxDkROVP3faObJHFPvIclSbpE+LD
2fptPaB01UDmJJCm/xDnXn8yhnZ80ir1CHaqC+9zZE5PE9S1bw8vo6Wdw8FNrE4CgmLBrGVhK75T
lJKcKZQ8C8BmueoMaubyR9q2Rx7ES70U2GDo5NpUsoizg6DLCyDb+SQP7FbNti1RVeta2wGFWUXn
2IkgvaEG4rYXbf75cC+XNouwCRtBTwL+nJsjYCgfV+XLNg0/W8Gz4n8ZFXRPjmWkFjto22TATJ1r
ap4qAtoZeTq62it4FtaOIjx5r0wKaFYOVIx1pnoUopog2VVqcX+4h0uHLFcJESYRv0mG9u0u4Z0O
rQyiGZhHO6OYrHfb0Oni08OtLK0Wwj7esFwZNDJbLRlWguBV6SCRS3+h11j89bjg3UQG5V5DASpc
y149sjmW9iB5N2cKzvA30afPXx0AsZ77nuJPmyNF0BPoJsiOb4MYjtwhi83YJi6CJPtIA8+amYzU
utijGSSGdhMYtfdAnR5zMV4awSnrJAzdNsmhzI5tqYLSa3NGkOJfX25jpE4RLvByUGAhSUBQtVaW
ODDrB4SLD0/ebBNIndeaTvJh+kMntJktkRHxQZJhDWkVC7pjXVkoDmlZTyVF66mNGoHXfTjLphOr
yenSkKbFW+HtzFl+Rh5fEO12dmMBC9S927xulZPD/Xq/9GkFG0EOThxYzbk9XClhgIYCeBb1AkTy
SoMs7taGmOYfWf3asZZmI9hlIUABncNS8ak9jYainehu/UMKnCCw7pJbLe6R59HPXZCJeWXmSBaH
5UlsAOryBe4WOG1tDndeX/pOBJBYcGNch2fjLFatWGpZPk4myDZsIun35g6WHpLRVdqZ0NCxZvmu
OKPwt1pp8tfY2SiqWsR5oGCs1EX7yi+Rr1cTDeGxCvQpaBhF+WnlcUGtU0bU9YpcBOrGqiNk4iXq
TStqvMj61AhKE+9AZrEuFMd6ONyz2X78Y7maPJXYi6r1Ll0WdMrgdBXfuIkSrgcvBYoF9RlBdDs/
MoiLO4OUM1rT1ILeXUyjHjsibdkZuObgz2T2+iZwbW+SCYWsYlfO9nDXZu1xTk+RG/tfUCSUYl5L
a9GJraKMdaQX7saJm3O/S+7jCLQDQnR/oyla4u7j5jPk7MQe4xiX6pbzBtaTsQoiLCg9Ypg1tgSn
AwDOw629lBzfxor07FVz0w356qxOnRxwQsqO19vgZLTgmqCBchHBqwFM1K7suEXLwQlBZav+SdVm
P12JihPyUXFqYXYntR95VT5lif5AbgbRqDYELxkMNYxTtKaMzAUVnTjDmioYvKVR0zaDYqGpOgB2
8ZUPxyt0hiQ3KQGqTDxwZ52hLJM2Bp2JYtwP4CMY3pVb+MGdgS75VtaWBWYOnp03HDmptelgnA8j
DdpA5qTgkpgNY9gndQVcHWdZZdJxpER5KUy/uY7DAkvKRPlKmOVtnYp6fTqqyqbRKmszyFDfpYXs
vh2e1KUTRichT7aC0IIvNRsGY8xApHIxGjCRHn1HWBiRoAxbHdmFL2mjV73mCBc83gxSchInTi6M
tw1p5IPgx9ZQpgcFknbsDF+r2vxa9RFgQz2EIWl1CvxiR1kriP31EZpJQdw7W5T1gDtacDf1xFc3
riH7szJoNejFkBsbofRA0zK5y0Qr156ICwQd3HpXFOmwsQv7+ziC/ALXakyq3eqqCbuvQDL8FXaw
Z2avod3BpYJUfprtQENCNou1UxOS6lqo2MUozYlXGc+5454DDrpsSudXwbG5aUTvTXKZ8jx28695
G32LvQDPEvDSyEEMYt2raEKldS32lYmq1QCBUldLzI1GYN9FddRncTaRLyeqhvshG5QwETvLt+Nb
Z6E3SqDCkA7hcHRx3Fw2Th4fObe16RZ8PY0vccZfp+k8e1K2ELwAnlAhKrA+gVv7KzPi8BLjnF84
u8VPZV1nv1wVeGnqQd0Iq2ySIlKb9eFlO4u0/rg/yIBKIhCdTTwdwq+OIssc1DRNBi5GdE2/4/nm
npRtg86lLodvOq/Im8gJgUwfbnVpjIn9eS3bIDOAFbxtVYmgK6OyTTYHOKMKntoZgx+Hm1i8GF81
MTvSY6FDM6q5GHEgKU+9SNQTz9PcB5U13Bxu6iV6eDeXlmaJqVT6/kWjNEQ79dSWCc3+mbsfOJEH
wiZvhcq2Q8KoguewgeEKmNfOyGcjdWcfuS4XO2wzlupko0f09nZM2x5JgAaoLWieDEHCJh1AwuoP
Zn6sfLa8dMEckaon7OAh8LYlD3ic50xRkgpNDdngTQnO3K/w5+HggU04iRmhb09uU1TqFcDNI6tn
HmG+LFoyZDhFkHujVjjralfHkFQn1VTZJFvLd3d9YHHwaqLfqnZ1bvfVd+RXQaiRFYQODQI8HFa9
7JVTzOHONVndHl4AS0NPHUkaVBRIEM6fK60xqVXjq8LBOhmwIROPAqptfVH5v78fbmppv5qc/USy
pqEz1W/H3jSwybNahWXNgY2cElI0j2DNR8gESu5Uq4KKRLtrVex4j5wUi6ucF6Ytwf/wrJ0/niOy
W4FXQQ5s+7Hex6Usb7AXcrZeGCPxEVeUUgKeLXldiV0Cmf9cJuExGNIsJnyZefIGkjuWqJBH/Nvu
t0MhUgoR8PqUSuI5CB5yVYNd8PEJjMZ4IxXDcXeHh3yx49RwDP3lxUvi6W2j6pjxVUyD6LClrBpg
LY/Qtf9Q4L61R8MNyoTHRoA+ii2e0+2HrnaPPN4WFhgVJJOO8yblkTg7LytPZ8oVamOdxFErKv3N
GBoe1NSmPra3dDozO8vopySPSCzDU3e2wBJLjTNler20ugjR2Qn1/kfPkeJuq3gi13lNg4pJm6af
nbZXtjYkmGdR99AxEdNw0WRHfbs9svReVvW7LwUQxyHMYyDml6VMCsxIHZt3mQVbsGwUZZdDMObd
huBei8TDoGu45JgFTNpcwK5J8ZWye8c4jc022vl2Hu7cIsNN0jMfZJWG1yP0x1XeZZSzNIGuIJhi
L80wKdKHZFPjJLaxGkjjim1/klVyHpjN56I275QcfomVQg2e8KuRFmIYF0Z7pElqLF4ULNaidjtm
8iEJrG/EnONKi9DNq1OIIWPgtWe5iSA9HhRIWffRj7DJ78Ks+wEUokEoBAGnEjNJo0ouY1wLUWFe
d7Z1mYT1dTBpviJwhw8LogSFDlZ9rJBPU28av7yOKvGlRhJ/UxofP9uQX50Qf7Zmo541twHWC7R+
QE6zHhTth890o3mKRMig2kfW+NI2I99C0o2DWqNYMNvbqR4rOHcwPKHMCF6pZncDQkc+3LGhSLXr
sVW7X743upMUZwRJCTx1g6MjSLNjXt8L+41sL0cM2FSyofNT1i/MvpO9i7CjCnfHgr1AZQlVtiMH
y/sYkGQMWEDGlZwMVMS3B4sf17XxUlnqBlj5ESbw39MWdc+wW4UWC6lyQ/dLNQnul4mDe1SugkPT
oEMd/h7TO+nt7uJrENDBjqE0ZM/fUdMbwFFf8uojcrJY7l17ru5ek6Lu2NSh+92Jc/FJonV1ZMrf
h4HmlLOgHKpakrr/bMbLOO9EOt3jjY7VjtQuCNCOVK0XmtDAyJEPJV8JImt2nEUVhc844ewmPkPd
zsOfxs7NYzP5/lY2SRhyHwvGEdjXrJVQ8wcPIXOWbhEFYOi1uPW2ldrTbhZlgIArCFP6akiqLDzy
/F7oIGlKEBpAwdCCmJ/XQzZUitfrjOFouRe5qvcbI8S34PASWW6FUq9EDYAa12ylInHYxLnP3R8r
KjJkhdD8YJNEbn3MD3phJPXp7iFJx+ucbN3bLWEWAcUdaPTgjFP9bDT6r3qZ3VoSiqsjmy2RyTFb
8Pd7nQOOqaMmanPFz3ENSqF6SWw73O6ZAA1kOrtErSGgl58PD+FizwzcxVgiYH/nZwqUJNxtAu6w
rIogWnXfijx8REh1m9vMXuSIj698ZLnIn9EgmYL54WKhMmFblP1WEquMognvkP/++DnJ2L1qYwom
Xr0e08oOw9ShDRMtSEjLK9+CXdr1R4KS91Hf22Zmi0KgJpYHwie+1iJivwhzGySIWaj1ThtM7RnR
RR5Wh6drcVkIANosxYmoME3nq66ZehzagUubpDGgRHkhojQVvI3adj5IGiCofXvFzjbXQC3OdXzE
mTQ3RSYdq9KCYEvi5zYlb+4+3i+bvCr3LGviHUAkdGvHpCRO3qEqz+AEXaRZesdCOdLM0pS9bmY6
UF4NX4Ln/RjEvFNyNXD36FKql7mhhnvkV9LzUcTtkarD0nRReOeAJ7Hi8D9v2xvMURMR9igrVRvS
rZ2r2I5yNhIrhscAiktn4eumZou+J+zIMXpnzybO3rHFDXzO+78zSRx0GgUbW85rwLJuTHhnUxO1
dVkOIRq6vnM+jvHHqnkvK88m9PiznXlcnRtATjrJYtDbut93Q15vKIj0N34jjfXhLi2OGu+2KaTS
OW5nEwQnRvFVoluItY2CnGzkNBlxM+p6m8MNLZ2z09uFWwozIZ4yb1eCoRbwBHXGTnjXLhRNV4EH
l+LCbjxWtXbkbbi4zElDkE0ibjLU6fNXyxy3oj/XQupfpW7w3bSzT6Oib6dk0OFuLY7fq5bm51Gb
qeWocEh4XoJ2Uor+vffrcBPaQiAIdhQIEh7hU0Q2m6M00lGtNriioKjV536oGlhImeUujoYe66mo
35c+lsvjOHy1fei9Tom1rJiSK6oYsAO2SnPTG3ghD3iln3Xm8CvwPXmOFJd1JOpZ2u4MN7kOyuxw
x2aTjPYAvoEDC7csKdkJfWXr/WlQHqnMLi0lal0quBZqwu+Cx9AZOlNMZ2WEzbwdx/26boaTsDfu
CsFdipHukQYXuwV4Rwfiwhk2zz1HjcApZ2DtWl2xFW6B6Dy3gvCvD0/0cjPgwExzAqbOERhe72jJ
AFVqVUi4tsNXpAyR34j/xoqVkGf+t5XZOelXqK2gbYVHRN2gLi28W1HW5ZHdvrQBJeeYZoF3Bmk9
2xYOsNcMcBVS7Zbscc2u3a0zNv55ReVh0zamfwT0uLQNSUNQbNXI+FlzmFfjuEFoAYJfDYaDq22b
JuQ6TR/FriMdW2qITAcJTgJTUAGzvei6wIqJ7JESlPpwWneTRqMTH0OtLQ2fg5+uNr1AuWxm55eK
OUUJhJN82tDeRTnmKjamDtaABLAn678T6PC8BwCL6bvz7oXPa71vxRToNJiftBpSOMG1Q2bp8Ope
HLlXrUyfvzqTxw5qeC5Yd2pZtXhyJg0C+VZ4JMBZ2kMQsMhBU3+E6jkrw3lxh6NtFpDp7+3HwW8Z
tUY5DRr344GNbU/Vdo2iFOAz421vDCsEflswQwZKkqjSfDUzde9Fxc3hQVvoDs2A6gH2Qlp1/gpK
3R5tgIZBE2pnfKrHRPvS1DW0XNvq7w83tTA/xDQCOAp9AlE371Fh50mrQyXiZCfDFuu/Sjf4G6PG
TcZFhoMq/5ntHkwYDB2GN8eClC7CIjWXRHOqqjjHH+7MvAg9hVCw6KdcEdkiEPjTwL5abbVnVZo5
8PTHaH5QNl7GXF4KTUcPbGyKCgVqpcjbDdp/FUL9+YiYVItHA5LeMLebVR4WMapEqaX+OPzFFkaZ
PARgRXpKamAeQlaiUcuhYJS1Cs16d5eRpz7cwsKSoV44MT/1iaYzX5lazuloYs+6SjWMRpQUj4rS
d51t1RRH7qvFvrxqafr81RhHrXBSYBLEjhmSW0HkfxNl8PPv9IZEpwGkAO7RbMUE2Gm3StIxj1X5
lQynu44T/VeNc9mRYVvuzF8Nza7FyIPKkCCVR1DqYN830DdlJ0eTlPOHewRYR1dBfL0s0tnZDtLK
722bq0qG5qkRqV9MiQZuqj79e83MbuC2k0HtRBxQ1APyZwVNx+vYUrJrquj2B9kNL5vNmYIxQdUP
iaDZ2DnS1UrE3VjUhR5S9YvvMyiEqE7Lene4VwsXIyuaDNRUaqPiMtvWZqAbsY3//KoH2ZJimIaF
FNY+6S53nw+3tLCN3rQ0m6YYyb4MA8psRRSAVJ6JqGMld8jmtau/05AjLbRaYCXOa2eJ2WRu0tCl
Ms3O3AHrHHdEcz4S0ZGjZ3ns/mpotl15AGYoruJg6jfqedmnGIeN+H6hjm0iSP9v9mo2UaQqcR5w
WBJZ0Oxk4F8h1rt3fP8IZmth15KUBHMOABy40zzONEpy8VFFND76w9d+UlUBIHYsGltoZArCYH8A
8KGSPyusC5xwSUUC7fF6ZK5EWZ2XUr89vAoW3jRcjBRyCComRsvs9vUVrinogzgCxv2JJ796wB9V
nHzdHimH7eG2lvpD8UijpkDVmFLK23PbLxtJxXSKLnHTsPG0pBa2+feamL7Cq6vBaULdDGua4PId
KtSQQq1fo0XbVEciisVxI2jhROCx/y6i4NFX6dS4WWdUC23zJ9oht0Xt7FoNVZwc8dWXfv3nU/9f
3nN2/Uf5pfrXf/PzE2IxZeD59ezHf33Kn9O7unx+ri8f8/+efvX//uq/3v7Ib/75b9481o9vftgi
9VUPN81zOdw+V01cv7TJd5j+5v/3w9+eX/4t90P+/M/fH3+iMrYJqroMnurf//xoEtXg+aW/mr2p
gT8/vXpM+MU/fqfOfts9/3wuH+P3v/tMCuafvyum/Q8qDcAwSV3zWAB08Ptv3fMfH8l/gAVlNYEB
AEFJhPH7bykVFJ9f08Q/hMpdR5KJta2j6fT7b1XW/PGZ9Q/IFMRDxOuYBcEv/v1/B+LNZPw1Ob+l
TXKdBWld/fN3LgHW1aua2VSiIO4xwPyYvAN5Rb9dd+ZQjtSFBUr7pVai7k5hWn/qWz30z7u27Yqf
eZo49pWWoFEXFhdF6+AhVpzXmnZeYG0Cury5DGuwbLIrz3kDnjp5eCLR0cT271YrjAvfxdy5qrZt
au2ssP5hjkGCKqK+RWjxOS7886Httn4kTm2jQbyzxyNwwE4YTw9I0y5W59W+TtUvZSz3g+s/BGOB
gFbxre/9PZKM8bpI5Vpm4Sc7LK8nsTLABPUZToK71g9v8J74lIsUbwx9R8SKzKIe4kDm8UbEM8vF
aXJVdP5eyOibmZonnVWexZX9o278Ww/IZaIGn+Aj7HmXYxnnnmBnc+nIHJ0jDetZB4V7HGZy0PR9
XJ8gYHVrjWFLcDecqZm2znPlJGph2jQKIj1uIvdWjoJ8PJ7YqnLT6s5+9MVlgpdg6CQP6JTep3F5
3qC6tq5qtJNxnepC/8r3GkwG+rO2xKFN02KsNsP8s5UO53lYb2MZXVSttw9U/ytyBNuqtx86zCat
1j9DegnFNo86PCCPAv93W907VX3atNUW/d9PGbrMEidgxIjPgjTdVbW6i0KM9W6RL5eVc9KYcofI
4ZnS6dtUY0itvFv1mKV4QX6rJkwoAku1dPa2ir+5Ep5APb9Q+cXOkzs3rK5Cye1poAJHnukaoPpP
1XeeerA2qlatjcreiFZ5soYUsI37UJNOHXPvqk6rfYXRpxNFJ3ZR3QaV/90BQBkq2Zpk2T3M093k
vizjcp8o5bVnJrvGiXe6wF0iQnu5Ev4KbVLcTvw7K7RP7RHolm+M+0YM575i8ExR71R8x4JizNYp
fAYio3iLaex9oCQ3ZY5aZxdr2yDtLmIPRXe/PGHrIJyGYU9WYvweJd0+ybLrqg5PyUFhL6qfGyHK
zKm2qxPMBwvUNPGgVdX6AeGwK890TgZkgl38MHme/sLY3tsGIR4xeMV9RQz4yUDecSNskK1WTm23
hFe/YomhVe2eGXW9j6r6vg+bL4YHGlXAu1mrdoMLbbJTC0Rn6wIURehQp7Vb4DWFyPUVCjQt7jTV
56HvvpaKODeKEG8E316rSvcwJgUSNCZxNQ4MjVJo+boTOILma2qU9XcFOEK7j3DSkE4Z7SuneEIK
t0KjUrG2aO8X66pglRg1dkmGjfJp6QHejo2wudJ13E6sUruLJB62ml79yPMoIMvY1htHRZkQcYLh
C5Z74hRcWXsLmv0harSnzu4vUN7/ipPjprGTH0iygzKMjF2v3isT1QP7ThEYOwrX2JYOW9WvH00X
byaZFbvEx505085tz/ZXTqXthFk0m9TRfmmoW65Q1ZuUlOWPMsI9Fk+ydYVZnxYOaGEaKDYGF7UT
oLUa7fv/4e48suvYsu3aokiFN9Vw1+LCEiBZiQHQhPf+9EZtUcc0g/lyiAD5iU/VpJGFLDyS54Y7
Z5u11ywij24F1mwErrpw7otJO6N4vMduNOjX+mx0SahI/YtRgTMGcX6nJP2nCa6bqde+uUKTHAxk
rtIOp37fSsxvNOyRjvPt4bJSoGo0QVNZYREBU5yzA/hrr8v7g1PDzp2qm6rH+7xv2+tpTI/zbB7A
Rrw4RhYwvfGE0x+g8WFzabM9tPdXqSjOaTZhF1wWN6mjX9X2RklRdqbB/0u03mj7UV0W86UGRjN1
6t2i2i9zaT6ZywjzvLopx+SQaU3rGoulBxA/zaDWlbM2iTOI2sTDl3DwcqzCXQNnYSVwctm5qqBp
4pdZSPeWVV4ZAj3H38cNV+mXru7r78PrIOF1sPH/XHSB2FHmlP0f/zm2fwkvrp4JLXZceV//HFn8
8/f+CS0M+V9kxIhBtukuLAa2mPSf0MJU/mVS+HIcfcv/KfASdfwntCAg2YZQ6L+gQtMYdfgpsrD/
xZQYgQWVLLINzKn+JrJAwf82sqDdR7WP/5Eo0cTa/vtPEa22xN2Af6ftDVM/FHsQBONXpc5hxWdG
aQ84Ympi9NZ5QXdmM/UxHZQGLf5tsrX5vFqzoUopHQija3NIpvRU4Gso75Kx33ys6YAN5MzaiJQi
crSnmckAQF/65hlDejNJ9/EgC+ui6qP2HRRbDaRhwTFSRY16neNHSfddiSUZ6y0y8X2UWJzidhxV
1S5HsGlfU8iAbaONJjBGeUzQuSWLZFc79MhWB2drQtwVwiwa9WsRTQ3zaAOaD+2UUwssAhMK2rei
5Fi44PqsZzd93DMjqjcmBpCSaWaNKyc2FDbZbgAxMOlpd/iRi7S7IPRrMaxHWK7foUhYZt+U8S/3
tc6MY0+Ss3L1ifDgvwHB7mEstYOJmXouab1XtiKDsJvJuKO2bQ42SkvFMHsxE5XML6xyn5qXomYK
IHOFQSJ4xCi3Hb2F08bCXh7v4Z2p6LH5uHRZnO9ibN3Erlq6wTqu0QhPZTW6wngc19S5K1PJyg5d
XPX6jaKMjXktI1RWEEwX2GPWeMbWIIzNHvyTE8/wCeVZ/woPQcUPZV5K2KgMKfvrbOLJaUhQpH1N
mxevLcrAEhjshmpCV9eF0YUbugNypSBWwzT2erbV6saeFI27oTq3VaUpt6bTReLQCX3cVNujqfmI
/ZniiDkslGeYL/Jy3YyzREgVjVPpl51uIrLGilzdY6FqA/m00ab5VVPhITzY6DOuxqmO+2/5WMBI
oeJABDLySlm+yeQvTL98w4x2hgyG01E5fXMOBAKaUnARzjCsBW6mUVwfk7VV2qOVqQ2YLiHlGZRJ
J9KNB46iXguamnbQN6kUq35sU3uQ9ySbM5bBFcakCTMovFc5jNhwgsoRWf7YOWLTaMI48+g5KONn
JSaULpCP8s96MCM1nEP1bl6JzBJVu6hRWie7NKVmDD89FTQ0Ebw6bom3vnqn4ccTh2MBotC3syKv
oE6msLjtFKIrA6MzxLNhwSua11NXR/3sDDjp4Fo3FM6VqZtls9nDV4t+07cYthI2phgQW1rD5Ced
BAS1xHYDZj9VnuPtrpqtAOIqWfA8XKu0l/Ro641SvMhwAcQ+yc18uXEsgL2YRdcleA3w0x248BFz
206xSnGwo0yo17xfPQrWLI4UUNGYkH5I0CVGyepyoDajDFAmrQzMonuMMq8TU4JNRIazDJ8nepHT
vsYn14FtDavYzVN202CKagLfNpYgpc5t33iqZkovWzYiBfDTOgNKKKMlWuNgN5rVU9IFMEeRdi7V
KEuBmVIOCVvu5+B1MaUJbyi76qkUQyN21ogd+lXH+S7vIlvCuN0xa1GGWEAjdk0GzWm/VW0FVmse
OZ+faKNV2kGABsRMfho3y1WbfcJmRz33JkqXW8RMmynrTACQflxxtAXRBTtguAVBon4UORuqN+h9
TYK0gBcNlaEyEDVrsEB9XOfzjXG1sKFEg61VlxTgcXtMheZAOrcgDRgYW1SDAT8qxvcLGc7XXrex
jm+UudAPsWIX6i0CltY4MIJqjYEqUE57Ct+i8cIfxKU4g9ZLG6FvC/DsQ9e/mLNMYCQYdnvADne+
Xanr1mczWjPzUEqKVD2P+CR1vjN2ueYm1VQXEPqwnQ8K9rI8FBOl//tFaJMR9DXRi9eOSpUQnitz
GEMUhAVUKCMsqFEDFNXhA80wASZU6RlPi/L7jKXK3eIYDbjXWAAOd4hTv0udIIvtzFS/ovkgK8z5
Jghz9cIuPk+t6L4lqJg+4eOFUxgTGoy7o9Hsxl1ulvKHdVLT4pQKTPL2DTBZ+t0Mkkb3iLIrOWDv
EdD5OgbaCi+dRZnditEoMjT+4AOL6aiZiRGhvi4hJ6zokie1Z4SqKGOlJO9l4NgroSYoh1HqBpQB
PBCc3PGWN2/jcepgijgIt+Ow5FCQvK7N2b2JE8Zol41a95EYj2Feplvhw8CsoOQXO9JjVy0N3kcZ
jpBAtSpUpbvegMQJm0aF+SnpMp+FnVdF9oBJvA221UwEh5Ypp53xUdErHOvxAJQGNGxLrO7VGZpd
06vjdV00a7VripJ3rrKYNPfgdcTrpR9th3xqnJloydt4lbFKr4aMPD0esqOxpSqfqOaW2D6brRUk
WqyzS+eZZYNXzbrGA1oPmSaRaiJ0NW+77KB34JE4mprqGBl1VVAA6NN2N4+Dql+A7WLpmgwVpJyo
6GoehDbFQHt/dDnTvq0G0sqsG0910xZtkDOcl0EbqqDfZnpvCrBiSXuIiNqvjXLCqZ3aOYJxkEGN
+qGd5uSsZ+gaDiuGRAvvVqJPD9nUrblnxpCHGCqwbKgCDXLnpClzv0xxE4JzGcPIzK4x8V1gXKXM
kR7t1O7x7wePLIdJwSiIN2pmt4YKO7DkzgZmC1+MzJTXQ4QzNoZliErnoyzhWgg/Pu8qsNtN7zwU
isxsmDqnkXKdinoDH81Zal1VU+9MWK6jyvMb0TTLfkrSFfqgluH6THgiOZOPfSxvlG4Ui3yDVq93
jm0pNyCeLbONAslhh7xCV6dSgCimxG3icqM5LYxQJmX1gJMe5DAZwELuzyNk9Ou2RH/vjQhsW0/m
ZCKtrSX1wVircvi37Ouviov/nyYJ1Ob/mCTcPHf/63++Sg/+/Tf+U3mkTMjpCxOF+jiDeg5twH/S
A8P+F8IPxOqY3Jroabfm0z/pgfov+H4oh1EI0XHWGAH7P+mB8y8bWT0WkIyFIaqiP/yfBOa/UXd8
XXVEqEPNE28Kpo1Q7RiW+SY3UAphdGtNW62TnQeUGoW3FPXoRrH18afM6Z+Ffy5wvq52/1gIlbLN
KqzGCMSbroqK64sT1bgjNjZu8EVZ3Ra1uN72Fapd+alJlXfUyq+lZz8WZLSHxgeCCpvw882CJXDN
eJrpigqiFwYKra+Qnc62HN/HfcMuXWzlpPjfyfKrGvvPV/mbRW20KCQvtLDRVrxpvXUOk67jwO2s
7R5fzrbVIzgFgOPhyZWHWl7HsKTdeN2NItv9+Qa/fpK8I6jW6MCYXC89dKTur7O8ei0w65c4USpR
fyS/cC3xqbfkT3+9Ck0r1GTYGCOFfKvqsMeO+lYUbUC2rzNzI3nxGdLjv1sV/+Vd/PVSkN2ikMYi
HNXNL2P4zkoEN0x0raaBmmF21cRAAMQU/u2lbKtsA3Aqdqqk769vWDYUlGsBgUNUncPVUdxYvzMb
651Vtif+U1mfx7KtgnDCxvsZbcobXaHS9LgyUQVnhONRL/vL2AGqnK/L9cufr2Z7vL+sYzAMwNzI
Nta3fX8/JfnkZkvZkKAxLu+cjNXaZ3P7nv7uRyvvl0V46tpmPKgza/16kQVieN9RCXCVxThTDvNo
bnm63l8xtIgTGVSKwIz0/KsNU+mc9GC/5yh5ELFKUJW37w3x/fqa0JxhapdJcyolSM5e/xpnVlOz
RWHqVpyl9KDJuGtTD5a4Kt/5rH+9uaxkGlAQaM4w+PPmIUrIf5mZYmi9VtP1HEsAP2oKme/sWL9b
Ba2UTE7BGvrWo/r5EaZJsahRQkVCCA3WqpF8ZJLp8W9fE67ClBlDUKlKIWl+vYaUG7Gz2hRd1Lny
qXscK/29+b7Xe+C2EbEE7zyiF04+9a1LKaXbeC4VdnotjhsIPUu2t4ZF8Zui6tC1kSzlXTZFrqJV
w//Fc8KEi2ujdobY4s1zwgEwWpSFALssVyuYgMHui76XH/58D98a8G5XuPl9yRxj9O9l7c2LN2V9
nBrbt2a4k5/u9dzPqqt1vsKrQ/JA+ITqOYFUmnvK6Hc5KMlwfrHeudRf9xV+gyrzKaoWo9NvL5Vi
UqHVlsPulcMK92VnxBPFarsEcUmRYiFkN4aw31n0N4+WAJbTlIIiHuE/xuh/2mRM1RziptycQiTl
y5DYn7lBjw0kd31Vnhz2H3cR70k8scngnXy96xCaIF5mhhNZ2C+hA3VJM8o6XqjeOKVLEOm7lQA9
brxpBOoX2JZXl09V87GkzDYPX6MmdZcp8aUYQq7lQ3gnE8cEc/WK/JoxOlcCnjWW/mQfi2LGxzEF
hPvQpdt3N/iIb9v4c8xQrp3J2PW0YV7cjeLGruWwA48jV3kQbeDfoNADozloYnLhy8ANvFarFnqN
Es5AotJ9TvewNC+DsoQRpOmuN86UZMCggRAKNed5otRVJZ03mwvqjBJ3TvDoiYdfvZ3SzlAiRjTb
oDEHjJKTwY3s4jyPWXssk+WThKI+lj7D3C7SzlOiLBjtzzEpaxcte/KOfTwaT0b9YR5CK9kztMLw
hQKtW2nP+XBYlWt71N0i0n2hrr6ZqXQwBlgpt/r6ENlXcgY4ep/Itrsaj8o4B3H5QZ9MgPb7vryd
l4dCDrME8Lh6N47wbyzovZM3t2C9xbUpX0cY6FjKJa+/b0CacfnQSWyX3XGQ4qDSVVoxkZ84cWhH
X0RPNcv83tk7oV1yDFg7NYSm5+Zz6uHPIpovBs2SfHjOR0b2AnxnSZZaF82vN5DV1NXT4LRH3al8
sG7XjPq5ij26Ir+a4PKNZQj3Rx29SWczgGq/GMdc82fo81RgeLSHpZIYZsPWZqSQRAqtQfuWdnoR
0gXz7OzcWp5ZhUl0SaL+shS7GYR23l3NrS9nuavVOEfFHzAbLaJrRVzP8v3cnvTKkx3I3FdyvlNr
eEbTeEzymuL7SW1u42E/Ms2u1IA0bUyabqJpFzsD9oSJP0g3+qiGdQL/VPqE661wHlVQInJ+n87P
iwn98xPca8XalfO3WHyoh7Pq+KIFX7ebh6OZ3+FzaBS3ah5OoJoavHz6tA779vOS0NrKXjrMYShS
eyJNA0M6TMtmTw7Ybi8gl1rOqSIHTovCy6ZLox8sDLmTrRi5CTIL+nDd6jbDZ2O85EzxVsmeaqu7
rJ+E862e7rP0Hm8iN8+rw5IFSnRN2cYojKCpKCyajWcY0oeqqgMpB1lmYD6ZL0d1oVqjBcVgAtAs
qExkYWMeJ+c2abkFUxRKNK2Z4PYErmdSMe5TuQwG3Qi6UYYCNvmDeZPLgzuV9tXSZPwnbH4qPaT1
n3dm4ETXKlhLyZVpjarSi4o3ejtOGLLtmaCHUEXVUgr/fDb8bq/azHAdWkLECdaboFI3V1tA2SPg
R/acgR9HPbEkU3KIMMHWLlHeCeWxnR3jw5/X/U0sRIPJYoDAItUh7Xl9rmOZbcNM5EnV6xwdkpkz
A2hD1jxOoOWjv47P8ZpCDbMd7j8iojeL6V3fJQ1BxGiZw8iXDz8MQYQ5ZB5Rjfl3QrnttGUQmZky
8key3beJHOTkSZuKuAEDe6XYn1Y6PH++d78+M6A5PDBli9Ft1NevL8dZ8UjQofy5TV9PfByD7WLY
GrZW6zeg1lN56L0/r/hW4801mRupyrK4Il3jXXm9pKEWq1xvaZS+RF+rbPkS8RMDFEx3jiTdG4s4
r3Z5pW3AuCJRPmCXf4E193cjT/wIRyfJUpFy00hzZBqXP8ebDDM0DBzyI+zuJdNelK7zjO4dd5lf
30vWwNwTlgS+aoQqr9dYxmK2h1lDm1ygZ1jnkLDtsMjvKVHfOgj9uBYyEu4ps7U0XPXX69DU082B
zNrtcb/0JlXDZlGDxbNHaK8eELSl+7lHR7AqGhKOMsFlDCvjJPHGMXsvCv01NGN9MjFuLaESI+ev
f0sNFG3IG+KJycoPlT1+SOxYoOgzD+rQfP3zm/Sb+2ugJUOihrcvD/PNM0yltEvslthobXlVC/xr
fPSkFTB2qdn/eantFr4OwxwaJximUF/Y/BXeLBWnuTXwoZP8JaN5SE3QtcDnondCzN+uwvALI3b6
1gN+E1sr08CXmG8vJZsduKQZ5DaH258v5Td3jS8Y2eV2Kar69ovXhDNnYCjp/Toy5ozovfvFK4qX
P6/ym0thLIUMlVE/nGbePhvdkLLW2lbB2wdcrcUJ+t7W9ZsluARuF2M8jD+9nZhY40wf1IZtf5UN
UL6wD2kP7P7yMpD869wt9nsmTUjtXr/OM349tIl5xTgM9g1DXCCIxvcG8n+5EBaheaWgUoY/BFbv
9SLaOm0+qKRU5UQpP6nS2Vecyf7bo4RVMJ5hHok3mR1v+xU/5S+plfbC2ZwOhfiaaLfdX+92/Ps4
GJP14pvxK4CwVxqh1hblv6kt8nNr01yZlTQN877V3gk0fnmFf7g3UcDfLDpI5N9srMBly0UZqCsJ
g910aKJrOkifKkny//z0f7cOBVvqtgwjbTi217es1/RpkmtcjdJoJjo2Ivy4ygqrjqh/b7zkN+/A
xpnYZiRMh2f05kUzamNQjUKnVBZfZNG4tB/fOXd/dzEbuhEQ23bevz0lGN1fJ0ewhTmgxqfsSVuf
KSa8s8gv4QSq5c2BhxPAplNpvylCdEk/LpbMN2lbpJSjGiRJ7as6u+X8UZLad1b79ZKw5qO0SMmI
GTBu3+vn0+lzHKWbwt+20mvNUfb4cR4TO3nnNfg1YiHb51zl4/wRMrwtL2Mh3/ZSwa1b2mldmWka
X3QDPqncka6VFGhrA7kjKimiavgAD5nVIdOYjMyLFfGe6/ovJ+zG7uC1Z+yEGQpmT15f9GIQxGVo
MZjIV57WDsu2Jp4gi5baQ569Z/X8tugBOIraOpWMbfJYsd8OakhzrIKS50SyOuosq4MZmLZeJtM8
LGV/ngaBRWDzzkbFk1PfrMsuxZTDNurADDJx/dtDSsFDqe81SgL1ZJN3ztOoVb7ZTJIUNEnRSLux
TCw8IaNsHvorPY8N8agXq1GubhvlTCa6c9U3KRAMxgm9oe1RbpAaJ0oNyBp86SP886UJtCrrmNae
mx/KJz1dlDR2DWA8I8cvHShlT7tEKg6pZDjqnbK2cf/QCLOvTnJlTuIlS0Z9CBp7pazooi23hUUP
14yzx6STlt6r1yYa9xrF4fhjAbl22QlHa5orwu5muYrXjIl/pWok5ODZGpsMjuSxNd3oDeCAxzIz
KsigaR91xxGHB3L9SZYu8eSkMUMTi4UphznDc3bsNtNcbWbgxpMGWcl85rkQsETSGq41uPUkMrLs
yDysrKNLMrAAM4t2AKtqavRM1NEq6kCTeqiLgOrvuqUdgeOKjSatY7B/mDbCdL6xppVedbKn1hHW
aPuV5CwcVamtjqkr6DRnbrKBq7uoSD0DYW7GNNTK0HAsEbt5NIBhXxfdkloYgdmwt1V8vld3XBXl
WG68bCZ26VYXVd8XHti6wU/Mja29UbZTBicjN3K65eCkendvj8mVNcquml8QljS7Zph1v+7W1OOn
p2EMLyCMN5Z30kyo1ja+d2+jXys35jcPMDmMPzjgSmzssF3Sz0CSrECXZIDheAbTdknUOUQzkAAB
hiwOdxyYvAJtXCZ/dQ11Qm+a1/LV0kp8iUol+bJhJYEaR9aurrQ6GDaMOVp2ZNob2rw02dCXDXeu
U0+/rjcE+jhWaVhvWHQGTarH1bHWHa6baQiqu/Bi0fYHhagW9rjdHVeHGwKKtrxplEm62jDFVDgM
cOwJYPbWiCZ/KwCfFjlfvLKmlmTNzrorcjHiFQPeXTOy0jc35Ls0G+r3ftXV+7RKnPvcyKgobJD4
IoOm0G/geHtciD1jTQrJHpsTTxop9zo6L0iwh2M/yRovhJXvOlnPPW2D0yP5kE8l3v6hsqHrp2Sq
D+OGs0cIIa4bPg5/qZLVyzfsvaO2xtEYBEqaNRvOnTYUJ3jSiqumueJGSxVxJ5HAJW1jXXRJp1Il
Cek4lxjfYJi6Cdyw65T6qj9VDHQH+GcU14Ukxl0mymlf4vZ9E8eFc84afTgW2Wi7djsNZyPWhdeh
6tmDIJEDAZr60NvGDPhNl5m3jYGMM/92GmUnOVtR96LPWrSbsKS5sEty57o+CWwkMl5GWeYqb3tq
35lu3vFvVMdMkyZyWF2+E6Xewyks51BlZ3hRS806UKTIwjSfszPNKnM3DXyYcZtJl6lsnWNhcehj
H9BfbDtpn8tGSCdDHdY7xPz9RQC59uFsqvueuDqg+q9dSWvVe2lqpkc1R5MeaXJ/EA3w7r5ZbRcp
vfJphckbTLNm7cSyIpkxHAbhHBjcfIaT2K15vn6SRgq0ddyZJ6kcU19a5MafZWMOASAajw1cwlsk
aMa3yFrjnSLq6YjPXOrjqp4H8UpdlTa94iqMSJwz9PG7iT3pUPSzfVCGWGKnMxMKj5m2g8vQnKZC
andGnFvk+PrsZes879M4m+76Tl/3iWPleJBkVZDPTerRFy9PBknt2ajjJUjbsfnqGGwggAPKNAsB
Gzo3SpkXz05iJonLDVaOk2i7kx4vNNpHK7efC2PqL10TKzc8ou5kpEPhNqUtvfRqZRyyZhZ4Qtf6
hNjHbDZBXvcJ6FXnN3qH14qemLFPAlB8WZo4+W6ICXFW3WvOpcatC0B5Vj4p2+nh9uTaYSL65Kk2
bLplS9NoirsiJHrCObmU3ViecuGVpR6fmBqULVdr287aUyaxHlItMQ59VUMz4hxng1Fiu3uoljS7
iEl7QkAzhrOk2DtJVSk6K63+RVipwDpuateTxnDXx0Ef+zsqHckjNvcjd1tSb00jbp+QJ1vP1HGQ
GEIrzzLXaZTUS5OcHXxVys9oWnHanK1U7fyp7MFDJgveLFGtZGdZSeb7LnW0wKYI7seiHFxJQumW
zfOXpVzbkKoH5hO03r1pTb/rmE/zPZ0VESe7PstvFCv9KA3mUeJbpcASf1KX/iv8RttvJPMjCE89
mBBbIu+nBEW0A4skjrtD2yppiOC0d0VpfRRlN1Ly5k/M4Och5g1V0GfKFFbrpJyEHLUHSVpvF6UJ
5GL+6JR26amZ/FFSrVsZeKyH/+34ubad3m+6/nlcDgzaKL4i6BehzA6WmhuiDEi3RYbclENb89An
nxSKl95IM4J4Lmxbey83oR6rp0n9grfYQI2x1fYFjm2e1Bknql25u85SWDtMiYz6/TKvvjyUlzia
93PWPRAGBNpq4VcaH5WouJ2W9VZoxj1WETuEoQeLQomUgmnVxN4p1vMK98Jl1OTbNBo4B83XY4QY
fFGXMDO/aHJn+b3OyFuGpw4zmk7Br4CoNhpSTYcmCeRKBLyOW4Vr4nTKMn5QNrjZopooWW0brUT7
jDKg9KSE5zHmfeUDStrr7RI0qvRt0aC8O0vsLyY2pV3ZxxjE9t+MxEDyV6mfVGX8PvXRnTPEFLdx
ZRXGtUjYlwit3KKQYEiZHRfUM31TTR+7PFVc2ZCezGrgu2jKT+lE9V4p7hsHm2ezxlcBSaucQCwp
v/ENoFbjcE5j/ZgvkheV7DKaZD2h9eCIztuXvh6CmfijiKLci6a0DGaJuRi4bHTo7WDGox//+8OS
tLsiTl5KVfcrhoPmbQZnWHu2LNmLLfqGWhNYGs2DlEbIKgYGkRoaG4MT76NO9eUcLYvcZOc5btCd
Zeu5WItA6JFbjX3idjkPeVavhlE/6HZ+qyZ0DtIc6U3U5qdBqjg2dbqhWgubXFvt59Z2glGfTrlj
NV7bjrRTkjI/iqpC3J82oT0b9+Xk3ClNO4FJMaKD09XSjeNkjhtZ3XntuMgVaftMVKipbiS3mFd9
nTsbITqvca58lqzUcS02di9xGiZthi9VV9Mqi2fLM2Lpo72Y92UzA8TojWCdijDRZ4AT1XztZCaz
BRqfneBpAcr6qrfTh1pEj6XSf1kjwrPW7o/q+KXTJljrebIT8VmPOg3PM1o3HEeIedX5e1V9koTA
ItS+r1b7Cj7drhTMfs33pcVcvoL9/pRScAbJfeYP3LHtQm3NmxtTnj+Phf0omrUBfJZrOyNdeA9T
+WOWK9fTYl3Z/fQdeAmFBqYfjkZkPDR282WRGSHb5K8eWfspjmyvTJJTOcsBmf2eHfk0YvzWdjMk
3EELk0p9hKvwLWtXjqcL+k20xiddDB8rjIrVwfoapdKl4iZ3y3I0Mx0seemJLkcEyQOAOYwj31Uf
yzcWCM1RKq9SqnVMXbhMsvpaPPECYkeRdr4sPpgKU+GKttNRT0rSaU2uW65OIaXKiApp7HkNY51a
4hq64sWqxVBiH+LExE+/FHF1vWqkmNNNW1ZeLYp9LmuuaJew74Q3J9NhpvAR9xI1X8quCluWaANV
Lh6cvjjOHJwIoj1RMBeHWB/qNFrxgReyG+jw6reyFNPhIvjub+b4eZI7VOUfVMKNrsSOvjLu2ik/
Dip2ubP8KC/ZUahOmEkl2uOB0ZQlPo/ps5HdxVB9mP8LR3U5jcycWku5LyJ7VxvVlS70K1v/OqTI
zuiKAtnA8ElyNwvqznrMOBxNI72v4q+2cDwjnx/Wwnxuuy92XBRu1SaZG83mfuqtcOjIBeyB0Xf1
pTFkP1uoaHdsLPFLRUoyOrOflB+weH5AJ+quceFiv73PU+Y2c5SxTrTLNd73SniprD5TK8E86cRP
S6yMRIOJWeuRSPqqqppwTZ4Jt0NcfsJF03dxPfmib+ghlmCO4HTobRBZzmGJ+s1Y0rUJCtUx9pu2
PErEFEXHMVakLhJkphKND0Q+h4nKSzdHwWifs7UIldz0BvzQZpnFR8pla++tOFbLOFU31UtFQGHE
31N1op0fhco8+7Yd7zppPKryJ6OqghX9bI2jXKqB0uo/SdqZkhmPf6PLP6w6BzObIUwvJOCHmsSn
tJTdyDxg3rE700rqlX7XmszAOOtlrB9LlAWFHTV+kpyJx0av1762K8cex0pTttzKia7Xrl/v1fFc
zPfVvGfYxnXmvRgP2dL6hjR7cxUxhc2xYxW7jBixjr/QKnDzKPIMcSfxYstS7nVKFOTmUWT1xdar
0CwqD8/OzygUz2ulfddpuZLwoFFXKm9URz8e4/1QKA94vWSh3JGWZdYmMZm+gstBX5/58lQEtEjY
14c1LFta1IuKPUbXZwT3EQ37uTlOsXWmm3JDmQC7cohEav2169brfrmSDJ3JwuikmlKwpJKnglxJ
NcQUa7frOXv1+d6KTnSKbFqns7pftnrwrAe5rgSzSQqoDZ5ZEkXO7W4l22VPZzDG3MGk9soeoGsz
HvB9DuMOYhf9XlU0RFfPA34RmLFja6T4OEf6jGNQULL2YngenJ7GsXOY59t0eDSMgv3xOslxB3R8
gtxQ4StiaP4MKWrRLwC1mNdEGa0M1m1OrKY110N7nOQHlW9RSX2dVK5zvDV+zuJuLylPXQ2/gXLI
fDsTXsQ3S/+hyi+Drga6JZiF+qIzDNYQ3dlKEFPNm2w9UIbZZfIKeZ1bYnJHC1vdZqqAx8nkkCnC
isWClqSXu6Qewj7WA4ERnmo2frnKRO0DDO7UxwyGz+WLPiHhyBmjK/hCEhhYo3ynV/jwW2fZCuno
5AKL+uRFdE+NyUMWih/FPJGEu5utXpOrrqTtRHsgPXM1MHazFs4q+oLys1ycivbcrM/VLHsNRRkR
f7c/R43FaXKpUt3NVw+1Dch6maPuoiS5ZzReagbW8jmVT2N0vUyBuYSpSam09qx5N3c7PSJfQ4TO
q53sSRHCDEmB2Q781bC0H/riwSSCJuE3eynMU7b8noTzm07lSROKh75gYsKhcy4Ax4MhXo6U+VxJ
bw9qXh1rToqB0a8VX6uMobDOKU+dRgK7TsdMVb1YM792c46UB/vhhLOe+LNxGBnny8bMOfpqIgsR
+QUawW6xmdlYlJ0tCD4MhBDNxGlVnnXnwDe3MDm+6UcG3WQs2nxyEv0kq/k+avtjn6aIDvJvNaMc
Q919GyXjKlZlNE9LO9xMvdDdqdHuTEcwGplhCYi/epg1Yn7R4yLf18LOERws4RiPR1Fk5PlJ6RlW
dlN15pEJBCbo4qtUQzXERFbUdH6pZDvCPio0IULSsHD2yXo7RPP/5ug8dhtHtjD8RASYw1YMysmy
5LAh2ok5hyL59PNpFhcY4M603RJZdc4ft5X2qtd3m8dBoYRlUW95Ge5bOfUbMw0c0/IZM3cx7Uly
218sJsk4Ntm8GAqE8dREbgv5bLN0Ka+9cYnGo8nfWu3sjbSonEOf0yytBl06ZtXHqByxW606KwsK
I3nrZs72ul2h29gb401KJR/Jogd9Q5GBtTOdILYmr8PzKIx32Zo98owVfGmFJbw28fVqU5jvjnCt
EIVoC0iW4jn/6OmQwsWiJJ1vSYsbNTYfS+1FzbWiaZxUXzePbnX8MOR32dy34WkUAJHWaVYGpEP+
UF9V1UuBCZV5x7xqWmJVj2tF/6YmbGs0qIEA9brptahnV9eybTc6gZrx7pYJesBxZfS6l+uvw7LW
nZeqczwtTNn6q60aDftR/1YatFPVCROFaq3nPDo6y4eoyzXeMj+sJvA3Pq8Y+dnilsaJqIQyuWON
yZWbXb1rnPym6Yt5WZn2Jg1vJg+gkW4X/O/lFy1BuubZyrtMQmG3duCpl3THtrEyLc0V0Waczjpm
GHFPnJMZn2cdg/6QexNBHItvsOaTX67FMUkF/tK/hAhcDKwyTn6IG5BfHyfamidUaLIfCgvUixef
C9Uas+ddDZzoQD83m5QyXZz2L041SC7OM8czNS4vm9CepB+Fp2W8P5O9ChMAjyUs/al07ti8rnJV
+AoAeyj1O1iZ3bN8uK/PVVH5anGb1XiXm8ulkE0vrmR3SnAc5YCgU40tH8Q0cz4LkX5ZTMBSZHk5
8RL6fFzk90HbKmKPus/tWnOVtIHRo7HtAq19NNY66rZdx8ApXYR+iJpX0Z2n4l3K12VeBraafycx
D6rUV/sJoadCt4DomBvl0gtzjQAK+RNPq58MthlkiLFKu361Zga6Uds0qXLoi+wPeymqQnFlsNtJ
NHa0KDa55t2cZQ6XjCdUehrzQ1uL3diNpSeBaj6LKAlTXmUDQrSGBNci2/byD40unpyYW7lmCKrn
n0WTX8ZyfCw2spVuWZtS17pjw6lbaV9kI7jEB7DaG2i9lJbHIUVeOLgDCVorq1t2IlxWyZyqK+J8
KOK5DLOv1Hw+HxMFfKazSlRUKT1six7N27x51ZJ7WDMvzV4/N2dtmtwyuT6X5QqPJdY+v5Jmb6Df
uBD/UonhHwVu1JW+ZI27DBQt6os3W55doQRORmrCyPEqEFUPly4tmMgbdIFOgrm1kE+pJHsdydhj
Or4XksQVZKwJB/Ri/Xes9wtTNlEEy6KuzUJb2fNBApUYmzOCO7ABL1ui1Wzyt0jh3uUOX/bzRfZD
deckO4lcQZbCbNYOXU4OTH02c5kTRTnWPU7rpQe2McRtXLhJ4sVv+gF4V74QlgOa2NwlxToY3clQ
Or8X1r2J7nmaU3kCqtoVDCjStcZ6pw/yOmUgI1Rhk/W+UYqLo8U/uuRcqnpiRCyQc4II4m/QLNyN
Mw+r2hyYmNaMpe0SegzHLwpXuSohJTXitZbUnt7qWwnLeccsU2V/w2AGcfcuM0FMMMJG/+LEO116
L2VsqdK3mMqtKv8gZnFzkboSiERbI1t84Prl5WbM18OdSMyD+hSP2golQO126kd/tDkzxRsMOcYw
igdlimXK3Cc21o2XFGR3DhrdWTlDvykm4RZtvM2j9hWD60vSH4d6CdTohxPItZRX1mG/Tha2KpPJ
O+eekQ4o4LdF3gbDeO25JORb2Vpb3n3Z/pYZBov+vWsfZFJSAbjN2nucURrD/JmGxHk00WtImktu
Vm5OMGZmCASZhKww/2ciZoRq9hXTrby4OdFCba57AzI99nLqqVeTPa7y2vQaTXd78aF2J6xubaRw
FUnbqkfhF3n4D1y9fpvjxxIR5RGxi0CfPAkBCZmo0PyGr1lpxvPQnw1tWVmTvSPdge3A8hLtWSP+
Ug3Pryf3Q4PXceSTElN41qTqVXFeJsOb03uvbkdCfTRxxenopYq0jsbWb+tPS+qPRUxZDHbo0dDe
Qj5qav3K8su2rjYsVIPau6zOE6FeTv7omo9OpTfS5Mme3kW66whSqCfySdqG32b+xZtM/Y7BCWJt
nneunbagr+Nz52JqwbTFddZizDdcQwjS2yKaEXXUpaDkINTJ3AXExm/6udxPiu5hRPfibDnJOOkL
tq5QqoLU6n1WfVapgnOrIhQBnqg11+HAaKbJx3ExX7kl3DyWPBTSB4DlrQAOzLLQHRrQFgTKpW2j
in6W6JQee6hfp9BOxjWp2WSbnhjmaVPwglecQAs612dYeTbpO5xQwP/RobXDrRwydkHnVVlxS4rO
hT13KUD2mhndIMAJ0e1+XOR+TLHJ6Nh+ko++zttWq51fmpmPfAsW9Edm3OVyKfypC7dqEnl953yk
S8cIrWycbNyOhQPa+UnN1DlewnMkECsY5vap5l40HAfc8LNesHvKflHJXiEwbqfJNpPDYAhnr4ns
W2pxNiYYzcN0bSEBzlV7S4MV5U/RHJEwYa51pXwF4NBcM0nfR5Jk3NliW2jIb15hUolWvZ2bPNzZ
b1PR5DsIrxqTY6ZO92Xs3MwqXSlrUKZi/B/yNeDrPyn9Kc3yQZLLa57/tmUUzJZ4m4TKfaSdIjN2
Gy3dy3F0FqLb9obzF03OG5EEq5Z4goa1Z0kvI5WbUfbSFRyXhvwjzOG3V0YPIaI/zGJdzvUO0zBt
Vo3LREMSxaOslHXuPNFRm6GtW2B/rGXdZgMi4siz9WI/jsOp6ptHO7fAToeMmpsuV4BEqA8wAwww
kjRulqjc2eBKcTXfYpA0TVfWIPrXISWoicG1k0dwX+1FJ4knm5qtY77XxWU0PxPH2XFgpytjVvw5
jAJTCF+fRiKwhq+Mys6Ig1euq9+m789ZrINM5rCxPOlgDym/h82Iko8lOQ36kbw0L5uOinBGwgRU
ZuTpr5K+4gUE106tj6XKDr36jwkoN2Ecip9ZWJB9kgfSfydzF8V9+pGHICbKRJRTZK2wL7MHTMdU
fWt55abstzeynp2eRZKc3cgwd8PySFDcPReeeSLjQslQivulXP1GfPRikKks1Td51HX0fmUBpMq6
LfpNZRpeVSpuWnyP+eukszKZ0AgwWCI0t11dbxXdDPC5HKcZr2CVe2ljXkiM9KSq3S1d51mTvtZw
zudT/xglyqDl8CSW2lfAUrmTDrXSeFYLvlbHFxVIwy6kX6DMh5HdU+cnae6plJ+s0ICvS/i1BbNu
5+nLea4NbVX21fMN9nT5X61xn2WqAr3bYmxnYMnVvQF8UHZRYM2tV1klQtl0Q8DMhhvEE4sIxmw8
JIm6y3oREC8wDfjE4zv8lVvClhBHx3yGUSxKzkme7JehPKvte0JQxDRMj4r4KDpgObGig5QMfpM5
t3ZUrwRUb1SgecHSHY5sRrO+6qTvUYUStZkeBm1HHTjUedzvbIeNmglNT7oXjbiAnqW/BXtRGJtK
OzC56SQ081qX/eUMeS2nF7kaCYAEjMu0ywbLq02CW6rIN6KQc2PSj0Nu7GQl851awzkSBQtr0mCs
WhvM1qBTtriCfL3QX7SPB+vVRPye8gdiPEkatAgdVC+4Hm2/8Ifyhxzaq8ZELjERySf1bPkpHWzZ
Mz5M0iHKB+UqG/lOHobfbOm+hnT8yhxyOuKc9L94qsEYCniiTMvM1TjM31g+rs40nAS/pVssNNqU
NpuImgEfLRIdM+TQxPBuRtCS+MWHkOWvopi7cznP4Tluqrutk9ylYJ6zSq76oiFsaxZup/afAzYj
7k2sK3oZzv6Uaa9zHP1I9fSQ4uzXrOoHMMTvtBBnhrdHCxrRhMgqqJyxyDVZpbXyRZYGa8FTk4s8
ffC1RoyBJJZuU/aZQVpAvJ9J9Qj5qut2MILYaGs29ypfQ4cdnGQ6mxD8XqNLP5qWXcw2T9YLzp+y
Dl8KthcPSYbpCh2Vmu1E07rM9LsqOHxnQgt5rBtl7cwWsOoAKKmVYY5GtqleRKQBfziD8/8B0XTq
X50NEfO+BkU/ipPV4a1vIwsmXzYld6wUxxVtfZNBrJ+o0AXVCAeiofGoGMZHlMxrOwsvQ5kH0VLt
+lbexCqnb6m+2oyUBIms1ck6mezQnqJMl8jMvHDUX1oN+L7kKtRF80f88C2K1EdkJ++1HMarjm5v
Co+lXdyWrx1D76rQ8r9Eku6aEG/4UJCSZPNdk5P7M0vHKweTq7z6sJIUQkMhXGFI7kh0EJFbayrC
iZakYt2wEazgSNgN4RQgVtiWyAkAxa0Xc8gOo9RdklkczJZsDNBPxLLVOi2Wt6QiZx8566saW94Y
sUWOUoDN7oVWY0wfdYAt4J8tmouk9L6WOhd5AjSaSqaDZhdm0wdpM4e66kBg1H0KJKnF1hapz8O2
4mPet1dDYSGtFRIgFtk6qNMC6agGEw6ZVgjX5ogDD7njPD4kev5S6VhHBlnZNK25EQReu2AU3GdI
JjxlKG52FF3HZKq8VrX3VZd/xQnAMTQsMo6XKl7+4EI+9WbeEMDo9Vr9NuJ3iWINLC0zbpW23OYJ
qsxc8nAlmdlBCjlxNLQbhN4zf4VvjlCumoK/ys7OZlE8xjw+ij76V4gWMdJE9R2zFi2xROrUARlZ
QagCBTTDVhBL0pG6pSXKqVajP3BXr+2nLfKkbWfNbMG04IoJV23XM1IUDDrxIAEFyqdMwdSUoFZK
gVSj+prZROzU3LFKsm5be5vC1hbEVEqZukGM6GEq1VYRkSglTALRRQcyfD6S3Lw3NgSEimMHuBAk
jUUO1+R5VjPWr2TdjWMQz9W+kkyo2nIbzsouBvqx63wz5YVrO2TaQQDB/MjZy7O8siSgMxq/Cd96
ZGLTU1g34cJKuAGJ7qRknjQS8zgSpmkukQeGcZTGfl0U+OJt9Wwa/WsZV9tpLK5pBprCpBnh4BoU
6ZI3vwneotGgsiKxSQasDD8Oy6s952dOp42aDGh+tPcWSkaqrMeQSZu2ulnLu1E9HHl4lWXqPevw
05YiysitF6FeUKCeIm0+GmO6F7B9IqVpnLUAMZ27zNa10TI/NottKdW7yqyj1TJBHNv1zprnTd5X
ruMcCI/Exbp4CznBvWW7tGzDoCVrVcI3lmi7lESvtNC9PjMPUfKlPqE6qSFtBpJbee2cr3LO12qP
/AMCIo413yK0MOOFLEPE4g68mcPvA2CivywRuxLsXuW8yVDELbgBQDTP9Iw/Rd/1YXgsbW2ll6rX
cZMOZr2W1W4lh79UcwVTrhOIJK2LgWmkKf3SMl3k9wBHIxodsPAM9O65H5Gp6TLz86X9aXX1L5dQ
dg2zvWuto2z9g00kUAsiesk2iLxA18i5meo/5sdtq9zVotw0/NDOfMnS2H9KoNtiwL72LysfdYcw
b9Y/tOkwD3y1DVwDUs2sokw1hXgkQHZuACORR3G9BDM+TZG/JiW5Y4MGTmB5KvRL35FWitAvrMgV
w3QEy0TeD1rbvB1eVMJpZEXaIt3YOXPsZ+PkKlLB5tYiJugJXkHUpR3s4sMGVe8qmOAFsYlyiPKr
suRrmdVOq+ivaYHYcwFWUjGn5T0QChc8k27ZqQGP9aoVHOJ4zGaq9/pvc7wrT7zXvD3hpsFuV4Y8
BJHhHJxC3miy5C5OvG+Z/Su7CCL6ycPhu1H2mTC8jphnY/m24HoiWflRCZhapQuwIQxbE8Iu94jR
TMyhSvSlZPGLYgi/TNID4bvHYiG/beK+b8Nt6RS+HbWQrX8RvJCor+bYfktRt6qEw0SQQufSUwk8
hXB0b+ORrImJUTNna9faGu29N1k3veV74O62EyuQO2yro6DLttjqKUI63mKLPDGz/jfEb8SFbRMw
FiVcfLVGYficXGh0Gjug8JExlXLaAu0jSoADWrBdFKveQugoA/0nxxj5cqjju+ggQ1OjjIu0d5Ro
kngbrRS6L/UMOQqmzno06fSPnouYObbfzdpDmc0/TsidDMvQpfJRFGnQw1qpxVURfyaalYh1Zkr3
Tek+9Q1OdyQkk9fqhruftGG+1qralHPok5bg58ZrCGEtXhopcgmVLwDETV6uvp5nN5GaaIXu/j5J
5SNs5S+lb4KkMimqrZDLjkMDgKm8lcvTt+jcVYsPa5DEZlLbPyGp33m/n9MJeioGUI1FyGEBspZm
rlUuuy4nEKt9zaWzZQNoheIgiPYksMRDY42ag0gguXtZunyzLE/WZ9qXNV8uhRs57HjvcBJpBT7d
5404AK21JLi1XmYygnXKeB9Ie50s8Zfqjl+Yzc6GD+FJJ/4RVaTzGCok9s0Hj/ojQ3FX89UmEN2i
SW5mpz3Caea1BOE2CJMtw3XE/ZIn+Xoc25Wj37v8pdRdITC889NBGfZ1tEn6Q4rBGufc4myICGOp
WzB8NTPZHYcYWyppesCXRB5zWYvKlc/mSPvQu9rczeW9GGUeNBgqHQ/3rwE9Yu9M42JVJMopG86v
JHd78FBagoV26afvRfKJLp7Uf8p8jM1ghFSBtoUAni8Kt7tVZBDsBzbBAVUNI10nCKCYgpZTUStH
1/gq5vccBKX7le0DSSxgAcolG4haXYfUPfFo5Nu0+9Z1F/kiQvPVzF5oznfC2YiYuC3GTVKGlZLv
iaHrCubNdQFjl5gEVEePiRAdBWlu5UaGP8g3W/uaUlQOGFpOkhg3nfWJ2kEeSSXsVoUzbCN1Qb6Z
v9vlvefClMrRT+yzwVJpVBt1WkfRXivWg7QDQF/lhMKmNQvhWh9ld7Tnc5+9Mn09mxA8HuDQgub+
lNqrmfxV07Ux1k21Tsy7kZ2eptpi1RAKiJG3+5G03OvezGJtyUdGw2L5tnPSx3F0U4Hdj+tcO4gS
8LJ+NZB/FVdUAqk0uIp4iBqpmF8aP0nCXnQwGlYKKsayLlsnb02IfJOYn6dkqNkb4b01yE0jHtvT
x0BtPthgZYISKM9eSV3gJIvfVo+8WlvViyWlPuKw0t7i2+1gg+1VgUhNkmA5W78M78v0Zyn+dKnZ
q6zmlBvepNxKBI6orCzrOLdwwO85Geqy8NUK7fI5Vx/0EErtfcj+LRYQgn1cxLFU9nXxT+50r5l9
mrhdNX4zRhJgWBRKbs23KVnniX0sxmhrSpexCCplXKHDugClcte44WuEP1/zcucyTCmo/YbLE6pd
S5is1qX5OeliTXH5qid2EqSCxHO3Bx+SIHXS3kCNR8AgsuvsqkzvCIT6bjvEN2chbh3U49h+lQJ/
ysEY1wMpLqESaDn6rrNZ3Vt1zXVZCb+vMv5V4pbJ7NukvD09sP17/VZmt9DgZP1m0dma0GcoTEIU
eNomlBoegMv42mUXnhQLU4GjnQGe05rcSc9IwyBn2TGY28jxI74grY5WC4iOpptI+eJN5bfL4mtW
/ZLrBlCgSxejPpU1Upa4CGJ1m4pt35EQcFHCZDfPfqOvIVNGLvF49ELrZ+mCxNpo2PTR0INDH7Iq
eV1GV81R+U1ir/GlOywAWTevINihRMlyQE5VZL5RxCuZzyrdK9wf3wOXTLTTSq7e02TfpZFIKQ+V
UXyWUIHlmfB4cWqCSmnGHfyp3ZA4Sj/OsZuvGggYzilka8uDvvnweawJAIfiOEJTy/QPCjKoB2/8
Fy0/JQ6B+A/6BMWzLyeoa0AgCWx4F8tl7jZkzq8mff98slAMoCDl3KsfpPFycDEXIjFXI4/cUU9G
NxIx78sTzMOr0e7H+VOT3gRqmkr/1ZYtco72GcjtlxiqZ9uzmcK66KgMWw2FBYrAmI+DBySzL0q0
V6obadFub56S+TstD616KKaQheEo65DJ3zOIu8ULHd9yEagwNCNFumfbeUR5IMWeCVQq/jLef21X
DjdnWEvyxlRejOFA7fzAoOXgVY/JjxK7Puu8GaFbxqjUU4F6nK1HIjbMSpUZlOMtGQ5C35XGv7z7
sOpgjM5Z+mFoASWtzuwb1m1GMaP6bfFv5snU1/xf1eKZWXgNs61jb5Hl5+TAZvoujQ/jyKuubyYk
C4vyLqpj70Dmhi6CndneVmiuMTzwP1dW50BCM9mQoK+mKxCdcnkQ08od8S3PHyQczsbRoDrKPM/z
j4i/eplWPcUlEKRy1rPqIj6LEV8TQCsfRpnQFPkTTNzMXY08b3YlRknOP0rK08bDpMPifyP6uBk2
pKPpKVsRUAaI1di6Fsffkl+AtQjqHnQsCNDK32nfA6e6ywf2jadwh4l5dAvNB7ayZL8yv80Ishx5
4CCdi+hR1O91DLYMYzMWyyklsbfrVwO4IQe0E33G6hcBbWV+erYqzu0+gyt17o72uuhBZPlg8ysp
3i4xHuDipV3eI4gp4twOahJ7UXoNWfsTDLvF+NWxmkVelm/n9GhGGzsnP78MxuF95rmewo/c/hXy
T6L9Kxo0HWxqXfTW1x8WpIxzJRA/L0F30f6Qs7RVu/UUETb2JqmkPKgyicobHjsE6t6k3TOknK3O
32LkA6le4x9I8u4lncTOHsuAK7kbD0X1xQjkGca/JaOIzlcRGBXfKbZi4JIVuG8bcTpXm6UpsDM5
XmicJ1MNYBOR2HMHx/1rnFmBMiHVnD+i8cMYR39aJq/PQy9FEN9p+FWzhbzfQ7+8lhxcM2gfA2Cu
0PZA6CRfuRAPJ7IYIFQ/ormhQs9psUS1JRpFw8/qUx3vF7QrebURL7mpnqEuKulcGoGkoMDS7ib5
U5Z+hLXQ3i35O+U5zE2AVO3Thi8Z/bnHA+73UFWI7i1kQCTCqemrWWy6DOPLxUnveki69g11Rp7u
NOVudp7d758d5dBCI8flszJ0LcuIl0jRBNnMDmlrBKVDBAvuJ6K1+WoAddwo36vdTUbuWBq3ntBZ
fV4vk0Ni86SveuOPDy9Ozzq6fN30ex5SoX3wc5PDIME7ku8cnsLiGjp3Wbv2xlZRTsK8tPVbITyq
JKLiXV+ObcH75ycEZhJ9ihUhW9AzsKDX1UGKYCs1V42g3LmcN+TL1Na9rD8Uhs7IkT27NFcSmCMM
slp7A1KUnjtYQYwWW7uxP9l1u037P2n8N0VXcrkRWHk5FosuGVwdpbzho/jJhM2X+qzfcPkxM8E1
iS87h8R404mdbYY4SBiVlo7QV/2vgxAe7SuPExqshm+x3UpM0pgXTtkMoKsivHaxNq7K8U4dCByQ
U56fQtcQaPtJOlzLfmIDNY6arW+Kfi1jsVEYwX5lBHz552BRBQw3t3wp4p8D+x0b2trs93b9ZgKh
yH4ZeY3tSyxgDIRYZ4Fg9BzR+kRQp7Qulde5+nAA6ZMW8XV6DlPNG6ChlZD/gOM85tYgCya59fG7
+pZ3gW7CVlBBYqhrMXpp9lp38PL971Lcxvlfn+9a5HHgPbFOlItz0urLYvzMKRkxR9v8evqeuouY
vyDVXaqn9JkgZx8TUPS8J6BRpfmRkKEQs3C6Ar+qDqxku08hBCo6dTtMexmVfqrtUSI401/ZQ4ZK
bLKND5UWSvIxSVIXtBohmceuQzQQTb6KvmnA/klXyhW092gyo/ZEEZozy57azsStPlCUJfFGQmY3
gVFXGTTtk+dpcTsoscuxNStBaN4j5aNgf0VHMaDBEdlf0X4tneQp1lfKGaVC9IIlDxKBRiNI01Gv
LwoxT7HJtMBjsYCbeL36M5ESZhRqkKafAlylUdcNp5OMdVHzRbpJm1d76Hli9krNrSmYYEjE4XwS
b7gIZt2XlzdggTUoPc8etGepXUlAFs3GbD7N5SQ5YL2rUvog1kMltrxk9kqzDTm7icyLQVVOWK/b
5l+WnpXkNOvBIsR2GD/wKCBWwkyU+k4PJsBChzeM3HXQTbchODxkiu/Lo6z+VGj1h/QwgIC2AUKN
1cxj0JnQX9mpCv9S5j7C0wNLD6z6oqGNaqd/HBsm/7HhC9KKFwJ4Kg/ca3nr081Q3ZPInwcktdrD
Lj9Ulloke3Hzail/an3pHAJ961XvmEHVuKytHVJy9S0E78CKAMuXM1xezdTNHf4JUrfkj6mpvfnF
KO1laJSXU6Vwhn7o0kFPKg/6MpEHXIHKquawzMnJzi0wGbAka1PaD5XyIfNo8tEn7V2bvov4xbK+
0BSsnPBqf2AkMqOgyU/t8hs1TAItxKublJ85otaatpeY65vfgqXfWQTzY+RJXOGEft66EXzjMBnB
+FLzBLRegwhkMNym2kX0C6SJtxie2f3pXZAPW0V97xYuEQcVYXcqLW86GSg+nwpOhXCtxTMirvqO
L8PYTxyNISsCkEVU7JOZc1H8KMt2IWJiPqTZqWXDyVdxZLsi+U1jHtm/qvyukbFYi7LN9F97+Yy/
DRQSqrTNtc/YKQKjSA96v8aR5rfPx/oNyactvUi1p7It2Qgqi/6WjuSpQ3k5KLzWin2c53MyeaYZ
GDNRoOE6yQIZuXMi1hwrivwHfZJLx1DaNZI7jTfWkBGmul1OQ9qyIxJ9RY2NEW+Gpl47aeKn4eya
eDvYDhTl14yOFv9ODxU6aCh3z6bZrJpiY1NbEL0N4UMDhC5pMTE57vlRnKN6FjjLZ16nkNY/erwf
FfLMQk9mKklyLxmhveLxGNcbmb9Qlu0zi97lo2a+DmLv1Bc52ocQGuHDeEE914t3UwJvu+cddSlz
UMYsXTC1/3RUUTbyOHPSgF1vzU8/8IR/xuNPRYk4eM+qC48RIleCkdUH+8jwTGDb2CG4qNvArYzg
eqgM5E/F/E2J1O+haVxjfFj1T2u8aul2aCPXHHY1r6W6LsObsZzifuOkILxHBVog1BlDnl+xxt17
s8Z/afKvQhg3knQ2BkZF8c+fGrq88hDJ1vQQ+ZbIaDnmWPcV2yWAVOCrfdrBVh1An7HlEl9MPCcJ
cMviZxymPB1ztWVfpfp1pqKnezFsTN/T58L9xKcnc1BnR9LJOhSyGYSseWPFG8O/DGBdHYHVdmHY
BzpOcZ4nJw6y+oo4FUTXLPZLcgqlt7j6kMYAJE3P6NvBKFV+jjkUxE2W0TquDbx4E+dK67V6EOoX
Wz+Nik/eZ5Jfu/kFWmxMBl6r3wyBHfnxgGZ4mzgg0zEJwm7DJG6op6w7zP2vUmebltu95aVZBmAp
WiIUip1ir0oA9JpHVfFHAWFqzRP0ZLEtPq34q1aynVl/2UCs2tN6AAXhVtalZHnBCLaqG1h1Lijk
GG0g2YdmAO/bFIQ0DkGNdJdHCeYXZXs6/JNCFDX9Ni1+/x/a7or9GudoY4GvvYJotI4zlzhmzps/
e34m2mUootnV04euYWY6DaCCBNbZdESyV8cQxso3Cccoi464m7Vi41BQJZ1HjmlpT1ABuNhB7Zgp
UPwaHPfY0vdTuEuMnS088aNaq6H+XdRylfeZZ6N6F4DnrJYUhlLzNcNKxD/L/GMhDBgYJovmoGqI
UqcNQg8cypCpvLI8leuuulhsmKnxE4FVy6niyo85u2TdTZSbTkESuQm1a+mghHCuUaWtpNTgGmHA
Qus6DqyCTeWNE2rTZ8YI4gbsZu2fZv4O0bux3Ixo5LcnZfG54oFqSM88iE52QyU6RoWbAL/jBHOW
8ag8YJcyXr5hF/FtoWJh86F510S1C6lQFoH+++QrNDvBdItpY0EPtEqK18z0VcfVsz1EgjCg+YkE
eje642Jd42WbRcfafuTDrmJ8lLw+/mjYlIuJ1FFtJV9wf/Fc2Be4yoGsvJzeuolSgtMo/VnaKXlI
Ia4arE4t0hjo0FRHgAZtXnfcNacU6fAkfBxoLFZ2x3W3KosWAmEDH1e9doDlfZq4eLUlzpJo8x9H
57XbOJKF4SciQBbzrURROVuy5RvCqZlz5tPPxwF2sYPZnum2RFad80f7CsGPoUiWFoxgVrWBTF0i
ysWzzy+oxbNI77k8O/twOKwa6UXuY9StA0IbM5ymIw/NRGjBNUNgwD1pBEfJR7z9RwKBP+x9TNdD
NnDPrBRjNcIqFve5Yi2S8OB/aeq9GNYjPAHGQJoiFliWUE+hFJT7vZ/zXqBMWozHyHqjS4UZwhmZ
68oHCh7VYHT7zLFFFSOizn8y/Q4JG8imTtaqjbJbZUM4taysJz92m+7aNVAy0rGNOQKdKrvB00mD
vpFs1hB4acUNgy35FItgPATmZ6R+Bdp7Pf0M0s3uv0WxAcfF87+A2bRbslI1TMDMsl31qYh70FD5
FSyhAQD8EN+6dbknGhQnxtJuzxosmR7usnLhYfbRY4I4Gu42cbfhwMNiC4DRtcPS1PkbP4xXJGAk
DbrltYTlKdzJk3ondpsgTMZEisgx2SyEsk8D10t+c+FSGsKoraAf35l3E/FPP9uxf+TuWDanHAbQ
K/9UgVkQgJQlXIZBxiObrX3tSSwlY2uq/fJxrWkYQQP+U0iraBqWVl+gHr9yiWDxnZR93z4ish5R
wlD06JQghK/6K64uYXoa4nM2fWsIHFSYrgLLyi4AXDH3enmd86lHbuMITgi1S7ev0akAfajYDC+F
drMsRrNqI/RdQTXcSFYnbG638YtLF3x3sc/dRvEC4YcRUmTLRybQ/+rxBudGZ9EuJpMSkF5oQlj0
EI2B1btZ+NaoTOvpP23Yl/IhSPi07Fc5EqZmoanfpfFZLj7qvFil/QkVvWxxY1BXP9syN7UlDmZ/
iaP1gHAkUTDje8+MP4KdnKTwOG8+2tbqKAR0kuQ2Khho9LP2Gyk5Cs6r3GFhl/EP7VPDXHgFb9yB
6o6FvE2nksHKwtd07ZUL+1wRX0KcXMDoS4MNSpxUz7XiFWV1jk3fkmS/iWGDVSszfnKmcO7kaSVx
JBaYO1p4ARzMpUokxjPnlEGamZb/RI8f+1OwgY8c8i2NmTL/2+AAitJloREZN2zIJq1SfjY2BN8J
C3TB8TtDkwxv6/1/y694/1oVpk/huuAWq2f0v4Amq/VrqjuNbO2D4Ss1fKCAFkU41w1Kvxp196Mb
3ka1d+1EoMBaxvoq0tBJeL9y963rb6mJpZ1jCPl1CleqVe8m/295gSLpkFRAj05OW3F0lbvJCJ2k
KNZpDFCB3qL2cqcIjniaNnFQ/hhh+uVVBz25J8PRAGauOP+YFl/oV3Ttjw5YOD3X0vYJ81C9Ae3u
ZEpBrpn/jwRMxgYc0T7w2dGbLpPgqyQYA9zD2yvdP+3XHM8KtZRiVad4GPhU/uw/fYyWRhKvI1TH
45XhTwVs0d4INqwpmKQqr4PGPxvVRlF7XNOrJhNbwX/bgVoZTH3IuPMq3thFjJOoekOXFIfOGKoO
N+JQ6Iuo5vqrQhy1nOXjMsq+mmg/DyJByrzeK4tM7ProM8qIyECXzDmm7UbtqYB5z2q3HX+8mrFN
17YySrhthoTXygEED8NH02x1dWnrB/ghr/u2kktGhipRDWlEu+JZKZ6Qd4hlNVqx5DuHB7G/cs1X
sLfTS9XdRL7FrA99VCQECXQXAG7V2vMReyHBGbcK4WuA+XVqdqZ8keRTx62P+AfuxgKtE/FPr2Co
QC2Getwvjr1froyoWwbt2ahPMSC7Up/D9jiGHKUADWn0I89n0gHsqGnmO3bRhGQVbw2LaQbBR4ZN
enpk+kvoBaBbjKaT8p34XYlieMQfiEo0Yy+fkic0cVgqIA73PiZYOmMsV+6fTXvEc7+oM0iYjyJH
RMipp+l8tVdJvZDigoAPmkK7GN2VSFqfKUGIu/ZR6o+p/xLeQpSrjh0mvwVUrrOjkZPK+an5RNGs
gvw7VLxNpsuwy+/l8AyyW+/dDMFcwgK5bcr7SNQ06ch2u2h7LMmUaGNuWEwdyzAktYSCGBVUf/EA
tLPV1EJkoi1Ith7oq3WNlb00HntCYe1HrWlu0Z6bqgb8Zej/jSxgF8VNsr9EVo+NDu4F/I8i/hCp
g2Nb/UqZiiX9NJTcsTpTPmeOhOwyHpaauRRkHitEEWzghbE9JXwOnB30J/W3SHFG+RJq50I5tGT/
Zosoq7C3r1IVSSOFXc0yUl8oownNIdPC6f5Sy00BfRlpWtThGpAO/Z1LpXgXmA9Lb1sHh4zZOiC6
oKrDhea9GfrKmpY1Osg6/LA5dcbxqme/eNRJM5mQu8GOoqoXxRnav8wDxOXPNHeFtZ4LzTifa66N
2b1zypRvMhrwXvrtoSqP3e+kjGQtTTutiF2A91R78nc2NUkI9cBPg24iQy2B5xsPvAWSHb7Qp/D8
69w33iOw9zJfELdFYCya6F8xH1G85VX0l+affKjwwpn/2QDDxe3amrUEpInn6UH8jTmMLDcR+lEV
bacM2fwgYgyPPWwXFAPOJZCHnckbpoGmXXObw4fjCj+U9MWTSeKUOcKvukpJ2ddNArCsxL4s1zIv
XY1vNRcbfHwxBshIRzI3Q6GHyftjEPEAPPR0qeabMkbX6KDGHiVuP4Bnn5CEtis3as/69DCLH7U2
nJBTGnxjAIrov3jbSLVQtX9wDmW6tzKkDog0eFP3AFd2RBfyC90I+9oQuRm4X74bzZ0NHYI3LRao
tQFXk0euuqZ8M/lBImrg7HPbAk4TdJRwE3YruAfxDOpmb9ufSvKgyQ6ALXJrK1qOpyA4F+zbUkoE
OvNGYLWrSj6HFZHExV+LYEBxVHMb5ajjUTKgLEw6rszpGRnPaLhM3odduVm68+tnEzE+5tegAYSN
d3NQUFR8ytATWQks0DSHBsthpB8qc1cUIbTSvYoLDO4sLPLdhDuOnmrwhpfakiHZT7UUO6Z8Lib0
UzekAXaF6/Xi6W477xniov4/8R7k8G3gaLIM9o9hpdGqBSdokUqdsxUhvWXlfQ/NpwCNGxVQIn7m
fmVG77J/srHdlOVfNe09PgFwAm9PvgD/lGFx8OhkZDF/AsLly9HzNmF0C/DJpd2HCT/jIXcxnhZa
RWTE2Cm5YAkXl+NPyb+K8qSVT2u4xqNbWNv+FKVHFhgiQvrQnbif8n8ZWqo83uJnBOXsU0dM13Ru
2WpXMg4eASW5g95K6o14oDtTjc1krJv8pg2rVGHZXw0qVEEN8IzUMu++UhQpfnaXSmhmoGjjDE0F
VNlBceyy4W9EVTNcSVQQw1Zr3/r2U2SoYL5IBfOSjQpy7ZePXif4iCI8LoqVrtVbQ7sMxptMEIRs
f+UxxoRbnDJMDCt9BL7G87LUPmy2Orv6R570orAeSXGKNWQzW3X4Tb3NbE7RR8NRws04/Nl471IE
ofwO+G30E83ZLByIjOKdwCsd+98oL1LGCAOB0ZrxV6JBbOpvKhWTbKIR7h+13mbBN0rY0LzF83qz
JrDA004DgzUfcBT9q7pv9FXki884p58eBwJGQI0C0y0G9m88pvhFu+ScWW9yf/X4bFOE/Bpy/BVa
VtgdGB6C2HoXD4wXrmz92EDNRWDK1RIN3FJ8NqymAdaHLmuWEnEgAU2+KP2VeqHlH5a8FOlqJAyt
X6O4b6Ob6e+x/oXFt2T+6JDYCAah+jWO6zpcB+GS6mkt2gjtPk4Mjg36gTctxPLrti+6RpfiMqAj
blCWyPPN1q5wQPT+tfTZeraj+qvGeKxQswKAox9hQWyTex0cu5YjhCBC7w6GoZklpcu3FHVOgf3L
TcMNbsehvnSN59jZaTRUrPv/0EKt675AxUWxGQ3YFddlB9Q/xTdrlqnXn9rsl/pUyxm2pRogBr72
NO7w36p9Fpa0oEoQ6aWHbgiynwFcZYCJmaJS/jSNLN+bv3A4ZJWboq7pXn786hk5yvAimbCoA6H2
o+Dnw2RB6IDyqm7ChxR+1vckQpN8MA1eUnZOLj+tdSX50A6fkkTJIWK0eCVzqDRrlmZSRirvT4Ai
mctGPdG2qjabyiCTwh2/w2kjAkb86ZNMFfr0QF++NeMREFY5ep9ShF3EPEvSwRqeFXPsuA67laS7
RFKHuEW0+5TvwUhHbVPzg6g/Yf/TEVkimF2Tft9rrzTaKuOHR/5IrR19xYmQSM9rzbLtsQWhHLOe
OUJK6qIxYqf/6leZDTRlj5zhjmjvVMqiiQHejjdJuJqMo2acRnUXmx9pArGwQdONXEF9gNF62bnJ
HNwbDLGOBJiMrnzivbQwTEvPDJbU5LafrNXE82pkHUUrFs6brWRiLgAVeI+rN80EhPuaEiIgvH9q
epD1vYYwAUt0h4oweOALU4enUPdZwizKIxCu5mW6qjZacNR5MWLDteav81fND/WMx9V7nJRJcFOx
ggkGl4EJJ4ZYHP3bUN6LmGJA9ctKz0pOZeIMs67jdofEBANw6meL1t8N6qfSm4iNHeNbRthMzkoz
niMMjHnyEWTfkX3V85324TdLu3qfGzCIj9Rw0wIHKCl6Z0SGgs+TwbIaKGKQFr5xk5ttX5fotBIu
aDZjT+z7Lth1HXAxZ22bLxUEibO6fvYsNn7rtPJmVF0pvnj5M0dvOWpXHV9AhOpfZKs020s4tEhu
0JbiW4iNwhpHv0OM/DeTzuyNKUptCc9a/UOvOZw3ads04Ibg3f7Zbm91v6/qU2PsI/uDDCbzswmu
ySSvK5NKGHRcxCz1jdP2qWuNHQmHhHcdlO63lG55tArFgY8VBXY7rnF9LKovaeY/OrSzAH9Amy0P
goVtTQ8dq/xJvZXRM+H4f9KwotQX8DjxXJ0QB1Vh52LDCZSforTnvkL8JQOneiyWZQCu8Ei4IpCf
u5gIlKOWkQf2GFU0NMXTlN47YhYS/2bVF6xiAJF691YNRP08Y9ME4GSBaDcDygalJ6kBJ5xvOz7/
ZmSC8xlIRiC+FPXLrO8ZRRpScuziI/FgPe7xxNup5T9cnYb8bY0O+fcuLi/RuopkO5j2+CZ/h/Yc
5reue3YFwlT7bWAsk8RnKIq1kVxHzHYNqtyAP4oq8iXFctBl/bKY5YrwmHaEo8eR/TXtlitZPBpv
M+dDEW05fYxgmTW6xZbpNT9kg0uXAmLqsyBXxtxo1Y5Qfk7wvRnvA+0Eb4SP75s+T141aGLdcibl
wgZoaMe8Pfa0Q6e7uHAkY+Xj/5X3+A21/LMGyIytR6DfrfYfwQ6FeRnyO/JEDoMyPXAlVxGv8Wqs
GJ8vbck/A9NKwk9HGYuCKLjcZMGh5D2v09QJxE1DWz5F/XwRFcFmbO5Zc0ev7ojsUJbbhmoQikyB
Jj6t5OEHbDWLRNngZEAbkpq3brgC4lP5G5u3VBy5ovqXIVDtvRNDtSzvUMxQGlCYIXdYvsRZZk3l
cracNxtET5oCKnnr8rvymca3pu2WzTsFW73Mp7qfypdicbe2wxqL/UqxkbI7Eyr7MLyjIMr5eYFy
4MfR91p3nd0s4FWrEWrHOFoF6vKE5KPMVvfY73iwX8ZBttdZeW6RzYf+3Wu3nuJk5j5pmguxZU4I
YhT65oVKnd3Y4K1Z1AJieI1du9QApCZ31uWPz8r0kVrf8DPLCWOPG1fEMC+KdhU+Oqu7dzmvIHgA
zb96dBLRluw5r/sj+6GuOqcN0Q36MHxHabrqLQFj6U1ur8MA/brXk2/6PqFe/nL9Ehfc0UBJlWsh
oGmIHlulFYRod4mDlzd+NEjYOZA+wuCv0hCZEqdYukXtTPbglIW9lhj9qHrR7tZ8VWLzjVfkD6L+
hdhhFMRTnyOxwRAL4512bz6xks8gRBOraYSUXVEfsRxLSGbRhw10w6K2qfT3keyODmWvbf8N2W6C
xbC8317+EGJc0YHuGO2LRXksNDyGyEtIiArQYmiAUEnIuRrtJH3VPYx0OeLlDna4hABti8Thci9I
sUPxq4DmW99Vvuqnb+B6vftVUFQMKwA/9qdY2WXGoWQ8HPRHH+9HaTPwBYmRdDAFBiTXSel8Tnp8
jTNgcKp2TJ5qVqkt7r33XgZ4ahhoTZKg7pp6LKCrqqs0HYk0WrJUYyzhFMwC1yC+hUwliY5YedXx
GcxiaW0VyXN+3ZFHLoM3BPbJzb+UMQsUgXSj2uAK6b9r8zwkJ02vOGcpzfM3KcOYIb5GkxwU4PcG
xVx6FMXCZPIaUcMiTSjXPOBadNLlrc/ur8cGSzkJCjQ+y/fa+FQeYfSDrluSV5G+lP0PtXqV0Z8W
EhB6qmE8gAZF8yzKnV1RBvQmuJEx+Dd7bbjwJZOqoNmnOe2kh6+3l9RKEd+BxBN0uPot1I3Kh4Jg
RHeFvSE51ZMQC2464rDIPZT3nn5E8UwIqdOghuK0B1+YJRfo/jlfCt4DimWdoXtiUaGW7B4bk2t0
tlMNzUMY35jZ3EnHkWSdRurttZuGDlrLm8Uotc44IGXj12ZCg/3ntwMvD1MPUXX+QZLlMpPaS2nR
Ri5D63jEWw2w4fJaE/e0+oikaqs3T/zZVfjyMp07C7Wpee3MVxvi4gSTUrv7CB5LUClaWmU9IRdQ
olNb//OjaVUjqhMMBqgEB3/cqJGGFju4lPIO2IxeXIDDgG29XkoEVRQIEzXGs1j/jNNtm1+q6uhj
PQhDbrsoeyTY/20MeKXiSt4lQf+opiuilQHAiKWYY2GFAa40y5uBWrTnIIJlMmvECJULPDC+Riw0
slXablsGbgnvJsfXDB1pRxoStjB38v6NA4nEXzaJcFCFMLb1oeliJ6nvack6xqlo6e7guxGYbR8W
ix66EccDmUmxo6NfseChp8iAx4IYwvzXU/MuYe4J/Y3JgdhNx2nwVpaBagUEI2o4w9hx8DYttR4d
BTCLOhhfdhmvR+03NCju4vIKiI/SRrcaoUpoVtZJLVcc3JUZLJ82hqgWcfljnQJCHchRMPDB0uiy
EVENaIZ0Nj9iI1tFyLuy4T3PtM0U3YYQXpWLI0b/g8EAcTXWMaEvhYI1P54lse0bTXlnZGY7TbUR
YCboW+tvxSPzoKrjBXRFFG3ToN+OtlvPxvyHP/611hWDFQ7Lq1dxDsLckk+mZVdbekneV2odyFpc
DuOj866J8tLKV0VwHtvBdMqyUxB9CnEtyIb3eeEqbj1qlm1EwjHjCCkF5AL3BM1OYIalSLly3/FN
LyPlTU7uWvM5RR+Kfayh0UbrKaPWgfKMoLr10lvS04UlBJxacD4G3Fu+h1nIAHKZJuuUDuU6APUK
6+PswS9kVFzVXxxZ93FWyQbRnpThH7tgZiSjMGOrJjFhUSlnuULBfO2TdtH38w1GtAcRnXFzDqxi
71UoAD8ixPJU2pwnKVgGAf8GZoMujTYJmGGHT6zBsEJcMiljwjWwXxS6SrjI/IX2Txlfv91xz4h8
NZAdD68wt3FjhqBUTmNvKbWNhwC2Q39imD9dBUVWNz4ntnrI+xLitvzXEDRn8lQQVcZFrcEIhkRY
lauyrTay4FJFqDh0DDWhhzRzo1fHPtJKVBx3pfqJiDFO6typqvey8ddhcbOknd5s+mHnZcU5JD27
4VuRIadKleW1G1ce4cFh9ZnPf/T5w6jb1Wgb3AUZXLhho1id1yqCW4hBtsWuEDpfREMobNP9S9Xo
VOvKn4SaKSClGYHKsgW7lKw31TiXiUkcDRcMmSG62iA8HfBSt06CGgHU1LCx0blce0GD+w7iIyI4
SoS/OCMWxTwzBejTt5q+FzAHSFI97eqZH1ZHETnHbb/W6mRffghmmwkiOcf42pj60o8/ze5/s9Ym
5uYMGcI42ZEQdrXqFMTsmDGx2ExuvRSQ/F0vJ8IBCP/ngbinMRfEJgVNMyz4wmkCUWT4g9Y81Mq8
G1414xL2FJKCgMGwx/3aRkPTpctU+8nz30mOcf9PZBC6FcxyXXyjZjxJ0UeA+lx6WYx0zGeV5bZo
fNF/hj7CIkjRrVLxmO2LhkggdSc3jqSLo+x/yfDVBSoVeQlIdylU/UzjwDODqmMR0bJd63NeIseb
lAza4qAHZNIDespoAi1sO2b+Yxaj2w7/iJmJMUdUCNSAY+D1zT8jUE+Stu7kHc3A+zgzMVz1TO4q
X/acDkZwADOZVZFYOdwU40fNSQ8ArAq3+F/q5puaMJI7B6j6HcEtKtDh0N8jMcewLhoV8E13En/j
Q9wFeH8cXoLmOgU/5nhhQBbSe2RhJAICsVDFJN2jKEl7kB95HBE2xqxFVi5lkj4IgJce0v7NFjHG
PEZzhCjCyXmaar4EJfwoLa6TcRYsI5S1SAt1o+Qb8bPf3rriqpWE9/EzJ0sLOQAWuUVjYodHq63B
mINHOqqyolO0tz+QE0SZ6qgwomvfe1gSoYHCkTm/Jasj3L9fRIBb5KgEkBUcWXOeNUlUwTZWtoFu
EHv8HDzEZ6R0wlpBx/xqPOslfoTcrF0di+SnZfI7jZGTgvwN8d022D57Pq076teKvyq9jSZf5HGf
VrvhX0pknzVKyxK5yLzLwrIp9aX4ylB/6Jp9yDM06JdpQtIBr+YhqTmxNEXdRsEw1AH8DSGoQUOD
4K+ml4QRYxzYm0LjbeBP+5MX8NJzblnCxNq7FaCWlg7ExDlESGKGMnVz4WOeSuRpZVrdOlaYp9bB
lJIziJqyXo0F9An2gDlJpNM3yN9SpIG+nG9N8QiR7tNu7sz/lhQwJW/wMUX3hpRAf102x7HdSRZ4
0jZ9ZNJ763/PHgP+UyLoUleVt0vJzKqJhpnepNBFyunD/ag8Ald8OlZxM0O0k0NKsGcIUA9mQayW
StCVwMoxIkfKJfmKufPooVah/IAbhjWIjTfzy9MUz4Queab1KLuoodwA232C92C0ra+RJaDp2m1j
JzjVwZoUwNgg2fJOSSNiRExdFz9v14guEx4N/z6Ve1DcUVvHFin9uERnYDxszpiWAtXNxIoGzxKT
R7xNhpWRXJLkYPoHFgifiDNodIzivrVBOQHP1LcvP7HQZIJhDg51EmZDsOZbW6zJfNHjNYlN2EZG
CJhiMwpXULApnhJO97soz7lYFnh7MuoovSgmt+fOFdpOqCK++X26OnrJsK++7A4QLXDA+F5QZtgF
M7j6neMiLZqz0W6r7N6gCRj+ambtquQyqt9HWlLZFovISXRwuOKnA2EfqonbolkGTX5MIPJrDmzZ
/D9edFRfk3yua3gKsRbUsLJNg9BpnBVTsNa00CmraY1eHXeDOkgoZJ6CFSiO3seoc/Pq6iewSP62
KGWGS7x54T2VvfWgMzmcfYFtv+cqGUB18Lo2NxnaWSteEh+g4AOj7LOGGU+Bix9F928i4rYmIxzH
u6OTdDisGv1eIvJvrKclV4zfl9g/NOHRZA4Uks2AfQjUs91cdBN6Rd7b2XMwE2dkkzaKF6Va60ne
th7mVpyQZU68YuK7c/DKkBxT9Vqp/wJoCUl5FgHi7H5nY3nU0y+tTcHgMgTcRyVYe8hDVDYxfkUt
Fn5BBcMND1jSMC6dLPmaxG6OfTt8z+NNC8HSJAh5N2NU7EDpFO+So4dIsFNJ5q/NITGyTFb1vWpd
lWhhHCCEmaO4IVmMCEcKgty29qnAje85zbfKZQiPwfRCNBDaM6Le6NVCI7DcN13K6D/a8errp5Ip
nBx5d8o25LFgZlJ1HHpIVWeFnodvPX3z9PcJjKPlxQNTx0vtC2I5VpLRuKg3O5IIQlBwL2M4xruF
ykwRSD7Ishb/KLdxo97CvblWim0YwM77/k4OL0H/E6P6FwVlTn20tnQYBOm94SBXsLQa/uzlRAow
Z1DDfLTRWU4YfF2cZtsuPE3ezaruZoxEhYZgHhElPwOYkZyMwpN1toHi/va1GUciNx2Jx18onGTa
et670R+7DOkQgiB9rq1CqR5pN+nDtg3H9l+RAezBu6JROw1yb7MRY9tclhB+GSxFsEnNnUnybq6I
vS9BYOssFrzb0dVS3mIiG0jScRtpckfkoElNcFelgCETMokAzwSYVdRqXUYVFNuvxSKES39hIlrg
u44bPKh84PS6NJgZuJPQ3K4I2zHQqBovjQifcNh6xq703odhr5XSH/z5PaszqGgDnz2XSG4tZTl3
fI6C2oo3huVxvpAAliODl/ihBX5teRvEv0r4aqHQBnPctv0uq3qW0M41U3ndCXgJZvkQ30UPMFgU
uZunpHK3af0ZSSHmJ9tJwkthWyQO6ibSdBAqxeg2lrC389NbfNZgA4OSoVUuQMemh2yxeMs0SBOJ
OMENi/irRVhTYOFJUcFoGfMGUozEQ/FW2H9Wd4yGFpYQE5sSQOHYK8SdXyEwnKcEh0ZFV+YD8Hmk
/1bdcWpGlCWE8oOItxgrfN1YaoTTeDY3lTrU+974f1vdtgW7mO8Zjsk+2LaNK2UV4np8NPVQr0v0
J4bAp87N28HzMnbFWv2RkZuEP2DYWi0RD4pGLAGOjoE/xmQsEq1aF9PTAOdlXPbfJmQxttoTgUvW
NSMi8sYIHF8VuOB40hK13iGAcczaoFSaTCTS7crGRC89YyOPcCKqOzBXvu4tBf5v0TmVfNeHYGVH
Fqv8c+DxF6CDXfsVyxxtxh8JDIR1hMcsbvHvw9akWf8PExxwWu3dAy91isGgrynBfmKOrm+onzqO
VirjC+su5WCydDBjNU05PGIU955PPiZOn2YAfyTiWEXwH1q82uaWdYzpHNoV44rHx4wZbmk2HEV1
9SGhSauwhrfezmy/ubd8xC85BoYkixzblJ8h/BfBaLgqzNXkIfKS7l4NF6MV12xSl6lSvuOsTcfm
pzRI9x9y0gxy7EnpskcUGYeeIzVfo0zQhqYefN7OzJrVw/424aDJ9ZTNENMDj2xZUjLTgM/DVURc
5x0PTV7hEfe3DRh633yl7SXWsnM7ScuIy8/E9G0js9Kr8ZQZzzlkQbYPCTqCfvIw7bZLK0Ho1sTk
PdkUTGhIPXw7OBmwG2b5wy+8trm6lafPLsfQCT5VpW5DsZidjw+MBtA62ZxmvKItBR0vkCVO5Liy
91a6l4kwM0p73SbhuezA2lIqyKtRLDpCa82vAHrUx4uZAmBF6lIltpaiHmqjcjfGlG53GyM7dCgq
hnSrRq1j8SrL08ZHtz3mRwnpiA14J4hyzvqfgs19RGOjdDi9CQjnMudn11atOJO/504VBl+aGEwS
n6uE+Ov83pD17s0f78BvEaNM16lO88YW+fipQJCeSeOCbqddJKeOxpCZiXSXTKAraEXRT+Xtg49h
W4MaznHqNuoCVfHXUnqIYXslmSzzopywxMypnC012cqhrIIzdVvMgwiASeo0KEhXetBfnf7Vrrok
bNFitvOK5Jaaw6bAIKIhaswhbkVzM7gebYVlt2O7LwPKSHtp6bf/0jEZF1XbnemnWU3kyNmyzQq3
JrfIsevUYbNYSypTEpuoB1/EbNW10GMBk6T+8LAWejWnaGh1jlKqB/b/tzgArbdIdji2pFMzRDk2
4oespUeHNVXCUpCqGbkspNeS60YjGm41y5FUctsxXBG81JJxrarSVmLzbTlAnmq/boX93bOkejzL
kab8m+DGuDtgW7WlJXQHzhzzzVLGwp2rrAdq/BHpxTNgyVQgdptUgFl0boMVB+Xlouv+TDL8ppLB
OShJiwDX942zQov2gOw7QahDirM7O7PB8VzV7+E+mR+UdZPu2txY6dGbCawv1UyE468eks6r/owl
uo8v3SKOpiX1Wo2ONqpmyUwegzG8RumIsG8QaB+tZGXkpEh260wunrSKIGvve5yMmv+Tj/GeWrhZ
H+tkRfFmmG9NrpOMUxOOnfskYZDx01zt6mFaR1PNkW992lW6KAY8hz5Z3Y11LZr+qiP29riya+5h
Fa1d+6zRWFGIEpN3nT5609yHvr1J1RpZAKdaOp4Dyf4dy5D0PKTJQ32QK/oA63trY9akZAkhrFcu
ZHqNpFDMVqp73lHrZOq7sDE3feTBpKNsKImPo+kB8y7K/AanXsjao/2S17rMI1bXWdTA9UgWtTYX
NqYfQv2IQadE/N2aQO2R/tdljFiDQrANZKePqS+sN/EYLIImWJLVxP5wVnju25bwBdwduf81Ieb1
/HaEoanwlxONFBQ3kWG5kXQHxQh+/iz7ASsfShut729lWz90kCHhorRF6R0NMhGqAL7WXuWAaxQ1
MdujqMaBZrQSRSPn1qz4rjcSal+Vl0cFpsj77JbQnCM8xjVlOXb9s+CoLDvO4DM0pgz9Fqh3YuVL
+1DoTC7Vw8YdFLG9BHu1RRhDIUCugT+/Iuzhqu9RQcIeDPsdtj502NE2Z1Z71hf1qJ7/xvK70ohV
9S9pjBi4xwrMeT1XY+QjUdUt8SCUASkgdYPpknXPuh+x+RKiUYbWqhfqXSIfY0JARU6308HWpvjV
DO5lLyXW0ws3E2x2MJO/PBg131lFrJ8cyg8PU0ArZJLVe4S92ibKiMcuzcMURjsyC50eSZc06vDa
Vn5Oa8o/qInC0L43NBx7vk3MGVeJ7XeuMktsEeXAs6t/tdoucIyWdrWacuvVUa0GnGWumfyWPZHi
SAY6Y1rnBlnTaFRt/TpQNVgB/E4mqiAeRoFRdghuNew6/yDP5bc9KNuwIQuc5xpEFsP8ziKBqGoI
OZc/NPbCWjg9am+9/Ai6jOyce0UXSY3VsMCIVDYd2Zfmosi+Jx1XK/AuBWS43f7j6LyWW0WiKPpF
VHWTebWyZMm25HT9QjmSYwMNfP0s5m2qZsbXF4nuE/Ze29jEtdq6eBe8AsK+f0xxIErWQ2PRbFs8
0aJoD5OT0rImG4PFdm2e8ukpjLqTsiWrFXG2sGfYVb4qnHOYF/ukZJ8vxw9r6I6FbwHB6NchNlZC
wSbnWguTVSC6VAY0BCD+GWwVM2Fw80BEL4aNr0+K96xxEHkhRzJxxGjGjklm73VUHtoB/bw17Qok
k+TGbDLqPRdJo+knu1pB1mqbj2nw3nJ3QqT1XTGBlMBrvZC0ve5fUVnn1GH9zGGVB901Hey1xda7
J+kwYMYN0O0uYUDRCFgIurosqvgMyF7FwAFk3RXiB0E4z75Dk9yxTezkmst0pX3rZPr9FqxAWz2O
Zr/kjvykptyP1LOtuI5p/yipecrZo6jrdm3gHhoo3nbevHSxpq94w7sHfjXfeFQtVdNspD0cJoqT
oAshp70uUjODqpB01TuT6m7AtpbV0UG708kW/o5sxF2zdD0w6yjnSYkhQ8Dn7WBHnkSnFMx6mYl3
ui1UKWKbIiwUOnlOoteokA9OgAyYmV43kbL0lKMFaKgPi+kaCqJy8FDhcz0EBrgzzq6JAy3F9VeG
5quJzZb9RNI3h5R9mWnjFQ3nbZlV2/B/ZqizoejlRR92do3CIqweg7l6SBls2e3G5xWrjc++eLTd
FHA0WyrfvOgEMAjOwElcGsU4sC3+xmze1jRLnQxPQZzs/Lx80G15bIAzkBzKcYrEDsxR2b6jOKUb
6K48/BSNlI1obujnq13dDzYliJ+wu6aoMqCQ+YpasQwuXRSeQy97WPJI85G+zYBHidmVbU+atbuR
6Ok0nHe5mW5tRKtBJram9I5RAkaNNlgwEJDcJJjgPWGeAc5W6tmmkAhe0gT7aOgiISLLoabpafk1
f1jm+Gay0vjwFbItVoirsakeNE7NCCBPGZLYwNYwtFkNUBR7bDcOLsuDuh7RCuLfp10XniCypNqV
6uijZ80xWdUwsxzc7kA+IB3vQrg0rgePpXyLaVCTNuOqZ1TE/VTW2cknmcprozOFJIq68JJgdrGH
chMn7KuMaC8nb6+6elNTlwPbR66rrl1ovLS4bzu2AiMG6JlRyVRwFof9hkW/HpiFiBjOnNyE8FNE
qXmH2cpuLP4NsWArz8r3sc1chSTsmrwj14XUxC/l2ljJXt2ODAeknzyDTPKO4Lur0ZH7mFHt77D5
GLp/YfommTiUkVgHoBhK4FJBtacy2iXh/Ba45FvFmruzWEdYvR3rqwUUFrPN1+K5KNeZQOcHn3Cw
iYSdKQ5D93F2DEYERNM4wH9QcCxaEW9iyFWC47KAEQd62zN4DYfoX6fQ/BboGouWVwGpM2yIEPhH
i7ACucHenhGy55Ri+HXsND85bvBj2V9ZRVUdGTciN89ajjttjZjT5Wai9B9j49kICKbounMX/vXT
T5GsOy7HNFrqI3nyAoJL4w/lvKRzsInEr3Z/icG9CvqLZV6vmj/L1asImcSYC+ax1rHx6XPydgOC
b23hNBHMCQr+qqb1ZC5RhQWbY9rJjCMCG6/BDheqG5C9Hl2cgkDMvg/rj90A1kSa1M57mqFnNw4w
hGHdZUqsgpxOPlxnCmiFr+d3D7nTgGm0l8l5wglTx+MuNhhsNvZRWt2hzuOTw151bF9sdelHNj+C
MWBIdGNLapGD3cGFNITH6oIDby+FgXQjeIIVCGcbcyWlOIqGfWEP9xG7Yz/Ds5BgnDV9zERLKGR4
8NB6SIFktC/5n3K1afP2c57Gg8dkxR+anTujSfN6rgue9kS2AiAEgOj309C8en5+TP35KTKZoXnJ
wcYGXkFhHgTzyjk5DeimxTSvTRckg5vtYDHvxvEt8qdnij4mpGKTBRBrLaQQdgUHInFK9As5DnT/
GMCaEZjfIyyYfUh+RtWCWRwZBEWoUlnOIkg2Mwn4Xl0n99LTM+cDr09Y/inI6XdVaj1FLPl6wksU
k858bnZlLR4zJA59YK7G7DuJXtiS7zwDuwRkR9W0qH+X3QOsmcGFJmedWv5rQ2EdBSfGmvPUsXKx
OSM0Il89QlmJJZLy7KLq5JmX/jLN8ZvvZNwTpluuRvkqmcqbzSvDpr1XAV9FEFWzoyoQaxnNT0Xo
j0//Brz3d6p3MLi3MSK/uPtHJ0j1Gt1R6GMsQmb6oGNKbctFEVOCMsJTi8soh3ifeqdKfjfRoeVu
5Dt3cib/WRbRvgUQXYw8gSXOkC4hnOfTEIw/XcbAHntbRj5LTC6ljDglQfhO1C2+89HVya5iMzxV
OFtHFkvybonEUR63EXq+OG1+ynHcRC5NV67y7YTvQDCkHmLqEY4fH5icdP804yNjis4hXIQW0gGR
sjchF4onLTXQOMe+IcvFU5qtTFDzXU93ipbAQR+cih8HwVckBFbLBmsH/FXbehxFu1umsKXp9juL
Eg03Fti6CPbF89iRtnpJEnhA4XSUDfWu4LKvYbew2byPeVObxnklHeQFEedT2OHNcYvl0E6g6ZH+
XfWPXgoLj8VfZ609ClWD4B5WZHdSMLcyGRmUDDfD2NoJQ55HzuNkAhOpvT+inDmU+WEOFgibtTOw
jH8RM4ERYR9x9DY68WEytmNRXZuA+VI8HVLWrwEm3iItj5HNZq5r2TUXq454MFKEUWg1h0KSzofH
dNL01rH3bZb6teW4KQyTgosM39zyXvMGgSP1dZVFC+uFBVhzsqJrCeekjIbHfLY3vorfI6COfpWf
yI6/DmwMxJQfjJZv25IB0aCXsbIXfsxNeZ/NPJ7jljBWFq5A9jeV5lXtxKqCx2eO00az/TcXg5Dn
v9kxjetYH0tAEU2OPMUKfrvcSdCs9sB2vCsxhAmeNhkWry3HDXEECMqT+d7OwPrxDKtIEP5Vbmod
nHu8YmIenmMK73nCN5WB/6mB5FVbXpmDN0b4Frp5lxU1BTvTb+mKrbBeO5sKTkb4D3K+EK5CL2e2
4i1tnzCaBZl7qHWFXp2SMJf5A0kOj7b+qvNXPcynxuZ8bJz7wBLcPV9LoIsDlK+213LE8gfaWXTB
aR6ng1c3wOQCudEdY6UYy340BOQFoFMUHVSi4tJBWQjyANsDZXPT3MwSQUuZ7AQxeypDGuEzP+36
k+W5XCERaSY9hRpNg4Ni1U3T53Zy965A8OsCICKmOy5eRYgUZUkSIQ6h94JbBS6p0RMegmXR12JB
ZCKFgiuynG1mnvXsvkZtt1eWdRkSf2exc3TKeCVFfWy8cWu33anoKmRASMwYWf41YXHSDd/D5RLU
Cu9wvrUJtrImFiKeu9V1+6qzz6j4mjvgJk21BfLNMcSWqRy21hwdC6EPSTY/hnW9CdA9swVi8p2t
7BnbF85ma763mIGFvbfhYkbfVMA2IupSfnTBNkBB4EMnbYR3MRV7kkzse+QqRX5OQi6TaCDD94cv
BYYeEvSgGI8zLRR0xjz3uIOdS5SCqYTmPkTOQQewFFnCVBBDGumhzWFsOGUmZ6y++uz8NfkscZLs
TPKWMEvY3tI1LC5X90gCFhBwViIsAGMSbUWlcZcFZ5A03VA9hYgHuWtvk+rXusRO4ETsRih9W4BB
s/FV0JWayDDtqLnPY3+Xpu53pNFsCLWX9syBuPHT29KDpEK902+xRshZtvUoST5qlHEjYu9Z6GOd
tEiMf6MORb6HV3ORInRoX2Q9PBQCe4oUD5bn75y2xsk1HkcH7H4WkwbB9tvw5LkNwkNoeRtnUFdD
uhjnIHcwUfWmCEPaxTUuYvZ3vQRr96+UwyavOUxRKuZMDAeJpbbaRwolLCW307Rfhf5okUiXwafD
aLuv5udgZr3tVTsC5Aoed/6RcSPHyYQpZ4xPsWZAm3Zfrhvfatbv69ztsfiELOBtqRcbUoYBWjiv
3vDg1+U5CrLVWNy8xVKPKdFP7kWTHwscwgMbICAITNh417TmfHRvC+mkhPOXpfuqec/n9OR1TzYE
mSSbzpg9dg2ehsAdH/J0xtKJEwDRuGVrTN9qlY6UfwtYQPv/aiQDVq+fp6k4edq8mURtiah+tWNm
ZKO76dAD3U0CniBQV1ejhqSwDJ1icfzP1ziegWkUV+k1aBnrX6MJWfZp5kTpt1QV5Z/mS9f3Dtic
dHxHZUciUsRcSCU+ww67DYmiCndpQpgSiZYe8IqqznYCLcrcXJqpfLIkOVeoT8q0eAxMOATeOYsS
8FWqIAIvMyhG7Ps6+YlKj24WUV/MlqZx8i0TvOOIQ3KoALk08i0umGJOalEbA8GAeGtnBUEYSPnH
n95mmg6tbiPC/igml+lPvcumCEM8IPDOPDcKv1BQrUMdmehoqNLm4ByXw9VGApxytBmiu0S++1Rn
ycUT09bMnL0ue+7PHoeFR4TNg1O9zOGjMVHOjN5D50us/7gIivoprazTFKuDj3trRmOsTOPR8D2s
kgyGibu0hv4hgzjdxnD5gzk4TBGyRguw9TJzJn8hM7Bg0k0ZbX+OICsnCy0QSB7EaC7q4pSNYtUO
70He7SKHKxJ6nPbaVUcyYsIxxJ/HkgkRd5yfFiN6UwvIvuaO+nxBfEuOrmiX9cXBMZyLwWWto4hv
vbszwEglBUBJcoKckc5w0atzyacWel7BYBKtxDhT4MXOShWLlhztnJUyXuwws3OAy+jQiJ+J4AiT
vVqeikMABSUDWAx/hgRv69Cb074x+JGFickC/ZkD/yL0APZOMegvDRa3ip/mqf1DhLdXifMSN4li
ukAvhikXfapG4Qi1tzerV3+J9k4Ra/bIqNKlD8a91AX6gcoPrQXmMifg7OKxfub0aWpxuxjsNXJp
f5hGdz+E4bNRqV+OkoepdS5TWv3ZHqqgEm2moFd0ZwhSGXvTyvU3gx+YDHpMhpU9fWPBDQFKFbSt
N3Nv+4nFC91/VYsAWxXYH83QPfVZDWDXx7kYN/ELg+R1VEV4s4AF33Gn3fU1xqHkY5Dv7XRr6nk3
hBl7OsJSdXVY4pvoKe8sK9563vTbRS2nHqVq0zbEekJFlyXVMffJAAkdEjkaGEUPOJNmkKXFQdb5
c+u9mRbfmJbiwbI9gMrwkUKoTB4SkVGRUqvpXA2fbXjS+tfMAJRnpseBs2qC7eDp6GTn1qUgdAdM
k42and88AcQ3RM2/qTZf7YBIbNp9o/AOeWeDIIFdGUpnV/jGngHmihp770ClSn2xMyiEGe9ttamf
09Jc1ns4GDB0ceIauTom6cQCw2XYVK67iH1m3t0UC75tzJtfar2dOEojpAeTsi8KIH7nVZ99p4/S
pdUunPWc1+cCbp7F8rc0/sLqOSMOj/EsPm1MOmZJ1O+MwIfoI5ovBoa4+W3UnkYHthE3Z5ni6KzT
554sH6eqCGwtj1ms937zpanzezWvhuHmUtvQreAsR/jWZdca/xaeVEA0r341vlczWiBN7Llzo+v9
V+HpS6S5s7AmG3nNtEfBPcbdE8GV5L42FqACHdaQ3EcdUrJ0EX6sNaDO0CYTzO3uVVRfs1Tf3FJe
jRLq8GwBJQH3KNznMdefTtTv62nvY49sWmNd99SADgkcRvivVu5qZjfrM3AQGrMnY6p0ksgSJj7p
TjJtyH8SwycaafEJiOSHMPLrMOE/76X/ouvhQ8Etu4vVAkiXJ1ictEoRXKO5tK4IZ69eiiTeGHH0
OZQoEr1abbngq3zcW+KjwSGd8wAL/LCVHGG+zXhwmvpRudlRknBkeuE3BPh7FvFwf6NrgDmkt/k0
S/3UWN5jYxG5Qq6RiagahcgTF8PIJIuJloHyNSkeCqe6SuZ66aQMJuXhzm6rk1OS+FnTHlZIo5GZ
OEbw0Vpoq4V4Njp59i0cbDrqCDlKdhaamNmyL3bp76I43akAKRFyHUdTaaXmMxB/SEawyZjYXEbB
ZLN0ORz6mN2HSKghYN6Yqr2ljb2Vwn+pGhqbLhu3bR9RI9qoyshbKZyPAEUA3q7fhPKECJInt49d
TLQT7meY60UqHWoFJCyRQeB7CKA6WrKH+kQs6dvQRqiNaP+q7kWq6NEOhpumCWWgCXrRBAw3VsjY
Iafx7HcKSFPH4I5e+KFACCKymCmmug/4qGujmO/GgFA8P6roDvOd7LqNS02rUuOJqQUxgQNsYayA
k36rFD0zxvCBBj8xByBLlH2Zw6HYpTE9i36j1/ylQ8UnhMKsqRmONRDzUcgzeWRG79mvDeuKHN9l
Pqofc2D3aZKj0syrMUdJHo33JrtOA34xD4dmuThM8bh1y2AjbAePobeJA59wamAVUGYl7Qoi6fUM
AcDozbWL98eD8mojVXEZd/WJd9NDPqwLf4kGQ6tSB++VBS6QssNViv1T+8kN666K2D/0sqG/wCme
jEGKf31BUtMWLyBtFYnbkKPZrd0LTjwCcEP8ZBVgjD/Vw8gq38uupmSz7lt7OqnaPdVqvtRF/lQM
2S4s4I6ZrX1IrOcYFpDVIYR1GVwgQbfZxq6m1kSg4JnunsnIo4qtVbXMGYP6zML7N6/B4Hpgt6qE
dLhi7s8oOdHYF+mliUGolwQA5IbPngrha8XZuZmVffM4Z+OwQlZZ4xnFkozhrkghVFWooVOvPRlt
9zRU6kLY3bamlAAaZb3XOXKJOu3Z0BvZqmp9/LgufA1zUw0NfapV3lzNtFXXD0zFLvhdMArI19bs
BZosjnWvp3eqUpdesvjsLLcm48JnXyuao2MMb9VUfgWpXs+le+qs5MqIm5kSeBZSJoH7Rlvc799D
wNq+awhkVLyGmLX5Bw8iguNV72Y9H6M++y2jgkAz45ShTXdql69C8mQPSP/5lywvmEh1KtxKj1FR
EZ0cSqLUR5bYGCwgYobvCl8iByQxIyZUt5m8YJWxcBJY0qKYktanFKtwZcsm/OqL8h59/74lxyCy
kMOa8a/I9GNtAv6tjHknMxTMwWQ/x775OTjgM1PkXBNlWjx4qBSppEGNTy3zGLKkvNkN7saeSWcJ
K6Z0+nTti/mgLU0MNaYyR7FoCOAT4+cJsao1XXkxw/rsjsVf5g3kfYOPraJ6k5kd4X5Osy01EWNG
eiyIJua6qY7UqbgakH5I/1DS07jtvxxtoJqjh1bAt/YgYTHfkjnJ9Xmwsr30ucnEjrBfCnxozzaJ
3Y1qn1kdbkwY3gQs4UqKxWPBLnG2+7UhkQdJ92IK6stqwlJiNgceHiIyY6MXZ1TWqy3jpZOezUuY
IJehYG3L4WwK61YlHPhFeY6zYFuU4i8z0PU0qIF8l6B1U0W4wuttAM0QyQ1eUclujRpF++iIPDSq
TLNMRGz5k4OwjHzAGBEIizameQgQ8d7P8/PoQQ5UkYERX/jbmep6RCgl0+TkeayjMjZ/QjYIisdb
0naXNLhJMz9EYjglif1NZtimctNTLbiQG3E2O1bfFmFWHvo44JRRHa5Gv/4XB/FzE02o0pz7LGBP
P7FQJ/oWzQmAAsThdvleePPz8qgqDfxNVFteA+yxWHtYW2WMLqNoxGgb/bUhoIXaqB56Y3iIMVka
AVdEap0dKM7pMO/SOKCDMTG9xH9DBW7btC0Lg99IzYYWJ64uo+E8K/ZYRs+yxMRZOPqQR9BQ3FV5
zqzbp08aTPQIFFqg18zTJMXO6lEMTYTA2dwkcec89VPGNQUsZRRXgnrvysFZszffuzlJbdTJdyVx
naXsAaZTxaAgH3r5FgYI9NknE1Md4LXDrQRpuHDbi3AYbFSY3UKH/nakTsd0TZxi56zjGjPKlBT3
SmCE7hzUed2AEbJcBLAqPs6+91KkhNph0Vw8TohUDgqHTyvkeyPH595dlCtVuBPBvBn08OG5Bn92
vPO8+JLD20W3KNctri54PVejZ/muXPtWhs2+m+Fvyejo9upp5rlXDqqUAhh0bMdINL59B/RVMt0c
y6fuMksWe/lLXzNydQNKNv2QB4oTsHzq6dVcwHBWWN76KH0Wbnyc+vmlmA0WUfhv6uxWgE2obOAX
rK7ZwjBSBlsnAN4TOYedEwAD1hEdHQgnpMGFJYM+a7g62P3purZ+tFDdq72fOhtL52eH4GgzAJon
+uDDpwcxOOTj3gkgwKHSHPW38t84M95l2N+kz4CYgBBH3uzZXSUVXbg2rj1QpInS1HHbJx8Hk1ua
7+4UPMaM3AqCwRu6FBQAB7N9AjOLfaLdWPZLBj6FqwdOFesitIHmZFzmETHFwDemLryXhOWRizXF
tZtfJFpvsZfi23xxtPmES+fX4iSukhvb6kuTOgdnhOuf/HNy3k/kIJXDzdtADrb1vSzQvySlOklr
PBNkiLv0xZY5G84EfVnm9vept8S8oBKPEvIESC8LBMN2GxFoNX01IRsgvK0WtBYDUyAb4Mdx4kvl
uauxejUchesup5cGF9eYh8EMD5HxU8EH7LpqP7lA0c1eUaxCgZgVn24Hq23wX5rqfcx4RNH0mgyo
o5mSSkAsVU6KMubS0WawVcXkjBDcNHGL9zOOuqCATgQvJCsBYYCKXnYN878kRe4Rur+O5KwsAVhl
oAIJFQSM7tu4wcRnSzes8bhneiJ6ur+vMlDjXXDG8HgJtfthcS3U2nz3m/KuheOg/fRlkjaJ7d+6
rV68CMC17mBlIgdmVyTLYWcsPid1PzlsxEysZFaAAiLLK2am+bGSBiOqYKGLbWqCsfycQBCXcJgx
PacCZITRir3h9qAWWWUkhIWOISSomUoVLvVD2qJGc/zkSUfq4kRISGXvkJDcE8/JDp4dDKqWnZmo
U4K71rO/52XZ4roP+Daoz76a0f3J/O5hrpYxNQqDPHYCOiK8Tg3zFK2/J8TNs0fMeWLYT7Xfsk2f
1iFkCIs1CYxpxe7VwhvUNcmPqkukknzkQT9dSN3YjsjVmPYfJqTXXUJyAl8R0flvoOLfjZZcLHxh
FfLOwgmW5EXjrlTcF8Xk3s8DWtuuZK/IuCBjYLyOUwhwdl8TAaCJ+KtHENNZkXAWluBu4LYbxlce
TcgOg3DvTf1eJN0pEBzKpkF6dDGPD8aYgzpSVGnFt+G74r6s2Za5GiNwVaIVzSJ+8BAo8gZrbBtC
ze+dsK5trg51j3vWpLht1R+GjWtcs2Jl3k7IU4COJ28HIhiqACnLsMMOil8qN3/tCbPa5BkfLWp4
yj+3uFu+GD49DmoHJAsjIJFyYLApLWYHHJHXuVREBnr3CErwHsTJQ7vgxGTD9kvoiz3UV6tnzM5I
AKxDd9Ij1BBdmEduGnqUCQG1dtkxaDO7ABzzgEeAbZ+L+cuo6gez9K91ylC+afidUf49pUV9b0bl
3q4Jt/bUk+3ER4MsdafLXhU4Bo2NqCBmDVlA8M9hEtZSrittAPtK6JF9Gypw7rrYzHDdk+u3xDRI
eG9Wx3NPG8gAk6gPc44A3fAqJPnWORHFLYiazwCFvPYEhggLPx0ILhd4F1FarkV2cJ7QYMj8BwTx
es7+fMVHavhH4GTXUZefTA4eCYHYpzkX85B+w0Oytr1nIzUD6sf+iLE2d0nAkiLJnUPKxX2ng08b
QLMDpaDFoOU59Y9ry/c+m49MIZ+csd5FXfxc+/M2MEcSVQ1mXdHgY02LjlkuqIYMXOrgqQgSWYVp
9+w06mY5xUNTAaCkUkWRQmgxqrF0JoodQ8CI1iPg6sxM+yMdonWTO7e0RfU8USVMIKHSTKOqQ5U6
SnLzfHIPJfZQ32yezSR4yU3I1H4dPNvCeiHe4Vcz5hiVDzUVUoQXHwB43LvTAMPM74+tIw4jL36U
F/dR3Z5ZS218gcfVMy469Fe+xHkuun2YwLxLObspqrGj0kK79ntuAzrpJiyuk16HCY3c4GDiRm8n
3QQaXopl2oJ+GNbksRvhPqvikymyh8mUb1lJNJySW6IPoFEtKEQQrpbHBNhFYlAP7SXoMamCDkxk
utbeg4SFODL7ccwlhEG0T31Q7bjut/HoHlrrqB1HAhnJ7bMrobWV8SPR0dNqIKeqK/utOebkaTHR
RJUqJ/RnDupbPbbkSUzpdrIcwmfUZsybeytj5c1fk4TW+LHP4ViGlthg/MyI74JvaY5L11CyRqiN
fum+cgBY/cOsQcAs6oCy7d/cxvmcdPdmoe6ZZHrfKpDFgRsjPBJUTWQjO3R/a3OC3JcZ83Fo5dVJ
50MpSd2ZJEoblbVEZDrfQ+9furZ/HiX4VVWKf6ay3v2CHrBZAOEaValb4fcKVMZxWqP2HpNqr8p5
21Ysa82k2IcYCccisre6ded1EccvnW/iduOIN2E0hONLOuUvliJLhD09h5BvLKQZTilV9Qcntj50
Sj8G7vchoSLfSh1sZw4i17CpAKA5MZOoNhXegjsls68qcr//n/Cb83tikRkbzcZfFLjPtQjUpjKw
lRKBefDz8URE3zlL5k9fhAhcZv/FL/Cpd218JFt1N072K7ceBqgRwlkVe2+9P33Uc/TEfG+XkxjZ
6H4f06chquxvUI5CEKbhui/LEQ49vCOBYbmy6qvtFi9GMUiUiMMHk9xivyTND60WKK70IWo5TLW/
9NUpso5uZJ4FtZitC2PcIiswKIoavdxCrivnVW2Gm87Wz1WRYhxP4UQMHTsnu8RMGBfWlXp4yZir
b4XrsLNFyqSsU6L9t2HC3hhmmV5i1TjbOnlrVccHGMMRq6Py7Gb+xc61s6KYIKZj1CwqJjwyYDWF
YDvrDXQQ6WKAbSx5jYOyvdc+gHH+5G9tsddtfPfVHdhNSk3t2tHl3xlB9VrAnwg0NAE18hCEYbRb
STJrkOWEIevuxyiwYmvcL8B5gNj4ffOFQuQ5EZO9NpoRgqN5NQb9UaY1+i9Jr21H8T7SGYOk8tTG
SC4SFO4z+YTFQx8237ZN+ZKZuL6DSp+VdP7xRf2iwlUsfRqwSPxqtBN8rKM/4T5wAAzWCZM/KAjP
id17FwcZPN6p3ODqz0GheWmIoiwB6GTmHvTmXgxCPxQypm4fw5i9ISP0pACVUpa7kklvkmR/A5g5
gyyvgve09MgMApIpapZLHrRnnyzuc1S9kvq4cfzgqIavlslFyNAWK20SUvulHwDs2TSlLCg/wMs8
ReRyByW968zRa9C5971igVPyNYmibVljX86rs+inT4/0s8yrgcv37OgeAikuo9Jb0VcPRopzBe1R
xAfGz7kFqnsUjXMHJb9W00oN8mmahpPraQjTn1Cz1mKRbbDAnk3v046Ke6KDdzWG+IFcAY3odu2Q
NHFUsSx2DTo6Eke7r1Y1vxTEuPss8lgGvGSbPoFTqWJVHsfGZTUKjMkP+uY04uR8HCTiEluBJmOe
hPgBsHhbu9PR6/L02rhNjXm4Qo+Vk10aPWYzaFxQ/l3NpJZAApfg2H4Bd4wcMB2OFZdmMxbBVZQh
/t/K/Ctm9l0ZXI8WKgqAK/xG09VCboZKi7Uqj/R+pJPxL/Uit//g9BHFrgA20767et03l26+yG6R
ntBAOPuU4PMMhdIKpN6Q7rzc2EAxXaXDDZx/zBbdZJPSvMzewVHvln9oKiIXimrjt+U6rD4rUPWp
sTWBZ4+kQHnRHtDkWmbFJlSwAYI1omGNDZh0n9579FlwoVBQHzgy2ZOw8bmr9SuGVIaPSbeFjVb3
Z3BWVgXefT+ziltiMxbuP98hxK57E38Aa9O4vFkTy1MUqktCwqUYdjTs+H0zFCFl9BZBwg5dtNjX
UW38HgYa3J4ZyAIsnyrHL4uEM7lQMOb0+pZznurPBF9VHAa0mn8G4EnCBBgF/Ub4iIahWKVo61wr
eWCsyStLx89p6rHjC/j6WlG6SltW5AbXRMe7a3SXHMmfi9sw4c9MsAiAQ0HJxsAX5ObnwF6LZMLu
3mohFVeHJuB5QJ7+iK1jZ7yxpScOzAhP1hOm0TWba2bv5K6ytl+Z3q6AdmrHEIExBEaHCpw5/Jvk
bXLd/dgiQrszP/h4ZEP4sb+pEFvSvqGDP41MxW0uUdZ7dFlV8rAs/pvmtSY1IGYrzYaxIq63oj4k
KAPIO3u2Q15uEhtlEvUKTTfOFi6dYRk6r0oUvqJ4hecseReIK/Pbf3F85GvcdzumJqSeOcNxHLbo
fe5atmfxnUGtVNa/y7NVp7q8d+QC0qrqf2V6sLpHBSGkx7qRMN1aNSOrkXrllechf4zluEJ/JX9b
hrlgD0zrgYAL0X+NM3qPi9JPmbW1zZ0TCdLJdjQZd/LHo4F3GQhLb1+12wENT7pseJAnZxevvOJx
C4AJ0s7GMF9Lwi4UP/otQ8vQJcdlR49xFels6bw23XVqfusMI8n4W5N44NNYBMx6iBVr+Qiz+tCl
F7qyFktCGCA6AKMP9rIs72xmL/Q7SE6KUzrpq4TBWCXG0aUpwB3DNYgx4eTzG823Jj+VATJSWgbA
QQ1/D9gEHl5h9w0j/WxfWx++wavCAmls6uBg9Ie2++7zh1ldZ+uE9QNpKG9FRPV2BfRElELBvM1o
1nLiDA7hjs7wEvNnk/AJMB8sD5kcYfrxAFt8YmxQ8SsV8TIDn/fa3iTReqwQe+/nbjdGVDIDyuw7
XYs7DCp0qGjdd4soi41H7nI38O0rE2bKSBfNtamY41/hP1iQy4fPML253qmQ5n+kncdy5Ei2pl+l
rNaDvlAOuI/d7kUIRlCLJJliA2MqaK3xTvMU82LzobpvFwmGRUxl1y4rxaE7XBw/5xdwFe19Nstl
2BkMmHYr6VrWN130WUuS3TQL8hvtCpMOcDJm/Qeldbbk5eWdatcFGlCluq7m5UctxdkY+U9Lvw/z
B334DD8yha0KCgEhth2HOgYfcfASl/vSeqImKDhIBpu1hDxAfMevNo4L9yUH5MgDDlpHfK2HqMNW
V6mH9/pGp6VU8Ep2OnmmapAoWwN0qfYiOu9Dau5awT8AvW+0Ebcm64BxR9NpFY43Iw0pnmHbOgBA
1yGVXnyAa7spddgXNg2kEJ8pF//GnRg+o0JyhljAWsJ88wUJjMNb8q4S93m49dUuQoBhMu+t4byj
4jHNLm31kwdCtpkq7s+9o80Nj89cvEH8EsizckBbsHiu7ecccJf2mMazkgT8hnUqi1XpOzyDv6KE
FnZnEaKfTnPpcMfMamZYyoJ1sPaoe+BdY2pbE20wE4EI3o5jiMQK2vxy3+Q3ofkxpJZgoisTJze0
xECXXGgTOqb6bcuFPLS4XNmbrvmGVKjdXA7BNc3rOAehtG17wO8hjZl1wwpN7wMw11yPpvpeDVfB
+L22XpBLLcHl5lRZ4uEqyR/63gRVu49mFuxwUY4I7QU3Q1vd+8VV0U9r3Nx2cYSQPjqM3nUTfvSD
7wo+wxB99tlWHFsdQhN6cdWaO4QGuuAJLI99G4k7HG4UI0cASOVnBtxCn/mprI+W8VMnk5k2yvrE
E9ZGMdu81IdbVCXBG6TD2ZjAj7nrQQP2HEdsMWwtx/ij6VMqxPVtuHMzclpmJD4veVbhKJLUqNd8
rOYLg6ovddFVzPrOvTNyvHOBzVCwL4DnjDdl/2RQihdfNchZQYtn6QfU71dWNQsXJIg1FOrer++y
8UyQsXuI1qEdbH2qsW6iOV6ZoDwBkIsLGC5pdVWB/tMQ/0OItG32CbTkdFIc6xeBcdmIb5X2xdXO
O6wwIrzthE3XZWt8qWHF6CAb63Mj/G4gIdOm91r9PGkWzCdEawSXB0wX+q4Zu8LGNDNozmu8YTVN
fYxHjDYQyoymvesgGU2BltQ58DeG/RzlaBBcVLLe9tZzopkAy84z51NT3xX4lOifMuA1Hs/zCuM1
8GgdNjrjrAVxNQCAhCmfmbi3PIgw3lgoWzrehcbmRSeIh9rG4oJJ2hvPBA9FoYujJT0zVbWrs0cH
2GoXPsywCpan6VuQEvazjlSLhiMlQKjpRQ+cGZ4DIsfpRcmb3Aw+Y62WJxcuYpxR9BCpp8IAwaU/
md1csqJyGyjsVu515B1ooaNdsKeHxMH7RegJQloWCP7rKnwc0k+uem4rWkJ7i4ac5CATPfdu/0VQ
RU+R3YfWwWunIKm8dpIC8FG7wRDurJHVGiAiJwOKluNVO3Z0YopdE9MJPdOVf15b49lI1ZZXKU/9
TznrsBr2yLXvpjrd9dmNbUMctm5kJva1hgC4tW9sQDsIzUd72/00a+1HKNeBHavcT0YcboEurmuQ
sDBxJ4wUZU6/sv1myBsB/QVoOgUnEPPQe7n/YEdVCB4ggdbKD5r/0piwtSBhqhD1jQH2b4U4Iazr
GQjl9M8uGk594O7NvHzIjeCLh1uOLE0Wz0wyA9cEhsAALi4lBkj0gb08hxtvrupWXdPhxNpiuNBK
7UPTUSRXMDmSmasROuE5mhe7ANc5IwRVjEAKaryfQevy9EvRBtUzpG1zT3B2i42gr6FjAR9w9SR9
sq2cmZCG7dXg6MV1XuUmypQeWBYVP4INQYQXIahUN9ehq/bNDC3KguADeGV6puA8rBD2q3J3IxoN
cM7rS10gSDfMmgcazeJ16Vk74bm7RHqYmXnRj8ClAJizgGST+OetKB/HEpiboiJ814raOzcDNIFH
X2FmXwzpRgvb4mPUlJC1RpTZAbaO5FqqDb8OCqoJICrEWUZ11Sv3fLCKWftwglwt2AGWzY4u8I6o
xRSgBN+Kcz/T7lzXj/de2pYXrQtgbawzQKRCv85L56M0jAG5IpZcnxaU2HzH4BRHuxy1gfpG8uOu
4t75iE0yDUa3t8+cQXjPQBxoKlgN8qkD/VjUD6nfuBdTiqI/GEnyuWm4URpknbSw3Hk27/rcbi91
zS/Xro31lNtDoXdM44YiL++p6TqB56CsimyjHy9DEr0kNSHKyFtLUUgMSK3WZgWXmqbivoBG3ET6
i2XBoGy5PwAN8EIt1nplOpu0pEmT0/lIbbasGbY9RXyURdBwGxyMU5AYiPPxIpNIdI7im9TAqCOU
yTXbwBOvS2s3mMLaV361H8LZlii6EMJFhEgN0CpsxlOm3c1gxR9DiifwfOX5xGNnBJw/GiX9O1hh
46x4yFVb0x3PJaKTVTv7GMQ0qAoUGnXHwcMCTwLIURLCyohgvBdEP0Hi4giMg2srHkxcOLUIFeaw
Qb4sw2FtBEwuWoon+efQlg8duL8A+sGm7rpdU7g/sin+5pf0RvjZ6OYMKJ/U2ssQQO2zaRBkjf7S
NDM1XPtuRv6PwNKecoEUiiK1t7TrBM+vFpxAbVaI3eXXkR2eNwFfXEtvUhkgqxHgRMkZN1nnDYl9
YstngDvAHlV2TW/LpLsOm6dJz2EbnnUuz3Lp7yOkgcMILjWubLZTQ+isLyy33lm6/pz24CSB/gA8
CzdRhahjA3licuCVONkNj2PU4JzoPq1wL4+bx7DmvVQr9FVQG9RqHjDml8TTGmRRDJjojedauAU7
kRwVNll0iaqfXkuN/GES1O5p8UQ+R5nRDwYWYRLd8aFbFQrxNKBwgzugGxhX8vuYGtV4Hgs9tj85
oveaK2mErv7BL1Jz2papjnZy6VBTQNYVqAviScCQZfWlGwKeiPQGAuvBn5SDGrYqvJgEyp8QbioS
eqNe3HYmW0ub4rOWYhvvlICnBd3OPLSRyvDYQatBVBmyiKPq8DeVOYruWlwqZCBclvsZPskV2KWs
x07JrAEJ8FaZZp2DKhrKy1a2vNWaKqS0pwuRVNduHqXAQ7QBQ7/ENG0YeTEShDOTjmdeOxSx86Qy
7k8MA41B1iWrFLDBC7V4iWOey69YR3ZPpXyVIbPCNinGUcjzJtUHi5p8ZMb4CfB/Lnj6lsl5SwuH
Fa41QCSyNq+xcqbFrlHJmDUcaFAFDfBU6YMZa8ZJ/wGTISp6wOgQhfdJoUoqtvWUJ7PpBdSiGLVU
wwx+5sIt0PMLutG/kSOnHP5bcNp73ogevKh7FH9x39TCUSDZF44O1l5plNCrA/PstSRMwMwbUFp0
7/vLwHOAcVAGdIPyltd+h4qqmesjSzf29OpSOkmkwI43cWKhhhyFUoeIoGuiuClbcqtP0qHoufPr
Zkzv0F3lTVWLZLJustSYQrTrJoOaWV2DXPooE1NqaAr3YWyaq7yjnXvZx2mXJZt6bPLxmfplisVU
3+NghuIyuzEUlqldpRIM7Q/K0zx5QMNYxbp2fGc/9YGyLzL+UbS9G8728Fudj5bbofgYO7yRXfBK
qAAlqGFPawuGfvAJwHabXSWtbnGdockL9yHVJO9CqeidvwQZTZF72OBG8yXrDPUweFDfijOnBi6n
2+BL2A4+MLVi9G2TJ2Sgc7zaOo3bh6zy3Oa77TZ59rmtcl/eGlo+1md+3rf0ey2zw+Oqd20BkrIq
zPtCR4kTgQ8r6tUuLJse/2utzpC+LGlF4PcwprYJm6YU7UXnQAzreZyZRYvEoSd81+RtidqlKpkr
BNsn+MwidIvwU+vksx6q1SpP/MxqQw9uM99sFRJSWhJ1V3kI7oeacjnjkQs3H7DzKJ0g4hano5V5
X/16aID3jHzA/MEUbsf5iVxbQZMrBouBpWvv8YwkP281LmXTcwuqIkEUWh+rsgCrOdS+/VSLNGu5
K9KEmiFvhNaLo7E4G3pvbF0AkrLjKb35/bf/+sd/fxv+t/8jv8uT0c+z37I2vQP21tR//935/bfi
n//3/Du/kjCtdcNxpALYLSTHAL//7eUhzHz+sPG/Wi+0zLZlQ3jpzkCprMyfao6lMNGujgcSBwJZ
liFN0xFKKct9GyjpwynxA2RE876QZ2TJ/XosWhSIaufyP4sk30YKBORpi3MBiak/nk65BBCBtJ0Z
6976eCjj8KikQ8alu46znD4ZinAEmIt9q1pVV/kN3JJN+MPfYQ+5w7t6393re7k9HvTQJ7Mc5RjS
ck1DyflnevXJ/DCUg1UBCqpb7SZs5C7taNmO0XfStLvjoeapWq4O27BNeuuWyQDV21BkunlMiZ8a
xyhupEM1jxIg6B4PTkPcRhdllfP66ffHox4YoGFDwDF0YVqmtRxgDFAGRBEt9JGLrbOvoKJR7rXX
rdRWxyPZ78dn2IYrlG4p0zbN5VRqaZUZOqVtvfxORxLSeHgigmEcCmEasHwtxzGFWmywUaSGa/iE
gCR35soVWP+r8Yx0wVxrm+jEejywHA1hG6YUttCFvVyOVjhm+mDiZuSFyA9ZlqCsEqKPrydxcWIV
zp9+sTQIZbMCbRB00p7H/WoV1k3mmmEAsJCEYC8m/ZtuzrU2a6+0FCV90m4Tsl+t2yfOkUOLQ5Aw
ODRWlGsZi/lUlvCy3Ed/ZTDtZ9HkdGTG7Wh2D/i03hxfHQdWv/E61Lx6Xg2x7AxYbg2hOvPOxC2y
MBV2lB+mNrm2Y8yh5P3xeIeG5li2LhzXZtfpi92mV3bgenBaQc2AvQ1au/8wRZZDKtxSKADBdPYL
8YTtuKaQ9PSMxZEsw0IBYcWMlPbNSgMdq5H7lkN57tL0Oh7q0MJ0deXY0nCkYG2+ncrBShjEDENN
exy3aqyOPNzFpq79eTzO/CMvViXQWEd3hCMtsotFHKvpXUThGVKh8VpVs1atHtHhidLmSRV0mJWw
hxPTeOAQMQllucS1BZoUb8cmQ68eJrR8VzRjq5yjclBXoBmUc2IODywP4lD9AgYjrXc3qCa5v0Or
YseNTXOWOtm40xF7jmaWXG6jU3d8Kg98MpO3pJKKXS5cd7E6TPZw1VktKhqoAG2xH4ruDU9G1Gi8
6MQMHhwZ0CFT2Bwnhr34aqqJydwVHJC5HC9mj9NmnUyPKRjc42M6+Klc1+TgoNJOaejtpwKJB47O
5lOVdNQqB0FM+/Z4hEMLEMqKaRqGZTnG8ri3HNMWvHSA36bG1RQkIDsCv5jQnaaGCNUtu8rxGDkx
rEPzZ8Dg1iHU2RyJi0+VplCv64g2qY0ypk5nS6MO0IQkIAiHHR/fwVDSklS/hNRNuVjswlBqUD4Y
KZnddIjql7E8D7pbG3+J44EOfSpDcZfptqsEy/3tpzIzw43hS0NO7/ynlicpafvF8RCGeeC0eB1j
/hleHfBW7pgUrrACa5B/UtK8D/rOQVLXuXRnkRIsjFU8fZ3K0tuKnAY/4swlZbLjP8XBGX010MXi
dyRVrjSYf4gY41JP7ML461B5lMbi7fFIh3b06+HOP8mr4cbB2AYV6oKrmp50AwxGnz6aSFcdj3J4
PC4HoS0sEJWLPdaRR0aeDq4zQh0uArDDC3UjUWVOTx32f1xQy9OeJODfoebv+2pAk6jSPvNZI3k1
+heoaE3ng5vBXB4wYQbZorYiqesdTiQVBGQbnrzuxQ+G0JGinpSPerJjkysJroqpK+C9jGDRHRiv
Z8en5PDE//lzLtayNZGtU9mYc5ar2JSbUkvO0uHn8SCHN8yfQRaLeZiiwAIjxiHgX5ugMyIq/ccj
HDjbHOlaiivcFqazzE+gfiOp4XDMZFYOvmgaBv1zb0j7SZcDuLnBz6Gap1UQ6CeW1IH5c6TUXSld
ZSpreT94U+NVpHckKW34MezLeNPJbB/UoPmPj/BUoMUOaWlVQKckUDc6gItqqGsQkGmZ/mdhFue1
V3dx7YSEYZLBAryMdKYAuP9CEMUeNJk7Uy6zO7K+SW8zvlZvFo+htL77OlBCF67OfxZn8dw2NK2w
h8DC7YsmZuI+5jjTZepE1n/ww7wazOLaoXRUNsG89ODK1E6wz8pio7pTz6dDCxwGhAS7rCuW2uLo
CkRYVHxxnoP6dTLzb4Ofk/MIC3ZX9Y/HZ+3AbiUD+TOU+fboItWPwxgkLL3mahvVd1EUntitByMY
wrBh4RiWvnzbUm9VqFEwZUI1H3rmTLTW8y8M4lWIxXbJaWNlypg/fed+n+pgL1tE2o/HOPTlFacO
L3RpSFcszk7YQ15RxpS/NKy+tDD7UtKzNCr7RNHowGy5OuonyNORH76rBAgRQ42K+R6DDLK9gaYw
rFcEs48PZp6QxYVFFFdRtTExDVjejaly4iywiUIrF8/JcI1ocrPiHsORDwjt8WAHnq/Y1ID244Vu
kUEtvg4UBStyfAjQFsD3XZUOwU3pwUj3CmVhOI7+C8Id7t6rT6YApyIvzrcuD1VbN0SmT9A8BUlg
XneCCrXrAZ1AcK4/81uoezViDyfGfOAzSmgDSkjh6FAGFpFTFBua7A/p9b55jqLprKmLE9/wwIKc
l6E1n0aWUsunLGXdOpAGHXmrhgEcxciUjV39kqFltDn+AQ8cR8owdNcSkg1sLF9gGlR0mANWuepq
A5X3YrLv0gE5ZYTch8vSrQ36aAGd6uNRD4yPqFTFDFfyVl9etlkKYDynGwMYO0eg4UlJTObRrzge
5cCHUobJyxI5e8kiXRy1tSB50GOiOChdSpBFHopSx0Mc2GzKRAGJ6jZ6g1C/3x6xA+JotTBJRLtZ
H0QTuQ5GHZVjhKeovWnmX18Xb8LNI36VjIaRIWUXkuR1WN2jOw3nNIQasv+FQTFt1pwKOcJcXIQT
RVNQDUThFdhAMsPaM3M+ksFu414+H49lHJpBdgznLoeW+66yAXOnU35OilxvDWRAgCCtnZfkzNlA
11lPzzTlMNyT9drfnHpEHFoeryK7+tvJtBun1gCFcRzD4u51SefV2B0f3aF1/jrEYgV2jqk6I5tD
lEByaoQpvQqssn/ig50ayeKityhmI4fBHWmm0/fYI140dn/9jqTuadPFUULY1vJI6kSr9ZrPtVLE
2Y1m3FVquoKUd+JsPThhr6LMq+XVAm/7rKnGgij+4AKpfq7HbJv4P49/lYPT9SrI4gDPao9HXUIQ
Ax0rhHmiKzNu//pd/2a65uvr1UBio63zYP4SaMzOkhPVVdiMH35hHFwTunAVryVjcfi4vUUqOTKO
sPopvZcuf/jP/v3FaYNySZgCt8K/2GqfVINv3Yx4PR7jwDVOlfHPMcwL4vU8jSUng8cYUE/GWaQx
bnUUIEcD0TsLQzzuPsSzQVMfj3pomTmKC4iUxbCp072NajSOQuufqB4EEyPGWEOHgtGcCnNoob0K
szxhpNdUqV0wgfn4YuDEpHsnVtmJcbiL80UL+lRz6PrD5kQqyr4UiFN15cvxyTo1isXpkocwT8Bq
UG6UL6UbbEjITyyCg5cA/U3JGua+cZcpFa+HzCnmw4XquXevb/UfMJboLmlr4LuztMFqvEIbe404
i642x4d3KAOiP+2adI5N9a6fZXYQ6ZJw7k7MLpIhis3VV4lZ+OQ/htGJyu2hqXQpNxLJsm0K3m/X
XdDWQxsPPgxHMnHagvDC0xPDObQkaLZwlTIaSS3/bYi2HItICxR3QVVc1pN+5o3I7nftiUzk0LX9
KoxYXp7GBHA0JYwfeOcQPJkuPBvS8VyLw19Y5GiEGPjHOZQYlumIOynPtks+kKzcx9rKcGVF0Lf7
hfaRehXGWoyobRyrGSPChE24BWVyZnhqO7T6iZTgj1N58T57E2exZxutHc18Xm9BvS1/VldYm62x
T1l34lI/w01pF5yIeHDRwUATvNRMOiCLgH4GfwMaIxBm7bHqZypiuj2+heY19W5IryIsTohoKhxV
tERwRfo0tOk10kcf2xKrlAqysdDcz2Wfu7M+8on9dGgVUnfiBcF2otmyWOy+H8sozwKU3Sb8Pis9
vjBbY5+kJVIEWJwcH+X7YJK3OwgEWosO3Z3FAinMKXacEKU3DjH9S2P57b4KZ4FD9kKUgXmd+XrH
Q77fzIQUtMiQfdZpyi3Oi96DjUwegRSq699LF7MEZ5o2GTi7E4HerxFJEYdOtMsWoCu8CGQrf2w8
yIIrwKm3Q6B+IjIlTsQwTgVZ5ER5Eo0qj7qSVN8GjLcPIaZske/60OKTgVwJvoobaHwnEtcD6Ih5
bDzY6Z6CI1j2a51ey/WghSTETezyqoDsYK201NPvbEyxHkRlNF/zwogiZMDQyYGKl8WoWaG8sQqF
ik7Vfw8tI1pYVEsANjjvGpGAufzYz5jq3FLn2J6tDDhefaAjMXMKeHVowl+Hmn+UV8lVMBWJ3SWE
6rELBCxhfURt7sTpYrzf/Kwb06GcZZs065b9TlFBLUVSAwHEXXRnDysbOS20Vn2cU2N1le7szbA2
1tgxd7f9dFWLZtVjNe9vkhPf+dBemVEN1KJ0DrrlEgbO5tYuCq5QvaUJmLhs10PhX2kn0+KDgeY+
6LwlwbXNv/9qVvG/mGrgeWQnnoeYGQh9xEhQ76Bbm50Y07zt3h6szC19UIqGRHqHjQK/Key0F2zL
XlyQEzurJkjuotp/ABaDxXhyIi9+n43P8cAZcL4hqGAtdqgEjqiFJdpKzeTpl3JmU3jVjdQgN3FE
tbdDjeNiarnJ9vg5d3icf8ZdnOMtvMOQr8bJEDZQvspBp6EGtmL0m50O7bveREODiO4vRFU22ANJ
hchcXozTaGj40wKJ13z1pYvd2woPwJEMZNPm4Q0gmv3xeAd6wUBTOGTB8c3Ys2VuBvdDi3K3KVdJ
7Jo3IKl8iGJlcIF8BNKLRZBve5GEX6y0G9dzy2UNIJx8dHBrLL+a7MSkH1rHr36aZQqXTlaMCCk/
jR7vI/UZXQe0tU9M8YFs582QlzU4o6lRdzRAbTfQNlctctJroa9ApprGJkBIcA0AHYG9UzXag4f+
68GZbzcpBnwiClziIuH3zd4iIP6pem7W8RnCjCc+66FT9nWoxTMcTJofGA6hjALZ5RpflIy22ImJ
PHRrUC2a8UZznd1cjEdoNcWqiEOnRXwFmuvUraMW97GkfvCr+FQX9uDSAFriohZjAXRanAPp1KWF
P5+lTiWxIdTKyz5ATR7AuvELJxzHzb8jLXZ+BTW+CktqtImK+43ulcm2KfVhAx5/FQ3mo9865eb4
Njz4vWhVzPAS+mPLphWNrMlHjofies589qO8Lqfp8/EYByeQlGNGloBbXL5ZKj3JgraaicntDFxP
XnTEwLK8OZH/vhsKly6Nl/nEtoHqLusYbuu3FOspYlWerfnbNnGihzbJuuTEJX8wjqWj/QEaR3C/
vt1NZEguCHNkbUGfeehXWFg2wlwv2vL6+LwZcxL95sZjRC7ZEeejoiS87Cj7fm5Ip6cMgLJXfVaP
eYVWbRd/yx0ruowdKKGtCCEOjyNSyg4M+T6DBnnih5hfRO9+CNOcc2FAfu/AwQp/PWDBTGtpYE/c
ZtgUhlUG8X4a7D2dn5ku3cGHqQ3/Xkyz8J7TCTS3NPPU9jg8H3PvArdrHRz2YicaumHWMktxx2oc
C7H4ScO1JMCEtgmsbd7hwYJOC2qQWOvsBfnvc4oW8omv/24xm4Isx6K7MaPNSEbefv2ks0JAZWQh
dQdT3JD9RS2yc1vIUxizeTCLeX8TaHHI9bGqE1MRCASBv7Yz66ZELstxenhSIRY2oXyEZSNPHK2H
h0dDlvGJ9x0Ir7ChhjpWuTK7GFuEiMeVk/izYo0bbo+vrBOhlgXBLND8KLEJVSEOU6TtDg72BUY+
J06497fuH1/s30Na1gXLom0nb1bS8jAAFOUQXdWo2j1Ul20x9jhzb7j6zbUbm9W2YNECYtVxUQzG
FF3h0n/8hUEjm8ZSldb7zsHUIALkuySVWqc/9WJYiz7ejq11/wthwP+6wPnpaC6zOU/VsEwyyTMP
wn0jdngRbGLMyY5HOXASQsGweSLPONl3+GnsX60i7hy0SzBsSwwSlylqfhyPcWjTzw1FuqMGzhrA
K95uOA4XrXaLOQjaGBgNW/1DnHVPdjQFD6AH5Z0P0QkLVrz67qmZIcdgDE1XnMhr3j3s5kVEY4HM
HgaPkotDfxzqDilIruaqcvxdaexS7Tm+zFhVVauKG79R4wqJTO3L8dEf3COvws5vhVfPq8LK4bPp
hM1BEBYz+R/txVm18ngYYz5M3h02r+IsTla78WDlzoRYqRekohn6FNO1yNVN4sVbFPTQZ0mwDR7M
s94TG6PVz5OiOlHaPDTF1J5BadBVmxO7t2O1sziLGkEWUhuPKGeVl+RCSG3yH3pdGWJLEhEPM0B/
BBT9KXbFu5SS7+vqAAxMwlOLWJy2ZuonXd3wOafU+NhYho1nTvbQ4jy5VkN2CoJ6aONQMKbIz3vW
BmL3dqip6Y11Op+yZZVeKdl8mIr0VPfwPVVqHpKFAyk8ogNPcy+V0xjCzUP+sopghjuiuB4NHbkK
O86vehAxLw4c5k9akA/XCHTpD/ZYF7etg0xLHMEvdz1ueLNN1XWZqOzh+JI7tLJf/3SLDZX2dh40
IT/d2CMjMzSgKKunwFcncqiD3/XVJCw2kPAFVBnJedvPqkCUYqnNiw2wRmB6w7D5hTE5JIachoDA
lkiOAHeBsB05dVvdRdqv2oZIGoCl+pUwLnVQh4VqgTZarJ5c6SVobWS0ECHKxuEsQ380cv8ydmpe
P6/CzF/w9dnTh9mEKRBomHiuZvf4RI2gz8Ce5T8GzTpVmjy4JygFCEAqjqkvS2euYThmM6pyFcbB
jd6N2yQKgxPn3MFFBwxmvhXnh+MiecNlC+U3LahWqFZXd7lE1mcyvWTjtOapPPHgwpt1IeZXgvkO
tx9CtS41W2M43L2rwAg+al38HFniS/PXH3G0uAD1mGp+J1AhXwwrKKcyVVOE0UaHypOLlUVjtOX2
+OI+8H1IKDhI6NiBp1u2JY2pLQC38eyRw9RexA1aW+iqFCdwp6eiLC6iCO6Ll2ZJhXxjfTflAydR
9NcHAm6DbIKuoOSxvTgSojbFmz2Q1WpE3MTxfHqP7l9PjPgWdEYsDnf7HaTLKzJt6ntvVkj+ZrmP
nnmqRXFgIRMANNy8wkwgn2/3pqb3rR5UjCGLHpIYdTcP4TQt2PzVT+7QaKTKQrkVTOvyRiYbLrkO
Y+y0wocy+maL5C/vRx5zusPuYLaoPC5u3REIPZqrI9aRoWvdtJpmb+xRt7eRPzRnx8fyfsYcHq8U
311qm4LK+NsZw3qKrpJFRwPrGSVuBXq9Jvrjx4O83/RIOc8ni4C+a1JPeRuk1cNab1zF6q0sdCTA
PeNaFY0VDhGRyGCzDFMQ/NUytUnM+QDgMQjfQM076tUxraXRlBeSpRAgYLNSlYUXhCHjFayhnWHU
8XxDPEwnIfXvNyqvU14xCg0VUCnLoeI4bRS+zRJvuyT6lAQ017M2UCe+2qEoDs1MqkYswHdX3QA/
zZE+UcahuPPC+BH10lPkgHm/v81958xewCYHz8VxsDgP4shH19iJ8P/C2ypIsN5Sn1SWXk3j50n7
fnyBHIjFSS0BKDGm9xyBwoywPjVS2qRO2l4JvNYRRcnxX6J8gh8Z/dM4jJrN8aAHJpGTm5vBkqwT
DqS3K8TM2lqrKqTFtKRHGcqaDGCSIj0/HmXxhpAWKgMceexj3rVwopfziMlTyf0Q1qvcbc8bFwGa
gPIE5gL3oNVXEVK/A8qG4TidV5p+JvHv+Rf077/eiCvUf4gtfMuLsQrxvFn88h/X4bcqr/OfzX/P
f+3ff+ztX/rHbfEj+9BUP3401y/F8k+++Yv8+/+Kv3lpXt78YpshyT/etz+q8eFH3SbN/8hAzH/y
//c3f/vxx7/yOBY//v77C2bp2QZh+Cr81vz+r9+adSNMbnWuwn8LTcwR/vXbNy8pf/PupXr5v//n
68uBv/TjpW7+/rtm2X/j28Nj5RuZPDnm+mj/45+/Jf9GcVuAkedaNGYo2O+/ZXnVBPw1528UhRXL
R4ebKvj7nNFoYf/xe/Jv0BwQsqDsSnuMxFf9/j9TcPfPHfbPr3NYGWMJfJqvSmI78+kJBhsY8dt1
Sjk1oac6Yni9Lc6j7/4lZ+X4BZ2YNSphZxL77w41172+P5VQLxskpDTKkSAHZ70A8EhLPGcyjCMz
RmRxW50bq/ii29uraZ3foWq4e/VZ/jXq1/ofy3rGHMul7247PHLpLC4pCVNURHExId80Xvj77Kzb
Gztth/vi9lSkxXsaPS5yQoszDR6X49BwfTudZowDw5iJn/auOU8vENs8Q5x3757Y9qhgvD0/iaPg
LLM0BI0f9E0Wl17sTW6YJbh4+lXn/jCbxnjGKqu4tdvec7HaRmz3HNC995zjFvzFyOG9B72m7VIz
ArBtFV5z6RdD/tMtMv9iKmCBnQ0YAd+0Nto9mobPDzS0prLpgEp55nneZK8cP+Qqz0oTN/qgN/Z9
gppea4zNA9Cb4SFNVKGvWsDFiPQl6b5qG3VTyZbKjXC7H+2E61vQecaFGIJGovxlhV+1AopIUBfV
XiSaoTOaFlkjffTKz3FltNw8fXFpcFAPGL4F9rkPH2AvWNEpajJ40YtgLD9UBtbsBnq626YzsQlv
Gv2m9czsRk86uSOFLjCHnB0bMe9Cui2aLbPCEpuZKm7nGbRarBPiqgvudaeWOz3V1ZXuwm/XLf6f
1HP7ybASTNO6FE2rTU5h7j6uy4CWYliPV6pGh8xpImdX9nr9YtWBvjcrq8NbghENhocLUCNxr5tF
QS0bucmdjLzmq5bpeCNp0FU30PnNL8qrul1sNNMZjtojjjFo+yAtKbLbwVfaJZZJYp/UFcPIaH2g
Qj05cl+2VfMl9lT0qHqpgU8cjGov3dG6y+wJsUmjNvCjddovva+Pm7Rqn6yStgYdmza7kX1TfqhV
1uMvnVbONyVT9bFRxnhuZglWzd3IhpyktZnSYXxsfSu8qFFG+U7FoAjWuYW7C6m8d4sMlXlpdCN+
PH7Z4iefl6m8UL3f+8iZQKFFCT1CPjItygjbzdo3z/spbu9B9JqXbjaMH/Ip0V/wVkBKfoxRRbJ6
a7yvk7y8td06wuZapNaAUrU+Wfyosu/WsdMOW5xZy0vsL7uLpIFtGmtZiAOCKFE2V00K/mqKBh+7
kansPld4wdyWVuC2a9/KUnuNp156g/0n5kGVkQ8br5a4+bpUaPQ47DXUgdr6qh6R5Vt5WE5hDBnj
qrTWNTtXK72dSFpqLffXkZtlGzfI9EsKB91tatdduK4HF4GhqtMwZzEjpHt7NMt2Mi8zSomO392W
gd3irpGnyqSB4rfyGeMJ575VTXfmA+f6bOex9twWbvFRb3z69E2WYTRWFshZa709myz1zRfy4qY9
N7He/oxnVnHlprpx30dTigSm07RrV4uGJx8BPuRNTaM1MPNuED0WRscashwbkUe/Vt6XqYtifetl
IrBxJfKqfJ0Mbf2xsOLou4GeIc4wnvK+FiMKq62LT1Lq5eaTGCbEMvGjLc9wpcp3SZTjbhkkob9v
E19cFk02fa3ZP/+PvTPpjRtLs/ZfKfSeCc7DNsiYFZoly94QsmWTvBwvZ/LXfw+VlV9JoWyrc9lA
rwqJgkEFg3H5DuecZ6eN2uLjSVKiDyZHd+/cifzDjCL3fmgnXi56OqOzDasjxlqn3VIewsRIydRX
166RyF9aqRLkqEWTrRyn0lWiVaUlHFJgKZN6Hxu9tLZW7Y4yyIq830liGk+VORTqipzi/FtixZ6x
1TuXeNIG9nfsm1FGGKyaqQoMpyhF6F0xjL3QGrO9VTBz5aQAWyRV9+S+noSVhE+OW0y/KvaOFrHm
ee6svTA0CEjJs/TGkXX1U9Ohca56h/VUQTl2GPVMif0a2l4KOXIkZREERH2awRo9Na7bbsmYILM4
H9LoKIiGeFEyQIwr9PTcpXRo1HwVzrr3aBR9Axc4Ackw0M4x/Xa9DBBXT0jtIPEkuwmrcVJflZ00
rQZkj13P2L4xqO1qzZ13c5H0B3aVxrFodDAp9uSCPM51Sc5uT1QhYy11pVsy+V5hRL8WZZOCJ7fw
DKw6hFWkYlemAgU8nK/UeIIcU3owZFDpbBI3LA9qkxTbsjQHsGmlM5HnCLJum6Z2ahJc2Ie7Tslh
Nwxxm268UtVeaopmjsPIPXSGxlTUMKPbMRHuXaZXKKfMQvOuDMFyKpkj84WMehVyIYdPAcnA7+1Z
3iZW0/zoYl08RUa7BrUCVtFLQEUmcads1XEe8PzLq6zUyt1QTkvIqk1wvJTVHeWBsqpLAvUjyuIb
WdvlBbIjPRh6Ue9e49tIb2s3ekLmWSDiedgKZ7Lv+ykB/hun4wsZvXKfzn17Zxi1spWTMaDdDnXv
MvaUhr6aJ+eQVIO5D/kLwWwmrvILIEd8jFiMY8iwVOVBjlp0b6Z1tYZpOL0UxPHtQN1UF6rdI63o
nSg6kPbKF1NyRAHOiorrtHXmlRNa7U+viSFEFyqQzJlc/LaqtJtmsqNrl0pnNdS1wpEph50URrwz
E9IQvCLEK5MwnVH9wvMEEg4nM7aJ7sRwRIU9ruEcFbdFFxUoz01y5tWuSW7ykvjt3MlG35n5ibMS
mbOXTB/Gh8abwwoGTwGRcXT0Q58SRR/y36Vf0a+DKo0UfWVFNVgJNW03ohagWtQWe3YUmtEP222y
vRHZzk1lCnhk6rjorfKw31hSYJNDSgd5q3f4FmdPu4ynQeVWVmAT/Q5r4EmNYdvowLM2M9y3+5R3
eUcMfx5umc1ou5Ll/jNCdAbQSJoy6lvbivaZPrubblDq+8Zyq1+5lP19Es5qu8603r50OlUGVgNu
WrUj/WGomYianVzyEpWZSrXSshngGWyPhSzZmZdd3ZU7s82TLeeLdW2rvXLUzSl9ibyhePFM6DRl
NXjHpOKbS0fNWVUV24FDq7nNMeut0tdZEWxGUUen2GaBBiykf3Dj2tosVkmG9PnkBgRdAofsE+Sa
zlTZHBFeqnxhceABw/PMy6kKlUsQke6ah1C7ZVMek9Y9tdvQNrunkCDYu6no0xuhG/Um03tgmTjN
I9+2U4u4YEeGx3g054sic60vU46T2uUYuTFbxfCbKWv3qhva38uiqHillS0CSkOL7Z1LIuyTUiod
yFUeKc6KuNgMkanAYPHyKzOPhgfKCsLuiyrW3NUgZ/uCfx1tIrc0Jx+crBM05C4+K2o43UeF2d84
LGqfLdkXN0MCh9kk9R4Edq3XwMym6keWOPpDYsJHtnMTamJSNt3tGOe2C/dDZlC5yu6lybSc8ATD
kX6sSrCKnpM86S0Ziyuqwgkeb6OTnNG0MNNDp9GPaU/qfeHWxX2fWVq64eXd/XDUND+YGdCkjCKq
8DsFJg02utE6wvtmY+ZyazbDmI93oiqyXaGHEAaGtgNuV5HfqDlMg/O0lnvRDCALIxgkxBcWdDuK
09d7N5yjYaWNqbax9NErtn2lCki/oph561SG7udt5q7NuYbhpZVgB/L0MGCIOub8NH65SVOeUPko
GzEv4LuSYJdhbqtbPKdkJJehiYFJJzlzPSccJYaXaLyapfc1Flr7VY/ATY56aXJLpJkTmZuoTtBx
8u/zUguPo5GzaJ2N6I6JbruRXk08c1rr8jvg3fBRs0fzsVG75Lm2SmNrN7G8VtrGe6wV07ggs9S4
dfkBCgLtYvNuSlIFoCUwSGE15kkWafwTW24HZcgZAPO89nr/N4/4L93BT/+m8f0wj7hNyn9t6+fi
5ee/Xsp/XTJM+PluNPHnv/9rNGH8geGaGdVr+03wIa3qf0YTi+bXQ/DK/zC0/WsuwT/BeokKCFmS
Rvu+SLH/mkvYfzDKwBuDrZpVHO2p/k/mEmczO/SwqDWWnCzqPObh7ll/W5BS4Raj/S2OjnZWbi1A
FTEqo9BLAs17fHOT/mY6cNazcy1m1HgbXIIYsahYZ7PITBGcGo39jbRhogoMxGVbqToMdAFTOBAN
EVmtHPcz3+HZ6I4NAvpZR1dxSSHTYzNytkBSJtm7ep//GigRN9V1sy1gK66mTdOukR34ze73n/LP
MKk3M9flgh5LdF5ESFRQBZ6Neqac/ooIzGTVqF6scqAsNTYuayrRfim9DcakV2ky5WQPUy34agIz
NKtLhfk9ygHAZUspb8yF9Q0JnTwVTc80Me3beR1psXLQ8KJ0lKzO+EUpFF7BS7fQp5Pz4FoibQkT
ppvIl76ieW0xlNd2o8/KEXUxdTWLIQWwWzDWbuJs+9dORdZqrwWOQrzlihg/sCFdnwzAK5YeR2Rt
Z9AU0P2UgHW7vVuo9lMVwp71DWXWg2lJuJj/bJ+WTspYeiqFZN2v3aj2oHHouCiW8JRrahTqfBFV
xEh6MuObRtqtDXR1wg4FvWGAdAe4slGGDsbpa4tHJvJwZS99n+E1GI2WXnB+bQvn1xaxf20XEQQU
3orsY9oXGckYZVCNpMIyS1NQzqT2Lh0gNkdxrRGcNGZflEzNLxV96VB1t5/6ldM6LoTfPlYfag+8
iPQGQ9mQD+lBpFWMHmJvRNoSg59TqeIbpCFO5LpRZPEUT6lyo+W5/YMOuNH3iqEmlxihltZVbUkU
DuuivezJQSYbapjyba9H82ViQYqXRRukiTVfpKSGmH5cVyAjvLC9l1gPfJhd5NKI2oCQxIlgdwjm
UgPjYtqfxGyYlyQokURgyLaSgdsBXpL1NN0bZqf/6Aj4u9Eicwz60qofddJJtz3IqzuuC+JcD3Oj
CdQ6Ra2t9kKB4zYniRmg2uiL24hZCADGgXR9On7T2jJaGWFnJpMcACxwK1v2kK5vWoJ6W2mj6rGx
atNeS3UGiWzVYf9FiCb9OY9CQHgo8tRcN0PcnGLRmb+8mSIMUu1cXDiJ/AHyTn4xY1NsTYCoJ8jX
CYTBxEmPJFo/prXXlZBircHPnaLfx9Eonug40NtaaeYnidKfIn5T4aVEr3QxMnO6zwFWABdNoJ/H
Yzte9gMhVnVSW9PKrZRGWUsrsX5WIq4DozJYi0SOu6lbj+rRUyfqnTz7xb9ZUhHspB228VSEAJ3G
MU6Km8QUuHlMwKYsofr4x1B4dsiRNscJyunQeR4H2Vy3k1N9S8sceHETUUnu2JRZl61Q8mvPRPDM
I1CRdWDI+Cmtu/paWPrwxR4M5l1Epxf3aWURD0osHmDbQb1gkl0VxGK108EDU4qNgEieEZxcYe+h
HZhfKelnZZstkwp/MHk2fUdvJtZyylhv+5YJJCFbblkQ/rmMOAazmkmgY+5yEk4LGbS386OqTkyh
4mY8UcWxQVTMalhTf2TPVUh36dfpbOyq2S4fIEdoyPxD6NYA3UNmBrEaB10VN9cM6inhsyICPi+s
rRtp+kUvhHk0FbO91DOod6shM5pvYCC969rUwqdMmYZDb1RyBz+exydvFrpARCZEinAXFW5dgWGd
dcIOmqV5m5VSA1mTzS9KVHr+ABv1abTr8iEy5ILuSavyiIhU+eW9doa8HaxNNAzjZTtOLei0AWhb
9dpPUqorWyRi3X3KamtLktL40i0taNEp9n1R2sNWd7QyDHh/tptxSR0vbUfunKWVlY6oLuKlvTWK
uTsRT6Ks9KX5Lfmaj2Qad5dt7kEes1rlhxw05sLgxWHADTy3Q55cS1dXgtCQ2Z3L+fyjnhX4JEv3
ner9DHgC1iF4ZY2R8GC+mEurPmQMApvc7dWVAAp+F7VpfNsv7b0VDwBUs2E68Jn1l9ZDN2yb1OzQ
HBkOiNc5waDE8Tafm3mZaNcok+ZlqBAv44XMCSWh/rL8oi3DB+y+85VZpdFd7uWLvKit6LkV02Vm
US7jC32wGGSkQw3FbBlvUF0wn1JyxIL5Mv5oXgchoewPchmOVIWE+PA6MeG0YnoSLoMUgplLXyhm
l686hAXQgIZswxSyrdd1uOCR8qbyHrPXIQ2yuhxBQ9oswxvYCtN2qhWPMpg5jytceWpcox18g7wg
CBpGF8bIRaYO1giTIqOe4l/D1DsZzS+TpDFLGSoZU1U46+WlaGHLNaZfRHCHTzOrsZP1OpZy5jnK
UTowrWq8od+LsqOvF2P+hUkqI62aMJsKciV4BJ/5Q+IFCcJ5wCvLNIxRDYOxapmRQe3qdtmEAjBA
slpDLnsdqJWvw7VpaGh5wByYylF9HcA5yyzu93XJmUaAm81YlDUwjjm2WSi43m9M0I0T45+6v3oo
Cnbokb39TfylDfm/puC/0E8slqb/fkl597OOkupdI/Dvf/NXI2D/QcwTC//FVYySyaDH+E8jgDBs
2TSRaY8ceNkO/tULeH8gC14y7tGOYm4lQuM/vYCm/UE0MZkaZMSikSA1+J/0Aq+V8JvClb+LNemy
KCXjDwPAspR9q7aodBTPudWTWHeAbNb5k5/fZgFQbnDLvrkagsXENRZr/P9+tHH9PpBf3tyyv2kR
PiwQSQHHCK2xJl22uaQAvP8TeMs2bgq3diX2VIiLncuCTLXSTknwmSbvfLV3fqkz5YB0iOox85IU
Z9e+plreiKir/N6wDzDd7zn+j43UR/+TD7ioft7cY774JT0KTQmh3Mxdzo2XEes2j54czaavbSDj
sls5ej5DRj8PQEiMzvr3F8TL8vsrmstf9EZDYxazVmQNEhDgJNp9G1c11Ge1DPSqmdb9NKdrR6TJ
tpwLxRcDvG2Gq+lXtxgUgJxZv5Z5RVJ52457ZUqqo1Qm0DAKvIvvIVU4mTFu2UVXszr3TM0k7EKF
6pbDUKS3czbRtCTNIJWLfvSkvXYL5qgr1c5rUkYmr/gu3B5wBpO3Sy/XlFWndl3/k/VuDUpx6No7
PZVKvomaZeEy91Fff83rWQNRFRoJIathWvAqJbm6mK7o/0Aj9+4k7hNLQcauJMThriTvEXJ4x17/
GjMrfZIFWwnTidcjY8NNmk7WEEy229swRgckRTDqEvYsVfvcGmkPn5LqVg2kdJWf4eDFF5FIMhYp
oXPpzppirjvc1+B7JivOfKSr7b4WMVO6Qpsh6SW1B43aEOYtm2wCjjU5vORgb75LNbEgtc1qNgQE
ZunH2QxF7yeG00CeIp0J5GFsXAp1rouVpYfevZqV5W3uaF3tMz1XvuQNb2h/GuZe7tyYG3sobKVF
RdDn0ejTTCHM65SmZx/Ye3oDiEodN6aVyE2mZeKY6yPp6X0ihiegiHBjZyAkVMdFKjDkJZp7wgCG
CSqM+KcMFtduWCVB48jqqikV9jazE3qBmVZAY6VddIsrOn8y3Cy5rkk93VOeAjE3x0R5CmmJfSEc
eeGO9vhQ9ZFyMwzazyk14i2mHNunbbUEbYiS7ytWs4GGYF4ntbv1HrTJJXtWInjcJLiGrqxpJu6k
FUWgRQJmS+GpebfqbSbpVOHRCyG80c6dQGysUUTA7BB9JKFtQ1x6tGKrp/Dqy+yhUV15k7v1dBmZ
6rSd88nCijZNw2UfCRUEqBmlnm86lb623Bpi5AyCV1VHEVRO3RwS9Dvsr5Iu3uCoSR8nxc0fZOiA
coml8VzkRbmO0tLwZQJdxmzwwVYptFlCC/Ujx2zxE7mx/iXNKuPaFkp17CHm3EFhaB6LKVIu64hD
ZWVMQh8CZTbUQJGWdqxgVxebcQpzQiWdFHarJQOSH9tL+Ais2NW61+96uEyTz/g5vG+kN98aheU9
GbM13TsURt+U2nXWWlGwWuly9zFRlPEuQmMf+eOomQ9V19HmUBnsM8C9F2OhqpdulcpHz+umb5E1
ZS8Y9sq9UbjtJXvH8CrJKPr4fWGKh+QHa4DpprgJIeVd5lT8z243phdRIbSrCEDct6ip65sudesg
8azsFCdKs3PGGkqsN8b+PA3Vrp+Lep+nqbNprZmiu4rUG7Wy2gGmbbqs+uniHLYJO8fN5T4cymKP
4oaFR28O68yx5o1FeDAPdD76yewQvapBWcy8vgtI0n+JcEP5Lvastepy5uEfYABVt+6NKzUPhYEU
21Do/c5RBmdnDY3+bIU9G4QhznecYdO+zJNoX8FDWrdWBEfesaK1yI10Z/dluGPGRbmcJey7YW+B
kJNuzELHKycAVFa8c4h033u0ODtyrEtogPW41sswOySiyTcyB46Kjkb9ZPhmnr8Glhkfk0aYIajz
lgzD96+BcJSN1HoyOWxw33YB5Jn18MKetSwrmIqC9ZX+tQAnm3T3Ua6upLWXKrn20bVt5itzcIKw
J22huNPSY+yJdVuH9GkXcXqbwVWEBU9T4Hfet3xQN3Ud+9LdhirUa7KdmxxNBzuOkq036KPEGbdq
rKw946qFfNc2kNzia7fs2ZW6wSJA8KabTP80lWSpcN++erkD5lIkLVGppOOc50YQimkMk8Wrt1mP
gTCC1lrDuyS2wvZWxoyg1a+24SevX+2zi57VVIrbh0zZuOi4ye5t6dNe7xLe9/28pnv4H1Bbluni
f/8p0eqefc95qTcy5Xs2gDG2ubJ3lccp7i+y9rPQkU8+m6WeVVBFBoWpWrJk2mBY234WxHINY/FC
8/VVeofZ8bOS7dWpdP7heH5tpHJLJXyuZZMj0zk7pEIdfOVqKBE5+GNg+g0k0xVIRJDaqwjB6boJ
OCKM9bTTpE+1uv1MfkbN/eEmv/07li/hTU21tFmOHrOOtoY73cjuhfWAmPjX70u3v72/b69yNjA3
G6QTk/L6accgUayNuZ53y8ekRNlE1OJRYP2pePtHDdz/Ov3o4vB/c2s/7GvungsUpT6y0jopnt+t
av78p//u0Ew0n9TP8GvQFVIc/P/+zGIhs2QK0Z9hj1y2Nf/pz3TrD3IyHdow9hoq80h+4X/tanTv
DwM+DcY/ZKdYjqm9/4mG9OwIx6rA+oRTis0QXTyG0fdP3Qw3UooWGKO5NTbTz+QAwZH2bMnOU26I
mfOrk9hyZn/GCNPPzpTzC593ZdEIGbgFoRg06xSS34anb2fsmEm7QX0P1+6grJf2UNmW93rgbS0/
OxTr8VReKYH8xEh5vs758LectTPdaLijpifchJth7WySQ+p3G3G59KSfI7DOesQPFzs7TL0Y4Yyr
csfn/J5RciQOjXCDxrJ9bDAoBbZvHsvrPw+yd/rZ5Rt8c759uN7ZN6zNkRv2yzcsoF+v2iuSOPx+
BTb9Mr+v+cFnn55kf3tFMoAQNC35H/bZGYOKFwWdrkCNBWezzvBgISI0PnsLLm37h8/1n6t8WDMO
EW95c/nStvYh34lAWb60Wx1l8GeaXf0sWOLPe/jmWmcjBJGwh0oSHtbpMKxn+iGeEZRq2/yUx7sw
6H3vJr8H38tg+xhS2Tgr+xPXytnPhRwQg1EMO1+eDZV4pbOnZmj6sDHCNg/ivDsUtJTAIw9tCTgc
6Pfvn5izF9H5pc6/vrCpCqbMXc6qI1d9W6tD2MWxvk/acH75/aXOnpTXS5mcZK90R+rHsyfFSpPM
fJUNW96pck86fo7fX+DvPsvbC5yVSiIrPDmh+KP7swkQum+c72n0zzznZx/COh9xGV3bel1c5MEM
ETBjWtwoV7PxGdfoXDZ+fplXN8Cb+sB18xkFSZUHbdDj8l4Z8WqYVyLowW0/53t3gxNdBhylVEpE
Xn+Kkvz9rbTOw1UyJ6aEUuI2IL85VW494+AZd7//ts5rsdfPSDdBiiDZBR99BdMAo7eGdBPo2/h+
vIip/8Zdte8ukzVM3pVyQupG6PK63XZXlZ9ty0/ZlWeCgte/AAuAy2SBF/OHiAZ88ykji0RyqkS7
Zptuh425+bzY+7uf85vLnHsArNlC+uMaLFjLRxrLVZvd1zGi6M+IfUuB8faUfP08eJJZ5JKytxhG
3r/f06jLhfAQzzdrhJrcUSD0gQicL/kWnWfCGxYXLNNXlPuB3FS+ss9O9QbS9Wfv2LPX3usfAsRv
yeWheMEQ+/4PCVXXgqbaVtzY8YLH132GjY2rY8Bpv63X83qg8ohW+MxVXkvx4bMz/Nwtc/4HvJ7x
b34/Smh2mnC5E8ZV/khW5A5p+jfg9ochMPxpowf1Nglc//dP9Fl59e+LWkvqFioVOoz3nzo20hAp
La/CCBmj4n131IfCRUbqbafP4pzPR+0frrU8Cm8+oKG2Yem6SR2EJ9dPV9HlsE6Ofw6EQ35Gy0RY
o3Nxr9Lr5ppx5Ccf9dVG/+aF/Hr9pcbFEbhYeM9xBgaNIfIxpkfLATVcDg9xkPrhHcpRP9/kV6Fv
Bb+/ueeJDX9ekQacMnqxI56ntuAMMawhS5cjcVi76R4U8c68z1Yckm63GtfFIQnMMhjFJ2+Vj68t
W6Wixz2+kGep0d/f6dKYU6VteUNKT/8aoSZeiaz+s2t6Z817V7d9PCLeX+TsjS8mbbA7s8mD4kk/
oOLwy59mfssYkbHquljndxEzHfS4fvRpusnHQ+Pdpc+TwYbQ05D38UbLLrpD1q/mpR/eNif7mjN4
8tPraR8f3H9c4by7qHN2U63c89IEwQti7gwBP6ocr+OrY6zW/8M4EZ6b95dabv2bX0pc2NlEVEnD
uFAcohwom7R3v382P7mF59WpsxgUwVWDzelZwww3FakJRCZ98gv4cKguCXvkT/KBDF37YDiPcC6l
QMaLQLfmF+1PWdIE99X5gsi+8tVK/9HW6ic/9A9PPxdl84u/eGlDOdfe3z12BFFbjGx70inHj1an
SJ0d45Mcko+nyXKVpSt1TE7OD9kgSUw0kiSgOagDbdMQcx0dm22/G/1+PT/ngRI0n7yhPnxjrxfk
NOFapgNu9v3HAnBDS2pywU4MAvH8INaq09q7qgfA/vuH4+MdxLfpMj/mhbgE355dSmVtYmRNmwUV
Gm4JkUqanznr0fJ+uMr7p/y8wxburDgogqfANA3kl6LUxSrRsTwQDxo6X1x1FlfVEFWRr3txstIL
XV9NIYYWWYUEVY+DsGC2DIZAtxdhT4v65wxve+E7ZVQKdGRps2dx4vptny3/d2qshzAdNqHlIS0s
DCb4i3Ttq1vN1bXLcHodl06K6gsTm8RHsfLE5D5FiRymFzSlZWX4sRkpGhzt3lUUnI6wIDO/4DsR
11JB/7VqS/JVMXJAL8/i6FfDcGOfZ7M8uZMu2euhOcrsyrtwlH4K4p4/xquj9KJjMP89RaKNS6GJ
4yAxRLyJFDkR0SRQlWXQ2jjYxnmDiaATvrKk+6ymTtN+ptLudrJnd+1NtXFVFZN27NTMe2oQcYGP
lmXip6glA/70ca0kldgLu3aOnbATUuBsRRzM1DUOIkntC0wf7H/0zMI81uW3VqZ3nV+3pTTIjMmT
E7tQ9bbPMswYtUwuwogQ9GwYsGLWntzMha76FbsrH9Iyaw3NKg91JtFr4128IEmnW6PWKLZICtD3
VWW4l72ab2J77P1wDnPfzvT6YFb6tBtzR9k3nuOsUXMWF2wjx02rUVrrwrOO7uhm5coRkftT0a10
U4Y4vCxdyw9RZ7D2ZMPNzKbXvjaGKk5EoLhfx3FIT6hHxw25WMrD7OTawIqPn1KQ5KZzWXt18TRK
R0MgwnOPBU+sFYRvZK+7fbRiazoHDLX7E87Qdh02Vn439DYm06ysdvaYjPeoGN2N7oA/ZY8q8RAm
YmXnqnvXu20T6JOCv6+fRYGgbHLVb2br1IcpInuxOaYim3BvDH2LyGdK+2djyNoYa3Q4b72iNVb1
gCeyl4d66jBIde43Y+owCjqqJGmaAJ4AU065nQ23PmG5U/e9ZqZXOZbIR2tEXBxWdXIhTcx5VdK2
l52qkccSt1r+S8EX8GjHmNS4RtMeRaZUU2ArkfRtxcWno+AIwXs7r4w0I0EhFiByKha1ljbq34xG
rU522NUbLw2duymrHR+XTbarVTQ/wxSzQoxLih54vn2AR7D1bWkyRJtn8+usRd3adQqaQZbVhL4C
3yDvk3h9dt1+6hhYfgyMsxtwcu56yNjc+27dxEeRJy3p0FYKV8ArWF56GM3zgN+3dhnZlQtWxQCl
hy3SldGp1xv9B54K75uC7imYAMVuEjxc63w2ydgwDLRaeBPFNq+6Yg99aj7mLNJyNvVhckSuxcnX
5k3xLDjhbmPNmU82lrNHZJLltacqzXXZRNW9MRvZ9yLvGL24nB2rAoNp7E8jvzmjXqQBbW8FxtjO
waTH+gHDVnunWLm5yRr24T47HKywmDK8dV5n0XMLDvgYysL4leSCL9lh0Arc2QjrYOwdSsa+ccrb
2UZBrFfmgzGjQ0xc3HR1XBnrMC2He14XZrvCqYsN0wiNDs9tWxVbJ2XjrqFCWWd53GzHapjXM/Cj
72wxiYZij9RuOFc61lOu/D5ZSf1Nr7thu3j/xsSO/EzYZlBOLcpK8tWOSe5BNhGDo+SBad31Yd2c
qlBDAJAZ8m6hCKGykJbfNYoTxOo4XM92HV9AVuRHEYcc1hE+Vhd57q1Q4/FrVoj6Og31+MKSpbsr
EjfbNooQWxRtZBJ6jCDNrEpXmJWMgxGixm5HQznMYYPN0iozK6jQeOPLMUQwF/m0K/Lc4OedZDwh
pRUIK2u2tkA0ISPb3WKnqbeoq42tgZoag2UUbuZMccuVZlV6wKZ22sy64m44C8rTkGTabmRjyiuL
oi9KRb3vJnveVMiMtopwsGQhCd5VCAQ3TULmjSUaba16SrmxQ3tcNP/WLopH/RKUuxOM+KEzyB9d
80B0pnU0y2o+cVfEtah6a+2U4/yr4MjkNOGJZO7Q+xnyip0+N8NtWzvjrje8bOeGo7sjUrE+qAWy
SmKWw22Z9L9cMSRBYZf6to6T6OTJuLpke6XeWJoMLzpkpkE7j83JaGuYEk5Gd0044bpUmnJr1Ml8
JzgnD3HRlxqk47hCSzvnPwtrzK842LRHw0jmZw3PK1KDzByvhDEOG31yo41Mbe+aeID8iD3CfJgM
q+L1AKizHTTvy1iM8z37OvdlIC3gLlV6uSUzpvjaR6HRIqOZ03FlxxUJKmVaPhOV2u8mo4r3HJzi
gp9o8eRUc+fLVJMtcTgRImHU6KZveVMa1Pz+sAlGqEWNqYl8zY3D1RAZ5Skq++myHr1WQ/UwoEyp
PNbytFEPKYbWTagnyXoukEjCnfIYecySUJChJp8RASSCymrlGMu/TWR1tDCErzE2u0E65LgrMO6B
TM4jO3yB6KLg147bH40Th+s8cdDnT6J3f2RE/hJPmuv119Dp9GTVpfYMQEDo89e6tqq1mSqOusot
rb5t+mi+SrQ03UAsb3+VQib4EdK+/FIVzNr82TOneTXgGriMQ/LiykQ1cOZ13TdFqvSXauvGK00R
1g3is3qfeYPHz2zxzolR/lBIAVzM4RlCf0HcpuP3RS2+1CHnfT1W+QVR+iyvpd2vUqs3v3V6bRw9
E+/WCh2tu0XJ1x3TwbP5kQ3qVR9jmCszgyGC13iIAMakX01V9wuEn7uWZDtsQ0yrJy2d+iunnTFB
6pVxpeWqWNtaTJGBhPaIrNsNhhG9QMZWIHBkPD62aps8qpMSXZB0Eu1KJnBbcJghL/i63COXjtZa
IvvAnMx077R49CkR2NSAoTk4MjX2WdzYuDqLCZDYkiXK5/RbpaluTLVstmFaEdhRzHYbiMIQiH/n
9gCPtw5Ss1F2/OzEDskxp25KtFzoiCNe6cXWPTbzQccpe2zrQt6VZD5eWhg2Ni1yJ25MAcTHLvHD
UHsZlHb2EPK4TuGzpi456oTpTMUqyiUHjYmltMJd6I7HpEmA9RlJ8jDmXteu7CKLLkQXy1vgQ+Im
bizxLWGhsYVSoDwa4GMvU3tI7wQRt35leZfS87UvViSHxX4gk22IdONgutgl+iETvl6oPZ0DrqeV
UiLFGgvHYYMmRXM7Vln6tIBm8hUqqfkU9zqPRiQa9xSWsbUzizLeNEU/nVRRgR+tVZX5bm0N9zoJ
IdmKGA3EY55s9k2WKTgFNAo4BBgv+f+j7ryS41bTNL0idMCbiLlKAOmYTHpK1A2CoiR477GnWcVs
bB6wuvskwRxmq+6m6qKiQjrnSwC/+cxrvGy6R8CqvpKyvD5G8ZRzrJZWZ6PhQJbTcPqloCrE6Bu0
jOYVzFIer8WwaGK0+03wblqUVk+zs0BtF9C0s3UF1Y8tHVQKBBE5BbKvxMCfUyEzb4SSIJVvBTeR
WUW/w1rDjGpKEyD7ZqPc4JZCy1SyRidnJbwZaa3oriRX1ktfjVIDTUYe1mlcNz+Lmf5StvylAQ2m
n1A8oztlCpkA5NkgbHO1GF8Kqa6cIIvKZ5J88Q2onDqh7OyLkGeaaDsY5bCXB4SaJqBpdquGqp13
irZHvD9ZW1OobCvozatpVAt0OiCiZkkD5V6eIs67+E8P2MvxfctckyToz9Q6gRN1Q7/pJG3YGAEX
IkboqKnmWe32eaNe1bmPMyc6Dw96R9qaZVV2bRUKL6vQGQNBmOIMr+JDI8TpkY3bX5mjFDw1IS9J
KBuIaRAS7irqBbspPNGdijBxRZmhnxf2nTP5LEqjGQZXi0vyODUKXLWurNto6P1dUHP6qqATV1Lo
40mAge2qU4SBU22wdgEMso0wmdG1l1nxAz6c0a5UxcjJhFR3jH5KHUjh+o00St16MIXGzSMtcqrI
nyBiqOJditAkFW9RXUshxb0B4B/Zx4bcsC7V+wIW3XUUwWnvyrZYe7hsOONUGtUqzKXeBWSmbnPD
ql9KMzM5YYPkRxjonJ26HDzVbRQ8U26kazlJe0oERf4zjN34KxAUY96hChR4tVG3YqXxJJMnXPdq
aj3UQ+ZzfnnIEFQFBqKjGdjwh0gmozHfWYMXuZjIB7+Vvk7cUVBC15J4UyuwsFxcFGAaGLIcWm8W
sto9n2IsoIxF90KTK6eBUH4vCRy0RZ2Ry43QS45a2Yj3racxxKMg/R5ERCvx5bDDXv/ZT4PuaFap
7LrM1Fd1N9V3sm8KW6VB7bsMJPlIfky5FTeqtmqlEKP51E+ldcj1KazNmPOl9Q1mhJPRHiLmRi5o
2PYllGPhipMrvNZGs2gx40uixE7UNrtPaH66ai8b2yBV/T9lEEgb1PSL+7FrmDSKFPQPeqT1vwTL
bD0bro+8piZkHdWtFkOpkYyHIQ6KdcIoDK4e5KyNPwrA4PIieGxz0ajWXiV6lBKRKl/3rWT+8ATK
xsRHdIz8n9VbT9nWMybGn+y92q0g1kyrMBoh/RswADZTo8cbVembzYAtam/72hDfWVaB8LGPnzOC
6Ib/KxsaCzCrqlbPlZQJlHx+f4zBDL6asKNvDZRBjnHt9ze1xeVhaox3Xc/LtW3VeOYODizvG0ci
t6Tl8NSJJON2C9/alXIpuhNkKPAmaaYD2368yYxuWEtykw9QZyQJLhPzU+qgetjlPoonQOHUg9GP
5Q78crj3UMpgEhL1/o3oi9a2S8PxT03dqq3kQSXPZcPe+nD5aGd3EDGyrG9fDFmoNo2sU0xRg/Vu
Jg7pYwLDg5s4Lns7IBNMqBdIf2wjUkInTSVraw1A4uDWReW6q6XpDw7T3o2mwTkfRXjeK/5UvlI7
UNvcUsKDGhnoP6B+ZTpayz9vD7Hv30u8nO1YxtZv35RoFkhVXu+zrjRuhlJtDkVggNAEUPkiIBx7
DIXI5KjUUgcx0tweYQQcFYDym8yUintEIQDT4nj9IIVFwI+0fBBQfqHcGeIoOp3oKwiaSCppmpxG
rZ1qqjeR20/yRuzGRFkVWqzsfc1vftTgS59FRA55v0PxkhtZfiyzwb8PioBczA8D8OmR2v9RYXQh
8RpH2lrvQuGXijaiiy5KWa5Ev/ILO0QLAQ9C3vh1o4nTdqY4bHOvkr/rTWmt6NpmNx4VzlptzeKQ
dKEqrRQ4/1u9pSuhC+yRJpM0m7aWgv2RL01XkZIm23hMhG9lnoSoiIyjeDd0Zf9Mnm+qqzqWgXpF
OCSADdZtFVmhXato/l0shsYtGqvxtZyowi1rd1jHOB/fRWkZPFO1ttTfnbQLEwrzrEUmYWha820Y
NOlIdRVSiHvdFRIrMLPKHmFwS1TczPfoYSly0/2UlcZ8TKMmuNO8sLizRr05JMVgPgudX7wNXatm
ttBFyXNi9to2qhvygrTDa0dphdhNFN4/R1XtH/qsj66RxtCdigsLDHNm/tYLvXvNuYiewrRsf+Zq
I74hRB4cOqtT10ynCptidIBFGao/OouEradOcYsxKnYJQOJjwfXgem0y7KQpn24RRRyOrG+yVo+E
suyHds1RB8EXPHM7OpYXy1tkd9BwqMpU3fUkfZUtqoO6KQBQ7HXJ79w4Dttj7g9IOEiqmB6EVEt/
C6TyuOBJxh78beMoRjTcZolI5REKfO4VbYbhZwQl7rblYH7JtYKHHyfKRc/UEEw0ewebB82ZVDpw
ClI3kPoqZkG6Oe0tZDOOfpCm9zHubZsW1OZT13vdTKL0mk0zNvKr0U7ai2X6/QvEPW+jJDP9sI2s
TYJKjbUKhrF29LymYdjq8a3WAoQMhGp4yLgXv8sdTf5KbxCUEWVpx3Y1b6exzvZGmMqPVmkqO2Xy
+nuYPNr3FBcnWxtqfzuIwnCoaKCDp1RopeuKP16bkzddaVA+XdgS0p8szoONNAjRAXqaQRlWNGvk
1tAsJfAWDbbgOaxkcW8Clb21ejm4hf1s2rUuDk9jpiY7vR/iXcutvKqKgQZYILKLPazbHZicws4a
NR0GYxf/om+SuSOSlDdyhnD+2McFQmShAVNSKsNrow2KV6vsEOoY0vYOY+/qDTZ0stI6udxUSU4h
L0aM2rga040sAXFGHTnc+2EPN7kZZx5AiZaVNuntehr1cB1LqeTGyqxpl5YeSkApyUrZIemDBNJd
g1LMLcVvfWdpgDKtYIpXfVcUuIv11AIITu1EsUmeS1maT8hxsHHgVNaK1atPuW52b3WvjLdpU8QP
BQIxax/a4rNujME1bSSoKa0Vu+rQoFHlG8lPCba0N0Vw+GkuXldR4+3bKAoffHwN3RIDAaqJyJqO
ik8PdvQrSNqk6eDkR+VmoIuPvlkS7Mm0LI5JmJ4ojmSbRMzIxcVquh4xxrgJUiF2ohKxrnaqzG04
lLFNMhAgh5P3/D1P4mbQwwrfkibbTFMZ2b0UtRszaAbV7tpUkSDzd+ZVqBaMRILEWsW+NjmlYNU7
DRa/gwq9sA0LjrNI6fw9d2F6z3tERgh5KgdlQfxJpzzBOGT8g62huFJNIX5EdP1P1msK/IShJW/v
SXstf9pMcoTAn9mo15ox4LFokvntaEljkiEmxT36PYNNckNzuUqhu1RJY9OuTXdGJxZ3XQWN1aoj
YxPpsK7kXhZWgUfDvRsVcavIKJxKcaoeGijtHANBDUibfWF0Adjp0sDbbKSZr8LwcUdRKr5BzJXX
XLyaLeph7TSZoazTLtQh5+SytRro/a0LNQBNzrlCA1+ErIsd0E4zu9at0S98lnLtRQ0ngY6YZ8Bl
8Lgzeg197k6X+njF2pQRN1cNUoh0uDNUj9q7NVpSdrUGuZ4JewOpn61fjrDXsj7cCHqgcPbjNwVH
XPhBdu45rQUjJZSM3B3SUl13qmdd0f2ltTugFDFpf+1aAOsSZRGIdUhuzLqS4gJX0VfZ0EtFWADw
IDsW7XZaAZpex3aSuvrKXDX3qVNPTnRhCHhmWnYadglgyVJ4T0wzMifLUGzujlr8gNLd387ZPz6b
tIDdNVONmJVnMgRB/6pB/SqwLpkkfpqyzyEQgkbvk/kfaNyPUz/fa2WPSzVxsslyRmtYJa3v9rGG
3NWlkdyneRwB6FPiIjpjfmFkfgxlYAuF7JaUO7mcUFP3yVaphruvJ4tnPosiM74EvoQ4K/jLjzEK
bG5rLRhyPHoOs5iBsp+0269DnHkMbUYfsxWYzKKY+jEEVGCvEpgxOZqUpTO/7Rec+gur6zOyA+Tz
aZD5R5xM6CtrRGooIgiaoPKqdxWHvq5ruW/6W7ujaP8f4O8/QXXmkNQRs5H4GWvVIuTAnw3rHbO6
F5PbDtUshS5l9avpLsy2z0ztiQV0m6kC5Zs1f8STh1ODrhQ9rMOdSf9VoKoZ+Pd+tue2WJui4DTt
JQO2Jb55PiM+BFysPHHIBbMko+VtivbkSKvSTiHBiuuZzlBeQD68AwE/4IDmaDqvEBNQ7OtmAeTT
xyunoo5zg0F645TPo6sdpFXgeL/UG2WfHEVH3SKF5pTupbjyuQ8IUMAAkzBD65ZaQLk/MZgsEoY3
b/6r8jY4oMhdb6fayTqFJAQ62HCnK8M1b/zbyZ1xwt4xduoH+Zvl5O7Xm+TMsaJZs62tafC/prh4
B2FsavgfVQnzkLdukleNymUbv7bWy9dxzuz3D3EWmxGvlF6gpE6cMaw2RrVpC8Ex60tGcmeiGMAi
OE8IhgLzvKBPFmwQY/1SlUiTlfJNkz038q4I3r5+kDOnCnsBHDCaIyC5xAUSGHWxODGNvHSEglGM
LlvPTOMurMwzC4S1QR9MlbDEM43Fy6IVjfZMC2wrZAgA5gFVEiZ6+h4T8K3A4PzrJzr30qhfEOhg
/8Gkn//85KWJgd4wa2TTRd61IUWrnDRCi40LV+S79dFit2GgA7lkvv/VTyryvTGNvlkEXPIujYZ1
C+UYp8V1/TrtQjdw5FtlE99m7sxjYIh7M7iiE6+HTXrbuaNT2eHaePz6uc8sfQOjPwW0ujXfRYvn
LngTVqf5tBuz35kAlMF8jipm8+OlFOTckpGlmXuHhjb30SI78ARZkAoBVWdEUH7gZbrv8+HX189y
DoVknMZY7ONeKzopF0SKnnaVvoZb7Vu8sa7bl8417mZcMLqRF2Bw55aNzOqUOTzRdkCK7cOyqWPF
F/R6SBx1CtdF8iL0itvFv79+rjmrWS4auBmSMmOsP0M1M0RXEQXJCtikgW3OyFs9txVY4ojkIFr6
2tb+taxn66+jLmUD5nsIwRBFw+gDaX0IRx+fDZlLrdDapHSUshVvq8lIfqhlVrxCp47sNgXr2Lb4
YZaDqa5NqQtdum+Y/uZTwRBFK/Zm0GNoV4OfodFNh69BLdsOfUQiV0lkJKrdWKHmejT2trrQBQev
1LSDhhzyowC5w7TbsBJ/pn2mHTm5u/sMSAkT2gpE2TDI13GTyak9SpWwDlA8ZNpZQQKM03HGPsA6
knTPrT1NX9Pk9P+YiVgelDxsfosNquG+pXk/uiYIbhtKYbf1vBa+gcDAWouzaz+wcrdpRhixkhcd
hapAdcbrVfFBynrp1sOOZtML+rQvQ7/a8dXUKxklKwcHuvRhkns433Vn2iOz159SNBYw2FVmOz49
3Bsl6fUtKuQdZvS69ErvMnoMeur7aTStPTAZxWGEC4dKYobA2dh915l0u19/2jMJG51klNwkNOrA
Ii4vPLWJGR+UAJ2HtfVmrDFtcLuraluv052wQQHULZ6sS5vzcx5lsZxAtpNQQ5NbAhHFKaW29bn8
skNxGJy8XhnrGHmPwiXTuG82wXHGO6Mr4lw0QJhX6scNRGiVq0pEdJBba7GSy2oqlDKmbOgYpEwW
cA6lWNM4curxzrBAHeXJqkZBNu67jeF1tlprG6ktLpmQfz4CkQN8hxEauPF9ujWnuIxmn6DcodZ9
BHn/HfUA++sv+/nS/BhicffnRlm3iHcVDuZz7SoqzVdZ8tbZkG9RcPreVIh/fR3wnQnw8d1ClqQD
zS8HSG4oi3O9wmzqX3USM+NHNbAHqPSO9S3e53aMs0XyCvaJCqBvXCbNT5d4AufO39Poi/M3Ma0K
/YKpcBLlGV1UnMhu/OhClXYuRaapDBpFx8QJkOsi20HrPgn1LCidbh0fm4PiIFTt6C+xrUPGsP4g
77sNHerRCynJmV3Kq2W9cmuyV3Eg/XgAt6ijq+VUzSQMf+sNOx+bC2/d7Znb2/HMHTclGsL2pe3y
eaMS1sB3ie4nnOX3n3WSCpWGIKJvF5WMn6ydHChPYdIfBzF61DS5QU6h6Kmz/p76wm1DpS0bgL3J
W5X5S59EjfUyjESzB1BuA0SCwP2n3aPG9tqX1EBwuLfttfdi2eHO2JMPdWh7u1O8A44C6bO9kKYt
edfvV9/pj1mUYP3kIeCbAUTobe1tev/egTP4K+Z0B+wjzYsE23NXPB404IzxPYM6uFjHyBBSnKFF
9v6ppe1MZAq2xUWu52fWCW/ZQodt1h/iv8piScVFgaUBNZ8DEDLZTY5u59foLq/l23QDpMM29m6/
Bq21S9f9t+giB+Tc0joNvzgsIgTrxrpUuAPg6ZfJTmV86mvfFO9bUP/xtb+l+s0Pi5LVOygdJ8nF
sa+pKeBXj9mxWTxLaMQXj3nz9zD0DyHmI/9k1dIKH7o6tgrHQ0VUT9+qWF8ZKBd9fch+vjhMU5TQ
y5egkXOHLdpeXWQOZZqGqRM10jV+wE5XjReyvTMHqUnRCEmAVSEbS10Fo9YZJjbUP2LxJpoIcXS6
U/oX7A/PBlFVlTON2+JT95P5Zq94fkozqkSqFYO/zWTAr5Ir4ULP5tyRzb8ez665PaTgHfnxu7RB
ao4GxQD7KWMk4pHdObgRXaEMfkjuy3W+Q/nfzUmhb9rtv/GxcC5UuCz0+aN9DC33XqOqJad2BjIq
0vYdVttfRzj3GmkZApdXAJ6hZPIxgh5LXRkAwHNk0NCjug/QMff1p38jCMpyCnc7pk7iIghICjmJ
mQ1AID10zV3FIHyMH/82BuuAulPhsmGQulx0Y2wyQxTq0qkL9Ia7PJoQxoRYHFXVhVd25i6dRW9o
4umYes2Jysd31kmZF3YoOXKHy7ZqGzdz+T1twQhshbviPlrF60uiCWdukY8xF8lYh+i/GCEFzy1C
4RZuk7XneOv0IDr08uxof0mT5PMxQTx6xvg7Y3iGSMXHZ4xFOZGAdEMFN5pnYxwpcy4VhedDQBlE
sXlOqJcHuJhOkGEg3IbS+Owp6XM0KBf2z+fVPT/FPyEWVyFVHUWwAi4Of+lD5oePUy1cFRd5UZ8b
H5S1kkozgoE39eSnJ/EzxsScqV6JNFmDAln2W2bk1gR/f3rDH8KOVyQUUgCfDgTMsHQLCzHmj80q
b+ggy399C32MsPjwJZDwoJKRG1C7aNczzwcrSC8nysLfX2/Yz7T2WdH8pIRZnKtBpLaDBHTU0VYA
4Jx6NVO9owcjXYUb9aFDxFBciT+R8Svd+OfXsT/TzefY8zHB2mCRLxuCnhY0HWzDmWOWP2O6tvU2
/b6ARsog+iZYAxBdhd4qONIBWCV35tVlMZAzq//DL5j//OS27xK0ERIoS4xPf+XZyyB+//oRz7T+
Pz7ivDdOAqCrDH0wMgggdJspOKrxd1WRncz4OYBf9lIBCNeD5mlYiXQP6KR9HX5eJh9LuY/Rl1lv
7+MRovCCEa9WKIqB/fhNcoVq8m8/b69CSX5mfHvhqn4fcn2IqtMORCSHLqSME8LS4dWs0OCrfCNz
0nHV/kl+WesJ4rvvCrZy3aIoE24Aaa2GDaKIdv74rw7BpbX16TDgN8gKgG+SbPKGZbogpxOmhtDv
nLQAE1Dl6ZsU+ZJblf0mVvu/TbXmYLP6K4kJScJSNGscLCOuJtpntSjALPDuUqW6D5v64euv+bkb
uoizWEyAiwApRCQi2k3nmHuK1rVwr9+GdvEM/sVuytUl/9dP+2MRcbGA4h6mER7AOPcx34CkdEC4
b/f1U326Hd5DaHTpOQe45hYHUIYGZWQxknUUc9oYMqKB9fAn7QBNfx1nzgeWq1JG6om2K47KjP4+
7kRPCkAgjOBnxPwNLf9VA4bLKiqn7Y705/46O5mf6iTa4gDPJwFDhKaYR3493oo2tApHOw724FYr
dVvvyhv/IiZgflNfPeHiTbIKdXi1ZETqptrVG8Ft18Lm7x1Bcb/48Gz6IpEslX5AJYQWebKbldqk
rbprXDQiL6Y/n3O8RaTFlS4krWAlAW+xxrIAaSxrLW31W/0GY4NDMDFKQUZ2fVHWQPn6PeqLfAWE
fqXitpUQdYCXi0Cb5UqbwUZA3da5hC5J4H2+JBaPOf+g00uiSWOk5338s0T1Oh+9axEYHNSvEh2+
aUIYs0yOodcAWxy3IjC8ona/3hvn9iCTRXHu5NJBXs6MzM6KvMoXmJW11ioSNqba24jP/htByDUo
4Gkaf9KBLrS+UtSGeZGgPJtDDpPmbZIu3bdnDizSMoo0mfuHrstiDwRVVyTUvYxvNt0BzaFknduW
iyyFM+sx940N+On2r5+LkFSlCFGgKrDMBsMandbBQF8g9gBpaccKuFzbXDj7302vF5ubHjs604x/
0ThassnDJpdDY6L08LCkXYVb1e5HRL2Dx2be6rZh144r36SIyuxmGUo7dLojE/YLC+UdV/TVz1js
jQIFbK8AJEfPH30eO7erd59e8bLv8Jk1+eGBF5tCsHopFnHOeE9M+2fJiX9022YFr4YUQnETN1zn
377+kuc24oeYi3Sw8U1gitB7HHHTuqObukAXNtG3fEeK+nRJ8OBzS4N+7Oknnd/AybZPkYFMGrDf
jnzXYMtD/ivTiCXZVYFrdPuOM7XYMI031Y0VQbm5cCFejL+43PWhUq0RmzXOufAeVTXVTu+yn8pV
ar8pED1sDcVpxGKZ31xSIzqTnUEY4D/YaHHlv/+ykycPoPZM3CCsovEIQnk1VYODIyqq2sKFBXvm
TvwQaXEPq4noVZbavsPz9rgH77TNPDe+5BD1uQ07f8uTJ1qcO406ImMcw6trkSbetqjRpkzCMjhp
+/yYuilDsVnPsbGj0M6dEJnP6kIS+inX//gLlvpK8GNbAXJBhcxJ8FMTY5wDBXfovde6juCLXvne
49e75ewGBSSGWBgqg/TlPi5f0fQLDvQqc8o4uR497WmozTWjc+frMGdP9JMwy1Ua6Ak6KHnlRJUI
ZHv2XNUuVCyXQixSQwXui5dbVIF5GDqh/mvqa/vrhzi74E8eYrEMc0zB6EgQARNTaP6Im1c/2wSz
QsDgX0c6u+BPIi0WoqJVI+BYlkG0myvq2UZdcv8HSeD5J4LfLop41iGw9fHrYwZVVBB3C0fcR6mt
yasfiGy5utM60X3zOsI3oSK5LOh1/gKiSpinSiqmeYsLqC0qqU1mgbjkgK6AHe/1nbIJtkCvtl+/
yHPLexZLYwaG9xuH1McH7PQAJ5cwo8kjI7wR5vugOkTp/ddBzr1Fyh7JpIkJGuQdsXF6ECqY5+nd
WMHq15wkMJy+v2oUPBOs7NJpP3+Q5c19GmqxBBEMAMVs9JwPSFitm128B3yxGr+DogCZdLm1cqbe
AuLyz6MtFmJmDhOKBFjFt8Uxq2J7DPO1YN6mZWV7wUUh8Pmzf/F0SyxCwpi8l3JUq+S7zlHW2TrA
2GnlA36gRHAulcWfG8EctmB3QBhiUiDRff64OCAgKyjsoHz2L0QnCkKbefE3K2vTbcbtpVTh7DI5
CTf/+ckyEeXWwHuizFBTe9PUg1WBcNDD1ZBfnJPOtdun9/hPpOWqB4hj6AN2E+TP+l7bzhkXtjEM
Dy9tr8/Nv/dXqIIbAQBOyj4fyifPFEPMgJ/AK5TvxGqVH6u1vFeQwy525B4r6Vu1Fa4zzDAOc9NI
cr2f6MpeuFrOLlHmb//1ExZfkYGWn1Z9kjpQ0FxR2vq0iiQBEYrhdURD9uutfu6SATj038EW37AY
hrI3aoJhtIFhQPl90C7C5c6vk/+OsRTGCzvAE3HNyD07dI7kwF3pofLb9VO4qZ0Rrx9Dt7vfyYaB
/9cPd7Y8OXm65XUgY4VAOca66dbKWrfsIlrnT/GP2p51gdVVem3Y4lp25O8VKIdkeOye5vsh+HGp
QLnwSbXFqrIQqxs7uJqOMcqvjdlvgfPhVT8pN6GX7XS1voQ0Ptej4CgwqJo5DEysjj6uY0Tlyhgr
RBZRvpryFU+Pdv27yLOd7/jc7/fgzaWle+52Oo06n4cnu8dHu8r3JU7XonicNERWAjwbvn39UT/P
Bt636D+PtrjjzR7elDDxDLO+o4owebGTDnzSm24bmBQImDxsA1f4Jdxeerzzn/GfyIvPiPxgrxbQ
p5wsZRQa1+YNPuh7QTMDpxaKXZ1Ju6+f9fzu/K+ADEk/vk9J0LLcSFm/OFnDwV8B1HG+jvD1F9Nm
q7DTL4Zc1CD4KXsz8ZNd0mf7CE/y0LP+jW7EPwsD5dOPYbRRGZnxosBZWfTbU8mpmp+m11xIjs7W
jqdhFqeZil8k2CreF4ZA0lpyyh/z6BVvltvEnTatA/EJjgg37/rrt3j2O8kgDWbnDwWmw8fHy/wB
OYqGwViC9MWuL9X0KGbeUF04zz6D4Oal/08ca5EtSShDaMm8HmZd/ozegxDZuoFnWv5kAKhhkrAx
blEKQCFzU6CJ5n79mOcTDB3oM9hyslx98ZxaWMd+WZHPQO0rHtvNrOVaftdXw5+5u1PYl2B3Z2+O
k3iL79mbCuDclg3XDChYSDdlGzhlBJ69vYCvvvhk89Y/PbkGDck/eoGO8RAetXW58Rx1NeyVvQgc
3r/YXD1XDyknD7b4kOqgN+DbeLBkNwtKN1uAoHy8v57Uz+vlnzBLoWGUY1BpM1kvNZZJ2HlKyYV9
ff6e0UHSgWVDA2e5sRuzkEooutxsVI+03ZE8DFYgYLaGjU7rq3c1v73gQmU8L7NP6eBJ0MWyiCBk
jmLN25vBKUnyEqV42QeXOlHnozAInlGnFJSLKzSFqzrAd0YlXjzK3csk3ErWpR19Icb7sjxZdrWg
ppqv5zjyNck9+d4469xshbb5t/I8C1lYTVeRmV2WdPoIMH1IGAaq4XXcpfZAR+/rw+HcgBXc9X+H
sOYk/uRZurhFq6DiKpHvpPXkxHcKJU9tD9+8XWqLu/zwIq9R80pI3WF4rxnej8he/Sd18698Za7D
N8Qt8j/N/5r/sbe8GDFJC5p3R5R//t//b+4zVPuzevb/2xj0Nnxt/8//PnWd+c9/5L9cZ8T/UFB9
nxXHmQfPyNv/9p1R9f8ArkSlzXSaMKj4nvjO/AcwHKBtjKtxJjXpJ/7jOyOJ/8G/jXYxKwoIL5j3
v/GdWVyjqgWuAbgPoDZSVtxnFqciZuKID4EAhmyCFB1rRcl+nryQ23+dEaf62YtzF/4ho3+uaRpE
xEKD9OMajRCeKgMd4c0Z6txy7iobYYPXyvZCmHcM1MkRtQy07HvWBYbBeqYiIcKEJNuhHpc+SuGI
NZvljQnSKJIU2/GgqU9qV5tu2/TyjacWI55hamk+4khePgqjpz81ilpLq0a2cMRRsTa2c3j/EEh8
HcmPLLRyElGEjLbYcEy4i7f9gESpHnQviFkOj4MgNUgVil74M8gk7J59CQTpSh0G4eBLTKRWsdqi
slr0wvCzyXwEjwQv1Xt7Uku9XENNFo1VOoYgNQvfN35VXZfdVFpZhasSJ0O8lE0tuC9kUYhXgjki
qqRMUayhIpNq+qoY6tx0TKG3SM9bAa1IQJtSgGt2pFyP6MncMKyOkPzVFPN7jzX8N2ri4TaXpPSQ
WpMW22KEtgtysGHzmg9B/iNCsXEvzaoH9qiO1mNeBumvSA6HHzhk1jYHJ66TejqYJUZ7VvjYIGTb
bEYhGK8jaRTcNMcbU8lSn5TJE2NUjqRRMu2gM2SfOqlLNLdPB8nfUcmIud30KmMzUe1w98RWsstd
/M+lH3iMI3FRyloYHXXL6r+NdeO/ZqEUHP1Gxa2ol0r50MRDf5h6r9h7ldrs8sny3uQYrYmV5fX9
D9WwFHtS8JFXkz65F6KSGyA0+g30JXkDNOYhE9Ac4UQFUxF58uQazGMPOXzW1wbs57cGlUTJyVqD
745UMUJMMWaH35XeAHbhp4xnEgmrxtEqur2Odt1WbKHG8DUlfe93ZrTu/biz7Dirg7tMiBMfUz2l
aGy5Yem4aIpme5C05vVkTdX3pJnMB6FoukOuThjWjr2MlpUedfsQZM2jnmTKSztR6tv+lA+PqqJQ
eBaAqw6SXBcy60TQ8W5UiuiHZ+AFmOTSkK0CPY77FdJ5mGU2RqLd53omIs9W+r9yxhY4YEBc8pww
69RkXcj8jmoIPb5FEclPmVGVd1liSjtcyqN2h4urVrtaUGoDPtqtufEDVXFGaZYf0U2US1dxIUev
lhQkuzgIYEbVSnqsRqXeSn2ZPIUoWh0FX0dIjCYbekuhtRIF0TqYMLNcwerQ20ha00D502xtI9XN
+hAVPq6pNfqFGeMiRJTfNWi/V3psftPysN8lFYKG1VirPyA1BHY6olqEQuaIOKsgeUiJRJ6IlL4n
G08Vnt3frDBtXwSs3PuVIOf8XdNT/VtEl2JEPXUUnyDZi5uEefm6z+USnFahXRdhX1wj75U+IcIz
HadQizdZ2IaHLoyjpzHFaVgqSsut8zSH7JX0f2KvnG6DbOpuoyD+0arqdytIVoNKxzwKUG2cdlKZ
3UWTeK2kTbmNDXSkV2neyfdYezdXfdwGL6WX0g9uB0XdjYNiHLPUEG/GxtIRFB/a8AqDddVieGah
dhFqgc9ZCFpb3mqlQh4F7Y+IktGqnaOF/VjgzaurYJSAptnIksU/uyCtb4vJy5EVQ1O62nc1oyTk
8CTxPggtCS+HKK4eMgxTWuRbtBEkBtagVCToE2Hqa42K79ReJwI5qbR4i1+TOB4HVVKPfZ2HDjpO
0otpBN1DXKNtBxAtHoZVLybmU48RG4ojce+/QeWq8eASkysNx9IXH3Q7OqwZtOdRqIU3EU1r9dgp
vQzwWw2gHCS1JN9HUAI5ykfROEjC1GMq0jYoYpaZn90JqANpzIv0cY0GpqiuQo7xx3xilHcH6DU6
xoIvBCuTd/C7KUFmbzBGxhmzTbXiRg376iExO0azMba0UBxTVXyOZaHZDpag1SummznCqPrEKdC1
6JJXPoc29glBm6yiOlF+xaMSHSBHDA3vNVceMyXrj4jJeW5g6uH3RpOjJ76nptiGNKAtGI7BLh/w
IBWlHp+HKtDaxhGpeR/FKfevcBSXt0Y9pUiJl1b5bezH8bssWPlT0PrhtVlaIvaw8rSLu8jf6Bk+
v6skbiSOo9Zf92ERH7NWCh5SZF1+G6NYaP+XuvNYjuPKtuivMDRPRHozUEd0loUpeBAgJxlFAEpv
b/q/6ehxz94f6MfeygIpAUWJaAmMeHw1kQJVTHPz5jVnn7M2iau9/QAwAGKqnAbLzDONJaW+0qHV
R/4hz3sk4cAz4Yt0urGsyLo9L2xQZy6F7s5hAn8QKjEk5Y3SF8qtanTG+yxwPPiYg1+WM1jChnwB
kUgqVlTrRSvsc9XbFh+8C6vwpONyVMoA6KEooTQbnsUwAG/puO8FpGhRduMA/t/BEadN0miRZWN6
g3PEOEB4lvVgrkghzDtHld5n5aBhEull/gVlkhVcBSI6boh36pnQbY8Wie25ooQJUM+sKD54oZfc
Bxh3A45L5ZA5DAb2ZowaRrTUjIzCLVtTu5RtOklCxvd7gfrLFEDQOp5JkMxRxeMy/ZRJenAo60Py
XodDieuJEi9FoVTXdWFj09QV0JXQLyOYNJV20ndA3DFVLRknA0nS1hmc2uMylOyz3oys+SA7wVHc
qqbrTbhwEeb+HGytehLpmjhV6mwauzsTaFgkNRtQREVxx9BFcLUPm2O6Y0SplSqMWcadRm5aVXjk
+qVQJ8Jhe2d3mlTA6qw0MgYxHKaAleq49VDgZzofGru/KkA5w/C0QfUxm4V9MsNYixwoJSAaMcu8
oLr3FApeXc3Oe3x1U09bNn2lQowbxKmFC3O9zJourFyWMAWjdZ891qahHXnOmC2hNeB63EtTKngJ
bAs7t0gOUwqfm+I6ZMNTz8HdU+xtjWP3yZEs86MeOOHN6FTVlZVY4sSMGFMBOXjDTG1GZaoDKuq7
ug0nZwGygWi4pk9uLTmFjRhUVrHs9DBd2enQgeXstZumKwoqhIXPTMDBGLtj69jXi2KuNJXwXQtG
/XU+WDDf28KAS5W2kC0nTwOgS2N0no6G8wvPoJk55C9s2gHUy1CWPY2jiPHGFHZ7GQHam6eJqf8y
thPYsMi0cDU2ZS+z2uZLt4xQF+aFKuILE7aUvfD83mZFqWPfS29R/cJVzEZ7jLKgu+oatfwkotG4
ClMljBe1D/Nx2dLgodtCRVubgaIvJBVOr5uRM8MM7HdjPNO1LnDcUsBxcnMskhftYCqPfQr9ZB4U
wnkQkgDz1Ja+/54Fmo/xoxES+JQVRmFjKOwLK/ZpEbMsKMNWcFp+THRv2NIi2Gd3FPjEDj54YIGM
4pF6QpEwQQVSuFS1JjEAUw3iyEsUG59vbJQvDFiy9zWcsIeuHMrzYQi0YtZbDZ2wDVX5puh9kc8S
zxsDt2oaY5uWZZEv0qCWGtcj5YhYemSY4dzI9JYq59KrWXsNliBLDmL2Bz0Z5LUX9+m6cFqPIpBh
lKBPsga4j73GbF0rdhigKj26L7Kuvm2TSG9namJXvyQilq7BBXMpBthbEowkIPFa1ZaLCqL1sczk
3LgWv72xq7BJZ6WqFRgI5EV47tROei8hjNhzXZXG64ZVReAGqQP4GWdi/2KozTqEmIjZu9JZjC6D
3+fU+PQN/jDtEIr3XhOxUMVUWGfQCvOLkTV0DujSUq9IRnJAOOcNh4wMX3YDrSbSk+eFOe/bTt74
vq+y1pCVVRJ7u11KG94mlR+MLvXpUbWwstaoZ2MV5ynzrWeQmSYPzSavFRkQsvzE7+r12M0HWfdn
ogs8oJktpPrZEAUmqYdB0Z+O8HxvW6jyV4ljia2nh8Um9EYKBIK+3CaYtV+XlOMc6ZGdfmRlE8OI
tIyW4t2iGt73oQhOZfztr3rq+laZkxa45vVl1S+LsVWDRZinVPY3rMtdGVwvRl2NNFIHWsvle7tr
OLimVEddIDlLdj/ku4HPBzJbxSEODkMSXESNsFeaVde3QSCJuzbw8nO7bKUlNajlh6hhYq9ZnZ5n
pSJAVlthcGGPqVG7cC7LDduv5rRXE4jVQxBDRlek2DirEj0/9NROHBaWLK0lu6kvBirAk4XR5/0H
PEbYPQeV2R2lMgX9CxU4bcFKoRhYmAwieVCS0md/bXfKpsfUDtuG3gqmzuPAV5yGgHIhyRA2NZL6
NqpeAf1PYEmrbopSiFd32hjrzI69rW+E+qqDEsFQklfhtcEASmoWdQX4mLQhdhih1pyy6zPZqpVS
U7lWmnghxX6NfVaUxNHXpRz8UlqjfGGFVc477rTthVpp42Edp8qnrlCKh1hti8eesfuMrURy4yhV
uw41JV5bJckWfV/g1FSk4ozabNslYFevWq9Uj2VPWCcqxphLJ/eTFQYa8ZkaN8Oy9MvxrLILfYV3
vb+oBt5XpwC0F0Ydb35Rs0ioOrVdlKZpkHDq43wRel5Aj2PxVyqxeUUOuL7W6IALPVOaTVvk8jqw
/GKt5XUA+BhA54wclBQ3AbsC0T3q/ZXqhPXt2DC+mb5XXqhtE20kR2kvRZ3bFSNGYs0wpJ+g0o0/
zFmuKod+krKpKMYIn2m5NP21YzX5FVqTurLZfp0EAMRdFk3KxvEtdWUw/S+8vKoAYKSYHlAbKC/I
pYNZTI6ruRziXAyuXlHoZA3ZOEEC83U0dvkGCb9fsx3TT4St59vC79KjNtOKlV21erPQhKVAcp7A
5QmDj+kZNdY4bXxq9Xp22LIPYiikdxw76tDcV1atnVfFlE8W2fLcIZzzER7lsMrLRD3Tx1FdRZ7W
fmpo6TOlkSj/xFWnQQ0u6FkgZOpT3aqL9RB6xbFuDX3qkotYd3PW7tXaMKr8vQRAcZY1hXpusmOa
aX0fHOV5n100WG1guNFXOMiXSlUwQqv6qmH96pDBQuXFhB+XWXp09XXXycNRQe+LIWq2NpN7Y5/q
vSUv6qLz1ogB3SLyhLgltliWrqFH7U3i1PGJZ5v9Enc3c2aaSvwQVwIXRQOVM4l93oXeuSqGS8yM
enwJcif7pDZwvZdmOGLGAsLDJ/tVddKTNsp00qidwc9dYXb+0iusdkX5oEN1SugpR0HSdu8FnYfk
0iTvZEaWxNqMOAsdxlWvB66aTwJTFlf6UUFd1qaj6J3lrK2cGDBHw7kUEmdzbYlqdwZ2u1fBLIfJ
Yy+ASS8NCI3tXMZ9o2f615zYjUd2ukKPGIF1GOLJUZV35ZWmVv0na/ANiWWT7t3UbEost5YrHGQC
PdV6Ig+5ka6bsFbOJN3zt7o6YLxACvQDce2Cp42vx6mRVAMgAWkIzgr2bGvIfSYDgj8oJxW+Cqey
2TpnTOFSuIhEEVozpYoHYkZGoV0XQ1z90tVqcGt4fjzvKeNZmLaXSOvGzIf7qs8dY1bZwrtSFSEB
xyH6FGbdRamEmvdKjHtf7jDJqyE+ShCVagMkgX0BLMJ2wit9ElD7O5tyBnVRLKeasJAi34gsHySw
bPYa0Wg///erk+7JHZI+DKGpE7TsZv28PwTkuMteUI60BZm4l98OXb56i3tKmMnarMIpJ3bpyYfT
LWrzZjNV7e9ukQFu/votGtMtvAiX7rXrXlxWxMoYVvZkiES6wrI69I/ThQLhWSNhcFzOcyQ5c6Yd
d/iPeBcExdbdRlGzGbkTR82psTZSGp7/N5bavOB5TGkdnkcawsJZ5fNik3gS6q+CB248l7CBmueH
pC7f3KgnRTFB3xgUXoc77Gk7Xz22vVSz0erUWqpoyPh9t6gOlXmxVI6f+opVzqgEnkNzn73y9CZR
6hsNuV+zTbyUNYRGQxourgMnoObm1To/mSAPxmva35R98NW5mHcpAp7qGvZrpAR8YDmLpxtM3O49
QKF5cQXVF+GPd2GSg1/NztoTCJ6a9Pcz7t+d4ngt7ADubjITncRGGNCJN+82Iyml3tomU92cUx3K
e4FaQU7PxOwgK81YhVevJYPs1719dTF7+uBgBp6SdNx+dGiuknNnGR/16+k1GU2XInb39ddkX2L7
6pR7+TXWUOWOX3L/wcm49NfKuh2R2o6LdXliLsFNLZuZpLnpEn7bvF72JAxTH3fsLczFrpv9JZHt
/5t8tiNQWd8U0GaP2+rXfz0X0H77R58lNM06oJpGp0IAs+JJ6uSl7h5F/fNPkq4cUGmpIoTbKsnH
ssUYhiFPHfCdegDYR4ddBPGC72AZ/i6hWQeAAKlH5d9NHFhwvX9FQts3NAYNx2lACBm6bWsUm+4N
362ed8HAJtlNSLYr48P6mhfzKrwp1hY5MYQpQncgz02aK68MB5QW7Y8H5BpQxWhwp9TMG/rePBU4
zmAPfgT5lzASylLgqVdpKgk2qJGywrUWhaAUD7C/xS9G64cLwTZ+oSPXXMdW5Jz6RSKvgUoml4LF
zzKrsaATWsNPVDPeproXHNvscjcDkaqGXXFm3BWpmZ3HRpqtWOqqd5nqSb5bTkZbfaoUV2Hk93cB
fgiYnhj1lYacsGokJV+3kaGfEjZn4VMP9hjMIgliousrlsfcXrXDQqi1SuQkGpY29o9z8lBQdHxS
gBZ0kPa6qHPlBpF1JKQflqcpriFLoxwazH8qNZ8OoS4trY/WvjQGmEeF9SweZODLQ9ksmzJtOzcb
G+Map5ZkKUfRuGh9v980NTCRWTh0MlYIYa6e5q1VnuExgVheQeJfqPCLNlUWTgIca9KV7pvWxQCL
8DBAKLj3e18V1Fhk3mRDUy+FgjUHkS9l0Te5es1p7cumj0dvpjnSOLPzNj0esiZZWPg0Z7NU7fqb
Ih2TByw+itxt4HviEplNmDIRXkhhB3hPVrHAchol45EkVr+IVHpWk9baynKMmFIFiwDTzLBHxkEt
lFmGB2g4mQowYuwqsUh6c6KKM30XDZHxsutvHSpVVvLYlRcR9p9HBRZYRwhQ0aLScbzEIsc7FDDy
7tSEzLQ+0cRHtSxlbMKrqDmthNCPZdVTT0QWYQjnGeNRI4Q4NwiDzjEplXS39XII7Z5HkZoDW/BG
xKO2dvQUB1PZ6ZKtpUfkEnYWeOcsVHvslpCOnNbESq1XII7XlblRlKYkhczPhEJIAmP2uWR0XTgL
1aZdt2ohtLmum2U6Sx3y5t00rWxIOp3sc0xkww9ciHGITuYPs8IwZDGH3TkcpfDUFw2bgYuAqPQJ
YZP+Ci788Ikc/OzatArCwFoa97ekDDGeTwFfMa+I+1x1Ptog8THbi9cQ1svINYyi/GgnpnqC9Uzp
LX2Y0B7X51fXmhYYJ+ag6JlryU1IlNQJR7FkQ5srwaLT9HBVGw3xgCryOnVeR2hPy7o1eYUbnAoh
o/ITouqa8D70naySyj6l/jwOcWpZc3wKystWor9W3WMXWshuceJgcdd35izrFan5aJkjxvIYBEzE
9sIUt4Hc1eKwrsaoCAhxFKm17kcc5mat2cTRLE+ibDhnzMyNExD51YJt/zDDYxuwigZWT696/6Tw
grZHTmWvQpjd91qcmizJWPL/mbn0e6unsMoorA/1mGTevNZKVmAKaPy55vWJszRI6MT8x8IsKgpa
/9HIWslfEqRLWF4K7SNMHDM/x3vBHF017ocPeV/okatrfgd6olbrUyXsrFmX4S44C5vJLIsX0HpI
lED4kP4bAw+6Lo4iHJq85hfU9P5ej51g3aFx32WicrqlwGKBrTUQy0Onsu1jNvziyM8rqSJuY2CX
64lh7M5NZ2hzdrSZfRr0foLaJhuXfV6qd04YJnfdiBPuTMRt8J6cr3pl+mWyTOzGyHFqGuLBVUQp
BW7CyBzNsMnRMetoQ/u0s1M2oI4nH1O9kwNCG+IwPSMBvvgUCVu7I1av2S5BWeuxUOxmmRlyeWFE
enyp2XH+McAOZM2l9oirdovXr9R6+DS2lliLTle906GSeRJUDxOAHHYx/oio0pYsWjzP8txTPiQ7
PQByJ6g5a5IJzKENuxlsHhQlPU5tYCnyJDK0CHinWCcrJ4NqEBXUg3DlxLjueRVi71j1pCOkk3RR
90kjZt1O1ggmhSOEV3IyTViE36MeBYTCrWs5aGOMIdBHwrzHsJ2plKGqbYU8w64UQUWj4x7VpleN
GNAIqqKSbLyxCf1fd2VqrVTc944AJ4X1HDU626Q7xcbfqTfOJOQgs+Qf2G7HgSv6GGOiRJZOQsvM
r5KqZPEvF+R08EB9RE+tNl0J1g5/teQbeVKQDE/XyK/cCUvppDFpYZJEi3ocUZ52IpSDduYs6moK
bOD4d9QC/iSQ2JfsacJGKYIFmBPpuJmELaqTopNM0ZtVF5NE3OzELxClmnxB1EzEGKPk46OVDc6j
PIlmDMPlJt4paR45NYf5Tl8rJ6nNwXV56Uzym7VT4qS+oqKFqWWVNSQRe5NkJ2VOce9PMp65U/SS
nbjXBOFVOwl+wpD9ZTyJgMZOD4wmaTCWvfHQmuRCfxIOs1wqLk1sEj6FWFXeduR0IHdAFjkSioT3
6CRAtg3h1XlgmhlMFtOOjvGNDjDiFfG82ymYfVRGN/4ka+J3gyvkJHWyMTQ+lm2qXei97xxVWoTx
JjYbDxjHBg+2nRC1U7Dju7PSQjkWoe+kMzIt6veh3wQ1md5avcakQsbmZxJgCQ1LuSsjfgORbYqz
YifWip1wy1TY3cSBU39o1bK6Qe1F4yVabV/jKGb0s1iSI/wo7X4gkrDThutJJlYBNRC282RxI1lk
25BqrqiXiCTIy81Oap6slPVTrIAV4yht++hjF5ftaQX07BBtycS7B5HwWtWt4jrYydp2Xo75TFE7
6dgbjHJmW35+R2eVZtnkz5lFwzCc1pNMLsWdRZVoWKMs5rWcPlTIAlcF1oTJpmlMCZ8LQbIk77di
RW5nZcVRxDJpOORRVXAPssw3jquUmvEVDlhZ4I5FY95mSRDSTQdpxNVaT0h+yvSMlJU0MqVPfq/2
930qLEEgWrcU1DhnJFPbIKxeqYN+IzUiuYxxVlNI8fGU1vVC4d8Xdjleiq5TFnXHohjrS4G3m9QX
/afRr7vl4JXBPaYc+GOWzpCddG3PeccGW82ZrQ9qjF6c1ngH8mBTV8KcCecCgAMbx8rrVyJHfxDg
AH9LXZYKLo5twLSXfpYcKffRKEgKwNVmlEhZpQ5mgQl3/MpZvtofU6tnKxNNGSMJW9nnDHTegBrn
sPiv4htLP0vqm1fCC18t8XWFDQo4K0gGWEns3OWf3UbJE8YYCUYJlshzO3E19t1TLRa1HvXKOXy1
8OurGIquUL4CN2Ha1BjAhF82W0AGRYSrNNkcy2Hh1Osps1jnfPWpTG36qto0Z+Hy1YDbV0GUvbPu
RaOKodFlHLcwaT3Ej/14KpvRXTLeL1+vWN0vODOhvry4w70oUatluH84nIu5YKUzEjFJ07YO0vFU
KWvPxbxHXj2LFt69NkvWNS7MmMsvX0sV3y9h3b+Q/YzFMDJayTC4kInTMtXYaasJlPz6LX8dOJlu
GeEbjvlUxroP/GZvbWGlxEOdbjmb5ysnPRRzcVJfxlSg54vxLtJfeTF2pjAvYlWck8oQG7wS6HZ1
/+76QfKAo7XT3aWn5ZG/aIGs2m55Xa9eK1r4OoI6nWsap2z0CtAYe+96zuqhHwIcJ82LbiEv9AXI
/aU0a4/kJWyYeXr2G0n2LwVk/m+znj9f6nxbb/FnDuvhonmshstH0SS12GVe+4/59O15HmZkK/y9
H337QO8ed2e+HorHn3+6z5usnq6AKujseUxHY1B7kUS9u6Ld5X7rAMmWu2oeOLJE1jNILT4T0DzJ
gQN+/sLQDlR5+ljm7j/T95zqWdv82d1/+8aemvHbv3lx7duHNISmLuoqvK+f3zx7SkaY/+b29w7x
7Pa1A14gsrQd/KV2n71WMOUDCMOUnViM2tPnx2sFhlymmrc1g2IemFSHwLD9/WE/7wy6Q6wQdKqM
D8fuwzTyY3UGPDf246F/8i78eWdQ1AOg93BbNfrV89vX7AMDIhccSuvp9p/63Q/0LkzVEU9dkyqR
56PT12PBN+7fOQByjTcNRdS7D4uJ582gaweUTZj85vPL8NTiP1AzgFe1WVe97WWwDwiGTxRiesIf
NYOm00w6tizwF3efpzP+QM2ASRSIVoqW3tYQqnFAoJ/kfeCyT5+9/sCoYOuUd9Anvnz/g40KFjYz
b20GjTkADzOqbV7evqEcUD5KlRihh93nh5sbuGSVd/iNvUA7oFrbMadioz96Hai3onQCwK38uRP8
cHMDhjxTMefbmoGFEtVhsGyfzQEvBkf7ABo3BdOA2r800w/2MkwotLc2gyof8MbDE/k8RUylpM+b
wdAPILizs2ax8Feb4b8YQX9bfs+CMHnYLbzDR/FH6/M/+8GXlefX339edR4+/PwT6+oXv5uW4U+n
/n1Z/o8XE+luYfzsyy8L5d1pPv/zz/f39ZlfnOvLTX354zp8rLbVfTDsvhg+X+XpNmX5/s/76vH5
ktjUWZn8fhU///TiGp89+28eNNn6+VZ8OdDUHqyOeavffOB0O+bZ3pF3i/i3HtndBuH2ywVOF/y0
HHzrYZePD7R98u6Pdh9o5oz3bz3DQhS//qeCLfnuapvV+ZcDPrU5xPgvf3jaB/6dp7nKw1//9fJh
Pu0Y3nrpm221zYJf//3iogkMfo+L3mxpkRWFzyJ/90DbNMmXhtg93KeB7O038NtJXh6dPdCXP/z9
dj/fz79QWS5+n+Nuf/3Pp73eTprGd7jkxwqh+1Nz//KRPq2p39ralyGP8vHd0TZ7JAX6y8XuHidx
3u9w9dMJVnRJTkKXOSVd5cXQCGpkYip9j9v4/Sz7HfNpufnWc0xDwfbdjABTFWYvHzRw2u8wJlzx
1r473zbJy+fwtFp889U/knhdvGh7lsiTWcRbj3yd39MyYfZiNPu8uHvrsf+ZbouX+VLTlvo7vK8b
HqF4t2IeCV9e99OO/a3X/eeghGfxw78zb1zmXHH6ovdNLfI9XqE8e/j1f7KXE/bkaIPi+vZOwri7
zV4+yd+2w29t7G8l1X2zuf9o5fdbLPXr9eCXGOkf/bOXa93pF/cJuX7/+F8AAAD//w==</cx:binary>
              </cx:geoCache>
            </cx:geography>
          </cx:layoutPr>
        </cx:series>
      </cx:plotAreaRegion>
    </cx:plotArea>
    <cx:legend pos="b" align="ctr" overlay="0"/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3" Type="http://schemas.openxmlformats.org/officeDocument/2006/relationships/image" Target="../media/image2.svg"/><Relationship Id="rId7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hyperlink" Target="#'Movimenta&#231;&#227;o Estoque'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hyperlink" Target="#Funcion&#225;rios!A1"/><Relationship Id="rId10" Type="http://schemas.openxmlformats.org/officeDocument/2006/relationships/image" Target="../media/image5.png"/><Relationship Id="rId4" Type="http://schemas.openxmlformats.org/officeDocument/2006/relationships/hyperlink" Target="#Cadastros!A1"/><Relationship Id="rId9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3" Type="http://schemas.openxmlformats.org/officeDocument/2006/relationships/image" Target="../media/image2.svg"/><Relationship Id="rId7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hyperlink" Target="#'Movimenta&#231;&#227;o Estoque'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hyperlink" Target="#Funcion&#225;rios!A1"/><Relationship Id="rId10" Type="http://schemas.openxmlformats.org/officeDocument/2006/relationships/image" Target="../media/image5.png"/><Relationship Id="rId4" Type="http://schemas.openxmlformats.org/officeDocument/2006/relationships/hyperlink" Target="#Cadastros!A1"/><Relationship Id="rId9" Type="http://schemas.openxmlformats.org/officeDocument/2006/relationships/hyperlink" Target="#Vendedore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13" Type="http://schemas.openxmlformats.org/officeDocument/2006/relationships/chart" Target="../charts/chart2.xml"/><Relationship Id="rId3" Type="http://schemas.openxmlformats.org/officeDocument/2006/relationships/image" Target="../media/image2.svg"/><Relationship Id="rId7" Type="http://schemas.openxmlformats.org/officeDocument/2006/relationships/image" Target="../media/image7.svg"/><Relationship Id="rId12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#'Movimenta&#231;&#227;o Estoque'!A1"/><Relationship Id="rId6" Type="http://schemas.openxmlformats.org/officeDocument/2006/relationships/image" Target="../media/image3.png"/><Relationship Id="rId11" Type="http://schemas.openxmlformats.org/officeDocument/2006/relationships/image" Target="../media/image8.svg"/><Relationship Id="rId5" Type="http://schemas.openxmlformats.org/officeDocument/2006/relationships/hyperlink" Target="#Funcion&#225;rios!A1"/><Relationship Id="rId10" Type="http://schemas.openxmlformats.org/officeDocument/2006/relationships/image" Target="../media/image5.png"/><Relationship Id="rId4" Type="http://schemas.openxmlformats.org/officeDocument/2006/relationships/hyperlink" Target="#Cadastros!A1"/><Relationship Id="rId9" Type="http://schemas.openxmlformats.org/officeDocument/2006/relationships/hyperlink" Target="#Vendedores!A1"/><Relationship Id="rId1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487790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1288415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2087202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2885988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3724457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967740</xdr:colOff>
      <xdr:row>2</xdr:row>
      <xdr:rowOff>113451</xdr:rowOff>
    </xdr:from>
    <xdr:to>
      <xdr:col>2</xdr:col>
      <xdr:colOff>2166320</xdr:colOff>
      <xdr:row>3</xdr:row>
      <xdr:rowOff>14247</xdr:rowOff>
    </xdr:to>
    <xdr:grpSp>
      <xdr:nvGrpSpPr>
        <xdr:cNvPr id="16" name="Agrupar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1463040" y="113451"/>
          <a:ext cx="1150955" cy="700896"/>
          <a:chOff x="0" y="1269316"/>
          <a:chExt cx="1198580" cy="688719"/>
        </a:xfrm>
        <a:solidFill>
          <a:schemeClr val="tx2">
            <a:lumMod val="60000"/>
            <a:lumOff val="40000"/>
          </a:schemeClr>
        </a:solidFill>
      </xdr:grpSpPr>
      <xdr:sp macro="" textlink="">
        <xdr:nvSpPr>
          <xdr:cNvPr id="17" name="Retângulo 1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gradFill>
            <a:gsLst>
              <a:gs pos="100000">
                <a:srgbClr val="BC8FDD"/>
              </a:gs>
              <a:gs pos="30000">
                <a:srgbClr val="7030A0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CaixaDeTexto 1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0" y="1692649"/>
            <a:ext cx="1196340" cy="265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50">
                <a:solidFill>
                  <a:schemeClr val="bg1"/>
                </a:solidFill>
                <a:latin typeface="Montserrat" panose="00000500000000000000" pitchFamily="2" charset="0"/>
              </a:rPr>
              <a:t>Estoque</a:t>
            </a:r>
          </a:p>
        </xdr:txBody>
      </xdr:sp>
      <xdr:pic>
        <xdr:nvPicPr>
          <xdr:cNvPr id="19" name="Gráfico 18" descr="Comentar com coração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2</xdr:row>
      <xdr:rowOff>114406</xdr:rowOff>
    </xdr:from>
    <xdr:to>
      <xdr:col>2</xdr:col>
      <xdr:colOff>878540</xdr:colOff>
      <xdr:row>3</xdr:row>
      <xdr:rowOff>469</xdr:rowOff>
    </xdr:to>
    <xdr:grpSp>
      <xdr:nvGrpSpPr>
        <xdr:cNvPr id="20" name="Agrupar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180975" y="114406"/>
          <a:ext cx="1192865" cy="686163"/>
          <a:chOff x="0" y="457200"/>
          <a:chExt cx="1198580" cy="686809"/>
        </a:xfrm>
        <a:solidFill>
          <a:schemeClr val="tx2">
            <a:lumMod val="60000"/>
            <a:lumOff val="40000"/>
          </a:schemeClr>
        </a:solidFill>
      </xdr:grpSpPr>
      <xdr:grpSp>
        <xdr:nvGrpSpPr>
          <xdr:cNvPr id="21" name="Agrupar 2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GrpSpPr/>
        </xdr:nvGrpSpPr>
        <xdr:grpSpPr>
          <a:xfrm>
            <a:off x="0" y="487790"/>
            <a:ext cx="1198580" cy="656219"/>
            <a:chOff x="0" y="487790"/>
            <a:chExt cx="1198580" cy="656219"/>
          </a:xfrm>
          <a:grpFill/>
        </xdr:grpSpPr>
        <xdr:sp macro="" textlink="">
          <xdr:nvSpPr>
            <xdr:cNvPr id="23" name="Retângulo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>
            <a:xfrm>
              <a:off x="0" y="487790"/>
              <a:ext cx="1198580" cy="655769"/>
            </a:xfrm>
            <a:prstGeom prst="rect">
              <a:avLst/>
            </a:prstGeom>
            <a:gradFill>
              <a:gsLst>
                <a:gs pos="100000">
                  <a:schemeClr val="tx1"/>
                </a:gs>
                <a:gs pos="0">
                  <a:srgbClr val="7030A0"/>
                </a:gs>
              </a:gsLst>
              <a:lin ang="5400000" scaled="1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4" name="CaixaDeTexto 23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 txBox="1"/>
          </xdr:nvSpPr>
          <xdr:spPr>
            <a:xfrm>
              <a:off x="60960" y="877309"/>
              <a:ext cx="107442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Cadastros</a:t>
              </a:r>
            </a:p>
          </xdr:txBody>
        </xdr:sp>
      </xdr:grpSp>
      <xdr:pic>
        <xdr:nvPicPr>
          <xdr:cNvPr id="22" name="Gráfico 21" descr="Usuários com preenchiment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27660" y="457200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94293</xdr:colOff>
      <xdr:row>2</xdr:row>
      <xdr:rowOff>85239</xdr:rowOff>
    </xdr:from>
    <xdr:to>
      <xdr:col>3</xdr:col>
      <xdr:colOff>1292873</xdr:colOff>
      <xdr:row>2</xdr:row>
      <xdr:rowOff>799901</xdr:rowOff>
    </xdr:to>
    <xdr:grpSp>
      <xdr:nvGrpSpPr>
        <xdr:cNvPr id="25" name="Agrupar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2704143" y="85239"/>
          <a:ext cx="1198580" cy="714662"/>
          <a:chOff x="0" y="2026920"/>
          <a:chExt cx="1198580" cy="714662"/>
        </a:xfrm>
        <a:solidFill>
          <a:schemeClr val="tx2">
            <a:lumMod val="75000"/>
          </a:schemeClr>
        </a:solidFill>
      </xdr:grpSpPr>
      <xdr:grpSp>
        <xdr:nvGrpSpPr>
          <xdr:cNvPr id="26" name="Agrupar 25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GrpSpPr/>
        </xdr:nvGrpSpPr>
        <xdr:grpSpPr>
          <a:xfrm>
            <a:off x="0" y="2087202"/>
            <a:ext cx="1198580" cy="654380"/>
            <a:chOff x="0" y="2087202"/>
            <a:chExt cx="1198580" cy="654380"/>
          </a:xfrm>
          <a:grpFill/>
        </xdr:grpSpPr>
        <xdr:sp macro="" textlink="">
          <xdr:nvSpPr>
            <xdr:cNvPr id="28" name="Retângulo 27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>
            <a:xfrm>
              <a:off x="0" y="2087202"/>
              <a:ext cx="1198580" cy="653930"/>
            </a:xfrm>
            <a:prstGeom prst="rect">
              <a:avLst/>
            </a:prstGeom>
            <a:gradFill>
              <a:gsLst>
                <a:gs pos="30000">
                  <a:srgbClr val="7030A0"/>
                </a:gs>
                <a:gs pos="100000">
                  <a:srgbClr val="BC8FDD"/>
                </a:gs>
              </a:gsLst>
              <a:lin ang="5400000" scaled="1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9" name="CaixaDeTexto 28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 txBox="1"/>
          </xdr:nvSpPr>
          <xdr:spPr>
            <a:xfrm>
              <a:off x="60960" y="2476195"/>
              <a:ext cx="1074420" cy="2653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Dashboard</a:t>
              </a:r>
            </a:p>
          </xdr:txBody>
        </xdr:sp>
      </xdr:grpSp>
      <xdr:pic>
        <xdr:nvPicPr>
          <xdr:cNvPr id="27" name="Gráfico 26" descr="Gráfico de barras com preenchimento sólido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297180" y="2026920"/>
            <a:ext cx="579120" cy="57912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969917</xdr:colOff>
      <xdr:row>2</xdr:row>
      <xdr:rowOff>109986</xdr:rowOff>
    </xdr:from>
    <xdr:to>
      <xdr:col>2</xdr:col>
      <xdr:colOff>2169585</xdr:colOff>
      <xdr:row>3</xdr:row>
      <xdr:rowOff>13446</xdr:rowOff>
    </xdr:to>
    <xdr:grpSp>
      <xdr:nvGrpSpPr>
        <xdr:cNvPr id="105" name="Agrupar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GrpSpPr/>
      </xdr:nvGrpSpPr>
      <xdr:grpSpPr>
        <a:xfrm>
          <a:off x="1465217" y="109986"/>
          <a:ext cx="1142518" cy="703560"/>
          <a:chOff x="0" y="1269316"/>
          <a:chExt cx="1198580" cy="688719"/>
        </a:xfrm>
        <a:solidFill>
          <a:schemeClr val="tx2">
            <a:lumMod val="60000"/>
            <a:lumOff val="40000"/>
          </a:schemeClr>
        </a:solidFill>
      </xdr:grpSpPr>
      <xdr:sp macro="" textlink="">
        <xdr:nvSpPr>
          <xdr:cNvPr id="106" name="Retângulo 105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100-00006A000000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gradFill>
            <a:gsLst>
              <a:gs pos="100000">
                <a:schemeClr val="tx1"/>
              </a:gs>
              <a:gs pos="0">
                <a:srgbClr val="7030A0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7" name="CaixaDeTexto 10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SpPr txBox="1"/>
        </xdr:nvSpPr>
        <xdr:spPr>
          <a:xfrm>
            <a:off x="0" y="1692649"/>
            <a:ext cx="1196340" cy="265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50">
                <a:solidFill>
                  <a:schemeClr val="bg1"/>
                </a:solidFill>
                <a:latin typeface="Montserrat" panose="00000500000000000000" pitchFamily="2" charset="0"/>
              </a:rPr>
              <a:t>Estoque</a:t>
            </a:r>
          </a:p>
        </xdr:txBody>
      </xdr:sp>
      <xdr:pic>
        <xdr:nvPicPr>
          <xdr:cNvPr id="108" name="Gráfico 107" descr="Comentar com coração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2</xdr:row>
      <xdr:rowOff>110941</xdr:rowOff>
    </xdr:from>
    <xdr:to>
      <xdr:col>2</xdr:col>
      <xdr:colOff>880717</xdr:colOff>
      <xdr:row>2</xdr:row>
      <xdr:rowOff>798839</xdr:rowOff>
    </xdr:to>
    <xdr:grpSp>
      <xdr:nvGrpSpPr>
        <xdr:cNvPr id="109" name="Agrupar 10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GrpSpPr/>
      </xdr:nvGrpSpPr>
      <xdr:grpSpPr>
        <a:xfrm>
          <a:off x="180975" y="110941"/>
          <a:ext cx="1195042" cy="687898"/>
          <a:chOff x="0" y="457200"/>
          <a:chExt cx="1198580" cy="686809"/>
        </a:xfrm>
        <a:solidFill>
          <a:schemeClr val="tx2">
            <a:lumMod val="60000"/>
            <a:lumOff val="40000"/>
          </a:schemeClr>
        </a:solidFill>
      </xdr:grpSpPr>
      <xdr:grpSp>
        <xdr:nvGrpSpPr>
          <xdr:cNvPr id="110" name="Agrupar 10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GrpSpPr/>
        </xdr:nvGrpSpPr>
        <xdr:grpSpPr>
          <a:xfrm>
            <a:off x="0" y="487790"/>
            <a:ext cx="1198580" cy="656219"/>
            <a:chOff x="0" y="487790"/>
            <a:chExt cx="1198580" cy="656219"/>
          </a:xfrm>
          <a:grpFill/>
        </xdr:grpSpPr>
        <xdr:sp macro="" textlink="">
          <xdr:nvSpPr>
            <xdr:cNvPr id="112" name="Retângulo 111">
              <a:extLst>
                <a:ext uri="{FF2B5EF4-FFF2-40B4-BE49-F238E27FC236}">
                  <a16:creationId xmlns:a16="http://schemas.microsoft.com/office/drawing/2014/main" id="{00000000-0008-0000-0100-000070000000}"/>
                </a:ext>
              </a:extLst>
            </xdr:cNvPr>
            <xdr:cNvSpPr/>
          </xdr:nvSpPr>
          <xdr:spPr>
            <a:xfrm>
              <a:off x="0" y="487790"/>
              <a:ext cx="1198580" cy="655769"/>
            </a:xfrm>
            <a:prstGeom prst="rect">
              <a:avLst/>
            </a:prstGeom>
            <a:gradFill>
              <a:gsLst>
                <a:gs pos="100000">
                  <a:srgbClr val="BC8FDD"/>
                </a:gs>
                <a:gs pos="30000">
                  <a:srgbClr val="7030A0"/>
                </a:gs>
              </a:gsLst>
              <a:lin ang="5400000" scaled="1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13" name="CaixaDeTexto 112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100-000071000000}"/>
                </a:ext>
              </a:extLst>
            </xdr:cNvPr>
            <xdr:cNvSpPr txBox="1"/>
          </xdr:nvSpPr>
          <xdr:spPr>
            <a:xfrm>
              <a:off x="60960" y="877309"/>
              <a:ext cx="107442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Cadastros</a:t>
              </a:r>
            </a:p>
          </xdr:txBody>
        </xdr:sp>
      </xdr:grpSp>
      <xdr:pic>
        <xdr:nvPicPr>
          <xdr:cNvPr id="111" name="Gráfico 110" descr="Usuários com preenchiment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27660" y="457200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97558</xdr:colOff>
      <xdr:row>2</xdr:row>
      <xdr:rowOff>81774</xdr:rowOff>
    </xdr:from>
    <xdr:to>
      <xdr:col>3</xdr:col>
      <xdr:colOff>1296138</xdr:colOff>
      <xdr:row>2</xdr:row>
      <xdr:rowOff>797525</xdr:rowOff>
    </xdr:to>
    <xdr:grpSp>
      <xdr:nvGrpSpPr>
        <xdr:cNvPr id="114" name="Agrupar 1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2707408" y="81774"/>
          <a:ext cx="1198580" cy="715751"/>
          <a:chOff x="0" y="2026920"/>
          <a:chExt cx="1198580" cy="714662"/>
        </a:xfrm>
        <a:solidFill>
          <a:schemeClr val="tx2">
            <a:lumMod val="75000"/>
          </a:schemeClr>
        </a:solidFill>
      </xdr:grpSpPr>
      <xdr:grpSp>
        <xdr:nvGrpSpPr>
          <xdr:cNvPr id="115" name="Agrupar 114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GrpSpPr/>
        </xdr:nvGrpSpPr>
        <xdr:grpSpPr>
          <a:xfrm>
            <a:off x="0" y="2087202"/>
            <a:ext cx="1198580" cy="654380"/>
            <a:chOff x="0" y="2087202"/>
            <a:chExt cx="1198580" cy="654380"/>
          </a:xfrm>
          <a:grpFill/>
        </xdr:grpSpPr>
        <xdr:sp macro="" textlink="">
          <xdr:nvSpPr>
            <xdr:cNvPr id="117" name="Retângulo 116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SpPr/>
          </xdr:nvSpPr>
          <xdr:spPr>
            <a:xfrm>
              <a:off x="0" y="2087202"/>
              <a:ext cx="1198580" cy="653930"/>
            </a:xfrm>
            <a:prstGeom prst="rect">
              <a:avLst/>
            </a:prstGeom>
            <a:gradFill>
              <a:gsLst>
                <a:gs pos="30000">
                  <a:srgbClr val="7030A0"/>
                </a:gs>
                <a:gs pos="100000">
                  <a:srgbClr val="BC8FDD"/>
                </a:gs>
              </a:gsLst>
              <a:lin ang="5400000" scaled="1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18" name="CaixaDeTexto 117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00000000-0008-0000-0100-000076000000}"/>
                </a:ext>
              </a:extLst>
            </xdr:cNvPr>
            <xdr:cNvSpPr txBox="1"/>
          </xdr:nvSpPr>
          <xdr:spPr>
            <a:xfrm>
              <a:off x="60960" y="2476195"/>
              <a:ext cx="1074420" cy="2653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Dashboard</a:t>
              </a:r>
            </a:p>
          </xdr:txBody>
        </xdr:sp>
      </xdr:grpSp>
      <xdr:pic>
        <xdr:nvPicPr>
          <xdr:cNvPr id="116" name="Gráfico 115" descr="Gráfico de barras com preenchimento sólido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297180" y="2026920"/>
            <a:ext cx="579120" cy="57912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975360</xdr:colOff>
      <xdr:row>2</xdr:row>
      <xdr:rowOff>114887</xdr:rowOff>
    </xdr:from>
    <xdr:to>
      <xdr:col>3</xdr:col>
      <xdr:colOff>2240</xdr:colOff>
      <xdr:row>3</xdr:row>
      <xdr:rowOff>16329</xdr:rowOff>
    </xdr:to>
    <xdr:grpSp>
      <xdr:nvGrpSpPr>
        <xdr:cNvPr id="7" name="Agrupar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1470660" y="114887"/>
          <a:ext cx="1141430" cy="701542"/>
          <a:chOff x="0" y="1269316"/>
          <a:chExt cx="1198580" cy="688719"/>
        </a:xfrm>
        <a:solidFill>
          <a:schemeClr val="tx2">
            <a:lumMod val="60000"/>
            <a:lumOff val="40000"/>
          </a:schemeClr>
        </a:solidFill>
      </xdr:grpSpPr>
      <xdr:sp macro="" textlink="">
        <xdr:nvSpPr>
          <xdr:cNvPr id="8" name="Retângulo 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gradFill>
            <a:gsLst>
              <a:gs pos="100000">
                <a:srgbClr val="BC8FDD"/>
              </a:gs>
              <a:gs pos="30000">
                <a:srgbClr val="7030A0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CaixaDeTexto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/>
        </xdr:nvSpPr>
        <xdr:spPr>
          <a:xfrm>
            <a:off x="0" y="1692649"/>
            <a:ext cx="1196340" cy="265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50">
                <a:solidFill>
                  <a:schemeClr val="bg1"/>
                </a:solidFill>
                <a:latin typeface="Montserrat" panose="00000500000000000000" pitchFamily="2" charset="0"/>
              </a:rPr>
              <a:t>Estoque</a:t>
            </a:r>
          </a:p>
        </xdr:txBody>
      </xdr:sp>
      <xdr:pic>
        <xdr:nvPicPr>
          <xdr:cNvPr id="10" name="Gráfico 9" descr="Comentar com coração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7620</xdr:colOff>
      <xdr:row>2</xdr:row>
      <xdr:rowOff>115842</xdr:rowOff>
    </xdr:from>
    <xdr:to>
      <xdr:col>2</xdr:col>
      <xdr:colOff>886160</xdr:colOff>
      <xdr:row>3</xdr:row>
      <xdr:rowOff>2551</xdr:rowOff>
    </xdr:to>
    <xdr:grpSp>
      <xdr:nvGrpSpPr>
        <xdr:cNvPr id="11" name="Agrupar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188595" y="115842"/>
          <a:ext cx="1192865" cy="686809"/>
          <a:chOff x="0" y="457200"/>
          <a:chExt cx="1198580" cy="686809"/>
        </a:xfrm>
        <a:solidFill>
          <a:schemeClr val="tx2">
            <a:lumMod val="60000"/>
            <a:lumOff val="40000"/>
          </a:schemeClr>
        </a:solidFill>
      </xdr:grpSpPr>
      <xdr:grpSp>
        <xdr:nvGrpSpPr>
          <xdr:cNvPr id="12" name="Agrupar 11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GrpSpPr/>
        </xdr:nvGrpSpPr>
        <xdr:grpSpPr>
          <a:xfrm>
            <a:off x="0" y="487790"/>
            <a:ext cx="1198580" cy="656219"/>
            <a:chOff x="0" y="487790"/>
            <a:chExt cx="1198580" cy="656219"/>
          </a:xfrm>
          <a:grpFill/>
        </xdr:grpSpPr>
        <xdr:sp macro="" textlink="">
          <xdr:nvSpPr>
            <xdr:cNvPr id="14" name="Retângulo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SpPr/>
          </xdr:nvSpPr>
          <xdr:spPr>
            <a:xfrm>
              <a:off x="0" y="487790"/>
              <a:ext cx="1198580" cy="655769"/>
            </a:xfrm>
            <a:prstGeom prst="rect">
              <a:avLst/>
            </a:prstGeom>
            <a:gradFill>
              <a:gsLst>
                <a:gs pos="100000">
                  <a:srgbClr val="BC8FDD"/>
                </a:gs>
                <a:gs pos="30000">
                  <a:srgbClr val="7030A0"/>
                </a:gs>
              </a:gsLst>
              <a:lin ang="5400000" scaled="1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5" name="CaixaDeTexto 14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 txBox="1"/>
          </xdr:nvSpPr>
          <xdr:spPr>
            <a:xfrm>
              <a:off x="60960" y="877309"/>
              <a:ext cx="107442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Cadastros</a:t>
              </a:r>
            </a:p>
          </xdr:txBody>
        </xdr:sp>
      </xdr:grpSp>
      <xdr:pic>
        <xdr:nvPicPr>
          <xdr:cNvPr id="13" name="Gráfico 12" descr="Usuários com preenchiment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27660" y="457200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101913</xdr:colOff>
      <xdr:row>2</xdr:row>
      <xdr:rowOff>86675</xdr:rowOff>
    </xdr:from>
    <xdr:to>
      <xdr:col>3</xdr:col>
      <xdr:colOff>1300493</xdr:colOff>
      <xdr:row>3</xdr:row>
      <xdr:rowOff>1237</xdr:rowOff>
    </xdr:to>
    <xdr:grpSp>
      <xdr:nvGrpSpPr>
        <xdr:cNvPr id="16" name="Agrupar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pSpPr/>
      </xdr:nvGrpSpPr>
      <xdr:grpSpPr>
        <a:xfrm>
          <a:off x="2711763" y="86675"/>
          <a:ext cx="1198580" cy="714662"/>
          <a:chOff x="0" y="2026920"/>
          <a:chExt cx="1198580" cy="714662"/>
        </a:xfrm>
        <a:solidFill>
          <a:schemeClr val="tx2">
            <a:lumMod val="75000"/>
          </a:schemeClr>
        </a:solidFill>
      </xdr:grpSpPr>
      <xdr:grpSp>
        <xdr:nvGrpSpPr>
          <xdr:cNvPr id="17" name="Agrupar 16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GrpSpPr/>
        </xdr:nvGrpSpPr>
        <xdr:grpSpPr>
          <a:xfrm>
            <a:off x="0" y="2087202"/>
            <a:ext cx="1198580" cy="654380"/>
            <a:chOff x="0" y="2087202"/>
            <a:chExt cx="1198580" cy="654380"/>
          </a:xfrm>
          <a:grpFill/>
        </xdr:grpSpPr>
        <xdr:sp macro="" textlink="">
          <xdr:nvSpPr>
            <xdr:cNvPr id="19" name="Retângulo 18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0" y="2087202"/>
              <a:ext cx="1198580" cy="653930"/>
            </a:xfrm>
            <a:prstGeom prst="rect">
              <a:avLst/>
            </a:prstGeom>
            <a:gradFill>
              <a:gsLst>
                <a:gs pos="0">
                  <a:srgbClr val="7030A0"/>
                </a:gs>
                <a:gs pos="100000">
                  <a:schemeClr val="tx1"/>
                </a:gs>
              </a:gsLst>
              <a:lin ang="5400000" scaled="1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0" name="CaixaDeTexto 19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SpPr txBox="1"/>
          </xdr:nvSpPr>
          <xdr:spPr>
            <a:xfrm>
              <a:off x="60960" y="2476195"/>
              <a:ext cx="1074420" cy="2653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Dashboard</a:t>
              </a:r>
            </a:p>
          </xdr:txBody>
        </xdr:sp>
      </xdr:grpSp>
      <xdr:pic>
        <xdr:nvPicPr>
          <xdr:cNvPr id="18" name="Gráfico 17" descr="Gráfico de barras com preenchimento sólido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297180" y="2026920"/>
            <a:ext cx="579120" cy="57912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7256</xdr:colOff>
      <xdr:row>4</xdr:row>
      <xdr:rowOff>7257</xdr:rowOff>
    </xdr:from>
    <xdr:to>
      <xdr:col>6</xdr:col>
      <xdr:colOff>541020</xdr:colOff>
      <xdr:row>8</xdr:row>
      <xdr:rowOff>327660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97756" y="959757"/>
          <a:ext cx="8572864" cy="2034903"/>
        </a:xfrm>
        <a:prstGeom prst="roundRect">
          <a:avLst>
            <a:gd name="adj" fmla="val 4733"/>
          </a:avLst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640080</xdr:colOff>
      <xdr:row>3</xdr:row>
      <xdr:rowOff>144781</xdr:rowOff>
    </xdr:from>
    <xdr:to>
      <xdr:col>8</xdr:col>
      <xdr:colOff>1345383</xdr:colOff>
      <xdr:row>13</xdr:row>
      <xdr:rowOff>365760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869680" y="944881"/>
          <a:ext cx="4073343" cy="3992879"/>
        </a:xfrm>
        <a:prstGeom prst="roundRect">
          <a:avLst>
            <a:gd name="adj" fmla="val 2980"/>
          </a:avLst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7258</xdr:colOff>
      <xdr:row>9</xdr:row>
      <xdr:rowOff>7620</xdr:rowOff>
    </xdr:from>
    <xdr:to>
      <xdr:col>6</xdr:col>
      <xdr:colOff>541019</xdr:colOff>
      <xdr:row>13</xdr:row>
      <xdr:rowOff>358140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97758" y="3055620"/>
          <a:ext cx="8572861" cy="1874520"/>
        </a:xfrm>
        <a:prstGeom prst="roundRect">
          <a:avLst>
            <a:gd name="adj" fmla="val 4572"/>
          </a:avLst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800"/>
        </a:p>
      </xdr:txBody>
    </xdr:sp>
    <xdr:clientData/>
  </xdr:twoCellAnchor>
  <xdr:twoCellAnchor>
    <xdr:from>
      <xdr:col>1</xdr:col>
      <xdr:colOff>7256</xdr:colOff>
      <xdr:row>4</xdr:row>
      <xdr:rowOff>29027</xdr:rowOff>
    </xdr:from>
    <xdr:to>
      <xdr:col>6</xdr:col>
      <xdr:colOff>519953</xdr:colOff>
      <xdr:row>4</xdr:row>
      <xdr:rowOff>322728</xdr:rowOff>
    </xdr:to>
    <xdr:sp macro="" textlink="">
      <xdr:nvSpPr>
        <xdr:cNvPr id="33" name="TextBox 24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195515" y="979286"/>
          <a:ext cx="8545073" cy="29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bg1"/>
              </a:solidFill>
              <a:latin typeface="Montserrat" panose="00000500000000000000" pitchFamily="2" charset="0"/>
            </a:rPr>
            <a:t>   Receitas e Despesas por Mês</a:t>
          </a:r>
          <a:endParaRPr lang="en-US" sz="10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6</xdr:col>
      <xdr:colOff>632460</xdr:colOff>
      <xdr:row>4</xdr:row>
      <xdr:rowOff>13787</xdr:rowOff>
    </xdr:from>
    <xdr:to>
      <xdr:col>8</xdr:col>
      <xdr:colOff>1317363</xdr:colOff>
      <xdr:row>4</xdr:row>
      <xdr:rowOff>352312</xdr:rowOff>
    </xdr:to>
    <xdr:sp macro="" textlink="">
      <xdr:nvSpPr>
        <xdr:cNvPr id="36" name="TextBox 24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8862060" y="966287"/>
          <a:ext cx="4052943" cy="338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baseline="0">
              <a:solidFill>
                <a:schemeClr val="bg1"/>
              </a:solidFill>
              <a:latin typeface="Montserrat" panose="00000500000000000000" pitchFamily="2" charset="0"/>
            </a:rPr>
            <a:t>Estados com Mais Produtos Vendidos</a:t>
          </a:r>
          <a:endParaRPr lang="en-US" sz="11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</xdr:col>
      <xdr:colOff>518160</xdr:colOff>
      <xdr:row>8</xdr:row>
      <xdr:rowOff>327660</xdr:rowOff>
    </xdr:from>
    <xdr:to>
      <xdr:col>4</xdr:col>
      <xdr:colOff>1757979</xdr:colOff>
      <xdr:row>14</xdr:row>
      <xdr:rowOff>22860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1383137</xdr:colOff>
      <xdr:row>10</xdr:row>
      <xdr:rowOff>33801</xdr:rowOff>
    </xdr:from>
    <xdr:to>
      <xdr:col>5</xdr:col>
      <xdr:colOff>1871825</xdr:colOff>
      <xdr:row>10</xdr:row>
      <xdr:rowOff>334118</xdr:rowOff>
    </xdr:to>
    <xdr:sp macro="" textlink="Análises!A22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5490317" y="3462801"/>
          <a:ext cx="2347968" cy="300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BDB4602-4D64-4EBA-85BD-C1435C1C637C}" type="TxLink"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Disco de freio</a:t>
          </a:fld>
          <a:endParaRPr lang="pt-BR" sz="11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1383137</xdr:colOff>
      <xdr:row>10</xdr:row>
      <xdr:rowOff>296198</xdr:rowOff>
    </xdr:from>
    <xdr:to>
      <xdr:col>5</xdr:col>
      <xdr:colOff>1871825</xdr:colOff>
      <xdr:row>11</xdr:row>
      <xdr:rowOff>207894</xdr:rowOff>
    </xdr:to>
    <xdr:sp macro="" textlink="Análises!A23">
      <xdr:nvSpPr>
        <xdr:cNvPr id="39" name="CaixaDeTexto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5490317" y="3725198"/>
          <a:ext cx="2347968" cy="292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43876CD-F3FA-4534-A727-D725EE0733DF}" type="TxLink"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Lubrificante wl</a:t>
          </a:fld>
          <a:endParaRPr lang="pt-BR" sz="11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1383137</xdr:colOff>
      <xdr:row>11</xdr:row>
      <xdr:rowOff>169974</xdr:rowOff>
    </xdr:from>
    <xdr:to>
      <xdr:col>5</xdr:col>
      <xdr:colOff>1871825</xdr:colOff>
      <xdr:row>12</xdr:row>
      <xdr:rowOff>89291</xdr:rowOff>
    </xdr:to>
    <xdr:sp macro="" textlink="Análises!A24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5490317" y="3979974"/>
          <a:ext cx="2347968" cy="300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A85F75F-30A9-4802-BCF6-7E93F4706A81}" type="TxLink"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Óleo de câmbio</a:t>
          </a:fld>
          <a:endParaRPr lang="pt-BR" sz="11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1383137</xdr:colOff>
      <xdr:row>12</xdr:row>
      <xdr:rowOff>55853</xdr:rowOff>
    </xdr:from>
    <xdr:to>
      <xdr:col>5</xdr:col>
      <xdr:colOff>1871825</xdr:colOff>
      <xdr:row>12</xdr:row>
      <xdr:rowOff>356170</xdr:rowOff>
    </xdr:to>
    <xdr:sp macro="" textlink="Análises!A25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5490317" y="4246853"/>
          <a:ext cx="2347968" cy="300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28C2CD6-CF42-4444-B853-A4E68F1CC65E}" type="TxLink"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Pneu suv aro 17</a:t>
          </a:fld>
          <a:endParaRPr lang="pt-BR" sz="11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1383137</xdr:colOff>
      <xdr:row>12</xdr:row>
      <xdr:rowOff>318250</xdr:rowOff>
    </xdr:from>
    <xdr:to>
      <xdr:col>5</xdr:col>
      <xdr:colOff>1871825</xdr:colOff>
      <xdr:row>13</xdr:row>
      <xdr:rowOff>237566</xdr:rowOff>
    </xdr:to>
    <xdr:sp macro="" textlink="Análises!A26">
      <xdr:nvSpPr>
        <xdr:cNvPr id="42" name="CaixaDeTexto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5490317" y="4509250"/>
          <a:ext cx="2347968" cy="300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F5ABC1F-9135-46D3-848D-E6448546120B}" type="TxLink"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Kit reparo pneu</a:t>
          </a:fld>
          <a:endParaRPr lang="pt-BR" sz="11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1383137</xdr:colOff>
      <xdr:row>9</xdr:row>
      <xdr:rowOff>147922</xdr:rowOff>
    </xdr:from>
    <xdr:to>
      <xdr:col>5</xdr:col>
      <xdr:colOff>1871825</xdr:colOff>
      <xdr:row>10</xdr:row>
      <xdr:rowOff>71721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5490317" y="3195922"/>
          <a:ext cx="2347968" cy="304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t>Produto</a:t>
          </a:r>
        </a:p>
      </xdr:txBody>
    </xdr:sp>
    <xdr:clientData/>
  </xdr:twoCellAnchor>
  <xdr:twoCellAnchor>
    <xdr:from>
      <xdr:col>5</xdr:col>
      <xdr:colOff>1584960</xdr:colOff>
      <xdr:row>9</xdr:row>
      <xdr:rowOff>147922</xdr:rowOff>
    </xdr:from>
    <xdr:to>
      <xdr:col>6</xdr:col>
      <xdr:colOff>441959</xdr:colOff>
      <xdr:row>10</xdr:row>
      <xdr:rowOff>71721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7551420" y="3195922"/>
          <a:ext cx="1120139" cy="304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t>Em Estoque</a:t>
          </a:r>
        </a:p>
      </xdr:txBody>
    </xdr:sp>
    <xdr:clientData/>
  </xdr:twoCellAnchor>
  <xdr:twoCellAnchor>
    <xdr:from>
      <xdr:col>5</xdr:col>
      <xdr:colOff>1726481</xdr:colOff>
      <xdr:row>10</xdr:row>
      <xdr:rowOff>32277</xdr:rowOff>
    </xdr:from>
    <xdr:to>
      <xdr:col>6</xdr:col>
      <xdr:colOff>359812</xdr:colOff>
      <xdr:row>10</xdr:row>
      <xdr:rowOff>332594</xdr:rowOff>
    </xdr:to>
    <xdr:sp macro="" textlink="Análises!B22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7692941" y="3461277"/>
          <a:ext cx="896471" cy="300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8682EE3-8D69-47C4-A379-C9F3B6EEDD9C}" type="TxLink"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27</a:t>
          </a:fld>
          <a:endParaRPr lang="en-US" sz="11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1726481</xdr:colOff>
      <xdr:row>10</xdr:row>
      <xdr:rowOff>293150</xdr:rowOff>
    </xdr:from>
    <xdr:to>
      <xdr:col>6</xdr:col>
      <xdr:colOff>359812</xdr:colOff>
      <xdr:row>11</xdr:row>
      <xdr:rowOff>212466</xdr:rowOff>
    </xdr:to>
    <xdr:sp macro="" textlink="Análises!B23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7692941" y="3722150"/>
          <a:ext cx="896471" cy="300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BE2355D-876D-4FB2-9EE8-DB8D1AEC5172}" type="TxLink"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19</a:t>
          </a:fld>
          <a:endParaRPr lang="en-US" sz="11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1726481</xdr:colOff>
      <xdr:row>11</xdr:row>
      <xdr:rowOff>173022</xdr:rowOff>
    </xdr:from>
    <xdr:to>
      <xdr:col>6</xdr:col>
      <xdr:colOff>359812</xdr:colOff>
      <xdr:row>12</xdr:row>
      <xdr:rowOff>92339</xdr:rowOff>
    </xdr:to>
    <xdr:sp macro="" textlink="Análises!B24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7692941" y="3983022"/>
          <a:ext cx="896471" cy="300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A025CEF-9070-4224-9EAF-4C4586DC3345}" type="TxLink"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15</a:t>
          </a:fld>
          <a:endParaRPr lang="en-US" sz="11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1726481</xdr:colOff>
      <xdr:row>12</xdr:row>
      <xdr:rowOff>57377</xdr:rowOff>
    </xdr:from>
    <xdr:to>
      <xdr:col>6</xdr:col>
      <xdr:colOff>359812</xdr:colOff>
      <xdr:row>12</xdr:row>
      <xdr:rowOff>357694</xdr:rowOff>
    </xdr:to>
    <xdr:sp macro="" textlink="Análises!B25">
      <xdr:nvSpPr>
        <xdr:cNvPr id="48" name="CaixaDeTexto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7692941" y="4248377"/>
          <a:ext cx="896471" cy="300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D9C9AD2-A4D0-4CE1-A0EB-0732D5270890}" type="TxLink"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14</a:t>
          </a:fld>
          <a:endParaRPr lang="en-US" sz="11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1726481</xdr:colOff>
      <xdr:row>12</xdr:row>
      <xdr:rowOff>318250</xdr:rowOff>
    </xdr:from>
    <xdr:to>
      <xdr:col>6</xdr:col>
      <xdr:colOff>359812</xdr:colOff>
      <xdr:row>13</xdr:row>
      <xdr:rowOff>237566</xdr:rowOff>
    </xdr:to>
    <xdr:sp macro="" textlink="Análises!B26">
      <xdr:nvSpPr>
        <xdr:cNvPr id="49" name="CaixaDeTexto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7692941" y="4509250"/>
          <a:ext cx="896471" cy="300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1179798-83CD-4921-82D4-BC497D2B7F97}" type="TxLink"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11</a:t>
          </a:fld>
          <a:endParaRPr lang="en-US" sz="11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7256</xdr:colOff>
      <xdr:row>4</xdr:row>
      <xdr:rowOff>281940</xdr:rowOff>
    </xdr:from>
    <xdr:to>
      <xdr:col>5</xdr:col>
      <xdr:colOff>213360</xdr:colOff>
      <xdr:row>8</xdr:row>
      <xdr:rowOff>324522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662940</xdr:colOff>
      <xdr:row>4</xdr:row>
      <xdr:rowOff>396240</xdr:rowOff>
    </xdr:from>
    <xdr:to>
      <xdr:col>8</xdr:col>
      <xdr:colOff>1303020</xdr:colOff>
      <xdr:row>13</xdr:row>
      <xdr:rowOff>320040</xdr:rowOff>
    </xdr:to>
    <mc:AlternateContent xmlns:mc="http://schemas.openxmlformats.org/markup-compatibility/2006">
      <mc:Choice xmlns="" xmlns:cx4="http://schemas.microsoft.com/office/drawing/2016/5/10/chartex" Requires="cx4">
        <xdr:graphicFrame macro="">
          <xdr:nvGraphicFramePr>
            <xdr:cNvPr id="25" name="Gráfico 24">
              <a:extLst>
                <a:ext uri="{FF2B5EF4-FFF2-40B4-BE49-F238E27FC236}">
                  <a16:creationId xmlns:a16="http://schemas.microsoft.com/office/drawing/2014/main" id="{43F45CB1-6859-48AE-AD0A-37C1B30960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23" name="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>
              <a:spLocks noTextEdit="1"/>
            </xdr:cNvSpPr>
          </xdr:nvSpPr>
          <xdr:spPr>
            <a:xfrm>
              <a:off x="8892540" y="1348740"/>
              <a:ext cx="4008120" cy="354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30480</xdr:colOff>
      <xdr:row>10</xdr:row>
      <xdr:rowOff>83820</xdr:rowOff>
    </xdr:from>
    <xdr:to>
      <xdr:col>3</xdr:col>
      <xdr:colOff>236220</xdr:colOff>
      <xdr:row>13</xdr:row>
      <xdr:rowOff>243840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Meses (Data Movimentação)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 Movimentaçã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020" y="3512820"/>
              <a:ext cx="2377440" cy="1303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</xdr:colOff>
      <xdr:row>9</xdr:row>
      <xdr:rowOff>179186</xdr:rowOff>
    </xdr:from>
    <xdr:to>
      <xdr:col>3</xdr:col>
      <xdr:colOff>198121</xdr:colOff>
      <xdr:row>10</xdr:row>
      <xdr:rowOff>91887</xdr:rowOff>
    </xdr:to>
    <xdr:sp macro="" textlink="">
      <xdr:nvSpPr>
        <xdr:cNvPr id="29" name="TextBox 2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510541" y="3227186"/>
          <a:ext cx="2369820" cy="29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baseline="0">
              <a:solidFill>
                <a:schemeClr val="bg1"/>
              </a:solidFill>
              <a:latin typeface="Montserrat" panose="00000500000000000000" pitchFamily="2" charset="0"/>
            </a:rPr>
            <a:t>   Maiores Estoques por Período</a:t>
          </a:r>
          <a:endParaRPr lang="en-US" sz="10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5</xdr:col>
      <xdr:colOff>121920</xdr:colOff>
      <xdr:row>4</xdr:row>
      <xdr:rowOff>373380</xdr:rowOff>
    </xdr:from>
    <xdr:to>
      <xdr:col>6</xdr:col>
      <xdr:colOff>540656</xdr:colOff>
      <xdr:row>8</xdr:row>
      <xdr:rowOff>144780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Produto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8380" y="1325880"/>
              <a:ext cx="2681876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210.649014467592" createdVersion="8" refreshedVersion="8" minRefreshableVersion="3" recordCount="67" xr:uid="{7E1DE076-9024-4EC0-83D4-92FD7F6CAB42}">
  <cacheSource type="worksheet">
    <worksheetSource name="Tabela13"/>
  </cacheSource>
  <cacheFields count="15">
    <cacheField name="Nº" numFmtId="0">
      <sharedItems containsSemiMixedTypes="0" containsString="0" containsNumber="1" containsInteger="1" minValue="1" maxValue="12"/>
    </cacheField>
    <cacheField name="Produto" numFmtId="0">
      <sharedItems count="11">
        <s v="Óleo de câmbio"/>
        <s v="Disco de freio"/>
        <s v="Filtro ar condicionado"/>
        <s v="Filtro de óleo"/>
        <s v="Kit reparo pneu"/>
        <s v="Tinta automotiva"/>
        <s v="Lubrificante wl"/>
        <s v="Pneu suv aro 17"/>
        <s v="Luz de seta"/>
        <s v="Farol Dianteiro"/>
        <s v="Tinta automotiva branco neve" u="1"/>
      </sharedItems>
    </cacheField>
    <cacheField name="Data Movimentação" numFmtId="14">
      <sharedItems containsSemiMixedTypes="0" containsNonDate="0" containsDate="1" containsString="0" minDate="2023-01-01T00:00:00" maxDate="2023-12-05T00:00:00" count="56">
        <d v="2023-01-01T00:00:00"/>
        <d v="2023-01-02T00:00:00"/>
        <d v="2023-01-10T00:00:00"/>
        <d v="2023-01-16T00:00:00"/>
        <d v="2023-01-25T00:00:00"/>
        <d v="2023-01-29T00:00:00"/>
        <d v="2023-02-02T00:00:00"/>
        <d v="2023-02-18T00:00:00"/>
        <d v="2023-02-20T00:00:00"/>
        <d v="2023-02-21T00:00:00"/>
        <d v="2023-02-23T00:00:00"/>
        <d v="2023-02-24T00:00:00"/>
        <d v="2023-03-02T00:00:00"/>
        <d v="2023-03-24T00:00:00"/>
        <d v="2023-03-28T00:00:00"/>
        <d v="2023-03-31T00:00:00"/>
        <d v="2023-04-02T00:00:00"/>
        <d v="2023-04-09T00:00:00"/>
        <d v="2023-04-13T00:00:00"/>
        <d v="2023-04-18T00:00:00"/>
        <d v="2023-04-22T00:00:00"/>
        <d v="2023-04-23T00:00:00"/>
        <d v="2023-04-25T00:00:00"/>
        <d v="2023-05-15T00:00:00"/>
        <d v="2023-05-16T00:00:00"/>
        <d v="2023-05-20T00:00:00"/>
        <d v="2023-06-18T00:00:00"/>
        <d v="2023-06-21T00:00:00"/>
        <d v="2023-06-25T00:00:00"/>
        <d v="2023-06-29T00:00:00"/>
        <d v="2023-07-03T00:00:00"/>
        <d v="2023-07-05T00:00:00"/>
        <d v="2023-07-08T00:00:00"/>
        <d v="2023-07-09T00:00:00"/>
        <d v="2023-07-11T00:00:00"/>
        <d v="2023-07-17T00:00:00"/>
        <d v="2023-08-02T00:00:00"/>
        <d v="2023-08-16T00:00:00"/>
        <d v="2023-08-21T00:00:00"/>
        <d v="2023-08-29T00:00:00"/>
        <d v="2023-09-08T00:00:00"/>
        <d v="2023-09-09T00:00:00"/>
        <d v="2023-09-12T00:00:00"/>
        <d v="2023-09-14T00:00:00"/>
        <d v="2023-09-29T00:00:00"/>
        <d v="2023-10-08T00:00:00"/>
        <d v="2023-10-09T00:00:00"/>
        <d v="2023-10-10T00:00:00"/>
        <d v="2023-11-04T00:00:00"/>
        <d v="2023-11-09T00:00:00"/>
        <d v="2023-11-11T00:00:00"/>
        <d v="2023-11-13T00:00:00"/>
        <d v="2023-11-15T00:00:00"/>
        <d v="2023-11-26T00:00:00"/>
        <d v="2023-12-02T00:00:00"/>
        <d v="2023-12-04T00:00:00"/>
      </sharedItems>
      <fieldGroup par="13"/>
    </cacheField>
    <cacheField name="Qtde." numFmtId="1">
      <sharedItems containsSemiMixedTypes="0" containsString="0" containsNumber="1" containsInteger="1" minValue="-8" maxValue="10"/>
    </cacheField>
    <cacheField name="Tipo Movimentação" numFmtId="1">
      <sharedItems count="2">
        <s v="Saída"/>
        <s v="Entrada"/>
      </sharedItems>
    </cacheField>
    <cacheField name="Custo Unitário" numFmtId="165">
      <sharedItems containsString="0" containsBlank="1" containsNumber="1" containsInteger="1" minValue="62" maxValue="293"/>
    </cacheField>
    <cacheField name="Data Validade" numFmtId="14">
      <sharedItems containsNonDate="0" containsDate="1" containsString="0" containsBlank="1" minDate="2023-07-12T00:00:00" maxDate="2024-09-12T00:00:00"/>
    </cacheField>
    <cacheField name="Fornecedor" numFmtId="0">
      <sharedItems containsBlank="1"/>
    </cacheField>
    <cacheField name="Custo Total" numFmtId="165">
      <sharedItems containsMixedTypes="1" containsNumber="1" containsInteger="1" minValue="124" maxValue="2860"/>
    </cacheField>
    <cacheField name="Preço Unitário" numFmtId="165">
      <sharedItems containsString="0" containsBlank="1" containsNumber="1" containsInteger="1" minValue="93" maxValue="409"/>
    </cacheField>
    <cacheField name="Preço Total" numFmtId="165">
      <sharedItems containsMixedTypes="1" containsNumber="1" containsInteger="1" minValue="93" maxValue="1908"/>
    </cacheField>
    <cacheField name="UF Destino" numFmtId="0">
      <sharedItems containsBlank="1" count="12">
        <s v="SP"/>
        <m/>
        <s v="MG"/>
        <s v="PR"/>
        <s v="GO"/>
        <s v="RS"/>
        <s v="TO"/>
        <s v="PE"/>
        <s v="AM"/>
        <s v="MS"/>
        <s v="BA"/>
        <s v="PA" u="1"/>
      </sharedItems>
    </cacheField>
    <cacheField name="Dias (Data Movimentação)" numFmtId="0" databaseField="0">
      <fieldGroup base="2">
        <rangePr groupBy="days" startDate="2023-01-01T00:00:00" endDate="2023-12-05T00:00:00"/>
        <groupItems count="368">
          <s v="&lt;01/01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5/12/2023"/>
        </groupItems>
      </fieldGroup>
    </cacheField>
    <cacheField name="Meses (Data Movimentação)" numFmtId="0" databaseField="0">
      <fieldGroup base="2">
        <rangePr groupBy="months" startDate="2023-01-01T00:00:00" endDate="2023-12-05T00:00:00"/>
        <groupItems count="14">
          <s v="&lt;01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5/12/2023"/>
        </groupItems>
      </fieldGroup>
    </cacheField>
    <cacheField name="Saídas" numFmtId="0" formula="-Qtde." databaseField="0"/>
  </cacheFields>
  <extLst>
    <ext xmlns:x14="http://schemas.microsoft.com/office/spreadsheetml/2009/9/main" uri="{725AE2AE-9491-48be-B2B4-4EB974FC3084}">
      <x14:pivotCacheDefinition pivotCacheId="4480359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1"/>
    <x v="0"/>
    <x v="0"/>
    <n v="-4"/>
    <x v="0"/>
    <m/>
    <m/>
    <m/>
    <s v=""/>
    <n v="131"/>
    <n v="524"/>
    <x v="0"/>
  </r>
  <r>
    <n v="2"/>
    <x v="1"/>
    <x v="1"/>
    <n v="8"/>
    <x v="1"/>
    <n v="280"/>
    <d v="2023-08-19T00:00:00"/>
    <s v="Fish Lubrificantes"/>
    <n v="2240"/>
    <m/>
    <s v=""/>
    <x v="1"/>
  </r>
  <r>
    <n v="12"/>
    <x v="1"/>
    <x v="2"/>
    <n v="-4"/>
    <x v="0"/>
    <m/>
    <m/>
    <m/>
    <s v=""/>
    <n v="186"/>
    <n v="744"/>
    <x v="2"/>
  </r>
  <r>
    <n v="12"/>
    <x v="2"/>
    <x v="2"/>
    <n v="8"/>
    <x v="1"/>
    <n v="157"/>
    <d v="2023-08-16T00:00:00"/>
    <s v="Luminosa Peças"/>
    <n v="1256"/>
    <m/>
    <s v=""/>
    <x v="1"/>
  </r>
  <r>
    <n v="12"/>
    <x v="3"/>
    <x v="3"/>
    <n v="-2"/>
    <x v="0"/>
    <m/>
    <m/>
    <m/>
    <s v=""/>
    <n v="210"/>
    <n v="420"/>
    <x v="3"/>
  </r>
  <r>
    <n v="12"/>
    <x v="4"/>
    <x v="4"/>
    <n v="5"/>
    <x v="1"/>
    <n v="240"/>
    <d v="2023-12-16T00:00:00"/>
    <s v="Berry"/>
    <n v="1200"/>
    <m/>
    <s v=""/>
    <x v="1"/>
  </r>
  <r>
    <n v="12"/>
    <x v="5"/>
    <x v="5"/>
    <n v="-2"/>
    <x v="0"/>
    <m/>
    <m/>
    <m/>
    <s v=""/>
    <n v="321"/>
    <n v="642"/>
    <x v="3"/>
  </r>
  <r>
    <n v="12"/>
    <x v="1"/>
    <x v="6"/>
    <n v="9"/>
    <x v="1"/>
    <n v="209"/>
    <d v="2023-11-03T00:00:00"/>
    <s v="Luminosa Peças"/>
    <n v="1881"/>
    <m/>
    <s v=""/>
    <x v="1"/>
  </r>
  <r>
    <n v="12"/>
    <x v="1"/>
    <x v="6"/>
    <n v="-1"/>
    <x v="0"/>
    <m/>
    <m/>
    <m/>
    <s v=""/>
    <n v="132"/>
    <n v="132"/>
    <x v="0"/>
  </r>
  <r>
    <n v="12"/>
    <x v="1"/>
    <x v="7"/>
    <n v="9"/>
    <x v="1"/>
    <n v="90"/>
    <d v="2023-07-19T00:00:00"/>
    <s v="Luminosa Peças"/>
    <n v="810"/>
    <m/>
    <s v=""/>
    <x v="1"/>
  </r>
  <r>
    <n v="12"/>
    <x v="2"/>
    <x v="8"/>
    <n v="-1"/>
    <x v="0"/>
    <m/>
    <m/>
    <m/>
    <s v=""/>
    <n v="339"/>
    <n v="339"/>
    <x v="3"/>
  </r>
  <r>
    <n v="12"/>
    <x v="6"/>
    <x v="9"/>
    <n v="2"/>
    <x v="1"/>
    <n v="267"/>
    <d v="2024-01-17T00:00:00"/>
    <s v="Berry"/>
    <n v="534"/>
    <m/>
    <s v=""/>
    <x v="1"/>
  </r>
  <r>
    <n v="12"/>
    <x v="0"/>
    <x v="10"/>
    <n v="-3"/>
    <x v="0"/>
    <m/>
    <m/>
    <m/>
    <s v=""/>
    <n v="153"/>
    <n v="459"/>
    <x v="4"/>
  </r>
  <r>
    <n v="12"/>
    <x v="4"/>
    <x v="11"/>
    <n v="-3"/>
    <x v="0"/>
    <m/>
    <m/>
    <m/>
    <s v=""/>
    <n v="316"/>
    <n v="948"/>
    <x v="4"/>
  </r>
  <r>
    <n v="12"/>
    <x v="1"/>
    <x v="12"/>
    <n v="7"/>
    <x v="1"/>
    <n v="185"/>
    <d v="2024-01-21T00:00:00"/>
    <s v="Wagenvolks"/>
    <n v="1295"/>
    <m/>
    <s v=""/>
    <x v="1"/>
  </r>
  <r>
    <n v="12"/>
    <x v="0"/>
    <x v="13"/>
    <n v="-1"/>
    <x v="0"/>
    <m/>
    <m/>
    <m/>
    <s v=""/>
    <n v="195"/>
    <n v="195"/>
    <x v="5"/>
  </r>
  <r>
    <n v="12"/>
    <x v="6"/>
    <x v="13"/>
    <n v="7"/>
    <x v="1"/>
    <n v="169"/>
    <d v="2023-08-14T00:00:00"/>
    <s v="Oster Lubrificantes"/>
    <n v="1183"/>
    <m/>
    <s v=""/>
    <x v="1"/>
  </r>
  <r>
    <n v="12"/>
    <x v="6"/>
    <x v="14"/>
    <n v="-1"/>
    <x v="0"/>
    <m/>
    <m/>
    <m/>
    <s v=""/>
    <n v="289"/>
    <n v="289"/>
    <x v="6"/>
  </r>
  <r>
    <n v="12"/>
    <x v="4"/>
    <x v="15"/>
    <n v="-6"/>
    <x v="0"/>
    <m/>
    <m/>
    <m/>
    <s v=""/>
    <n v="318"/>
    <n v="1908"/>
    <x v="7"/>
  </r>
  <r>
    <n v="12"/>
    <x v="4"/>
    <x v="16"/>
    <n v="5"/>
    <x v="1"/>
    <n v="140"/>
    <d v="2024-02-08T00:00:00"/>
    <s v="Fish Lubrificantes"/>
    <n v="700"/>
    <m/>
    <s v=""/>
    <x v="1"/>
  </r>
  <r>
    <n v="12"/>
    <x v="7"/>
    <x v="17"/>
    <n v="-1"/>
    <x v="0"/>
    <m/>
    <m/>
    <m/>
    <s v=""/>
    <n v="326"/>
    <n v="326"/>
    <x v="8"/>
  </r>
  <r>
    <n v="12"/>
    <x v="3"/>
    <x v="18"/>
    <n v="3"/>
    <x v="1"/>
    <n v="192"/>
    <d v="2023-07-12T00:00:00"/>
    <s v="Fish Lubrificantes"/>
    <n v="576"/>
    <m/>
    <s v=""/>
    <x v="1"/>
  </r>
  <r>
    <n v="12"/>
    <x v="0"/>
    <x v="19"/>
    <n v="9"/>
    <x v="1"/>
    <n v="293"/>
    <d v="2024-01-19T00:00:00"/>
    <s v="FAIT"/>
    <n v="2637"/>
    <m/>
    <s v=""/>
    <x v="1"/>
  </r>
  <r>
    <n v="12"/>
    <x v="7"/>
    <x v="20"/>
    <n v="8"/>
    <x v="1"/>
    <n v="213"/>
    <d v="2023-12-12T00:00:00"/>
    <s v="Luminosa Peças"/>
    <n v="1704"/>
    <m/>
    <s v=""/>
    <x v="1"/>
  </r>
  <r>
    <n v="12"/>
    <x v="2"/>
    <x v="20"/>
    <n v="-5"/>
    <x v="0"/>
    <m/>
    <m/>
    <m/>
    <s v=""/>
    <n v="284"/>
    <n v="1420"/>
    <x v="9"/>
  </r>
  <r>
    <n v="12"/>
    <x v="1"/>
    <x v="21"/>
    <n v="-3"/>
    <x v="0"/>
    <m/>
    <m/>
    <m/>
    <s v=""/>
    <n v="375"/>
    <n v="1125"/>
    <x v="0"/>
  </r>
  <r>
    <n v="12"/>
    <x v="6"/>
    <x v="22"/>
    <n v="-3"/>
    <x v="0"/>
    <m/>
    <m/>
    <m/>
    <s v=""/>
    <n v="169"/>
    <n v="507"/>
    <x v="3"/>
  </r>
  <r>
    <n v="12"/>
    <x v="2"/>
    <x v="23"/>
    <n v="0"/>
    <x v="1"/>
    <m/>
    <m/>
    <m/>
    <s v=""/>
    <m/>
    <s v=""/>
    <x v="1"/>
  </r>
  <r>
    <n v="7"/>
    <x v="8"/>
    <x v="24"/>
    <n v="4"/>
    <x v="1"/>
    <n v="114"/>
    <d v="2024-04-13T00:00:00"/>
    <s v="FAIT"/>
    <n v="456"/>
    <m/>
    <s v=""/>
    <x v="1"/>
  </r>
  <r>
    <n v="12"/>
    <x v="2"/>
    <x v="25"/>
    <n v="-1"/>
    <x v="0"/>
    <m/>
    <m/>
    <m/>
    <s v=""/>
    <n v="278"/>
    <n v="278"/>
    <x v="9"/>
  </r>
  <r>
    <n v="12"/>
    <x v="2"/>
    <x v="26"/>
    <n v="-1"/>
    <x v="0"/>
    <m/>
    <m/>
    <m/>
    <s v=""/>
    <n v="337"/>
    <n v="337"/>
    <x v="7"/>
  </r>
  <r>
    <n v="5"/>
    <x v="8"/>
    <x v="27"/>
    <n v="3"/>
    <x v="1"/>
    <n v="286"/>
    <d v="2024-06-11T00:00:00"/>
    <s v="Fish Lubrificantes"/>
    <n v="858"/>
    <m/>
    <s v=""/>
    <x v="1"/>
  </r>
  <r>
    <n v="12"/>
    <x v="5"/>
    <x v="28"/>
    <n v="-4"/>
    <x v="0"/>
    <m/>
    <m/>
    <m/>
    <s v=""/>
    <n v="386"/>
    <n v="1544"/>
    <x v="9"/>
  </r>
  <r>
    <n v="9"/>
    <x v="0"/>
    <x v="29"/>
    <n v="9"/>
    <x v="1"/>
    <n v="90"/>
    <d v="2024-01-28T00:00:00"/>
    <s v="Berry"/>
    <n v="810"/>
    <m/>
    <s v=""/>
    <x v="1"/>
  </r>
  <r>
    <n v="12"/>
    <x v="7"/>
    <x v="29"/>
    <n v="2"/>
    <x v="1"/>
    <n v="62"/>
    <d v="2024-01-20T00:00:00"/>
    <s v="FAIT"/>
    <n v="124"/>
    <m/>
    <s v=""/>
    <x v="1"/>
  </r>
  <r>
    <n v="10"/>
    <x v="0"/>
    <x v="30"/>
    <n v="5"/>
    <x v="1"/>
    <n v="227"/>
    <d v="2024-03-27T00:00:00"/>
    <s v="Oster Lubrificantes"/>
    <n v="1135"/>
    <m/>
    <s v=""/>
    <x v="1"/>
  </r>
  <r>
    <n v="12"/>
    <x v="7"/>
    <x v="31"/>
    <n v="-3"/>
    <x v="0"/>
    <m/>
    <m/>
    <m/>
    <s v=""/>
    <n v="193"/>
    <n v="579"/>
    <x v="0"/>
  </r>
  <r>
    <n v="12"/>
    <x v="6"/>
    <x v="32"/>
    <n v="10"/>
    <x v="1"/>
    <n v="286"/>
    <d v="2024-03-13T00:00:00"/>
    <s v="Oster Lubrificantes"/>
    <n v="2860"/>
    <m/>
    <s v=""/>
    <x v="1"/>
  </r>
  <r>
    <n v="12"/>
    <x v="2"/>
    <x v="32"/>
    <n v="6"/>
    <x v="1"/>
    <n v="267"/>
    <d v="2024-04-25T00:00:00"/>
    <s v="Berry"/>
    <n v="1602"/>
    <m/>
    <s v=""/>
    <x v="1"/>
  </r>
  <r>
    <n v="12"/>
    <x v="6"/>
    <x v="33"/>
    <n v="-2"/>
    <x v="0"/>
    <m/>
    <m/>
    <m/>
    <s v=""/>
    <n v="233"/>
    <n v="466"/>
    <x v="0"/>
  </r>
  <r>
    <n v="12"/>
    <x v="1"/>
    <x v="33"/>
    <n v="-6"/>
    <x v="0"/>
    <m/>
    <m/>
    <m/>
    <s v=""/>
    <n v="246"/>
    <n v="1476"/>
    <x v="10"/>
  </r>
  <r>
    <n v="8"/>
    <x v="0"/>
    <x v="34"/>
    <n v="0"/>
    <x v="1"/>
    <m/>
    <m/>
    <m/>
    <s v=""/>
    <m/>
    <s v=""/>
    <x v="1"/>
  </r>
  <r>
    <n v="12"/>
    <x v="6"/>
    <x v="35"/>
    <n v="2"/>
    <x v="1"/>
    <n v="152"/>
    <d v="2024-04-27T00:00:00"/>
    <s v="Fish Lubrificantes"/>
    <n v="304"/>
    <m/>
    <s v=""/>
    <x v="1"/>
  </r>
  <r>
    <n v="12"/>
    <x v="1"/>
    <x v="35"/>
    <n v="10"/>
    <x v="1"/>
    <n v="154"/>
    <d v="2024-05-21T00:00:00"/>
    <s v="Oster Lubrificantes"/>
    <n v="1540"/>
    <m/>
    <s v=""/>
    <x v="1"/>
  </r>
  <r>
    <n v="12"/>
    <x v="5"/>
    <x v="36"/>
    <n v="-1"/>
    <x v="0"/>
    <m/>
    <m/>
    <m/>
    <s v=""/>
    <n v="320"/>
    <n v="320"/>
    <x v="10"/>
  </r>
  <r>
    <n v="12"/>
    <x v="7"/>
    <x v="37"/>
    <n v="6"/>
    <x v="1"/>
    <n v="109"/>
    <d v="2023-11-23T00:00:00"/>
    <s v="Oster Lubrificantes"/>
    <n v="654"/>
    <m/>
    <s v=""/>
    <x v="1"/>
  </r>
  <r>
    <n v="12"/>
    <x v="1"/>
    <x v="38"/>
    <n v="2"/>
    <x v="1"/>
    <n v="62"/>
    <d v="2023-11-10T00:00:00"/>
    <s v="Berry"/>
    <n v="124"/>
    <m/>
    <s v=""/>
    <x v="1"/>
  </r>
  <r>
    <n v="12"/>
    <x v="5"/>
    <x v="39"/>
    <n v="10"/>
    <x v="1"/>
    <n v="241"/>
    <d v="2024-01-18T00:00:00"/>
    <s v="Oster Lubrificantes"/>
    <n v="2410"/>
    <m/>
    <s v=""/>
    <x v="1"/>
  </r>
  <r>
    <n v="12"/>
    <x v="6"/>
    <x v="39"/>
    <n v="-6"/>
    <x v="0"/>
    <m/>
    <m/>
    <m/>
    <s v=""/>
    <n v="174"/>
    <n v="1044"/>
    <x v="8"/>
  </r>
  <r>
    <n v="12"/>
    <x v="2"/>
    <x v="40"/>
    <n v="-1"/>
    <x v="0"/>
    <m/>
    <m/>
    <m/>
    <s v=""/>
    <n v="409"/>
    <n v="409"/>
    <x v="6"/>
  </r>
  <r>
    <n v="12"/>
    <x v="1"/>
    <x v="41"/>
    <n v="-2"/>
    <x v="0"/>
    <m/>
    <m/>
    <m/>
    <s v=""/>
    <n v="245"/>
    <n v="490"/>
    <x v="6"/>
  </r>
  <r>
    <n v="12"/>
    <x v="1"/>
    <x v="42"/>
    <n v="1"/>
    <x v="1"/>
    <n v="217"/>
    <d v="2024-04-22T00:00:00"/>
    <s v="Wagenvolks"/>
    <n v="217"/>
    <m/>
    <s v=""/>
    <x v="1"/>
  </r>
  <r>
    <n v="12"/>
    <x v="2"/>
    <x v="43"/>
    <n v="4"/>
    <x v="1"/>
    <n v="185"/>
    <d v="2023-12-27T00:00:00"/>
    <s v="Fish Lubrificantes"/>
    <n v="740"/>
    <m/>
    <s v=""/>
    <x v="1"/>
  </r>
  <r>
    <n v="12"/>
    <x v="1"/>
    <x v="44"/>
    <n v="-1"/>
    <x v="0"/>
    <m/>
    <m/>
    <m/>
    <s v=""/>
    <n v="93"/>
    <n v="93"/>
    <x v="4"/>
  </r>
  <r>
    <n v="1"/>
    <x v="9"/>
    <x v="45"/>
    <n v="10"/>
    <x v="1"/>
    <n v="278"/>
    <d v="2024-01-10T00:00:00"/>
    <s v="FAIT"/>
    <n v="2780"/>
    <m/>
    <s v=""/>
    <x v="1"/>
  </r>
  <r>
    <n v="2"/>
    <x v="9"/>
    <x v="45"/>
    <n v="-8"/>
    <x v="0"/>
    <m/>
    <m/>
    <m/>
    <s v=""/>
    <n v="219"/>
    <n v="1752"/>
    <x v="5"/>
  </r>
  <r>
    <n v="3"/>
    <x v="9"/>
    <x v="46"/>
    <n v="5"/>
    <x v="1"/>
    <n v="222"/>
    <d v="2024-03-10T00:00:00"/>
    <s v="Berry"/>
    <n v="1110"/>
    <m/>
    <s v=""/>
    <x v="1"/>
  </r>
  <r>
    <n v="4"/>
    <x v="9"/>
    <x v="47"/>
    <n v="-5"/>
    <x v="0"/>
    <m/>
    <m/>
    <m/>
    <s v=""/>
    <n v="143"/>
    <n v="715"/>
    <x v="4"/>
  </r>
  <r>
    <n v="12"/>
    <x v="7"/>
    <x v="47"/>
    <n v="2"/>
    <x v="1"/>
    <n v="176"/>
    <d v="2024-09-11T00:00:00"/>
    <s v="Fish Lubrificantes"/>
    <n v="352"/>
    <m/>
    <s v=""/>
    <x v="1"/>
  </r>
  <r>
    <n v="12"/>
    <x v="4"/>
    <x v="48"/>
    <n v="10"/>
    <x v="1"/>
    <n v="80"/>
    <d v="2024-07-13T00:00:00"/>
    <s v="Oster Lubrificantes"/>
    <n v="800"/>
    <m/>
    <s v=""/>
    <x v="1"/>
  </r>
  <r>
    <n v="12"/>
    <x v="5"/>
    <x v="49"/>
    <n v="-2"/>
    <x v="0"/>
    <m/>
    <m/>
    <m/>
    <s v=""/>
    <n v="343"/>
    <n v="686"/>
    <x v="7"/>
  </r>
  <r>
    <n v="12"/>
    <x v="6"/>
    <x v="50"/>
    <n v="9"/>
    <x v="1"/>
    <n v="222"/>
    <d v="2024-01-12T00:00:00"/>
    <s v="FAIT"/>
    <n v="1998"/>
    <m/>
    <s v=""/>
    <x v="1"/>
  </r>
  <r>
    <n v="12"/>
    <x v="2"/>
    <x v="51"/>
    <n v="-6"/>
    <x v="0"/>
    <m/>
    <m/>
    <m/>
    <s v=""/>
    <n v="185"/>
    <n v="1110"/>
    <x v="4"/>
  </r>
  <r>
    <n v="12"/>
    <x v="6"/>
    <x v="52"/>
    <n v="1"/>
    <x v="1"/>
    <n v="236"/>
    <d v="2024-02-25T00:00:00"/>
    <s v="Luminosa Peças"/>
    <n v="236"/>
    <m/>
    <s v=""/>
    <x v="1"/>
  </r>
  <r>
    <n v="6"/>
    <x v="8"/>
    <x v="53"/>
    <n v="3"/>
    <x v="1"/>
    <n v="167"/>
    <d v="2024-02-11T00:00:00"/>
    <s v="Luminosa Peças"/>
    <n v="501"/>
    <m/>
    <s v=""/>
    <x v="1"/>
  </r>
  <r>
    <n v="12"/>
    <x v="1"/>
    <x v="54"/>
    <n v="-2"/>
    <x v="0"/>
    <m/>
    <m/>
    <m/>
    <s v=""/>
    <n v="170"/>
    <n v="340"/>
    <x v="2"/>
  </r>
  <r>
    <n v="12"/>
    <x v="2"/>
    <x v="55"/>
    <n v="1"/>
    <x v="1"/>
    <n v="145"/>
    <d v="2024-02-27T00:00:00"/>
    <s v="Oster Lubrificantes"/>
    <n v="145"/>
    <m/>
    <s v="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44D96-7829-4CDE-A70D-6A77C426EB46}" name="Tabela dinâmica3" cacheId="538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>
  <location ref="F3:G13" firstHeaderRow="1" firstDataRow="1" firstDataCol="1" rowPageCount="1" colPageCount="1"/>
  <pivotFields count="15">
    <pivotField showAll="0" defaultSubtotal="0"/>
    <pivotField showAll="0" defaultSubtotal="0"/>
    <pivotField numFmtId="14" showAll="0" defaultSubtota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numFmtId="1" showAll="0" defaultSubtotal="0"/>
    <pivotField axis="axisPage" subtotalTop="0" showAll="0" defaultSubtotal="0">
      <items count="2">
        <item x="1"/>
        <item x="0"/>
      </items>
    </pivotField>
    <pivotField numFmtId="165" showAll="0" defaultSubtotal="0"/>
    <pivotField numFmtId="14" showAll="0" defaultSubtotal="0"/>
    <pivotField showAll="0" defaultSubtotal="0"/>
    <pivotField numFmtId="165" showAll="0" defaultSubtotal="0"/>
    <pivotField numFmtId="165" showAll="0" defaultSubtotal="0"/>
    <pivotField numFmtId="165" showAll="0" defaultSubtotal="0"/>
    <pivotField axis="axisRow" showAll="0" defaultSubtotal="0">
      <items count="12">
        <item x="8"/>
        <item x="10"/>
        <item x="4"/>
        <item x="2"/>
        <item m="1" x="11"/>
        <item x="7"/>
        <item x="3"/>
        <item x="5"/>
        <item x="0"/>
        <item x="6"/>
        <item x="1"/>
        <item x="9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ataField="1" subtotalTop="0" dragToRow="0" dragToCol="0" dragToPage="0" showAll="0" defaultSubtotal="0"/>
  </pivotFields>
  <rowFields count="1">
    <field x="11"/>
  </rowFields>
  <row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1"/>
    </i>
  </rowItems>
  <colItems count="1">
    <i/>
  </colItems>
  <pageFields count="1">
    <pageField fld="4" item="1" hier="-1"/>
  </pageFields>
  <dataFields count="1">
    <dataField name="Produtos Vendidos" fld="14" baseField="0" baseItem="0" numFmtId="1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70063-DEF0-4A0A-A7E4-16ECFB03B4C0}" name="Tabela dinâmica2" cacheId="538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>
  <location ref="A21:B26" firstHeaderRow="1" firstDataRow="1" firstDataCol="1"/>
  <pivotFields count="15">
    <pivotField showAll="0" defaultSubtotal="0"/>
    <pivotField axis="axisRow" showAll="0" measureFilter="1" sortType="descending" defaultSubtotal="0">
      <items count="11">
        <item x="1"/>
        <item x="9"/>
        <item x="2"/>
        <item x="3"/>
        <item x="4"/>
        <item x="6"/>
        <item x="8"/>
        <item x="0"/>
        <item x="7"/>
        <item m="1" x="10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 defaultSubtota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dataField="1" numFmtId="1" showAll="0" defaultSubtotal="0"/>
    <pivotField subtotalTop="0" showAll="0" defaultSubtotal="0"/>
    <pivotField numFmtId="165" showAll="0" defaultSubtotal="0"/>
    <pivotField numFmtId="14" showAll="0" defaultSubtotal="0"/>
    <pivotField showAll="0" defaultSubtotal="0"/>
    <pivotField numFmtId="165" showAll="0" defaultSubtotal="0"/>
    <pivotField numFmtId="165" showAll="0" defaultSubtotal="0"/>
    <pivotField numFmtId="165" showAll="0" defaultSubtotal="0"/>
    <pivotField showAll="0" defaultSubtota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  <pivotField subtotalTop="0" dragToRow="0" dragToCol="0" dragToPage="0" showAll="0" defaultSubtotal="0"/>
  </pivotFields>
  <rowFields count="1">
    <field x="1"/>
  </rowFields>
  <rowItems count="5">
    <i>
      <x/>
    </i>
    <i>
      <x v="5"/>
    </i>
    <i>
      <x v="7"/>
    </i>
    <i>
      <x v="8"/>
    </i>
    <i>
      <x v="4"/>
    </i>
  </rowItems>
  <colItems count="1">
    <i/>
  </colItems>
  <dataFields count="1">
    <dataField name="Quantidade em Estoque" fld="3" baseField="0" baseItem="0" numFmtId="1"/>
  </dataFields>
  <formats count="1">
    <format dxfId="29">
      <pivotArea outline="0" collapsedLevelsAreSubtotals="1" fieldPosition="0"/>
    </format>
  </formats>
  <chartFormats count="12"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811F5-2D89-4330-A0D3-96898AAAE32A}" name="Tabela dinâmica1" cacheId="538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>
  <location ref="A3:C15" firstHeaderRow="0" firstDataRow="1" firstDataCol="1"/>
  <pivotFields count="15">
    <pivotField showAll="0" defaultSubtotal="0"/>
    <pivotField showAll="0" defaultSubtotal="0">
      <items count="11">
        <item x="1"/>
        <item x="9"/>
        <item x="2"/>
        <item x="3"/>
        <item x="4"/>
        <item x="6"/>
        <item x="8"/>
        <item x="0"/>
        <item x="7"/>
        <item x="5"/>
        <item h="1" m="1" x="10"/>
      </items>
    </pivotField>
    <pivotField axis="axisRow" numFmtId="14" showAll="0" defaultSubtota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numFmtId="1" showAll="0" defaultSubtotal="0"/>
    <pivotField subtotalTop="0" showAll="0" defaultSubtotal="0"/>
    <pivotField numFmtId="165" showAll="0" defaultSubtotal="0"/>
    <pivotField numFmtId="14" showAll="0" defaultSubtotal="0"/>
    <pivotField showAll="0" defaultSubtotal="0"/>
    <pivotField dataField="1" numFmtId="165" showAll="0" defaultSubtotal="0"/>
    <pivotField numFmtId="165" showAll="0" defaultSubtotal="0"/>
    <pivotField dataField="1" numFmtId="165" showAll="0" defaultSubtotal="0"/>
    <pivotField showAll="0" defaultSubtota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dragToRow="0" dragToCol="0" dragToPage="0" showAll="0" defaultSubtotal="0"/>
  </pivotFields>
  <rowFields count="2">
    <field x="13"/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dataFields count="2">
    <dataField name="Despesas" fld="8" baseField="0" baseItem="0"/>
    <dataField name="Receitas" fld="10" baseField="0" baseItem="0"/>
  </dataFields>
  <formats count="1">
    <format dxfId="28">
      <pivotArea outline="0" collapsedLevelsAreSubtotals="1" fieldPosition="0"/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_Movimentação" xr10:uid="{BD1D6FBD-CDC7-4476-BD46-333F3774EDD0}" sourceName="Meses (Data Movimentação)">
  <pivotTables>
    <pivotTable tabId="21" name="Tabela dinâmica2"/>
  </pivotTables>
  <data>
    <tabular pivotCacheId="44803592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6126B955-66A2-4E9B-8183-2DBE68AE5456}" sourceName="Produto">
  <pivotTables>
    <pivotTable tabId="21" name="Tabela dinâmica1"/>
  </pivotTables>
  <data>
    <tabular pivotCacheId="448035921" showMissing="0" crossFilter="none">
      <items count="11">
        <i x="1" s="1"/>
        <i x="9" s="1"/>
        <i x="2" s="1"/>
        <i x="3" s="1"/>
        <i x="4" s="1"/>
        <i x="6" s="1"/>
        <i x="8" s="1"/>
        <i x="0" s="1"/>
        <i x="7" s="1"/>
        <i x="5" s="1"/>
        <i x="1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Data Movimentação)" xr10:uid="{68F2681E-13C2-485A-A468-BD6CB9A95A10}" cache="SegmentaçãodeDados_Meses__Data_Movimentação" caption="Meses (Data Movimentação)" columnCount="3" showCaption="0" style="Estilo de Segmentação de Dados 1" rowHeight="234950"/>
  <slicer name="Produto" xr10:uid="{0A6BE52C-BF41-4D3C-A772-565C574D6C18}" cache="SegmentaçãodeDados_Produto" caption="Produto" columnCount="2" showCaption="0" style="Estilo de Segmentação de Dados 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2AAC0-9EBA-4FD6-BDCD-54422058BD06}" name="Tabela1" displayName="Tabela1" ref="B5:F15" totalsRowShown="0" headerRowDxfId="27" dataDxfId="26">
  <tableColumns count="5">
    <tableColumn id="1" xr3:uid="{E780914D-4674-43B7-9FDD-1DC164DC45F3}" name="Nº" dataDxfId="25"/>
    <tableColumn id="2" xr3:uid="{02B23630-D04D-45D3-94FF-080B9905E4DB}" name="Nome do Produto" dataDxfId="24"/>
    <tableColumn id="3" xr3:uid="{648FD112-DF61-4038-8973-D24E7845DDB6}" name="Estoque Mínimo" dataDxfId="23"/>
    <tableColumn id="4" xr3:uid="{F218D0B6-1239-48AA-A9CA-233D87577C71}" name="Data de Cadastro " dataDxfId="22"/>
    <tableColumn id="5" xr3:uid="{EEE62DCE-A19F-44DF-BDF7-CDE5DFE80BA1}" name="Unidade de Medida" dataDxfId="21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5B99A5-A66B-44E4-B6B1-997885139EAE}" name="Tabela3" displayName="Tabela3" ref="H5:K15" totalsRowShown="0" headerRowDxfId="20">
  <autoFilter ref="H5:K15" xr:uid="{B15B99A5-A66B-44E4-B6B1-997885139EAE}"/>
  <tableColumns count="4">
    <tableColumn id="2" xr3:uid="{5C491808-70C3-4494-B212-5E14D1832E82}" name="Nome do Fornecedor" dataDxfId="19"/>
    <tableColumn id="3" xr3:uid="{206744B0-B1C5-4893-9ACF-B2BC569AA6AA}" name="E-mail" dataDxfId="18"/>
    <tableColumn id="4" xr3:uid="{E8A925E8-767C-4C53-AD8A-B58D51387A1B}" name="Telefone" dataDxfId="17"/>
    <tableColumn id="5" xr3:uid="{FB1910E8-E6C3-4F28-958B-0C950CAB40A0}" name="UF Fornecedor" dataDxfId="16"/>
  </tableColumns>
  <tableStyleInfo name="Estilo de Tabe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04107-02C7-4679-AB09-D5200DF9E6BE}" name="Tabela13" displayName="Tabela13" ref="B5:M72" totalsRowShown="0" headerRowDxfId="13" dataDxfId="12">
  <autoFilter ref="B5:M72" xr:uid="{3B404107-02C7-4679-AB09-D5200DF9E6BE}"/>
  <tableColumns count="12">
    <tableColumn id="1" xr3:uid="{4BEE3513-E969-47AA-8B9D-37C3CA943391}" name="Nº" dataDxfId="11"/>
    <tableColumn id="2" xr3:uid="{6E376F95-90A6-4119-9EED-DDB60866F414}" name="Produto" dataDxfId="10"/>
    <tableColumn id="3" xr3:uid="{129B3AFC-CFC3-47B5-8EA7-C26380F996FB}" name="Data Movimentação" dataDxfId="9"/>
    <tableColumn id="10" xr3:uid="{209D8A87-6FB7-4BFA-A958-58BF88337A57}" name="Qtde." dataDxfId="8"/>
    <tableColumn id="12" xr3:uid="{A7D36C99-1E7A-4974-B722-6451EB67D437}" name="Tipo Movimentação" dataDxfId="7">
      <calculatedColumnFormula>IF(Tabela13[[#This Row],[Qtde.]]&lt;0,"Saída","Entrada")</calculatedColumnFormula>
    </tableColumn>
    <tableColumn id="4" xr3:uid="{BCCE0F09-7FD2-472B-A31C-81E20A8081D9}" name="Custo Unitário" dataDxfId="6"/>
    <tableColumn id="5" xr3:uid="{0397D46D-6B9B-4959-BFE3-AB311A3493C4}" name="Data Validade" dataDxfId="5"/>
    <tableColumn id="6" xr3:uid="{AD5F79BA-B0AC-4213-8ACE-E0AE1A0206B2}" name="Fornecedor" dataDxfId="4"/>
    <tableColumn id="8" xr3:uid="{CF38E8D2-7783-487F-81B0-3D67ED0CF7E3}" name="Custo Total" dataDxfId="3">
      <calculatedColumnFormula>IF(Tabela13[[#This Row],[Qtde.]]&gt;0,Tabela13[[#This Row],[Custo Unitário]]*Tabela13[[#This Row],[Qtde.]],"")</calculatedColumnFormula>
    </tableColumn>
    <tableColumn id="7" xr3:uid="{EE64C116-22E5-4F7F-89A8-F7260CBCC4C5}" name="Preço Unitário" dataDxfId="2"/>
    <tableColumn id="11" xr3:uid="{079D5104-9757-4607-A6D7-1233A726694E}" name="Preço Total" dataDxfId="1">
      <calculatedColumnFormula>IF(Tabela13[[#This Row],[Qtde.]]&lt;0,-Tabela13[[#This Row],[Qtde.]]*Tabela13[[#This Row],[Preço Unitário]],"")</calculatedColumnFormula>
    </tableColumn>
    <tableColumn id="9" xr3:uid="{E651A040-6FE3-43F7-80DE-BD7C9E30C70E}" name="UF Destino" dataDxfId="0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98B6-EF2A-4689-9FE8-569ADBB14116}">
  <dimension ref="A1:L115"/>
  <sheetViews>
    <sheetView showGridLines="0" topLeftCell="A3" zoomScaleNormal="100" workbookViewId="0"/>
  </sheetViews>
  <sheetFormatPr defaultColWidth="8.85546875" defaultRowHeight="14.45"/>
  <cols>
    <col min="1" max="1" width="2.7109375" customWidth="1"/>
    <col min="2" max="2" width="4.7109375" customWidth="1"/>
    <col min="3" max="3" width="31.7109375" customWidth="1"/>
    <col min="4" max="4" width="20.7109375" customWidth="1"/>
    <col min="5" max="5" width="19.28515625" customWidth="1"/>
    <col min="6" max="6" width="16.140625" customWidth="1"/>
    <col min="7" max="7" width="2.7109375" customWidth="1"/>
    <col min="8" max="8" width="15.7109375" customWidth="1"/>
    <col min="9" max="9" width="35.28515625" bestFit="1" customWidth="1"/>
    <col min="10" max="11" width="21.85546875" customWidth="1"/>
    <col min="12" max="12" width="2.7109375" customWidth="1"/>
    <col min="13" max="20" width="8.85546875" customWidth="1"/>
  </cols>
  <sheetData>
    <row r="1" spans="1:12" ht="0.2" customHeight="1"/>
    <row r="2" spans="1:12" ht="0.2" customHeight="1"/>
    <row r="3" spans="1:12" ht="63" customHeight="1">
      <c r="A3" s="21"/>
      <c r="B3" s="26"/>
      <c r="C3" s="26"/>
      <c r="D3" s="26"/>
      <c r="E3" s="26"/>
      <c r="F3" s="26"/>
      <c r="G3" s="26"/>
      <c r="H3" s="26"/>
      <c r="I3" s="26"/>
      <c r="J3" s="21"/>
      <c r="K3" s="21"/>
      <c r="L3" s="21"/>
    </row>
    <row r="4" spans="1:12" ht="12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2" ht="45" customHeight="1">
      <c r="A5" s="22"/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22"/>
      <c r="H5" s="4" t="s">
        <v>5</v>
      </c>
      <c r="I5" s="4" t="s">
        <v>6</v>
      </c>
      <c r="J5" s="4" t="s">
        <v>7</v>
      </c>
      <c r="K5" s="4" t="s">
        <v>8</v>
      </c>
      <c r="L5" s="22"/>
    </row>
    <row r="6" spans="1:12" ht="30" customHeight="1">
      <c r="A6" s="22"/>
      <c r="B6" s="1">
        <v>1</v>
      </c>
      <c r="C6" s="1" t="s">
        <v>9</v>
      </c>
      <c r="D6" s="6">
        <v>5</v>
      </c>
      <c r="E6" s="9">
        <v>44988</v>
      </c>
      <c r="F6" s="1" t="s">
        <v>10</v>
      </c>
      <c r="G6" s="22"/>
      <c r="H6" s="1" t="s">
        <v>11</v>
      </c>
      <c r="I6" s="11" t="s">
        <v>12</v>
      </c>
      <c r="J6" s="12">
        <v>1</v>
      </c>
      <c r="K6" s="12" t="s">
        <v>13</v>
      </c>
      <c r="L6" s="22"/>
    </row>
    <row r="7" spans="1:12" ht="30" customHeight="1">
      <c r="A7" s="22"/>
      <c r="B7" s="1">
        <v>2</v>
      </c>
      <c r="C7" s="1" t="s">
        <v>14</v>
      </c>
      <c r="D7" s="6">
        <v>5</v>
      </c>
      <c r="E7" s="9">
        <v>45112</v>
      </c>
      <c r="F7" s="1" t="s">
        <v>10</v>
      </c>
      <c r="G7" s="22"/>
      <c r="H7" s="1" t="s">
        <v>15</v>
      </c>
      <c r="I7" s="11" t="s">
        <v>16</v>
      </c>
      <c r="J7" s="12">
        <v>2</v>
      </c>
      <c r="K7" s="12" t="s">
        <v>17</v>
      </c>
      <c r="L7" s="22"/>
    </row>
    <row r="8" spans="1:12" ht="30" customHeight="1">
      <c r="A8" s="22"/>
      <c r="B8" s="1">
        <v>3</v>
      </c>
      <c r="C8" s="1" t="s">
        <v>18</v>
      </c>
      <c r="D8" s="6">
        <v>5000</v>
      </c>
      <c r="E8" s="9">
        <v>45094</v>
      </c>
      <c r="F8" s="1" t="s">
        <v>19</v>
      </c>
      <c r="G8" s="22"/>
      <c r="H8" s="1" t="s">
        <v>20</v>
      </c>
      <c r="I8" s="11" t="s">
        <v>21</v>
      </c>
      <c r="J8" s="12">
        <v>3</v>
      </c>
      <c r="K8" s="12" t="s">
        <v>22</v>
      </c>
      <c r="L8" s="22"/>
    </row>
    <row r="9" spans="1:12" ht="30" customHeight="1">
      <c r="A9" s="22"/>
      <c r="B9" s="1">
        <v>4</v>
      </c>
      <c r="C9" s="1" t="s">
        <v>23</v>
      </c>
      <c r="D9" s="6">
        <v>2000</v>
      </c>
      <c r="E9" s="10">
        <v>45099</v>
      </c>
      <c r="F9" s="8" t="s">
        <v>19</v>
      </c>
      <c r="G9" s="22"/>
      <c r="H9" s="1" t="s">
        <v>24</v>
      </c>
      <c r="I9" s="11" t="s">
        <v>25</v>
      </c>
      <c r="J9" s="12">
        <v>4</v>
      </c>
      <c r="K9" s="12" t="s">
        <v>26</v>
      </c>
      <c r="L9" s="22"/>
    </row>
    <row r="10" spans="1:12" ht="30" customHeight="1">
      <c r="A10" s="22"/>
      <c r="B10" s="1">
        <v>5</v>
      </c>
      <c r="C10" s="1" t="s">
        <v>27</v>
      </c>
      <c r="D10" s="6">
        <v>6000</v>
      </c>
      <c r="E10" s="10">
        <v>45115</v>
      </c>
      <c r="F10" s="8" t="s">
        <v>19</v>
      </c>
      <c r="G10" s="22"/>
      <c r="H10" s="1" t="s">
        <v>28</v>
      </c>
      <c r="I10" s="11" t="s">
        <v>29</v>
      </c>
      <c r="J10" s="12">
        <v>5</v>
      </c>
      <c r="K10" s="12" t="s">
        <v>30</v>
      </c>
      <c r="L10" s="22"/>
    </row>
    <row r="11" spans="1:12" ht="30" customHeight="1">
      <c r="A11" s="22"/>
      <c r="B11" s="1">
        <v>6</v>
      </c>
      <c r="C11" s="1" t="s">
        <v>31</v>
      </c>
      <c r="D11" s="6">
        <v>20</v>
      </c>
      <c r="E11" s="10">
        <v>45126</v>
      </c>
      <c r="F11" s="8" t="s">
        <v>10</v>
      </c>
      <c r="G11" s="22"/>
      <c r="H11" s="1" t="s">
        <v>32</v>
      </c>
      <c r="I11" s="11" t="s">
        <v>33</v>
      </c>
      <c r="J11" s="12">
        <v>6</v>
      </c>
      <c r="K11" s="12" t="s">
        <v>34</v>
      </c>
      <c r="L11" s="22"/>
    </row>
    <row r="12" spans="1:12" ht="30" customHeight="1">
      <c r="A12" s="22"/>
      <c r="B12" s="1">
        <v>7</v>
      </c>
      <c r="C12" s="1" t="s">
        <v>35</v>
      </c>
      <c r="D12" s="6">
        <v>5</v>
      </c>
      <c r="E12" s="10">
        <v>45136</v>
      </c>
      <c r="F12" s="8" t="s">
        <v>10</v>
      </c>
      <c r="G12" s="22"/>
      <c r="H12" s="22"/>
      <c r="I12" s="22"/>
      <c r="J12" s="22"/>
      <c r="K12" s="22"/>
      <c r="L12" s="22"/>
    </row>
    <row r="13" spans="1:12" ht="30" customHeight="1">
      <c r="A13" s="22"/>
      <c r="B13" s="1">
        <v>8</v>
      </c>
      <c r="C13" s="1" t="s">
        <v>36</v>
      </c>
      <c r="D13" s="6">
        <v>7</v>
      </c>
      <c r="E13" s="10">
        <v>45153</v>
      </c>
      <c r="F13" s="8" t="s">
        <v>10</v>
      </c>
      <c r="G13" s="22"/>
      <c r="H13" s="22"/>
      <c r="I13" s="22"/>
      <c r="J13" s="22"/>
      <c r="K13" s="22"/>
      <c r="L13" s="22"/>
    </row>
    <row r="14" spans="1:12" ht="30" customHeight="1">
      <c r="A14" s="22"/>
      <c r="B14" s="1">
        <v>9</v>
      </c>
      <c r="C14" s="1" t="s">
        <v>37</v>
      </c>
      <c r="D14" s="6">
        <v>40</v>
      </c>
      <c r="E14" s="9">
        <v>45158</v>
      </c>
      <c r="F14" s="1" t="s">
        <v>10</v>
      </c>
      <c r="G14" s="22"/>
      <c r="H14" s="22"/>
      <c r="I14" s="22"/>
      <c r="J14" s="22"/>
      <c r="K14" s="22"/>
      <c r="L14" s="22"/>
    </row>
    <row r="15" spans="1:12" ht="30" customHeight="1">
      <c r="A15" s="22"/>
      <c r="B15" s="1">
        <v>10</v>
      </c>
      <c r="C15" s="1" t="s">
        <v>38</v>
      </c>
      <c r="D15" s="6">
        <v>40</v>
      </c>
      <c r="E15" s="10">
        <v>45190</v>
      </c>
      <c r="F15" s="8" t="s">
        <v>10</v>
      </c>
      <c r="G15" s="22"/>
      <c r="H15" s="22"/>
      <c r="I15" s="22"/>
      <c r="J15" s="22"/>
      <c r="K15" s="22"/>
      <c r="L15" s="22"/>
    </row>
    <row r="16" spans="1:12" ht="30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2" ht="30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 ht="30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ht="3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ht="30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30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ht="30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ht="30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ht="30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ht="3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ht="30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ht="30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ht="30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ht="30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ht="30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ht="30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ht="30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ht="30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ht="30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30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ht="30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ht="30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ht="30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ht="30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ht="30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1:12" ht="30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ht="30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1:12" ht="30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1:12" ht="30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1:12" ht="30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1:12" ht="30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1:12" ht="30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1:12" ht="30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spans="1:12" ht="30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1:12" ht="30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spans="1:12" ht="30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spans="1:12" ht="30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spans="1:12" ht="30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</row>
    <row r="54" spans="1:12" ht="30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1:12" ht="30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1:12" ht="30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2" ht="30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ht="30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12" ht="30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2" ht="30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ht="30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ht="30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spans="1:12" ht="30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1:12" ht="30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spans="1:12" ht="30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1:12" ht="30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</row>
    <row r="67" spans="1:12" ht="30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</row>
    <row r="68" spans="1:12" ht="30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</row>
    <row r="69" spans="1:12" ht="30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spans="1:12" ht="30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</row>
    <row r="71" spans="1:12" ht="30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</row>
    <row r="72" spans="1:12" ht="30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1:12" ht="30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</row>
    <row r="74" spans="1:12" ht="30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</row>
    <row r="75" spans="1:12" ht="30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1:12" ht="30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</row>
    <row r="77" spans="1:12" ht="30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</row>
    <row r="78" spans="1:12" ht="30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1:12" ht="30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</row>
    <row r="80" spans="1:12" ht="30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</row>
    <row r="81" spans="1:12" ht="30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</row>
    <row r="82" spans="1:12" ht="30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</row>
    <row r="83" spans="1:12" ht="30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</row>
    <row r="84" spans="1:12" ht="30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spans="1:12" ht="30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</row>
    <row r="86" spans="1:12" ht="30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</row>
    <row r="87" spans="1:12" ht="30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</row>
    <row r="88" spans="1:12" ht="30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</row>
    <row r="89" spans="1:12" ht="30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</row>
    <row r="90" spans="1:12" ht="30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</row>
    <row r="91" spans="1:12" ht="30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</row>
    <row r="92" spans="1:12" ht="30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</row>
    <row r="93" spans="1:12" ht="30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</row>
    <row r="94" spans="1:12" ht="30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</row>
    <row r="95" spans="1:12" ht="30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</row>
    <row r="96" spans="1:12" ht="30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</row>
    <row r="97" spans="1:12" ht="30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</row>
    <row r="98" spans="1:12" ht="30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</row>
    <row r="99" spans="1:12" ht="30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</row>
    <row r="100" spans="1:12" ht="30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</row>
    <row r="101" spans="1:12" ht="30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</row>
    <row r="102" spans="1:12" ht="30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</row>
    <row r="103" spans="1:12" ht="30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</row>
    <row r="104" spans="1:12" ht="30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</row>
    <row r="105" spans="1:12" ht="30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</row>
    <row r="106" spans="1:12" ht="30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</row>
    <row r="107" spans="1:12" ht="30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</row>
    <row r="108" spans="1:12" ht="30" customHeight="1"/>
    <row r="109" spans="1:12" ht="30" customHeight="1"/>
    <row r="110" spans="1:12" ht="30" customHeight="1"/>
    <row r="111" spans="1:12" ht="30" customHeight="1"/>
    <row r="112" spans="1:12" ht="30" customHeight="1"/>
    <row r="113" ht="30" customHeight="1"/>
    <row r="114" ht="30" customHeight="1"/>
    <row r="115" ht="30" customHeight="1"/>
  </sheetData>
  <mergeCells count="1">
    <mergeCell ref="B3:I3"/>
  </mergeCells>
  <phoneticPr fontId="3" type="noConversion"/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0921-F4F2-496F-9376-94AFF5BE315B}">
  <dimension ref="A1:O115"/>
  <sheetViews>
    <sheetView showGridLines="0" topLeftCell="A3" zoomScaleNormal="100" workbookViewId="0"/>
  </sheetViews>
  <sheetFormatPr defaultColWidth="0" defaultRowHeight="14.45"/>
  <cols>
    <col min="1" max="1" width="2.7109375" customWidth="1"/>
    <col min="2" max="2" width="4.7109375" customWidth="1"/>
    <col min="3" max="3" width="31.7109375" customWidth="1"/>
    <col min="4" max="4" width="20.7109375" customWidth="1"/>
    <col min="5" max="5" width="19.85546875" bestFit="1" customWidth="1"/>
    <col min="6" max="6" width="18.28515625" hidden="1" customWidth="1"/>
    <col min="7" max="7" width="26.140625" customWidth="1"/>
    <col min="8" max="8" width="22" customWidth="1"/>
    <col min="9" max="9" width="24.7109375" customWidth="1"/>
    <col min="10" max="10" width="24.7109375" hidden="1" customWidth="1"/>
    <col min="11" max="11" width="16.28515625" customWidth="1"/>
    <col min="12" max="12" width="16.28515625" hidden="1" customWidth="1"/>
    <col min="13" max="13" width="20.7109375" customWidth="1"/>
    <col min="14" max="14" width="2.7109375" customWidth="1"/>
    <col min="15" max="15" width="0" hidden="1" customWidth="1"/>
    <col min="16" max="16384" width="8.85546875" hidden="1"/>
  </cols>
  <sheetData>
    <row r="1" spans="1:14" ht="0.2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0.2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63" customHeight="1">
      <c r="A3" s="21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1"/>
    </row>
    <row r="4" spans="1:14" ht="12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45" customHeight="1">
      <c r="A5" s="22"/>
      <c r="B5" s="4" t="s">
        <v>0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47</v>
      </c>
      <c r="L5" s="4" t="s">
        <v>48</v>
      </c>
      <c r="M5" s="4" t="s">
        <v>49</v>
      </c>
      <c r="N5" s="22"/>
    </row>
    <row r="6" spans="1:14" ht="30" customHeight="1">
      <c r="A6" s="22"/>
      <c r="B6" s="13">
        <v>1</v>
      </c>
      <c r="C6" s="13" t="s">
        <v>18</v>
      </c>
      <c r="D6" s="14">
        <v>44927</v>
      </c>
      <c r="E6" s="15">
        <v>-4</v>
      </c>
      <c r="F6" s="15" t="str">
        <f>IF(Tabela13[[#This Row],[Qtde.]]&lt;0,"Saída","Entrada")</f>
        <v>Saída</v>
      </c>
      <c r="G6" s="16"/>
      <c r="H6" s="14"/>
      <c r="I6" s="16"/>
      <c r="J6" s="16" t="str">
        <f>IF(Tabela13[[#This Row],[Qtde.]]&gt;0,Tabela13[[#This Row],[Custo Unitário]]*Tabela13[[#This Row],[Qtde.]],"")</f>
        <v/>
      </c>
      <c r="K6" s="16">
        <v>131</v>
      </c>
      <c r="L6" s="16">
        <f>IF(Tabela13[[#This Row],[Qtde.]]&lt;0,-Tabela13[[#This Row],[Qtde.]]*Tabela13[[#This Row],[Preço Unitário]],"")</f>
        <v>524</v>
      </c>
      <c r="M6" s="16" t="s">
        <v>34</v>
      </c>
      <c r="N6" s="22"/>
    </row>
    <row r="7" spans="1:14" ht="30" customHeight="1">
      <c r="A7" s="22"/>
      <c r="B7" s="17">
        <v>2</v>
      </c>
      <c r="C7" s="17" t="s">
        <v>31</v>
      </c>
      <c r="D7" s="14">
        <v>44928</v>
      </c>
      <c r="E7" s="15">
        <v>8</v>
      </c>
      <c r="F7" s="15" t="str">
        <f>IF(Tabela13[[#This Row],[Qtde.]]&lt;0,"Saída","Entrada")</f>
        <v>Entrada</v>
      </c>
      <c r="G7" s="18">
        <v>280</v>
      </c>
      <c r="H7" s="19">
        <v>45157</v>
      </c>
      <c r="I7" s="17" t="s">
        <v>28</v>
      </c>
      <c r="J7" s="18">
        <f>IF(Tabela13[[#This Row],[Qtde.]]&gt;0,Tabela13[[#This Row],[Custo Unitário]]*Tabela13[[#This Row],[Qtde.]],"")</f>
        <v>2240</v>
      </c>
      <c r="K7" s="18"/>
      <c r="L7" s="18" t="str">
        <f>IF(Tabela13[[#This Row],[Qtde.]]&lt;0,-Tabela13[[#This Row],[Qtde.]]*Tabela13[[#This Row],[Preço Unitário]],"")</f>
        <v/>
      </c>
      <c r="M7" s="17"/>
      <c r="N7" s="22"/>
    </row>
    <row r="8" spans="1:14" ht="30" customHeight="1">
      <c r="A8" s="22"/>
      <c r="B8" s="13">
        <v>3</v>
      </c>
      <c r="C8" s="17" t="s">
        <v>31</v>
      </c>
      <c r="D8" s="14">
        <v>44936</v>
      </c>
      <c r="E8" s="15">
        <v>-4</v>
      </c>
      <c r="F8" s="15" t="str">
        <f>IF(Tabela13[[#This Row],[Qtde.]]&lt;0,"Saída","Entrada")</f>
        <v>Saída</v>
      </c>
      <c r="G8" s="18"/>
      <c r="H8" s="19"/>
      <c r="I8" s="17"/>
      <c r="J8" s="18" t="str">
        <f>IF(Tabela13[[#This Row],[Qtde.]]&gt;0,Tabela13[[#This Row],[Custo Unitário]]*Tabela13[[#This Row],[Qtde.]],"")</f>
        <v/>
      </c>
      <c r="K8" s="18">
        <v>186</v>
      </c>
      <c r="L8" s="18">
        <f>IF(Tabela13[[#This Row],[Qtde.]]&lt;0,-Tabela13[[#This Row],[Qtde.]]*Tabela13[[#This Row],[Preço Unitário]],"")</f>
        <v>744</v>
      </c>
      <c r="M8" s="17" t="s">
        <v>13</v>
      </c>
      <c r="N8" s="22"/>
    </row>
    <row r="9" spans="1:14" ht="30" customHeight="1">
      <c r="A9" s="22"/>
      <c r="B9" s="17">
        <v>4</v>
      </c>
      <c r="C9" s="17" t="s">
        <v>37</v>
      </c>
      <c r="D9" s="14">
        <v>44936</v>
      </c>
      <c r="E9" s="15">
        <v>8</v>
      </c>
      <c r="F9" s="15" t="str">
        <f>IF(Tabela13[[#This Row],[Qtde.]]&lt;0,"Saída","Entrada")</f>
        <v>Entrada</v>
      </c>
      <c r="G9" s="18">
        <v>157</v>
      </c>
      <c r="H9" s="19">
        <v>45154</v>
      </c>
      <c r="I9" s="17" t="s">
        <v>32</v>
      </c>
      <c r="J9" s="18">
        <f>IF(Tabela13[[#This Row],[Qtde.]]&gt;0,Tabela13[[#This Row],[Custo Unitário]]*Tabela13[[#This Row],[Qtde.]],"")</f>
        <v>1256</v>
      </c>
      <c r="K9" s="18"/>
      <c r="L9" s="18" t="str">
        <f>IF(Tabela13[[#This Row],[Qtde.]]&lt;0,-Tabela13[[#This Row],[Qtde.]]*Tabela13[[#This Row],[Preço Unitário]],"")</f>
        <v/>
      </c>
      <c r="M9" s="17"/>
      <c r="N9" s="22"/>
    </row>
    <row r="10" spans="1:14" ht="30" customHeight="1">
      <c r="A10" s="22"/>
      <c r="B10" s="13">
        <v>5</v>
      </c>
      <c r="C10" s="17" t="s">
        <v>38</v>
      </c>
      <c r="D10" s="14">
        <v>44942</v>
      </c>
      <c r="E10" s="15">
        <v>-2</v>
      </c>
      <c r="F10" s="15" t="str">
        <f>IF(Tabela13[[#This Row],[Qtde.]]&lt;0,"Saída","Entrada")</f>
        <v>Saída</v>
      </c>
      <c r="G10" s="18"/>
      <c r="H10" s="19"/>
      <c r="I10" s="17"/>
      <c r="J10" s="18" t="str">
        <f>IF(Tabela13[[#This Row],[Qtde.]]&gt;0,Tabela13[[#This Row],[Custo Unitário]]*Tabela13[[#This Row],[Qtde.]],"")</f>
        <v/>
      </c>
      <c r="K10" s="18">
        <v>210</v>
      </c>
      <c r="L10" s="18">
        <f>IF(Tabela13[[#This Row],[Qtde.]]&lt;0,-Tabela13[[#This Row],[Qtde.]]*Tabela13[[#This Row],[Preço Unitário]],"")</f>
        <v>420</v>
      </c>
      <c r="M10" s="17" t="s">
        <v>50</v>
      </c>
      <c r="N10" s="22"/>
    </row>
    <row r="11" spans="1:14" ht="30" customHeight="1">
      <c r="A11" s="22"/>
      <c r="B11" s="17">
        <v>6</v>
      </c>
      <c r="C11" s="17" t="s">
        <v>35</v>
      </c>
      <c r="D11" s="14">
        <v>44951</v>
      </c>
      <c r="E11" s="15">
        <v>5</v>
      </c>
      <c r="F11" s="15" t="str">
        <f>IF(Tabela13[[#This Row],[Qtde.]]&lt;0,"Saída","Entrada")</f>
        <v>Entrada</v>
      </c>
      <c r="G11" s="18">
        <v>240</v>
      </c>
      <c r="H11" s="19">
        <v>45276</v>
      </c>
      <c r="I11" s="17" t="s">
        <v>20</v>
      </c>
      <c r="J11" s="18">
        <f>IF(Tabela13[[#This Row],[Qtde.]]&gt;0,Tabela13[[#This Row],[Custo Unitário]]*Tabela13[[#This Row],[Qtde.]],"")</f>
        <v>1200</v>
      </c>
      <c r="K11" s="18"/>
      <c r="L11" s="18" t="str">
        <f>IF(Tabela13[[#This Row],[Qtde.]]&lt;0,-Tabela13[[#This Row],[Qtde.]]*Tabela13[[#This Row],[Preço Unitário]],"")</f>
        <v/>
      </c>
      <c r="M11" s="17"/>
      <c r="N11" s="22"/>
    </row>
    <row r="12" spans="1:14" ht="30" customHeight="1">
      <c r="A12" s="22"/>
      <c r="B12" s="13">
        <v>7</v>
      </c>
      <c r="C12" s="17" t="s">
        <v>23</v>
      </c>
      <c r="D12" s="14">
        <v>44955</v>
      </c>
      <c r="E12" s="15">
        <v>-2</v>
      </c>
      <c r="F12" s="15" t="str">
        <f>IF(Tabela13[[#This Row],[Qtde.]]&lt;0,"Saída","Entrada")</f>
        <v>Saída</v>
      </c>
      <c r="G12" s="18"/>
      <c r="H12" s="19"/>
      <c r="I12" s="17"/>
      <c r="J12" s="18" t="str">
        <f>IF(Tabela13[[#This Row],[Qtde.]]&gt;0,Tabela13[[#This Row],[Custo Unitário]]*Tabela13[[#This Row],[Qtde.]],"")</f>
        <v/>
      </c>
      <c r="K12" s="18">
        <v>321</v>
      </c>
      <c r="L12" s="18">
        <f>IF(Tabela13[[#This Row],[Qtde.]]&lt;0,-Tabela13[[#This Row],[Qtde.]]*Tabela13[[#This Row],[Preço Unitário]],"")</f>
        <v>642</v>
      </c>
      <c r="M12" s="17" t="s">
        <v>50</v>
      </c>
      <c r="N12" s="22"/>
    </row>
    <row r="13" spans="1:14" ht="30" customHeight="1">
      <c r="A13" s="22"/>
      <c r="B13" s="17">
        <v>8</v>
      </c>
      <c r="C13" s="17" t="s">
        <v>31</v>
      </c>
      <c r="D13" s="14">
        <v>44959</v>
      </c>
      <c r="E13" s="15">
        <v>9</v>
      </c>
      <c r="F13" s="15" t="str">
        <f>IF(Tabela13[[#This Row],[Qtde.]]&lt;0,"Saída","Entrada")</f>
        <v>Entrada</v>
      </c>
      <c r="G13" s="18">
        <v>209</v>
      </c>
      <c r="H13" s="19">
        <v>45233</v>
      </c>
      <c r="I13" s="17" t="s">
        <v>32</v>
      </c>
      <c r="J13" s="18">
        <f>IF(Tabela13[[#This Row],[Qtde.]]&gt;0,Tabela13[[#This Row],[Custo Unitário]]*Tabela13[[#This Row],[Qtde.]],"")</f>
        <v>1881</v>
      </c>
      <c r="K13" s="18"/>
      <c r="L13" s="18" t="str">
        <f>IF(Tabela13[[#This Row],[Qtde.]]&lt;0,-Tabela13[[#This Row],[Qtde.]]*Tabela13[[#This Row],[Preço Unitário]],"")</f>
        <v/>
      </c>
      <c r="M13" s="17"/>
      <c r="N13" s="22"/>
    </row>
    <row r="14" spans="1:14" ht="30" customHeight="1">
      <c r="A14" s="22"/>
      <c r="B14" s="13">
        <v>9</v>
      </c>
      <c r="C14" s="17" t="s">
        <v>31</v>
      </c>
      <c r="D14" s="14">
        <v>44959</v>
      </c>
      <c r="E14" s="15">
        <v>-1</v>
      </c>
      <c r="F14" s="15" t="str">
        <f>IF(Tabela13[[#This Row],[Qtde.]]&lt;0,"Saída","Entrada")</f>
        <v>Saída</v>
      </c>
      <c r="G14" s="18"/>
      <c r="H14" s="19"/>
      <c r="I14" s="17"/>
      <c r="J14" s="18" t="str">
        <f>IF(Tabela13[[#This Row],[Qtde.]]&gt;0,Tabela13[[#This Row],[Custo Unitário]]*Tabela13[[#This Row],[Qtde.]],"")</f>
        <v/>
      </c>
      <c r="K14" s="18">
        <v>132</v>
      </c>
      <c r="L14" s="18">
        <f>IF(Tabela13[[#This Row],[Qtde.]]&lt;0,-Tabela13[[#This Row],[Qtde.]]*Tabela13[[#This Row],[Preço Unitário]],"")</f>
        <v>132</v>
      </c>
      <c r="M14" s="17" t="s">
        <v>34</v>
      </c>
      <c r="N14" s="22"/>
    </row>
    <row r="15" spans="1:14" ht="30" customHeight="1">
      <c r="A15" s="22"/>
      <c r="B15" s="17">
        <v>10</v>
      </c>
      <c r="C15" s="17" t="s">
        <v>31</v>
      </c>
      <c r="D15" s="14">
        <v>44975</v>
      </c>
      <c r="E15" s="15">
        <v>9</v>
      </c>
      <c r="F15" s="15" t="str">
        <f>IF(Tabela13[[#This Row],[Qtde.]]&lt;0,"Saída","Entrada")</f>
        <v>Entrada</v>
      </c>
      <c r="G15" s="18">
        <v>90</v>
      </c>
      <c r="H15" s="19">
        <v>45126</v>
      </c>
      <c r="I15" s="17" t="s">
        <v>32</v>
      </c>
      <c r="J15" s="18">
        <f>IF(Tabela13[[#This Row],[Qtde.]]&gt;0,Tabela13[[#This Row],[Custo Unitário]]*Tabela13[[#This Row],[Qtde.]],"")</f>
        <v>810</v>
      </c>
      <c r="K15" s="18"/>
      <c r="L15" s="18" t="str">
        <f>IF(Tabela13[[#This Row],[Qtde.]]&lt;0,-Tabela13[[#This Row],[Qtde.]]*Tabela13[[#This Row],[Preço Unitário]],"")</f>
        <v/>
      </c>
      <c r="M15" s="17"/>
      <c r="N15" s="22"/>
    </row>
    <row r="16" spans="1:14" ht="30" customHeight="1">
      <c r="A16" s="22"/>
      <c r="B16" s="13">
        <v>11</v>
      </c>
      <c r="C16" s="17" t="s">
        <v>37</v>
      </c>
      <c r="D16" s="14">
        <v>44977</v>
      </c>
      <c r="E16" s="15">
        <v>-1</v>
      </c>
      <c r="F16" s="15" t="str">
        <f>IF(Tabela13[[#This Row],[Qtde.]]&lt;0,"Saída","Entrada")</f>
        <v>Saída</v>
      </c>
      <c r="G16" s="18"/>
      <c r="H16" s="19"/>
      <c r="I16" s="17"/>
      <c r="J16" s="18" t="str">
        <f>IF(Tabela13[[#This Row],[Qtde.]]&gt;0,Tabela13[[#This Row],[Custo Unitário]]*Tabela13[[#This Row],[Qtde.]],"")</f>
        <v/>
      </c>
      <c r="K16" s="18">
        <v>339</v>
      </c>
      <c r="L16" s="18">
        <f>IF(Tabela13[[#This Row],[Qtde.]]&lt;0,-Tabela13[[#This Row],[Qtde.]]*Tabela13[[#This Row],[Preço Unitário]],"")</f>
        <v>339</v>
      </c>
      <c r="M16" s="17" t="s">
        <v>50</v>
      </c>
      <c r="N16" s="22"/>
    </row>
    <row r="17" spans="1:14" ht="30" customHeight="1">
      <c r="A17" s="22"/>
      <c r="B17" s="17">
        <v>12</v>
      </c>
      <c r="C17" s="17" t="s">
        <v>27</v>
      </c>
      <c r="D17" s="14">
        <v>44978</v>
      </c>
      <c r="E17" s="15">
        <v>2</v>
      </c>
      <c r="F17" s="15" t="str">
        <f>IF(Tabela13[[#This Row],[Qtde.]]&lt;0,"Saída","Entrada")</f>
        <v>Entrada</v>
      </c>
      <c r="G17" s="18">
        <v>267</v>
      </c>
      <c r="H17" s="19">
        <v>45308</v>
      </c>
      <c r="I17" s="17" t="s">
        <v>20</v>
      </c>
      <c r="J17" s="18">
        <f>IF(Tabela13[[#This Row],[Qtde.]]&gt;0,Tabela13[[#This Row],[Custo Unitário]]*Tabela13[[#This Row],[Qtde.]],"")</f>
        <v>534</v>
      </c>
      <c r="K17" s="18"/>
      <c r="L17" s="18" t="str">
        <f>IF(Tabela13[[#This Row],[Qtde.]]&lt;0,-Tabela13[[#This Row],[Qtde.]]*Tabela13[[#This Row],[Preço Unitário]],"")</f>
        <v/>
      </c>
      <c r="M17" s="17"/>
      <c r="N17" s="22"/>
    </row>
    <row r="18" spans="1:14" ht="30" customHeight="1">
      <c r="A18" s="22"/>
      <c r="B18" s="13">
        <v>13</v>
      </c>
      <c r="C18" s="17" t="s">
        <v>18</v>
      </c>
      <c r="D18" s="14">
        <v>44980</v>
      </c>
      <c r="E18" s="15">
        <v>-3</v>
      </c>
      <c r="F18" s="15" t="str">
        <f>IF(Tabela13[[#This Row],[Qtde.]]&lt;0,"Saída","Entrada")</f>
        <v>Saída</v>
      </c>
      <c r="G18" s="18"/>
      <c r="H18" s="19"/>
      <c r="I18" s="17"/>
      <c r="J18" s="18" t="str">
        <f>IF(Tabela13[[#This Row],[Qtde.]]&gt;0,Tabela13[[#This Row],[Custo Unitário]]*Tabela13[[#This Row],[Qtde.]],"")</f>
        <v/>
      </c>
      <c r="K18" s="18">
        <v>153</v>
      </c>
      <c r="L18" s="18">
        <f>IF(Tabela13[[#This Row],[Qtde.]]&lt;0,-Tabela13[[#This Row],[Qtde.]]*Tabela13[[#This Row],[Preço Unitário]],"")</f>
        <v>459</v>
      </c>
      <c r="M18" s="17" t="s">
        <v>30</v>
      </c>
      <c r="N18" s="22"/>
    </row>
    <row r="19" spans="1:14" ht="30" customHeight="1">
      <c r="A19" s="22"/>
      <c r="B19" s="17">
        <v>14</v>
      </c>
      <c r="C19" s="17" t="s">
        <v>35</v>
      </c>
      <c r="D19" s="14">
        <v>44981</v>
      </c>
      <c r="E19" s="15">
        <v>-3</v>
      </c>
      <c r="F19" s="15" t="str">
        <f>IF(Tabela13[[#This Row],[Qtde.]]&lt;0,"Saída","Entrada")</f>
        <v>Saída</v>
      </c>
      <c r="G19" s="18"/>
      <c r="H19" s="19"/>
      <c r="I19" s="17"/>
      <c r="J19" s="18" t="str">
        <f>IF(Tabela13[[#This Row],[Qtde.]]&gt;0,Tabela13[[#This Row],[Custo Unitário]]*Tabela13[[#This Row],[Qtde.]],"")</f>
        <v/>
      </c>
      <c r="K19" s="18">
        <v>316</v>
      </c>
      <c r="L19" s="18">
        <f>IF(Tabela13[[#This Row],[Qtde.]]&lt;0,-Tabela13[[#This Row],[Qtde.]]*Tabela13[[#This Row],[Preço Unitário]],"")</f>
        <v>948</v>
      </c>
      <c r="M19" s="17" t="s">
        <v>30</v>
      </c>
      <c r="N19" s="22"/>
    </row>
    <row r="20" spans="1:14" ht="30" customHeight="1">
      <c r="A20" s="22"/>
      <c r="B20" s="13">
        <v>15</v>
      </c>
      <c r="C20" s="17" t="s">
        <v>31</v>
      </c>
      <c r="D20" s="14">
        <v>44987</v>
      </c>
      <c r="E20" s="15">
        <v>7</v>
      </c>
      <c r="F20" s="15" t="str">
        <f>IF(Tabela13[[#This Row],[Qtde.]]&lt;0,"Saída","Entrada")</f>
        <v>Entrada</v>
      </c>
      <c r="G20" s="18">
        <v>185</v>
      </c>
      <c r="H20" s="19">
        <v>45312</v>
      </c>
      <c r="I20" s="17" t="s">
        <v>15</v>
      </c>
      <c r="J20" s="18">
        <f>IF(Tabela13[[#This Row],[Qtde.]]&gt;0,Tabela13[[#This Row],[Custo Unitário]]*Tabela13[[#This Row],[Qtde.]],"")</f>
        <v>1295</v>
      </c>
      <c r="K20" s="18"/>
      <c r="L20" s="18" t="str">
        <f>IF(Tabela13[[#This Row],[Qtde.]]&lt;0,-Tabela13[[#This Row],[Qtde.]]*Tabela13[[#This Row],[Preço Unitário]],"")</f>
        <v/>
      </c>
      <c r="M20" s="17"/>
      <c r="N20" s="22"/>
    </row>
    <row r="21" spans="1:14" ht="30" customHeight="1">
      <c r="A21" s="22"/>
      <c r="B21" s="17">
        <v>16</v>
      </c>
      <c r="C21" s="17" t="s">
        <v>18</v>
      </c>
      <c r="D21" s="14">
        <v>45009</v>
      </c>
      <c r="E21" s="15">
        <v>-1</v>
      </c>
      <c r="F21" s="15" t="str">
        <f>IF(Tabela13[[#This Row],[Qtde.]]&lt;0,"Saída","Entrada")</f>
        <v>Saída</v>
      </c>
      <c r="G21" s="18"/>
      <c r="H21" s="19"/>
      <c r="I21" s="20"/>
      <c r="J21" s="18" t="str">
        <f>IF(Tabela13[[#This Row],[Qtde.]]&gt;0,Tabela13[[#This Row],[Custo Unitário]]*Tabela13[[#This Row],[Qtde.]],"")</f>
        <v/>
      </c>
      <c r="K21" s="18">
        <v>195</v>
      </c>
      <c r="L21" s="18">
        <f>IF(Tabela13[[#This Row],[Qtde.]]&lt;0,-Tabela13[[#This Row],[Qtde.]]*Tabela13[[#This Row],[Preço Unitário]],"")</f>
        <v>195</v>
      </c>
      <c r="M21" s="17" t="s">
        <v>26</v>
      </c>
      <c r="N21" s="22"/>
    </row>
    <row r="22" spans="1:14" ht="30" customHeight="1">
      <c r="A22" s="22"/>
      <c r="B22" s="13">
        <v>17</v>
      </c>
      <c r="C22" s="17" t="s">
        <v>27</v>
      </c>
      <c r="D22" s="14">
        <v>45009</v>
      </c>
      <c r="E22" s="15">
        <v>7</v>
      </c>
      <c r="F22" s="15" t="str">
        <f>IF(Tabela13[[#This Row],[Qtde.]]&lt;0,"Saída","Entrada")</f>
        <v>Entrada</v>
      </c>
      <c r="G22" s="18">
        <v>169</v>
      </c>
      <c r="H22" s="19">
        <v>45152</v>
      </c>
      <c r="I22" s="17" t="s">
        <v>24</v>
      </c>
      <c r="J22" s="18">
        <f>IF(Tabela13[[#This Row],[Qtde.]]&gt;0,Tabela13[[#This Row],[Custo Unitário]]*Tabela13[[#This Row],[Qtde.]],"")</f>
        <v>1183</v>
      </c>
      <c r="K22" s="18"/>
      <c r="L22" s="18" t="str">
        <f>IF(Tabela13[[#This Row],[Qtde.]]&lt;0,-Tabela13[[#This Row],[Qtde.]]*Tabela13[[#This Row],[Preço Unitário]],"")</f>
        <v/>
      </c>
      <c r="M22" s="17"/>
      <c r="N22" s="22"/>
    </row>
    <row r="23" spans="1:14" ht="30" customHeight="1">
      <c r="A23" s="22"/>
      <c r="B23" s="17">
        <v>18</v>
      </c>
      <c r="C23" s="17" t="s">
        <v>27</v>
      </c>
      <c r="D23" s="14">
        <v>45013</v>
      </c>
      <c r="E23" s="15">
        <v>-1</v>
      </c>
      <c r="F23" s="15" t="str">
        <f>IF(Tabela13[[#This Row],[Qtde.]]&lt;0,"Saída","Entrada")</f>
        <v>Saída</v>
      </c>
      <c r="G23" s="18"/>
      <c r="H23" s="19"/>
      <c r="I23" s="17"/>
      <c r="J23" s="18" t="str">
        <f>IF(Tabela13[[#This Row],[Qtde.]]&gt;0,Tabela13[[#This Row],[Custo Unitário]]*Tabela13[[#This Row],[Qtde.]],"")</f>
        <v/>
      </c>
      <c r="K23" s="18">
        <v>289</v>
      </c>
      <c r="L23" s="18">
        <f>IF(Tabela13[[#This Row],[Qtde.]]&lt;0,-Tabela13[[#This Row],[Qtde.]]*Tabela13[[#This Row],[Preço Unitário]],"")</f>
        <v>289</v>
      </c>
      <c r="M23" s="17" t="s">
        <v>51</v>
      </c>
      <c r="N23" s="22"/>
    </row>
    <row r="24" spans="1:14" ht="30" customHeight="1">
      <c r="A24" s="22"/>
      <c r="B24" s="13">
        <v>19</v>
      </c>
      <c r="C24" s="17" t="s">
        <v>35</v>
      </c>
      <c r="D24" s="14">
        <v>45016</v>
      </c>
      <c r="E24" s="15">
        <v>-6</v>
      </c>
      <c r="F24" s="15" t="str">
        <f>IF(Tabela13[[#This Row],[Qtde.]]&lt;0,"Saída","Entrada")</f>
        <v>Saída</v>
      </c>
      <c r="G24" s="18"/>
      <c r="H24" s="19"/>
      <c r="I24" s="17"/>
      <c r="J24" s="18" t="str">
        <f>IF(Tabela13[[#This Row],[Qtde.]]&gt;0,Tabela13[[#This Row],[Custo Unitário]]*Tabela13[[#This Row],[Qtde.]],"")</f>
        <v/>
      </c>
      <c r="K24" s="18">
        <v>318</v>
      </c>
      <c r="L24" s="18">
        <f>IF(Tabela13[[#This Row],[Qtde.]]&lt;0,-Tabela13[[#This Row],[Qtde.]]*Tabela13[[#This Row],[Preço Unitário]],"")</f>
        <v>1908</v>
      </c>
      <c r="M24" s="17" t="s">
        <v>52</v>
      </c>
      <c r="N24" s="22"/>
    </row>
    <row r="25" spans="1:14" ht="30" customHeight="1">
      <c r="A25" s="22"/>
      <c r="B25" s="17">
        <v>20</v>
      </c>
      <c r="C25" s="17" t="s">
        <v>35</v>
      </c>
      <c r="D25" s="14">
        <v>45018</v>
      </c>
      <c r="E25" s="15">
        <v>5</v>
      </c>
      <c r="F25" s="15" t="str">
        <f>IF(Tabela13[[#This Row],[Qtde.]]&lt;0,"Saída","Entrada")</f>
        <v>Entrada</v>
      </c>
      <c r="G25" s="18">
        <v>140</v>
      </c>
      <c r="H25" s="19">
        <v>45330</v>
      </c>
      <c r="I25" s="17" t="s">
        <v>28</v>
      </c>
      <c r="J25" s="18">
        <f>IF(Tabela13[[#This Row],[Qtde.]]&gt;0,Tabela13[[#This Row],[Custo Unitário]]*Tabela13[[#This Row],[Qtde.]],"")</f>
        <v>700</v>
      </c>
      <c r="K25" s="18"/>
      <c r="L25" s="18" t="str">
        <f>IF(Tabela13[[#This Row],[Qtde.]]&lt;0,-Tabela13[[#This Row],[Qtde.]]*Tabela13[[#This Row],[Preço Unitário]],"")</f>
        <v/>
      </c>
      <c r="M25" s="17"/>
      <c r="N25" s="22"/>
    </row>
    <row r="26" spans="1:14" ht="30" customHeight="1">
      <c r="A26" s="22"/>
      <c r="B26" s="13">
        <v>21</v>
      </c>
      <c r="C26" s="17" t="s">
        <v>36</v>
      </c>
      <c r="D26" s="14">
        <v>45025</v>
      </c>
      <c r="E26" s="15">
        <v>-1</v>
      </c>
      <c r="F26" s="15" t="str">
        <f>IF(Tabela13[[#This Row],[Qtde.]]&lt;0,"Saída","Entrada")</f>
        <v>Saída</v>
      </c>
      <c r="G26" s="18"/>
      <c r="H26" s="19"/>
      <c r="I26" s="17"/>
      <c r="J26" s="18" t="str">
        <f>IF(Tabela13[[#This Row],[Qtde.]]&gt;0,Tabela13[[#This Row],[Custo Unitário]]*Tabela13[[#This Row],[Qtde.]],"")</f>
        <v/>
      </c>
      <c r="K26" s="18">
        <v>326</v>
      </c>
      <c r="L26" s="18">
        <f>IF(Tabela13[[#This Row],[Qtde.]]&lt;0,-Tabela13[[#This Row],[Qtde.]]*Tabela13[[#This Row],[Preço Unitário]],"")</f>
        <v>326</v>
      </c>
      <c r="M26" s="17" t="s">
        <v>22</v>
      </c>
      <c r="N26" s="22"/>
    </row>
    <row r="27" spans="1:14" ht="30" customHeight="1">
      <c r="A27" s="22"/>
      <c r="B27" s="17">
        <v>22</v>
      </c>
      <c r="C27" s="17" t="s">
        <v>38</v>
      </c>
      <c r="D27" s="14">
        <v>45029</v>
      </c>
      <c r="E27" s="15">
        <v>3</v>
      </c>
      <c r="F27" s="15" t="str">
        <f>IF(Tabela13[[#This Row],[Qtde.]]&lt;0,"Saída","Entrada")</f>
        <v>Entrada</v>
      </c>
      <c r="G27" s="18">
        <v>192</v>
      </c>
      <c r="H27" s="19">
        <v>45119</v>
      </c>
      <c r="I27" s="17" t="s">
        <v>28</v>
      </c>
      <c r="J27" s="18">
        <f>IF(Tabela13[[#This Row],[Qtde.]]&gt;0,Tabela13[[#This Row],[Custo Unitário]]*Tabela13[[#This Row],[Qtde.]],"")</f>
        <v>576</v>
      </c>
      <c r="K27" s="18"/>
      <c r="L27" s="18" t="str">
        <f>IF(Tabela13[[#This Row],[Qtde.]]&lt;0,-Tabela13[[#This Row],[Qtde.]]*Tabela13[[#This Row],[Preço Unitário]],"")</f>
        <v/>
      </c>
      <c r="M27" s="17"/>
      <c r="N27" s="22"/>
    </row>
    <row r="28" spans="1:14" ht="30" customHeight="1">
      <c r="A28" s="22"/>
      <c r="B28" s="13">
        <v>23</v>
      </c>
      <c r="C28" s="17" t="s">
        <v>18</v>
      </c>
      <c r="D28" s="14">
        <v>45034</v>
      </c>
      <c r="E28" s="15">
        <v>9</v>
      </c>
      <c r="F28" s="15" t="str">
        <f>IF(Tabela13[[#This Row],[Qtde.]]&lt;0,"Saída","Entrada")</f>
        <v>Entrada</v>
      </c>
      <c r="G28" s="18">
        <v>293</v>
      </c>
      <c r="H28" s="19">
        <v>45310</v>
      </c>
      <c r="I28" s="17" t="s">
        <v>11</v>
      </c>
      <c r="J28" s="18">
        <f>IF(Tabela13[[#This Row],[Qtde.]]&gt;0,Tabela13[[#This Row],[Custo Unitário]]*Tabela13[[#This Row],[Qtde.]],"")</f>
        <v>2637</v>
      </c>
      <c r="K28" s="18"/>
      <c r="L28" s="18" t="str">
        <f>IF(Tabela13[[#This Row],[Qtde.]]&lt;0,-Tabela13[[#This Row],[Qtde.]]*Tabela13[[#This Row],[Preço Unitário]],"")</f>
        <v/>
      </c>
      <c r="M28" s="17"/>
      <c r="N28" s="22"/>
    </row>
    <row r="29" spans="1:14" ht="30" customHeight="1">
      <c r="A29" s="22"/>
      <c r="B29" s="17">
        <v>24</v>
      </c>
      <c r="C29" s="17" t="s">
        <v>36</v>
      </c>
      <c r="D29" s="14">
        <v>45038</v>
      </c>
      <c r="E29" s="15">
        <v>8</v>
      </c>
      <c r="F29" s="15" t="str">
        <f>IF(Tabela13[[#This Row],[Qtde.]]&lt;0,"Saída","Entrada")</f>
        <v>Entrada</v>
      </c>
      <c r="G29" s="18">
        <v>213</v>
      </c>
      <c r="H29" s="19">
        <v>45272</v>
      </c>
      <c r="I29" s="17" t="s">
        <v>32</v>
      </c>
      <c r="J29" s="18">
        <f>IF(Tabela13[[#This Row],[Qtde.]]&gt;0,Tabela13[[#This Row],[Custo Unitário]]*Tabela13[[#This Row],[Qtde.]],"")</f>
        <v>1704</v>
      </c>
      <c r="K29" s="18"/>
      <c r="L29" s="18" t="str">
        <f>IF(Tabela13[[#This Row],[Qtde.]]&lt;0,-Tabela13[[#This Row],[Qtde.]]*Tabela13[[#This Row],[Preço Unitário]],"")</f>
        <v/>
      </c>
      <c r="M29" s="17"/>
      <c r="N29" s="22"/>
    </row>
    <row r="30" spans="1:14" ht="30" customHeight="1">
      <c r="A30" s="22"/>
      <c r="B30" s="13">
        <v>25</v>
      </c>
      <c r="C30" s="17" t="s">
        <v>37</v>
      </c>
      <c r="D30" s="14">
        <v>45038</v>
      </c>
      <c r="E30" s="15">
        <v>-5</v>
      </c>
      <c r="F30" s="15" t="str">
        <f>IF(Tabela13[[#This Row],[Qtde.]]&lt;0,"Saída","Entrada")</f>
        <v>Saída</v>
      </c>
      <c r="G30" s="18"/>
      <c r="H30" s="19"/>
      <c r="I30" s="17"/>
      <c r="J30" s="18" t="str">
        <f>IF(Tabela13[[#This Row],[Qtde.]]&gt;0,Tabela13[[#This Row],[Custo Unitário]]*Tabela13[[#This Row],[Qtde.]],"")</f>
        <v/>
      </c>
      <c r="K30" s="18">
        <v>284</v>
      </c>
      <c r="L30" s="18">
        <f>IF(Tabela13[[#This Row],[Qtde.]]&lt;0,-Tabela13[[#This Row],[Qtde.]]*Tabela13[[#This Row],[Preço Unitário]],"")</f>
        <v>1420</v>
      </c>
      <c r="M30" s="17" t="s">
        <v>53</v>
      </c>
      <c r="N30" s="22"/>
    </row>
    <row r="31" spans="1:14" ht="30" customHeight="1">
      <c r="A31" s="22"/>
      <c r="B31" s="17">
        <v>26</v>
      </c>
      <c r="C31" s="17" t="s">
        <v>31</v>
      </c>
      <c r="D31" s="14">
        <v>45039</v>
      </c>
      <c r="E31" s="15">
        <v>-3</v>
      </c>
      <c r="F31" s="15" t="str">
        <f>IF(Tabela13[[#This Row],[Qtde.]]&lt;0,"Saída","Entrada")</f>
        <v>Saída</v>
      </c>
      <c r="G31" s="18"/>
      <c r="H31" s="19"/>
      <c r="I31" s="17"/>
      <c r="J31" s="18" t="str">
        <f>IF(Tabela13[[#This Row],[Qtde.]]&gt;0,Tabela13[[#This Row],[Custo Unitário]]*Tabela13[[#This Row],[Qtde.]],"")</f>
        <v/>
      </c>
      <c r="K31" s="18">
        <v>375</v>
      </c>
      <c r="L31" s="18">
        <f>IF(Tabela13[[#This Row],[Qtde.]]&lt;0,-Tabela13[[#This Row],[Qtde.]]*Tabela13[[#This Row],[Preço Unitário]],"")</f>
        <v>1125</v>
      </c>
      <c r="M31" s="17" t="s">
        <v>34</v>
      </c>
      <c r="N31" s="22"/>
    </row>
    <row r="32" spans="1:14" ht="30" customHeight="1">
      <c r="A32" s="22"/>
      <c r="B32" s="13">
        <v>27</v>
      </c>
      <c r="C32" s="17" t="s">
        <v>27</v>
      </c>
      <c r="D32" s="14">
        <v>45041</v>
      </c>
      <c r="E32" s="15">
        <v>-3</v>
      </c>
      <c r="F32" s="15" t="str">
        <f>IF(Tabela13[[#This Row],[Qtde.]]&lt;0,"Saída","Entrada")</f>
        <v>Saída</v>
      </c>
      <c r="G32" s="18"/>
      <c r="H32" s="19"/>
      <c r="I32" s="17"/>
      <c r="J32" s="18" t="str">
        <f>IF(Tabela13[[#This Row],[Qtde.]]&gt;0,Tabela13[[#This Row],[Custo Unitário]]*Tabela13[[#This Row],[Qtde.]],"")</f>
        <v/>
      </c>
      <c r="K32" s="18">
        <v>169</v>
      </c>
      <c r="L32" s="18">
        <f>IF(Tabela13[[#This Row],[Qtde.]]&lt;0,-Tabela13[[#This Row],[Qtde.]]*Tabela13[[#This Row],[Preço Unitário]],"")</f>
        <v>507</v>
      </c>
      <c r="M32" s="17" t="s">
        <v>50</v>
      </c>
      <c r="N32" s="22"/>
    </row>
    <row r="33" spans="1:14" ht="30" customHeight="1">
      <c r="A33" s="22"/>
      <c r="B33" s="17">
        <v>28</v>
      </c>
      <c r="C33" s="17" t="s">
        <v>37</v>
      </c>
      <c r="D33" s="14">
        <v>45061</v>
      </c>
      <c r="E33" s="15">
        <v>0</v>
      </c>
      <c r="F33" s="15" t="str">
        <f>IF(Tabela13[[#This Row],[Qtde.]]&lt;0,"Saída","Entrada")</f>
        <v>Entrada</v>
      </c>
      <c r="G33" s="18"/>
      <c r="H33" s="19"/>
      <c r="I33" s="17"/>
      <c r="J33" s="18" t="str">
        <f>IF(Tabela13[[#This Row],[Qtde.]]&gt;0,Tabela13[[#This Row],[Custo Unitário]]*Tabela13[[#This Row],[Qtde.]],"")</f>
        <v/>
      </c>
      <c r="K33" s="18"/>
      <c r="L33" s="18" t="str">
        <f>IF(Tabela13[[#This Row],[Qtde.]]&lt;0,-Tabela13[[#This Row],[Qtde.]]*Tabela13[[#This Row],[Preço Unitário]],"")</f>
        <v/>
      </c>
      <c r="M33" s="17"/>
      <c r="N33" s="22"/>
    </row>
    <row r="34" spans="1:14" ht="30" customHeight="1">
      <c r="A34" s="22"/>
      <c r="B34" s="13">
        <v>29</v>
      </c>
      <c r="C34" s="13" t="s">
        <v>14</v>
      </c>
      <c r="D34" s="14">
        <v>45062</v>
      </c>
      <c r="E34" s="15">
        <v>4</v>
      </c>
      <c r="F34" s="15" t="str">
        <f>IF(Tabela13[[#This Row],[Qtde.]]&lt;0,"Saída","Entrada")</f>
        <v>Entrada</v>
      </c>
      <c r="G34" s="16">
        <v>114</v>
      </c>
      <c r="H34" s="14">
        <v>45395</v>
      </c>
      <c r="I34" s="16" t="s">
        <v>11</v>
      </c>
      <c r="J34" s="16">
        <f>IF(Tabela13[[#This Row],[Qtde.]]&gt;0,Tabela13[[#This Row],[Custo Unitário]]*Tabela13[[#This Row],[Qtde.]],"")</f>
        <v>456</v>
      </c>
      <c r="K34" s="16"/>
      <c r="L34" s="16" t="str">
        <f>IF(Tabela13[[#This Row],[Qtde.]]&lt;0,-Tabela13[[#This Row],[Qtde.]]*Tabela13[[#This Row],[Preço Unitário]],"")</f>
        <v/>
      </c>
      <c r="M34" s="16"/>
      <c r="N34" s="22"/>
    </row>
    <row r="35" spans="1:14" ht="30" customHeight="1">
      <c r="A35" s="22"/>
      <c r="B35" s="17">
        <v>30</v>
      </c>
      <c r="C35" s="17" t="s">
        <v>37</v>
      </c>
      <c r="D35" s="14">
        <v>45066</v>
      </c>
      <c r="E35" s="15">
        <v>-1</v>
      </c>
      <c r="F35" s="15" t="str">
        <f>IF(Tabela13[[#This Row],[Qtde.]]&lt;0,"Saída","Entrada")</f>
        <v>Saída</v>
      </c>
      <c r="G35" s="18"/>
      <c r="H35" s="19"/>
      <c r="I35" s="17"/>
      <c r="J35" s="18" t="str">
        <f>IF(Tabela13[[#This Row],[Qtde.]]&gt;0,Tabela13[[#This Row],[Custo Unitário]]*Tabela13[[#This Row],[Qtde.]],"")</f>
        <v/>
      </c>
      <c r="K35" s="18">
        <v>278</v>
      </c>
      <c r="L35" s="18">
        <f>IF(Tabela13[[#This Row],[Qtde.]]&lt;0,-Tabela13[[#This Row],[Qtde.]]*Tabela13[[#This Row],[Preço Unitário]],"")</f>
        <v>278</v>
      </c>
      <c r="M35" s="17" t="s">
        <v>53</v>
      </c>
      <c r="N35" s="22"/>
    </row>
    <row r="36" spans="1:14" ht="30" customHeight="1">
      <c r="A36" s="22"/>
      <c r="B36" s="13">
        <v>31</v>
      </c>
      <c r="C36" s="17" t="s">
        <v>37</v>
      </c>
      <c r="D36" s="14">
        <v>45095</v>
      </c>
      <c r="E36" s="15">
        <v>-1</v>
      </c>
      <c r="F36" s="15" t="str">
        <f>IF(Tabela13[[#This Row],[Qtde.]]&lt;0,"Saída","Entrada")</f>
        <v>Saída</v>
      </c>
      <c r="G36" s="18"/>
      <c r="H36" s="19"/>
      <c r="I36" s="17"/>
      <c r="J36" s="18" t="str">
        <f>IF(Tabela13[[#This Row],[Qtde.]]&gt;0,Tabela13[[#This Row],[Custo Unitário]]*Tabela13[[#This Row],[Qtde.]],"")</f>
        <v/>
      </c>
      <c r="K36" s="18">
        <v>337</v>
      </c>
      <c r="L36" s="18">
        <f>IF(Tabela13[[#This Row],[Qtde.]]&lt;0,-Tabela13[[#This Row],[Qtde.]]*Tabela13[[#This Row],[Preço Unitário]],"")</f>
        <v>337</v>
      </c>
      <c r="M36" s="17" t="s">
        <v>52</v>
      </c>
      <c r="N36" s="22"/>
    </row>
    <row r="37" spans="1:14" ht="30" customHeight="1">
      <c r="A37" s="22"/>
      <c r="B37" s="17">
        <v>32</v>
      </c>
      <c r="C37" s="13" t="s">
        <v>14</v>
      </c>
      <c r="D37" s="14">
        <v>45098</v>
      </c>
      <c r="E37" s="15">
        <v>3</v>
      </c>
      <c r="F37" s="15" t="str">
        <f>IF(Tabela13[[#This Row],[Qtde.]]&lt;0,"Saída","Entrada")</f>
        <v>Entrada</v>
      </c>
      <c r="G37" s="16">
        <v>286</v>
      </c>
      <c r="H37" s="14">
        <v>45454</v>
      </c>
      <c r="I37" s="16" t="s">
        <v>28</v>
      </c>
      <c r="J37" s="16">
        <f>IF(Tabela13[[#This Row],[Qtde.]]&gt;0,Tabela13[[#This Row],[Custo Unitário]]*Tabela13[[#This Row],[Qtde.]],"")</f>
        <v>858</v>
      </c>
      <c r="K37" s="16"/>
      <c r="L37" s="16" t="str">
        <f>IF(Tabela13[[#This Row],[Qtde.]]&lt;0,-Tabela13[[#This Row],[Qtde.]]*Tabela13[[#This Row],[Preço Unitário]],"")</f>
        <v/>
      </c>
      <c r="M37" s="16"/>
      <c r="N37" s="22"/>
    </row>
    <row r="38" spans="1:14" ht="30" customHeight="1">
      <c r="A38" s="22"/>
      <c r="B38" s="13">
        <v>33</v>
      </c>
      <c r="C38" s="17" t="s">
        <v>23</v>
      </c>
      <c r="D38" s="14">
        <v>45102</v>
      </c>
      <c r="E38" s="15">
        <v>-4</v>
      </c>
      <c r="F38" s="15" t="str">
        <f>IF(Tabela13[[#This Row],[Qtde.]]&lt;0,"Saída","Entrada")</f>
        <v>Saída</v>
      </c>
      <c r="G38" s="18"/>
      <c r="H38" s="19"/>
      <c r="I38" s="17"/>
      <c r="J38" s="18" t="str">
        <f>IF(Tabela13[[#This Row],[Qtde.]]&gt;0,Tabela13[[#This Row],[Custo Unitário]]*Tabela13[[#This Row],[Qtde.]],"")</f>
        <v/>
      </c>
      <c r="K38" s="18">
        <v>386</v>
      </c>
      <c r="L38" s="18">
        <f>IF(Tabela13[[#This Row],[Qtde.]]&lt;0,-Tabela13[[#This Row],[Qtde.]]*Tabela13[[#This Row],[Preço Unitário]],"")</f>
        <v>1544</v>
      </c>
      <c r="M38" s="17" t="s">
        <v>53</v>
      </c>
      <c r="N38" s="22"/>
    </row>
    <row r="39" spans="1:14" ht="30" customHeight="1">
      <c r="A39" s="22"/>
      <c r="B39" s="17">
        <v>34</v>
      </c>
      <c r="C39" s="13" t="s">
        <v>18</v>
      </c>
      <c r="D39" s="14">
        <v>45106</v>
      </c>
      <c r="E39" s="15">
        <v>9</v>
      </c>
      <c r="F39" s="15" t="str">
        <f>IF(Tabela13[[#This Row],[Qtde.]]&lt;0,"Saída","Entrada")</f>
        <v>Entrada</v>
      </c>
      <c r="G39" s="16">
        <v>90</v>
      </c>
      <c r="H39" s="14">
        <v>45319</v>
      </c>
      <c r="I39" s="16" t="s">
        <v>20</v>
      </c>
      <c r="J39" s="16">
        <f>IF(Tabela13[[#This Row],[Qtde.]]&gt;0,Tabela13[[#This Row],[Custo Unitário]]*Tabela13[[#This Row],[Qtde.]],"")</f>
        <v>810</v>
      </c>
      <c r="K39" s="16"/>
      <c r="L39" s="16" t="str">
        <f>IF(Tabela13[[#This Row],[Qtde.]]&lt;0,-Tabela13[[#This Row],[Qtde.]]*Tabela13[[#This Row],[Preço Unitário]],"")</f>
        <v/>
      </c>
      <c r="M39" s="16"/>
      <c r="N39" s="22"/>
    </row>
    <row r="40" spans="1:14" ht="30" customHeight="1">
      <c r="A40" s="22"/>
      <c r="B40" s="13">
        <v>35</v>
      </c>
      <c r="C40" s="17" t="s">
        <v>36</v>
      </c>
      <c r="D40" s="14">
        <v>45106</v>
      </c>
      <c r="E40" s="15">
        <v>2</v>
      </c>
      <c r="F40" s="15" t="str">
        <f>IF(Tabela13[[#This Row],[Qtde.]]&lt;0,"Saída","Entrada")</f>
        <v>Entrada</v>
      </c>
      <c r="G40" s="18">
        <v>62</v>
      </c>
      <c r="H40" s="19">
        <v>45311</v>
      </c>
      <c r="I40" s="17" t="s">
        <v>11</v>
      </c>
      <c r="J40" s="18">
        <f>IF(Tabela13[[#This Row],[Qtde.]]&gt;0,Tabela13[[#This Row],[Custo Unitário]]*Tabela13[[#This Row],[Qtde.]],"")</f>
        <v>124</v>
      </c>
      <c r="K40" s="18"/>
      <c r="L40" s="18" t="str">
        <f>IF(Tabela13[[#This Row],[Qtde.]]&lt;0,-Tabela13[[#This Row],[Qtde.]]*Tabela13[[#This Row],[Preço Unitário]],"")</f>
        <v/>
      </c>
      <c r="M40" s="17"/>
      <c r="N40" s="22"/>
    </row>
    <row r="41" spans="1:14" ht="30" customHeight="1">
      <c r="A41" s="22"/>
      <c r="B41" s="17">
        <v>36</v>
      </c>
      <c r="C41" s="13" t="s">
        <v>18</v>
      </c>
      <c r="D41" s="14">
        <v>45110</v>
      </c>
      <c r="E41" s="15">
        <v>5</v>
      </c>
      <c r="F41" s="15" t="str">
        <f>IF(Tabela13[[#This Row],[Qtde.]]&lt;0,"Saída","Entrada")</f>
        <v>Entrada</v>
      </c>
      <c r="G41" s="16">
        <v>227</v>
      </c>
      <c r="H41" s="14">
        <v>45378</v>
      </c>
      <c r="I41" s="16" t="s">
        <v>24</v>
      </c>
      <c r="J41" s="16">
        <f>IF(Tabela13[[#This Row],[Qtde.]]&gt;0,Tabela13[[#This Row],[Custo Unitário]]*Tabela13[[#This Row],[Qtde.]],"")</f>
        <v>1135</v>
      </c>
      <c r="K41" s="16"/>
      <c r="L41" s="16" t="str">
        <f>IF(Tabela13[[#This Row],[Qtde.]]&lt;0,-Tabela13[[#This Row],[Qtde.]]*Tabela13[[#This Row],[Preço Unitário]],"")</f>
        <v/>
      </c>
      <c r="M41" s="16"/>
      <c r="N41" s="22"/>
    </row>
    <row r="42" spans="1:14" ht="30" customHeight="1">
      <c r="A42" s="22"/>
      <c r="B42" s="13">
        <v>37</v>
      </c>
      <c r="C42" s="17" t="s">
        <v>36</v>
      </c>
      <c r="D42" s="14">
        <v>45112</v>
      </c>
      <c r="E42" s="15">
        <v>-3</v>
      </c>
      <c r="F42" s="15" t="str">
        <f>IF(Tabela13[[#This Row],[Qtde.]]&lt;0,"Saída","Entrada")</f>
        <v>Saída</v>
      </c>
      <c r="G42" s="18"/>
      <c r="H42" s="19"/>
      <c r="I42" s="17"/>
      <c r="J42" s="18" t="str">
        <f>IF(Tabela13[[#This Row],[Qtde.]]&gt;0,Tabela13[[#This Row],[Custo Unitário]]*Tabela13[[#This Row],[Qtde.]],"")</f>
        <v/>
      </c>
      <c r="K42" s="18">
        <v>193</v>
      </c>
      <c r="L42" s="18">
        <f>IF(Tabela13[[#This Row],[Qtde.]]&lt;0,-Tabela13[[#This Row],[Qtde.]]*Tabela13[[#This Row],[Preço Unitário]],"")</f>
        <v>579</v>
      </c>
      <c r="M42" s="17" t="s">
        <v>34</v>
      </c>
      <c r="N42" s="22"/>
    </row>
    <row r="43" spans="1:14" ht="30" customHeight="1">
      <c r="A43" s="22"/>
      <c r="B43" s="17">
        <v>38</v>
      </c>
      <c r="C43" s="17" t="s">
        <v>27</v>
      </c>
      <c r="D43" s="14">
        <v>45115</v>
      </c>
      <c r="E43" s="15">
        <v>10</v>
      </c>
      <c r="F43" s="15" t="str">
        <f>IF(Tabela13[[#This Row],[Qtde.]]&lt;0,"Saída","Entrada")</f>
        <v>Entrada</v>
      </c>
      <c r="G43" s="18">
        <v>286</v>
      </c>
      <c r="H43" s="19">
        <v>45364</v>
      </c>
      <c r="I43" s="17" t="s">
        <v>24</v>
      </c>
      <c r="J43" s="18">
        <f>IF(Tabela13[[#This Row],[Qtde.]]&gt;0,Tabela13[[#This Row],[Custo Unitário]]*Tabela13[[#This Row],[Qtde.]],"")</f>
        <v>2860</v>
      </c>
      <c r="K43" s="18"/>
      <c r="L43" s="18" t="str">
        <f>IF(Tabela13[[#This Row],[Qtde.]]&lt;0,-Tabela13[[#This Row],[Qtde.]]*Tabela13[[#This Row],[Preço Unitário]],"")</f>
        <v/>
      </c>
      <c r="M43" s="17"/>
      <c r="N43" s="22"/>
    </row>
    <row r="44" spans="1:14" ht="30" customHeight="1">
      <c r="A44" s="22"/>
      <c r="B44" s="13">
        <v>39</v>
      </c>
      <c r="C44" s="17" t="s">
        <v>37</v>
      </c>
      <c r="D44" s="14">
        <v>45115</v>
      </c>
      <c r="E44" s="15">
        <v>6</v>
      </c>
      <c r="F44" s="15" t="str">
        <f>IF(Tabela13[[#This Row],[Qtde.]]&lt;0,"Saída","Entrada")</f>
        <v>Entrada</v>
      </c>
      <c r="G44" s="18">
        <v>267</v>
      </c>
      <c r="H44" s="19">
        <v>45407</v>
      </c>
      <c r="I44" s="17" t="s">
        <v>20</v>
      </c>
      <c r="J44" s="18">
        <f>IF(Tabela13[[#This Row],[Qtde.]]&gt;0,Tabela13[[#This Row],[Custo Unitário]]*Tabela13[[#This Row],[Qtde.]],"")</f>
        <v>1602</v>
      </c>
      <c r="K44" s="18"/>
      <c r="L44" s="18" t="str">
        <f>IF(Tabela13[[#This Row],[Qtde.]]&lt;0,-Tabela13[[#This Row],[Qtde.]]*Tabela13[[#This Row],[Preço Unitário]],"")</f>
        <v/>
      </c>
      <c r="M44" s="17"/>
      <c r="N44" s="22"/>
    </row>
    <row r="45" spans="1:14" ht="30" customHeight="1">
      <c r="A45" s="22"/>
      <c r="B45" s="17">
        <v>40</v>
      </c>
      <c r="C45" s="17" t="s">
        <v>27</v>
      </c>
      <c r="D45" s="14">
        <v>45116</v>
      </c>
      <c r="E45" s="15">
        <v>-2</v>
      </c>
      <c r="F45" s="15" t="str">
        <f>IF(Tabela13[[#This Row],[Qtde.]]&lt;0,"Saída","Entrada")</f>
        <v>Saída</v>
      </c>
      <c r="G45" s="18"/>
      <c r="H45" s="19"/>
      <c r="I45" s="17"/>
      <c r="J45" s="18" t="str">
        <f>IF(Tabela13[[#This Row],[Qtde.]]&gt;0,Tabela13[[#This Row],[Custo Unitário]]*Tabela13[[#This Row],[Qtde.]],"")</f>
        <v/>
      </c>
      <c r="K45" s="18">
        <v>233</v>
      </c>
      <c r="L45" s="18">
        <f>IF(Tabela13[[#This Row],[Qtde.]]&lt;0,-Tabela13[[#This Row],[Qtde.]]*Tabela13[[#This Row],[Preço Unitário]],"")</f>
        <v>466</v>
      </c>
      <c r="M45" s="17" t="s">
        <v>34</v>
      </c>
      <c r="N45" s="22"/>
    </row>
    <row r="46" spans="1:14" ht="30" customHeight="1">
      <c r="A46" s="22"/>
      <c r="B46" s="13">
        <v>41</v>
      </c>
      <c r="C46" s="17" t="s">
        <v>31</v>
      </c>
      <c r="D46" s="14">
        <v>45116</v>
      </c>
      <c r="E46" s="15">
        <v>-6</v>
      </c>
      <c r="F46" s="15" t="str">
        <f>IF(Tabela13[[#This Row],[Qtde.]]&lt;0,"Saída","Entrada")</f>
        <v>Saída</v>
      </c>
      <c r="G46" s="18"/>
      <c r="H46" s="19"/>
      <c r="I46" s="17"/>
      <c r="J46" s="18" t="str">
        <f>IF(Tabela13[[#This Row],[Qtde.]]&gt;0,Tabela13[[#This Row],[Custo Unitário]]*Tabela13[[#This Row],[Qtde.]],"")</f>
        <v/>
      </c>
      <c r="K46" s="18">
        <v>246</v>
      </c>
      <c r="L46" s="18">
        <f>IF(Tabela13[[#This Row],[Qtde.]]&lt;0,-Tabela13[[#This Row],[Qtde.]]*Tabela13[[#This Row],[Preço Unitário]],"")</f>
        <v>1476</v>
      </c>
      <c r="M46" s="17" t="s">
        <v>17</v>
      </c>
      <c r="N46" s="22"/>
    </row>
    <row r="47" spans="1:14" ht="30" customHeight="1">
      <c r="A47" s="22"/>
      <c r="B47" s="17">
        <v>42</v>
      </c>
      <c r="C47" s="13" t="s">
        <v>18</v>
      </c>
      <c r="D47" s="14">
        <v>45118</v>
      </c>
      <c r="E47" s="15">
        <v>0</v>
      </c>
      <c r="F47" s="15" t="str">
        <f>IF(Tabela13[[#This Row],[Qtde.]]&lt;0,"Saída","Entrada")</f>
        <v>Entrada</v>
      </c>
      <c r="G47" s="16"/>
      <c r="H47" s="14"/>
      <c r="I47" s="16"/>
      <c r="J47" s="16" t="str">
        <f>IF(Tabela13[[#This Row],[Qtde.]]&gt;0,Tabela13[[#This Row],[Custo Unitário]]*Tabela13[[#This Row],[Qtde.]],"")</f>
        <v/>
      </c>
      <c r="K47" s="16"/>
      <c r="L47" s="16" t="str">
        <f>IF(Tabela13[[#This Row],[Qtde.]]&lt;0,-Tabela13[[#This Row],[Qtde.]]*Tabela13[[#This Row],[Preço Unitário]],"")</f>
        <v/>
      </c>
      <c r="M47" s="16"/>
      <c r="N47" s="22"/>
    </row>
    <row r="48" spans="1:14" ht="30" customHeight="1">
      <c r="A48" s="22"/>
      <c r="B48" s="13">
        <v>43</v>
      </c>
      <c r="C48" s="17" t="s">
        <v>27</v>
      </c>
      <c r="D48" s="14">
        <v>45124</v>
      </c>
      <c r="E48" s="15">
        <v>2</v>
      </c>
      <c r="F48" s="15" t="str">
        <f>IF(Tabela13[[#This Row],[Qtde.]]&lt;0,"Saída","Entrada")</f>
        <v>Entrada</v>
      </c>
      <c r="G48" s="18">
        <v>152</v>
      </c>
      <c r="H48" s="19">
        <v>45409</v>
      </c>
      <c r="I48" s="17" t="s">
        <v>28</v>
      </c>
      <c r="J48" s="18">
        <f>IF(Tabela13[[#This Row],[Qtde.]]&gt;0,Tabela13[[#This Row],[Custo Unitário]]*Tabela13[[#This Row],[Qtde.]],"")</f>
        <v>304</v>
      </c>
      <c r="K48" s="18"/>
      <c r="L48" s="18" t="str">
        <f>IF(Tabela13[[#This Row],[Qtde.]]&lt;0,-Tabela13[[#This Row],[Qtde.]]*Tabela13[[#This Row],[Preço Unitário]],"")</f>
        <v/>
      </c>
      <c r="M48" s="17"/>
      <c r="N48" s="22"/>
    </row>
    <row r="49" spans="1:14" ht="30" customHeight="1">
      <c r="A49" s="22"/>
      <c r="B49" s="17">
        <v>44</v>
      </c>
      <c r="C49" s="17" t="s">
        <v>31</v>
      </c>
      <c r="D49" s="14">
        <v>45124</v>
      </c>
      <c r="E49" s="15">
        <v>10</v>
      </c>
      <c r="F49" s="15" t="str">
        <f>IF(Tabela13[[#This Row],[Qtde.]]&lt;0,"Saída","Entrada")</f>
        <v>Entrada</v>
      </c>
      <c r="G49" s="18">
        <v>154</v>
      </c>
      <c r="H49" s="19">
        <v>45433</v>
      </c>
      <c r="I49" s="17" t="s">
        <v>24</v>
      </c>
      <c r="J49" s="18">
        <f>IF(Tabela13[[#This Row],[Qtde.]]&gt;0,Tabela13[[#This Row],[Custo Unitário]]*Tabela13[[#This Row],[Qtde.]],"")</f>
        <v>1540</v>
      </c>
      <c r="K49" s="18"/>
      <c r="L49" s="18" t="str">
        <f>IF(Tabela13[[#This Row],[Qtde.]]&lt;0,-Tabela13[[#This Row],[Qtde.]]*Tabela13[[#This Row],[Preço Unitário]],"")</f>
        <v/>
      </c>
      <c r="M49" s="17"/>
      <c r="N49" s="22"/>
    </row>
    <row r="50" spans="1:14" ht="30" customHeight="1">
      <c r="A50" s="22"/>
      <c r="B50" s="13">
        <v>45</v>
      </c>
      <c r="C50" s="17" t="s">
        <v>23</v>
      </c>
      <c r="D50" s="14">
        <v>45140</v>
      </c>
      <c r="E50" s="15">
        <v>-1</v>
      </c>
      <c r="F50" s="15" t="str">
        <f>IF(Tabela13[[#This Row],[Qtde.]]&lt;0,"Saída","Entrada")</f>
        <v>Saída</v>
      </c>
      <c r="G50" s="18"/>
      <c r="H50" s="19"/>
      <c r="I50" s="17"/>
      <c r="J50" s="18" t="str">
        <f>IF(Tabela13[[#This Row],[Qtde.]]&gt;0,Tabela13[[#This Row],[Custo Unitário]]*Tabela13[[#This Row],[Qtde.]],"")</f>
        <v/>
      </c>
      <c r="K50" s="18">
        <v>320</v>
      </c>
      <c r="L50" s="18">
        <f>IF(Tabela13[[#This Row],[Qtde.]]&lt;0,-Tabela13[[#This Row],[Qtde.]]*Tabela13[[#This Row],[Preço Unitário]],"")</f>
        <v>320</v>
      </c>
      <c r="M50" s="17" t="s">
        <v>17</v>
      </c>
      <c r="N50" s="22"/>
    </row>
    <row r="51" spans="1:14" ht="30" customHeight="1">
      <c r="A51" s="22"/>
      <c r="B51" s="17">
        <v>46</v>
      </c>
      <c r="C51" s="17" t="s">
        <v>36</v>
      </c>
      <c r="D51" s="14">
        <v>45154</v>
      </c>
      <c r="E51" s="15">
        <v>6</v>
      </c>
      <c r="F51" s="15" t="str">
        <f>IF(Tabela13[[#This Row],[Qtde.]]&lt;0,"Saída","Entrada")</f>
        <v>Entrada</v>
      </c>
      <c r="G51" s="18">
        <v>109</v>
      </c>
      <c r="H51" s="19">
        <v>45253</v>
      </c>
      <c r="I51" s="17" t="s">
        <v>24</v>
      </c>
      <c r="J51" s="18">
        <f>IF(Tabela13[[#This Row],[Qtde.]]&gt;0,Tabela13[[#This Row],[Custo Unitário]]*Tabela13[[#This Row],[Qtde.]],"")</f>
        <v>654</v>
      </c>
      <c r="K51" s="18"/>
      <c r="L51" s="18" t="str">
        <f>IF(Tabela13[[#This Row],[Qtde.]]&lt;0,-Tabela13[[#This Row],[Qtde.]]*Tabela13[[#This Row],[Preço Unitário]],"")</f>
        <v/>
      </c>
      <c r="M51" s="17"/>
      <c r="N51" s="22"/>
    </row>
    <row r="52" spans="1:14" ht="30" customHeight="1">
      <c r="A52" s="22"/>
      <c r="B52" s="13">
        <v>47</v>
      </c>
      <c r="C52" s="17" t="s">
        <v>31</v>
      </c>
      <c r="D52" s="14">
        <v>45159</v>
      </c>
      <c r="E52" s="15">
        <v>2</v>
      </c>
      <c r="F52" s="15" t="str">
        <f>IF(Tabela13[[#This Row],[Qtde.]]&lt;0,"Saída","Entrada")</f>
        <v>Entrada</v>
      </c>
      <c r="G52" s="18">
        <v>62</v>
      </c>
      <c r="H52" s="19">
        <v>45240</v>
      </c>
      <c r="I52" s="17" t="s">
        <v>20</v>
      </c>
      <c r="J52" s="18">
        <f>IF(Tabela13[[#This Row],[Qtde.]]&gt;0,Tabela13[[#This Row],[Custo Unitário]]*Tabela13[[#This Row],[Qtde.]],"")</f>
        <v>124</v>
      </c>
      <c r="K52" s="18"/>
      <c r="L52" s="18" t="str">
        <f>IF(Tabela13[[#This Row],[Qtde.]]&lt;0,-Tabela13[[#This Row],[Qtde.]]*Tabela13[[#This Row],[Preço Unitário]],"")</f>
        <v/>
      </c>
      <c r="M52" s="17"/>
      <c r="N52" s="22"/>
    </row>
    <row r="53" spans="1:14" ht="30" customHeight="1">
      <c r="A53" s="22"/>
      <c r="B53" s="17">
        <v>48</v>
      </c>
      <c r="C53" s="17" t="s">
        <v>23</v>
      </c>
      <c r="D53" s="14">
        <v>45167</v>
      </c>
      <c r="E53" s="15">
        <v>10</v>
      </c>
      <c r="F53" s="15" t="str">
        <f>IF(Tabela13[[#This Row],[Qtde.]]&lt;0,"Saída","Entrada")</f>
        <v>Entrada</v>
      </c>
      <c r="G53" s="18">
        <v>241</v>
      </c>
      <c r="H53" s="19">
        <v>45309</v>
      </c>
      <c r="I53" s="17" t="s">
        <v>24</v>
      </c>
      <c r="J53" s="18">
        <f>IF(Tabela13[[#This Row],[Qtde.]]&gt;0,Tabela13[[#This Row],[Custo Unitário]]*Tabela13[[#This Row],[Qtde.]],"")</f>
        <v>2410</v>
      </c>
      <c r="K53" s="18"/>
      <c r="L53" s="18" t="str">
        <f>IF(Tabela13[[#This Row],[Qtde.]]&lt;0,-Tabela13[[#This Row],[Qtde.]]*Tabela13[[#This Row],[Preço Unitário]],"")</f>
        <v/>
      </c>
      <c r="M53" s="17"/>
      <c r="N53" s="22"/>
    </row>
    <row r="54" spans="1:14" ht="30" customHeight="1">
      <c r="A54" s="22"/>
      <c r="B54" s="13">
        <v>49</v>
      </c>
      <c r="C54" s="17" t="s">
        <v>27</v>
      </c>
      <c r="D54" s="14">
        <v>45167</v>
      </c>
      <c r="E54" s="15">
        <v>-6</v>
      </c>
      <c r="F54" s="15" t="str">
        <f>IF(Tabela13[[#This Row],[Qtde.]]&lt;0,"Saída","Entrada")</f>
        <v>Saída</v>
      </c>
      <c r="G54" s="18"/>
      <c r="H54" s="19"/>
      <c r="I54" s="17"/>
      <c r="J54" s="18" t="str">
        <f>IF(Tabela13[[#This Row],[Qtde.]]&gt;0,Tabela13[[#This Row],[Custo Unitário]]*Tabela13[[#This Row],[Qtde.]],"")</f>
        <v/>
      </c>
      <c r="K54" s="18">
        <v>174</v>
      </c>
      <c r="L54" s="18">
        <f>IF(Tabela13[[#This Row],[Qtde.]]&lt;0,-Tabela13[[#This Row],[Qtde.]]*Tabela13[[#This Row],[Preço Unitário]],"")</f>
        <v>1044</v>
      </c>
      <c r="M54" s="17" t="s">
        <v>22</v>
      </c>
      <c r="N54" s="22"/>
    </row>
    <row r="55" spans="1:14" ht="30" customHeight="1">
      <c r="A55" s="22"/>
      <c r="B55" s="17">
        <v>50</v>
      </c>
      <c r="C55" s="17" t="s">
        <v>37</v>
      </c>
      <c r="D55" s="14">
        <v>45177</v>
      </c>
      <c r="E55" s="15">
        <v>-1</v>
      </c>
      <c r="F55" s="15" t="str">
        <f>IF(Tabela13[[#This Row],[Qtde.]]&lt;0,"Saída","Entrada")</f>
        <v>Saída</v>
      </c>
      <c r="G55" s="18"/>
      <c r="H55" s="19"/>
      <c r="I55" s="17"/>
      <c r="J55" s="18" t="str">
        <f>IF(Tabela13[[#This Row],[Qtde.]]&gt;0,Tabela13[[#This Row],[Custo Unitário]]*Tabela13[[#This Row],[Qtde.]],"")</f>
        <v/>
      </c>
      <c r="K55" s="18">
        <v>409</v>
      </c>
      <c r="L55" s="18">
        <f>IF(Tabela13[[#This Row],[Qtde.]]&lt;0,-Tabela13[[#This Row],[Qtde.]]*Tabela13[[#This Row],[Preço Unitário]],"")</f>
        <v>409</v>
      </c>
      <c r="M55" s="17" t="s">
        <v>51</v>
      </c>
      <c r="N55" s="22"/>
    </row>
    <row r="56" spans="1:14" ht="30" customHeight="1">
      <c r="A56" s="22"/>
      <c r="B56" s="13">
        <v>51</v>
      </c>
      <c r="C56" s="17" t="s">
        <v>31</v>
      </c>
      <c r="D56" s="14">
        <v>45178</v>
      </c>
      <c r="E56" s="15">
        <v>-2</v>
      </c>
      <c r="F56" s="15" t="str">
        <f>IF(Tabela13[[#This Row],[Qtde.]]&lt;0,"Saída","Entrada")</f>
        <v>Saída</v>
      </c>
      <c r="G56" s="18"/>
      <c r="H56" s="19"/>
      <c r="I56" s="17"/>
      <c r="J56" s="18" t="str">
        <f>IF(Tabela13[[#This Row],[Qtde.]]&gt;0,Tabela13[[#This Row],[Custo Unitário]]*Tabela13[[#This Row],[Qtde.]],"")</f>
        <v/>
      </c>
      <c r="K56" s="18">
        <v>245</v>
      </c>
      <c r="L56" s="18">
        <f>IF(Tabela13[[#This Row],[Qtde.]]&lt;0,-Tabela13[[#This Row],[Qtde.]]*Tabela13[[#This Row],[Preço Unitário]],"")</f>
        <v>490</v>
      </c>
      <c r="M56" s="17" t="s">
        <v>51</v>
      </c>
      <c r="N56" s="22"/>
    </row>
    <row r="57" spans="1:14" ht="30" customHeight="1">
      <c r="A57" s="22"/>
      <c r="B57" s="17">
        <v>52</v>
      </c>
      <c r="C57" s="17" t="s">
        <v>31</v>
      </c>
      <c r="D57" s="14">
        <v>45181</v>
      </c>
      <c r="E57" s="15">
        <v>1</v>
      </c>
      <c r="F57" s="15" t="str">
        <f>IF(Tabela13[[#This Row],[Qtde.]]&lt;0,"Saída","Entrada")</f>
        <v>Entrada</v>
      </c>
      <c r="G57" s="18">
        <v>217</v>
      </c>
      <c r="H57" s="19">
        <v>45404</v>
      </c>
      <c r="I57" s="17" t="s">
        <v>15</v>
      </c>
      <c r="J57" s="18">
        <f>IF(Tabela13[[#This Row],[Qtde.]]&gt;0,Tabela13[[#This Row],[Custo Unitário]]*Tabela13[[#This Row],[Qtde.]],"")</f>
        <v>217</v>
      </c>
      <c r="K57" s="18"/>
      <c r="L57" s="18" t="str">
        <f>IF(Tabela13[[#This Row],[Qtde.]]&lt;0,-Tabela13[[#This Row],[Qtde.]]*Tabela13[[#This Row],[Preço Unitário]],"")</f>
        <v/>
      </c>
      <c r="M57" s="17"/>
      <c r="N57" s="22"/>
    </row>
    <row r="58" spans="1:14" ht="30" customHeight="1">
      <c r="A58" s="22"/>
      <c r="B58" s="13">
        <v>53</v>
      </c>
      <c r="C58" s="17" t="s">
        <v>37</v>
      </c>
      <c r="D58" s="14">
        <v>45183</v>
      </c>
      <c r="E58" s="15">
        <v>4</v>
      </c>
      <c r="F58" s="15" t="str">
        <f>IF(Tabela13[[#This Row],[Qtde.]]&lt;0,"Saída","Entrada")</f>
        <v>Entrada</v>
      </c>
      <c r="G58" s="18">
        <v>185</v>
      </c>
      <c r="H58" s="19">
        <v>45287</v>
      </c>
      <c r="I58" s="17" t="s">
        <v>28</v>
      </c>
      <c r="J58" s="18">
        <f>IF(Tabela13[[#This Row],[Qtde.]]&gt;0,Tabela13[[#This Row],[Custo Unitário]]*Tabela13[[#This Row],[Qtde.]],"")</f>
        <v>740</v>
      </c>
      <c r="K58" s="18"/>
      <c r="L58" s="18" t="str">
        <f>IF(Tabela13[[#This Row],[Qtde.]]&lt;0,-Tabela13[[#This Row],[Qtde.]]*Tabela13[[#This Row],[Preço Unitário]],"")</f>
        <v/>
      </c>
      <c r="M58" s="17"/>
      <c r="N58" s="22"/>
    </row>
    <row r="59" spans="1:14" ht="30" customHeight="1">
      <c r="A59" s="22"/>
      <c r="B59" s="17">
        <v>54</v>
      </c>
      <c r="C59" s="17" t="s">
        <v>31</v>
      </c>
      <c r="D59" s="14">
        <v>45198</v>
      </c>
      <c r="E59" s="15">
        <v>-1</v>
      </c>
      <c r="F59" s="15" t="str">
        <f>IF(Tabela13[[#This Row],[Qtde.]]&lt;0,"Saída","Entrada")</f>
        <v>Saída</v>
      </c>
      <c r="G59" s="18"/>
      <c r="H59" s="19"/>
      <c r="I59" s="17"/>
      <c r="J59" s="18" t="str">
        <f>IF(Tabela13[[#This Row],[Qtde.]]&gt;0,Tabela13[[#This Row],[Custo Unitário]]*Tabela13[[#This Row],[Qtde.]],"")</f>
        <v/>
      </c>
      <c r="K59" s="18">
        <v>93</v>
      </c>
      <c r="L59" s="18">
        <f>IF(Tabela13[[#This Row],[Qtde.]]&lt;0,-Tabela13[[#This Row],[Qtde.]]*Tabela13[[#This Row],[Preço Unitário]],"")</f>
        <v>93</v>
      </c>
      <c r="M59" s="17" t="s">
        <v>30</v>
      </c>
      <c r="N59" s="22"/>
    </row>
    <row r="60" spans="1:14" ht="30" customHeight="1">
      <c r="A60" s="22"/>
      <c r="B60" s="13">
        <v>55</v>
      </c>
      <c r="C60" s="13" t="s">
        <v>9</v>
      </c>
      <c r="D60" s="14">
        <v>45207</v>
      </c>
      <c r="E60" s="15">
        <v>10</v>
      </c>
      <c r="F60" s="15" t="str">
        <f>IF(Tabela13[[#This Row],[Qtde.]]&lt;0,"Saída","Entrada")</f>
        <v>Entrada</v>
      </c>
      <c r="G60" s="16">
        <v>278</v>
      </c>
      <c r="H60" s="14">
        <v>45301</v>
      </c>
      <c r="I60" s="16" t="s">
        <v>11</v>
      </c>
      <c r="J60" s="16">
        <f>IF(Tabela13[[#This Row],[Qtde.]]&gt;0,Tabela13[[#This Row],[Custo Unitário]]*Tabela13[[#This Row],[Qtde.]],"")</f>
        <v>2780</v>
      </c>
      <c r="K60" s="16"/>
      <c r="L60" s="16" t="str">
        <f>IF(Tabela13[[#This Row],[Qtde.]]&lt;0,-Tabela13[[#This Row],[Qtde.]]*Tabela13[[#This Row],[Preço Unitário]],"")</f>
        <v/>
      </c>
      <c r="M60" s="16"/>
      <c r="N60" s="22"/>
    </row>
    <row r="61" spans="1:14" ht="30" customHeight="1">
      <c r="A61" s="22"/>
      <c r="B61" s="17">
        <v>56</v>
      </c>
      <c r="C61" s="13" t="s">
        <v>9</v>
      </c>
      <c r="D61" s="14">
        <v>45207</v>
      </c>
      <c r="E61" s="15">
        <v>-8</v>
      </c>
      <c r="F61" s="15" t="str">
        <f>IF(Tabela13[[#This Row],[Qtde.]]&lt;0,"Saída","Entrada")</f>
        <v>Saída</v>
      </c>
      <c r="G61" s="16"/>
      <c r="H61" s="14"/>
      <c r="I61" s="16"/>
      <c r="J61" s="16" t="str">
        <f>IF(Tabela13[[#This Row],[Qtde.]]&gt;0,Tabela13[[#This Row],[Custo Unitário]]*Tabela13[[#This Row],[Qtde.]],"")</f>
        <v/>
      </c>
      <c r="K61" s="16">
        <v>219</v>
      </c>
      <c r="L61" s="16">
        <f>IF(Tabela13[[#This Row],[Qtde.]]&lt;0,-Tabela13[[#This Row],[Qtde.]]*Tabela13[[#This Row],[Preço Unitário]],"")</f>
        <v>1752</v>
      </c>
      <c r="M61" s="16" t="s">
        <v>26</v>
      </c>
      <c r="N61" s="22"/>
    </row>
    <row r="62" spans="1:14" ht="30" customHeight="1">
      <c r="A62" s="22"/>
      <c r="B62" s="13">
        <v>57</v>
      </c>
      <c r="C62" s="13" t="s">
        <v>9</v>
      </c>
      <c r="D62" s="14">
        <v>45208</v>
      </c>
      <c r="E62" s="15">
        <v>5</v>
      </c>
      <c r="F62" s="15" t="str">
        <f>IF(Tabela13[[#This Row],[Qtde.]]&lt;0,"Saída","Entrada")</f>
        <v>Entrada</v>
      </c>
      <c r="G62" s="16">
        <v>222</v>
      </c>
      <c r="H62" s="14">
        <v>45361</v>
      </c>
      <c r="I62" s="16" t="s">
        <v>20</v>
      </c>
      <c r="J62" s="16">
        <f>IF(Tabela13[[#This Row],[Qtde.]]&gt;0,Tabela13[[#This Row],[Custo Unitário]]*Tabela13[[#This Row],[Qtde.]],"")</f>
        <v>1110</v>
      </c>
      <c r="K62" s="16"/>
      <c r="L62" s="16" t="str">
        <f>IF(Tabela13[[#This Row],[Qtde.]]&lt;0,-Tabela13[[#This Row],[Qtde.]]*Tabela13[[#This Row],[Preço Unitário]],"")</f>
        <v/>
      </c>
      <c r="M62" s="16"/>
      <c r="N62" s="22"/>
    </row>
    <row r="63" spans="1:14" ht="30" customHeight="1">
      <c r="A63" s="22"/>
      <c r="B63" s="17">
        <v>58</v>
      </c>
      <c r="C63" s="13" t="s">
        <v>9</v>
      </c>
      <c r="D63" s="14">
        <v>45209</v>
      </c>
      <c r="E63" s="15">
        <v>-5</v>
      </c>
      <c r="F63" s="15" t="str">
        <f>IF(Tabela13[[#This Row],[Qtde.]]&lt;0,"Saída","Entrada")</f>
        <v>Saída</v>
      </c>
      <c r="G63" s="16"/>
      <c r="H63" s="14"/>
      <c r="I63" s="16"/>
      <c r="J63" s="16" t="str">
        <f>IF(Tabela13[[#This Row],[Qtde.]]&gt;0,Tabela13[[#This Row],[Custo Unitário]]*Tabela13[[#This Row],[Qtde.]],"")</f>
        <v/>
      </c>
      <c r="K63" s="16">
        <v>143</v>
      </c>
      <c r="L63" s="16">
        <f>IF(Tabela13[[#This Row],[Qtde.]]&lt;0,-Tabela13[[#This Row],[Qtde.]]*Tabela13[[#This Row],[Preço Unitário]],"")</f>
        <v>715</v>
      </c>
      <c r="M63" s="16" t="s">
        <v>30</v>
      </c>
      <c r="N63" s="22"/>
    </row>
    <row r="64" spans="1:14" ht="30" customHeight="1">
      <c r="A64" s="22"/>
      <c r="B64" s="13">
        <v>59</v>
      </c>
      <c r="C64" s="17" t="s">
        <v>36</v>
      </c>
      <c r="D64" s="14">
        <v>45209</v>
      </c>
      <c r="E64" s="15">
        <v>2</v>
      </c>
      <c r="F64" s="15" t="str">
        <f>IF(Tabela13[[#This Row],[Qtde.]]&lt;0,"Saída","Entrada")</f>
        <v>Entrada</v>
      </c>
      <c r="G64" s="18">
        <v>176</v>
      </c>
      <c r="H64" s="19">
        <v>45546</v>
      </c>
      <c r="I64" s="17" t="s">
        <v>28</v>
      </c>
      <c r="J64" s="18">
        <f>IF(Tabela13[[#This Row],[Qtde.]]&gt;0,Tabela13[[#This Row],[Custo Unitário]]*Tabela13[[#This Row],[Qtde.]],"")</f>
        <v>352</v>
      </c>
      <c r="K64" s="18"/>
      <c r="L64" s="18" t="str">
        <f>IF(Tabela13[[#This Row],[Qtde.]]&lt;0,-Tabela13[[#This Row],[Qtde.]]*Tabela13[[#This Row],[Preço Unitário]],"")</f>
        <v/>
      </c>
      <c r="M64" s="17"/>
      <c r="N64" s="22"/>
    </row>
    <row r="65" spans="1:14" ht="30" customHeight="1">
      <c r="A65" s="22"/>
      <c r="B65" s="17">
        <v>60</v>
      </c>
      <c r="C65" s="17" t="s">
        <v>35</v>
      </c>
      <c r="D65" s="14">
        <v>45234</v>
      </c>
      <c r="E65" s="15">
        <v>10</v>
      </c>
      <c r="F65" s="15" t="str">
        <f>IF(Tabela13[[#This Row],[Qtde.]]&lt;0,"Saída","Entrada")</f>
        <v>Entrada</v>
      </c>
      <c r="G65" s="18">
        <v>80</v>
      </c>
      <c r="H65" s="19">
        <v>45486</v>
      </c>
      <c r="I65" s="17" t="s">
        <v>24</v>
      </c>
      <c r="J65" s="18">
        <f>IF(Tabela13[[#This Row],[Qtde.]]&gt;0,Tabela13[[#This Row],[Custo Unitário]]*Tabela13[[#This Row],[Qtde.]],"")</f>
        <v>800</v>
      </c>
      <c r="K65" s="18"/>
      <c r="L65" s="18" t="str">
        <f>IF(Tabela13[[#This Row],[Qtde.]]&lt;0,-Tabela13[[#This Row],[Qtde.]]*Tabela13[[#This Row],[Preço Unitário]],"")</f>
        <v/>
      </c>
      <c r="M65" s="17"/>
      <c r="N65" s="22"/>
    </row>
    <row r="66" spans="1:14" ht="30" customHeight="1">
      <c r="A66" s="22"/>
      <c r="B66" s="13">
        <v>61</v>
      </c>
      <c r="C66" s="17" t="s">
        <v>23</v>
      </c>
      <c r="D66" s="14">
        <v>45239</v>
      </c>
      <c r="E66" s="15">
        <v>-2</v>
      </c>
      <c r="F66" s="15" t="str">
        <f>IF(Tabela13[[#This Row],[Qtde.]]&lt;0,"Saída","Entrada")</f>
        <v>Saída</v>
      </c>
      <c r="G66" s="18"/>
      <c r="H66" s="19"/>
      <c r="I66" s="17"/>
      <c r="J66" s="18" t="str">
        <f>IF(Tabela13[[#This Row],[Qtde.]]&gt;0,Tabela13[[#This Row],[Custo Unitário]]*Tabela13[[#This Row],[Qtde.]],"")</f>
        <v/>
      </c>
      <c r="K66" s="18">
        <v>343</v>
      </c>
      <c r="L66" s="18">
        <f>IF(Tabela13[[#This Row],[Qtde.]]&lt;0,-Tabela13[[#This Row],[Qtde.]]*Tabela13[[#This Row],[Preço Unitário]],"")</f>
        <v>686</v>
      </c>
      <c r="M66" s="17" t="s">
        <v>52</v>
      </c>
      <c r="N66" s="22"/>
    </row>
    <row r="67" spans="1:14" ht="30" customHeight="1">
      <c r="A67" s="22"/>
      <c r="B67" s="17">
        <v>62</v>
      </c>
      <c r="C67" s="17" t="s">
        <v>27</v>
      </c>
      <c r="D67" s="14">
        <v>45241</v>
      </c>
      <c r="E67" s="15">
        <v>9</v>
      </c>
      <c r="F67" s="15" t="str">
        <f>IF(Tabela13[[#This Row],[Qtde.]]&lt;0,"Saída","Entrada")</f>
        <v>Entrada</v>
      </c>
      <c r="G67" s="18">
        <v>222</v>
      </c>
      <c r="H67" s="19">
        <v>45303</v>
      </c>
      <c r="I67" s="17" t="s">
        <v>11</v>
      </c>
      <c r="J67" s="18">
        <f>IF(Tabela13[[#This Row],[Qtde.]]&gt;0,Tabela13[[#This Row],[Custo Unitário]]*Tabela13[[#This Row],[Qtde.]],"")</f>
        <v>1998</v>
      </c>
      <c r="K67" s="18"/>
      <c r="L67" s="18" t="str">
        <f>IF(Tabela13[[#This Row],[Qtde.]]&lt;0,-Tabela13[[#This Row],[Qtde.]]*Tabela13[[#This Row],[Preço Unitário]],"")</f>
        <v/>
      </c>
      <c r="M67" s="17"/>
      <c r="N67" s="22"/>
    </row>
    <row r="68" spans="1:14" ht="30" customHeight="1">
      <c r="A68" s="22"/>
      <c r="B68" s="13">
        <v>63</v>
      </c>
      <c r="C68" s="17" t="s">
        <v>37</v>
      </c>
      <c r="D68" s="14">
        <v>45243</v>
      </c>
      <c r="E68" s="15">
        <v>-6</v>
      </c>
      <c r="F68" s="15" t="str">
        <f>IF(Tabela13[[#This Row],[Qtde.]]&lt;0,"Saída","Entrada")</f>
        <v>Saída</v>
      </c>
      <c r="G68" s="18"/>
      <c r="H68" s="19"/>
      <c r="I68" s="17"/>
      <c r="J68" s="18" t="str">
        <f>IF(Tabela13[[#This Row],[Qtde.]]&gt;0,Tabela13[[#This Row],[Custo Unitário]]*Tabela13[[#This Row],[Qtde.]],"")</f>
        <v/>
      </c>
      <c r="K68" s="18">
        <v>185</v>
      </c>
      <c r="L68" s="18">
        <f>IF(Tabela13[[#This Row],[Qtde.]]&lt;0,-Tabela13[[#This Row],[Qtde.]]*Tabela13[[#This Row],[Preço Unitário]],"")</f>
        <v>1110</v>
      </c>
      <c r="M68" s="17" t="s">
        <v>30</v>
      </c>
      <c r="N68" s="22"/>
    </row>
    <row r="69" spans="1:14" ht="30" customHeight="1">
      <c r="A69" s="22"/>
      <c r="B69" s="17">
        <v>64</v>
      </c>
      <c r="C69" s="17" t="s">
        <v>27</v>
      </c>
      <c r="D69" s="14">
        <v>45245</v>
      </c>
      <c r="E69" s="15">
        <v>1</v>
      </c>
      <c r="F69" s="15" t="str">
        <f>IF(Tabela13[[#This Row],[Qtde.]]&lt;0,"Saída","Entrada")</f>
        <v>Entrada</v>
      </c>
      <c r="G69" s="18">
        <v>236</v>
      </c>
      <c r="H69" s="19">
        <v>45347</v>
      </c>
      <c r="I69" s="17" t="s">
        <v>32</v>
      </c>
      <c r="J69" s="18">
        <f>IF(Tabela13[[#This Row],[Qtde.]]&gt;0,Tabela13[[#This Row],[Custo Unitário]]*Tabela13[[#This Row],[Qtde.]],"")</f>
        <v>236</v>
      </c>
      <c r="K69" s="18"/>
      <c r="L69" s="18" t="str">
        <f>IF(Tabela13[[#This Row],[Qtde.]]&lt;0,-Tabela13[[#This Row],[Qtde.]]*Tabela13[[#This Row],[Preço Unitário]],"")</f>
        <v/>
      </c>
      <c r="M69" s="17"/>
      <c r="N69" s="22"/>
    </row>
    <row r="70" spans="1:14" ht="30" customHeight="1">
      <c r="A70" s="22"/>
      <c r="B70" s="13">
        <v>65</v>
      </c>
      <c r="C70" s="13" t="s">
        <v>14</v>
      </c>
      <c r="D70" s="14">
        <v>45256</v>
      </c>
      <c r="E70" s="15">
        <v>3</v>
      </c>
      <c r="F70" s="15" t="str">
        <f>IF(Tabela13[[#This Row],[Qtde.]]&lt;0,"Saída","Entrada")</f>
        <v>Entrada</v>
      </c>
      <c r="G70" s="16">
        <v>167</v>
      </c>
      <c r="H70" s="14">
        <v>45333</v>
      </c>
      <c r="I70" s="16" t="s">
        <v>32</v>
      </c>
      <c r="J70" s="16">
        <f>IF(Tabela13[[#This Row],[Qtde.]]&gt;0,Tabela13[[#This Row],[Custo Unitário]]*Tabela13[[#This Row],[Qtde.]],"")</f>
        <v>501</v>
      </c>
      <c r="K70" s="16"/>
      <c r="L70" s="16" t="str">
        <f>IF(Tabela13[[#This Row],[Qtde.]]&lt;0,-Tabela13[[#This Row],[Qtde.]]*Tabela13[[#This Row],[Preço Unitário]],"")</f>
        <v/>
      </c>
      <c r="M70" s="16"/>
      <c r="N70" s="22"/>
    </row>
    <row r="71" spans="1:14" ht="30" customHeight="1">
      <c r="A71" s="22"/>
      <c r="B71" s="17">
        <v>66</v>
      </c>
      <c r="C71" s="17" t="s">
        <v>31</v>
      </c>
      <c r="D71" s="14">
        <v>45262</v>
      </c>
      <c r="E71" s="15">
        <v>-2</v>
      </c>
      <c r="F71" s="15" t="str">
        <f>IF(Tabela13[[#This Row],[Qtde.]]&lt;0,"Saída","Entrada")</f>
        <v>Saída</v>
      </c>
      <c r="G71" s="18"/>
      <c r="H71" s="19"/>
      <c r="I71" s="17"/>
      <c r="J71" s="18" t="str">
        <f>IF(Tabela13[[#This Row],[Qtde.]]&gt;0,Tabela13[[#This Row],[Custo Unitário]]*Tabela13[[#This Row],[Qtde.]],"")</f>
        <v/>
      </c>
      <c r="K71" s="18">
        <v>170</v>
      </c>
      <c r="L71" s="18">
        <f>IF(Tabela13[[#This Row],[Qtde.]]&lt;0,-Tabela13[[#This Row],[Qtde.]]*Tabela13[[#This Row],[Preço Unitário]],"")</f>
        <v>340</v>
      </c>
      <c r="M71" s="17" t="s">
        <v>13</v>
      </c>
      <c r="N71" s="22"/>
    </row>
    <row r="72" spans="1:14" ht="30" customHeight="1">
      <c r="A72" s="22"/>
      <c r="B72" s="13">
        <v>67</v>
      </c>
      <c r="C72" s="17" t="s">
        <v>37</v>
      </c>
      <c r="D72" s="14">
        <v>45264</v>
      </c>
      <c r="E72" s="15">
        <v>1</v>
      </c>
      <c r="F72" s="15" t="str">
        <f>IF(Tabela13[[#This Row],[Qtde.]]&lt;0,"Saída","Entrada")</f>
        <v>Entrada</v>
      </c>
      <c r="G72" s="18">
        <v>145</v>
      </c>
      <c r="H72" s="19">
        <v>45349</v>
      </c>
      <c r="I72" s="17" t="s">
        <v>24</v>
      </c>
      <c r="J72" s="18">
        <f>IF(Tabela13[[#This Row],[Qtde.]]&gt;0,Tabela13[[#This Row],[Custo Unitário]]*Tabela13[[#This Row],[Qtde.]],"")</f>
        <v>145</v>
      </c>
      <c r="K72" s="18"/>
      <c r="L72" s="18" t="str">
        <f>IF(Tabela13[[#This Row],[Qtde.]]&lt;0,-Tabela13[[#This Row],[Qtde.]]*Tabela13[[#This Row],[Preço Unitário]],"")</f>
        <v/>
      </c>
      <c r="M72" s="17"/>
      <c r="N72" s="22"/>
    </row>
    <row r="73" spans="1:14" s="22" customFormat="1" ht="30" customHeight="1"/>
    <row r="74" spans="1:14" s="22" customFormat="1" ht="30" customHeight="1"/>
    <row r="75" spans="1:14" s="22" customFormat="1" ht="30" customHeight="1"/>
    <row r="76" spans="1:14" ht="30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1:14" ht="30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1:14" ht="30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 spans="1:14" ht="30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1:14" ht="30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 spans="1:14" ht="30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1:14" ht="30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spans="1:14" ht="30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</row>
    <row r="84" spans="1:14" ht="30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30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1:14" ht="30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 spans="1:14" ht="30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spans="1:14" ht="30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spans="1:14" ht="30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spans="1:14" ht="30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</row>
    <row r="91" spans="1:14" ht="30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1:14" ht="30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3" spans="1:14" ht="30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</row>
    <row r="94" spans="1:14" ht="30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</row>
    <row r="95" spans="1:14" ht="30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spans="1:14" ht="30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</row>
    <row r="97" spans="1:14" ht="30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</row>
    <row r="98" spans="1:14" ht="30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</row>
    <row r="99" spans="1:14" ht="30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</row>
    <row r="100" spans="1:14" ht="30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</row>
    <row r="101" spans="1:14" ht="30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</row>
    <row r="102" spans="1:14" ht="30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</row>
    <row r="103" spans="1:14" ht="30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 spans="1:14" ht="30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</row>
    <row r="105" spans="1:14" ht="30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</row>
    <row r="106" spans="1:14" ht="30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</row>
    <row r="107" spans="1:14" ht="30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</row>
    <row r="108" spans="1:14" ht="30" customHeight="1"/>
    <row r="109" spans="1:14" ht="30" customHeight="1"/>
    <row r="110" spans="1:14" ht="30" customHeight="1"/>
    <row r="111" spans="1:14" ht="30" customHeight="1"/>
    <row r="112" spans="1:14" ht="30" customHeight="1"/>
    <row r="113" ht="30" customHeight="1"/>
    <row r="114" ht="30" customHeight="1"/>
    <row r="115" ht="30" customHeight="1"/>
  </sheetData>
  <mergeCells count="1">
    <mergeCell ref="B3:M3"/>
  </mergeCells>
  <conditionalFormatting sqref="G6:J72">
    <cfRule type="expression" dxfId="15" priority="2">
      <formula>$E6&lt;0</formula>
    </cfRule>
  </conditionalFormatting>
  <conditionalFormatting sqref="K6:M72">
    <cfRule type="expression" dxfId="14" priority="1">
      <formula>$E6&gt;0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C8A3F35-D2CE-443B-8D53-0E51A546CB29}">
          <x14:formula1>
            <xm:f>OFFSET(Cadastros!$C$5,1,0,COUNTA(Cadastros!$C$6:$C$673))</xm:f>
          </x14:formula1>
          <xm:sqref>C6:C72</xm:sqref>
        </x14:dataValidation>
        <x14:dataValidation type="list" allowBlank="1" showInputMessage="1" showErrorMessage="1" xr:uid="{218C7476-FDF1-4D9C-9D48-48A3AABA3EEB}">
          <x14:formula1>
            <xm:f>Cadastros!$H$6:$H$26</xm:f>
          </x14:formula1>
          <xm:sqref>I6:I72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7EDA-A2A4-457A-BE53-AA02E5B7215A}">
  <dimension ref="A1:S115"/>
  <sheetViews>
    <sheetView showGridLines="0" tabSelected="1" topLeftCell="A3" zoomScaleNormal="100" workbookViewId="0"/>
  </sheetViews>
  <sheetFormatPr defaultColWidth="0" defaultRowHeight="14.45"/>
  <cols>
    <col min="1" max="1" width="2.7109375" customWidth="1"/>
    <col min="2" max="2" width="4.7109375" customWidth="1"/>
    <col min="3" max="3" width="31.7109375" customWidth="1"/>
    <col min="4" max="4" width="20.7109375" customWidth="1"/>
    <col min="5" max="5" width="27.140625" customWidth="1"/>
    <col min="6" max="6" width="33" customWidth="1"/>
    <col min="7" max="7" width="17.85546875" customWidth="1"/>
    <col min="8" max="8" width="31.28515625" customWidth="1"/>
    <col min="9" max="9" width="20.7109375" customWidth="1"/>
    <col min="10" max="10" width="2.7109375" customWidth="1"/>
    <col min="11" max="12" width="8.85546875" hidden="1" customWidth="1"/>
    <col min="13" max="19" width="0" hidden="1" customWidth="1"/>
    <col min="20" max="16384" width="8.85546875" hidden="1"/>
  </cols>
  <sheetData>
    <row r="1" spans="1:10" ht="0.2" customHeight="1"/>
    <row r="2" spans="1:10" ht="0.2" customHeight="1"/>
    <row r="3" spans="1:10" ht="63" customHeight="1">
      <c r="A3" s="21"/>
      <c r="B3" s="26"/>
      <c r="C3" s="26"/>
      <c r="D3" s="26"/>
      <c r="E3" s="26"/>
      <c r="F3" s="26"/>
      <c r="G3" s="26"/>
      <c r="H3" s="26"/>
      <c r="I3" s="26"/>
      <c r="J3" s="21"/>
    </row>
    <row r="4" spans="1:10" ht="12" customHeight="1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0" ht="45" customHeight="1">
      <c r="A5" s="22"/>
      <c r="B5" s="22"/>
      <c r="C5" s="22"/>
      <c r="D5" s="22"/>
      <c r="E5" s="22"/>
      <c r="F5" s="22"/>
      <c r="G5" s="22"/>
      <c r="H5" s="22"/>
      <c r="I5" s="22"/>
      <c r="J5" s="22"/>
    </row>
    <row r="6" spans="1:10" ht="30" customHeight="1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ht="30" customHeight="1">
      <c r="A7" s="22"/>
      <c r="B7" s="22"/>
      <c r="C7" s="22"/>
      <c r="D7" s="22"/>
      <c r="E7" s="22"/>
      <c r="F7" s="22"/>
      <c r="G7" s="22"/>
      <c r="H7" s="22"/>
      <c r="I7" s="22"/>
      <c r="J7" s="22"/>
    </row>
    <row r="8" spans="1:10" ht="30" customHeight="1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ht="30" customHeight="1">
      <c r="A9" s="22"/>
      <c r="B9" s="22"/>
      <c r="C9" s="22"/>
      <c r="D9" s="22"/>
      <c r="E9" s="22"/>
      <c r="F9" s="22"/>
      <c r="G9" s="22"/>
      <c r="H9" s="22"/>
      <c r="I9" s="22"/>
      <c r="J9" s="22"/>
    </row>
    <row r="10" spans="1:10" ht="30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30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</row>
    <row r="12" spans="1:10" ht="30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ht="30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</row>
    <row r="14" spans="1:10" ht="30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spans="1:10" ht="30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</row>
    <row r="16" spans="1:10" ht="30" customHeight="1">
      <c r="A16" s="22"/>
      <c r="B16" s="22"/>
      <c r="C16" s="22"/>
      <c r="D16" s="22"/>
      <c r="E16" s="22"/>
      <c r="F16" s="22"/>
      <c r="G16" s="23"/>
      <c r="H16" s="22"/>
      <c r="I16" s="22"/>
      <c r="J16" s="22"/>
    </row>
    <row r="17" spans="1:10" ht="30" customHeight="1">
      <c r="A17" s="22"/>
      <c r="B17" s="22"/>
      <c r="C17" s="22"/>
      <c r="D17" s="22"/>
      <c r="E17" s="22"/>
      <c r="F17" s="22"/>
      <c r="G17" s="23"/>
      <c r="H17" s="22"/>
      <c r="I17" s="22"/>
      <c r="J17" s="22"/>
    </row>
    <row r="18" spans="1:10" ht="30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spans="1:10" ht="3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spans="1:10" ht="30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spans="1:10" ht="30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spans="1:10" ht="30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ht="30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spans="1:10" ht="30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30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30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ht="30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30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30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ht="30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ht="30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30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30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30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30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30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30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30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30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30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30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30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30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30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30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30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30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30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30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30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30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30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30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30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30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30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30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30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30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30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30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30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30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30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30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30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30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30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30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30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30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30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30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30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30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30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30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30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30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30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30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30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30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30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30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30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30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30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30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30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30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30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30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30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30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30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30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30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3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3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3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3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3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3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3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3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30" customHeight="1"/>
    <row r="109" spans="1:10" ht="30" customHeight="1"/>
    <row r="110" spans="1:10" ht="30" customHeight="1"/>
    <row r="111" spans="1:10" ht="30" customHeight="1"/>
    <row r="112" spans="1:10" ht="30" customHeight="1"/>
    <row r="113" ht="30" customHeight="1"/>
    <row r="114" ht="30" customHeight="1"/>
    <row r="115" ht="30" customHeight="1"/>
  </sheetData>
  <mergeCells count="1">
    <mergeCell ref="B3:I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0966-CCE0-442F-91C2-2763190783CB}">
  <dimension ref="A1:K26"/>
  <sheetViews>
    <sheetView zoomScale="130" zoomScaleNormal="130" workbookViewId="0">
      <selection activeCell="F6" sqref="F6"/>
    </sheetView>
  </sheetViews>
  <sheetFormatPr defaultRowHeight="14.45"/>
  <cols>
    <col min="1" max="1" width="17.28515625" bestFit="1" customWidth="1"/>
    <col min="2" max="2" width="8.7109375" bestFit="1" customWidth="1"/>
    <col min="3" max="3" width="8.140625" bestFit="1" customWidth="1"/>
    <col min="6" max="6" width="18" bestFit="1" customWidth="1"/>
    <col min="7" max="7" width="17.28515625" bestFit="1" customWidth="1"/>
    <col min="8" max="8" width="14.28515625" bestFit="1" customWidth="1"/>
    <col min="9" max="9" width="52.140625" bestFit="1" customWidth="1"/>
    <col min="10" max="10" width="10.140625" bestFit="1" customWidth="1"/>
  </cols>
  <sheetData>
    <row r="1" spans="1:11">
      <c r="F1" s="2" t="s">
        <v>42</v>
      </c>
      <c r="G1" t="s">
        <v>54</v>
      </c>
    </row>
    <row r="2" spans="1:11">
      <c r="I2" s="25"/>
      <c r="J2" s="25"/>
      <c r="K2" s="25"/>
    </row>
    <row r="3" spans="1:11">
      <c r="A3" s="2" t="s">
        <v>55</v>
      </c>
      <c r="B3" t="s">
        <v>56</v>
      </c>
      <c r="C3" t="s">
        <v>57</v>
      </c>
      <c r="F3" s="2" t="s">
        <v>55</v>
      </c>
      <c r="G3" t="s">
        <v>58</v>
      </c>
      <c r="I3" s="25"/>
      <c r="J3" s="25"/>
      <c r="K3" s="25"/>
    </row>
    <row r="4" spans="1:11">
      <c r="A4" s="3" t="s">
        <v>59</v>
      </c>
      <c r="B4" s="7">
        <v>4696</v>
      </c>
      <c r="C4" s="7">
        <v>2330</v>
      </c>
      <c r="F4" s="3" t="s">
        <v>22</v>
      </c>
      <c r="G4" s="24">
        <v>7</v>
      </c>
      <c r="I4" s="25" t="str" cm="1">
        <f t="array" ref="I4:I14">_xlfn.TEXTSPLIT(REPT("Brasil ",COUNTA(F:F)-2),," ")</f>
        <v>Brasil</v>
      </c>
      <c r="J4" s="25" t="str" cm="1">
        <f t="array" aca="1" ref="J4:J13" ca="1">OFFSET(F4,0,0,COUNTA(F:F)-2,1)</f>
        <v>AM</v>
      </c>
      <c r="K4" s="25" cm="1">
        <f t="array" aca="1" ref="K4:K13" ca="1">OFFSET(G4,0,0,COUNTA(F:F)-2,1)</f>
        <v>7</v>
      </c>
    </row>
    <row r="5" spans="1:11">
      <c r="A5" s="3" t="s">
        <v>60</v>
      </c>
      <c r="B5" s="7">
        <v>3225</v>
      </c>
      <c r="C5" s="7">
        <v>1878</v>
      </c>
      <c r="F5" s="3" t="s">
        <v>17</v>
      </c>
      <c r="G5" s="24">
        <v>7</v>
      </c>
      <c r="I5" s="25" t="str">
        <v>Brasil</v>
      </c>
      <c r="J5" s="25" t="str">
        <f ca="1"/>
        <v>BA</v>
      </c>
      <c r="K5" s="25">
        <f ca="1"/>
        <v>7</v>
      </c>
    </row>
    <row r="6" spans="1:11">
      <c r="A6" s="3" t="s">
        <v>61</v>
      </c>
      <c r="B6" s="7">
        <v>2478</v>
      </c>
      <c r="C6" s="7">
        <v>2392</v>
      </c>
      <c r="F6" s="3" t="s">
        <v>30</v>
      </c>
      <c r="G6" s="24">
        <v>18</v>
      </c>
      <c r="I6" s="25" t="str">
        <v>Brasil</v>
      </c>
      <c r="J6" s="25" t="str">
        <f ca="1"/>
        <v>GO</v>
      </c>
      <c r="K6" s="25">
        <f ca="1"/>
        <v>18</v>
      </c>
    </row>
    <row r="7" spans="1:11">
      <c r="A7" s="3" t="s">
        <v>62</v>
      </c>
      <c r="B7" s="7">
        <v>5617</v>
      </c>
      <c r="C7" s="7">
        <v>3378</v>
      </c>
      <c r="F7" s="3" t="s">
        <v>13</v>
      </c>
      <c r="G7" s="24">
        <v>6</v>
      </c>
      <c r="I7" s="25" t="str">
        <v>Brasil</v>
      </c>
      <c r="J7" s="25" t="str">
        <f ca="1"/>
        <v>MG</v>
      </c>
      <c r="K7" s="25">
        <f ca="1"/>
        <v>6</v>
      </c>
    </row>
    <row r="8" spans="1:11">
      <c r="A8" s="3" t="s">
        <v>63</v>
      </c>
      <c r="B8" s="7">
        <v>456</v>
      </c>
      <c r="C8" s="7">
        <v>278</v>
      </c>
      <c r="F8" s="3" t="s">
        <v>52</v>
      </c>
      <c r="G8" s="24">
        <v>9</v>
      </c>
      <c r="I8" s="25" t="str">
        <v>Brasil</v>
      </c>
      <c r="J8" s="25" t="str">
        <f ca="1"/>
        <v>PE</v>
      </c>
      <c r="K8" s="25">
        <f ca="1"/>
        <v>9</v>
      </c>
    </row>
    <row r="9" spans="1:11">
      <c r="A9" s="3" t="s">
        <v>64</v>
      </c>
      <c r="B9" s="7">
        <v>1792</v>
      </c>
      <c r="C9" s="7">
        <v>1881</v>
      </c>
      <c r="F9" s="3" t="s">
        <v>50</v>
      </c>
      <c r="G9" s="24">
        <v>8</v>
      </c>
      <c r="I9" s="25" t="str">
        <v>Brasil</v>
      </c>
      <c r="J9" s="25" t="str">
        <f ca="1"/>
        <v>PR</v>
      </c>
      <c r="K9" s="25">
        <f ca="1"/>
        <v>8</v>
      </c>
    </row>
    <row r="10" spans="1:11">
      <c r="A10" s="3" t="s">
        <v>65</v>
      </c>
      <c r="B10" s="7">
        <v>7441</v>
      </c>
      <c r="C10" s="7">
        <v>2521</v>
      </c>
      <c r="F10" s="3" t="s">
        <v>26</v>
      </c>
      <c r="G10" s="24">
        <v>9</v>
      </c>
      <c r="I10" s="25" t="str">
        <v>Brasil</v>
      </c>
      <c r="J10" s="25" t="str">
        <f ca="1"/>
        <v>RS</v>
      </c>
      <c r="K10" s="25">
        <f ca="1"/>
        <v>9</v>
      </c>
    </row>
    <row r="11" spans="1:11">
      <c r="A11" s="3" t="s">
        <v>66</v>
      </c>
      <c r="B11" s="7">
        <v>3188</v>
      </c>
      <c r="C11" s="7">
        <v>1364</v>
      </c>
      <c r="F11" s="3" t="s">
        <v>34</v>
      </c>
      <c r="G11" s="24">
        <v>13</v>
      </c>
      <c r="I11" s="25" t="str">
        <v>Brasil</v>
      </c>
      <c r="J11" s="25" t="str">
        <f ca="1"/>
        <v>SP</v>
      </c>
      <c r="K11" s="25">
        <f ca="1"/>
        <v>13</v>
      </c>
    </row>
    <row r="12" spans="1:11">
      <c r="A12" s="3" t="s">
        <v>67</v>
      </c>
      <c r="B12" s="7">
        <v>957</v>
      </c>
      <c r="C12" s="7">
        <v>992</v>
      </c>
      <c r="F12" s="3" t="s">
        <v>51</v>
      </c>
      <c r="G12" s="24">
        <v>4</v>
      </c>
      <c r="I12" s="25" t="str">
        <v>Brasil</v>
      </c>
      <c r="J12" s="25" t="str">
        <f ca="1"/>
        <v>TO</v>
      </c>
      <c r="K12" s="25">
        <f ca="1"/>
        <v>4</v>
      </c>
    </row>
    <row r="13" spans="1:11">
      <c r="A13" s="3" t="s">
        <v>68</v>
      </c>
      <c r="B13" s="7">
        <v>4242</v>
      </c>
      <c r="C13" s="7">
        <v>2467</v>
      </c>
      <c r="F13" s="3" t="s">
        <v>53</v>
      </c>
      <c r="G13" s="24">
        <v>10</v>
      </c>
      <c r="I13" s="25" t="str">
        <v>Brasil</v>
      </c>
      <c r="J13" s="25" t="str">
        <f ca="1"/>
        <v>MS</v>
      </c>
      <c r="K13" s="25">
        <f ca="1"/>
        <v>10</v>
      </c>
    </row>
    <row r="14" spans="1:11">
      <c r="A14" s="3" t="s">
        <v>69</v>
      </c>
      <c r="B14" s="7">
        <v>3535</v>
      </c>
      <c r="C14" s="7">
        <v>1796</v>
      </c>
      <c r="I14" s="25" t="str">
        <v/>
      </c>
      <c r="J14" s="25"/>
      <c r="K14" s="25"/>
    </row>
    <row r="15" spans="1:11">
      <c r="A15" s="3" t="s">
        <v>70</v>
      </c>
      <c r="B15" s="7">
        <v>145</v>
      </c>
      <c r="C15" s="7">
        <v>340</v>
      </c>
      <c r="I15" s="25"/>
      <c r="J15" s="25"/>
      <c r="K15" s="25"/>
    </row>
    <row r="16" spans="1:11">
      <c r="I16" s="25"/>
      <c r="J16" s="25"/>
      <c r="K16" s="25"/>
    </row>
    <row r="17" spans="1:11">
      <c r="I17" s="25"/>
      <c r="J17" s="25"/>
      <c r="K17" s="25"/>
    </row>
    <row r="18" spans="1:11">
      <c r="I18" s="25"/>
      <c r="J18" s="25"/>
      <c r="K18" s="25"/>
    </row>
    <row r="19" spans="1:11">
      <c r="I19" s="25"/>
      <c r="J19" s="25"/>
      <c r="K19" s="25"/>
    </row>
    <row r="20" spans="1:11">
      <c r="I20" s="25"/>
      <c r="J20" s="25"/>
      <c r="K20" s="25"/>
    </row>
    <row r="21" spans="1:11">
      <c r="A21" s="2" t="s">
        <v>55</v>
      </c>
      <c r="B21" t="s">
        <v>71</v>
      </c>
      <c r="I21" s="25"/>
      <c r="J21" s="25"/>
      <c r="K21" s="25"/>
    </row>
    <row r="22" spans="1:11">
      <c r="A22" s="3" t="s">
        <v>31</v>
      </c>
      <c r="B22" s="24">
        <v>27</v>
      </c>
    </row>
    <row r="23" spans="1:11">
      <c r="A23" s="3" t="s">
        <v>27</v>
      </c>
      <c r="B23" s="24">
        <v>19</v>
      </c>
    </row>
    <row r="24" spans="1:11">
      <c r="A24" s="3" t="s">
        <v>18</v>
      </c>
      <c r="B24" s="24">
        <v>15</v>
      </c>
    </row>
    <row r="25" spans="1:11">
      <c r="A25" s="3" t="s">
        <v>36</v>
      </c>
      <c r="B25" s="24">
        <v>14</v>
      </c>
    </row>
    <row r="26" spans="1:11">
      <c r="A26" s="3" t="s">
        <v>35</v>
      </c>
      <c r="B26" s="24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Usuário Convidado</cp:lastModifiedBy>
  <cp:revision/>
  <dcterms:created xsi:type="dcterms:W3CDTF">2023-05-22T12:02:23Z</dcterms:created>
  <dcterms:modified xsi:type="dcterms:W3CDTF">2023-10-18T15:22:48Z</dcterms:modified>
  <cp:category/>
  <cp:contentStatus/>
</cp:coreProperties>
</file>