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5"/>
  <workbookPr/>
  <mc:AlternateContent xmlns:mc="http://schemas.openxmlformats.org/markup-compatibility/2006">
    <mc:Choice Requires="x15">
      <x15ac:absPath xmlns:x15ac="http://schemas.microsoft.com/office/spreadsheetml/2010/11/ac" url="C:\Users\55219\Desktop\"/>
    </mc:Choice>
  </mc:AlternateContent>
  <xr:revisionPtr revIDLastSave="0" documentId="13_ncr:1_{DDF8D275-7D87-4F4B-B86F-902426BCDC22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Cadastros" sheetId="1" r:id="rId1"/>
    <sheet name="Registro" sheetId="2" r:id="rId2"/>
    <sheet name="Cálculos" sheetId="3" state="hidden" r:id="rId3"/>
    <sheet name="Dashboard" sheetId="5" r:id="rId4"/>
  </sheets>
  <definedNames>
    <definedName name="Alimentação">Cadastros!$J$5:$J$15</definedName>
    <definedName name="Bancos">Cadastros!$C$4:$C$15</definedName>
    <definedName name="Lazer">Cadastros!$M$5:$M$15</definedName>
    <definedName name="Moradia">Cadastros!$I$5:$I$15</definedName>
    <definedName name="NativeTimeline_Data">#N/A</definedName>
    <definedName name="Outras_Receitas">Cadastros!$G$5:$G$15</definedName>
    <definedName name="Receitas_Financeiras">Cadastros!$F$5:$F$15</definedName>
    <definedName name="Renda_Familiar">Cadastros!$E$5:$E$15</definedName>
    <definedName name="Saúde">Cadastros!$K$5:$K$15</definedName>
    <definedName name="Transporte">Cadastros!$L$5:$L$15</definedName>
  </definedNames>
  <calcPr calcId="191029"/>
  <pivotCaches>
    <pivotCache cacheId="8" r:id="rId5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6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2" l="1"/>
  <c r="I5" i="2" s="1"/>
  <c r="I6" i="2" s="1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6" i="2"/>
  <c r="D50" i="2"/>
  <c r="D43" i="2"/>
  <c r="D47" i="2"/>
  <c r="D51" i="2"/>
  <c r="D44" i="2"/>
  <c r="D48" i="2"/>
  <c r="D52" i="2"/>
  <c r="D45" i="2"/>
  <c r="D49" i="2"/>
  <c r="D53" i="2"/>
  <c r="D54" i="2"/>
</calcChain>
</file>

<file path=xl/sharedStrings.xml><?xml version="1.0" encoding="utf-8"?>
<sst xmlns="http://schemas.openxmlformats.org/spreadsheetml/2006/main" count="367" uniqueCount="88">
  <si>
    <t>Receitas</t>
  </si>
  <si>
    <t>Salários</t>
  </si>
  <si>
    <t>Bônus</t>
  </si>
  <si>
    <t>Participação em Lucros</t>
  </si>
  <si>
    <t>Poupança</t>
  </si>
  <si>
    <t>Ações</t>
  </si>
  <si>
    <t>Aluguel de Imóveis</t>
  </si>
  <si>
    <t>Herança</t>
  </si>
  <si>
    <t>Despesas</t>
  </si>
  <si>
    <t>Moradia</t>
  </si>
  <si>
    <t>Alimentação</t>
  </si>
  <si>
    <t>Saúde</t>
  </si>
  <si>
    <t>Transporte</t>
  </si>
  <si>
    <t>Lazer</t>
  </si>
  <si>
    <t>Aluguel</t>
  </si>
  <si>
    <t>Condomínio</t>
  </si>
  <si>
    <t>Energia</t>
  </si>
  <si>
    <t>Gás</t>
  </si>
  <si>
    <t>Água e Esgoto</t>
  </si>
  <si>
    <t>Telefone / internet</t>
  </si>
  <si>
    <t>TV a cabo</t>
  </si>
  <si>
    <t>Mercado</t>
  </si>
  <si>
    <t>Padaria</t>
  </si>
  <si>
    <t>Hortifruti</t>
  </si>
  <si>
    <t>Restaurantes</t>
  </si>
  <si>
    <t>Lanches</t>
  </si>
  <si>
    <t>Consulta com médicos</t>
  </si>
  <si>
    <t>Plano de saúde</t>
  </si>
  <si>
    <t>Exames</t>
  </si>
  <si>
    <t>Remédios</t>
  </si>
  <si>
    <t>Seguro de Vida</t>
  </si>
  <si>
    <t>Combustível</t>
  </si>
  <si>
    <t>Seguro Veículo</t>
  </si>
  <si>
    <t>Parcela Veículo</t>
  </si>
  <si>
    <t>Oficina</t>
  </si>
  <si>
    <t>IPVA</t>
  </si>
  <si>
    <t>Transporte público</t>
  </si>
  <si>
    <t>Transporte por app</t>
  </si>
  <si>
    <t>Cinema</t>
  </si>
  <si>
    <t>Teatro</t>
  </si>
  <si>
    <t>Esportes</t>
  </si>
  <si>
    <t>Passeios</t>
  </si>
  <si>
    <t>Academia</t>
  </si>
  <si>
    <t>Viagens</t>
  </si>
  <si>
    <t>Bancos</t>
  </si>
  <si>
    <t>Caixa</t>
  </si>
  <si>
    <t>Data</t>
  </si>
  <si>
    <t>Resumo</t>
  </si>
  <si>
    <t>Classificação</t>
  </si>
  <si>
    <t>Descrição</t>
  </si>
  <si>
    <t>Movimento</t>
  </si>
  <si>
    <t>Banco</t>
  </si>
  <si>
    <t>Valor</t>
  </si>
  <si>
    <t>Acumulado</t>
  </si>
  <si>
    <t>Renda_Familiar</t>
  </si>
  <si>
    <t>Receitas_Financeiras</t>
  </si>
  <si>
    <t>Outras_Receitas</t>
  </si>
  <si>
    <t>Salário Maio</t>
  </si>
  <si>
    <t>Dividendos Petrobrás</t>
  </si>
  <si>
    <t>Aluguel Maio</t>
  </si>
  <si>
    <t>Celular Filho</t>
  </si>
  <si>
    <t>Jantar sábado</t>
  </si>
  <si>
    <t>Médico Mãe</t>
  </si>
  <si>
    <t>Corrida para mercado</t>
  </si>
  <si>
    <t>Mensalidade Maio</t>
  </si>
  <si>
    <t>Pão doce</t>
  </si>
  <si>
    <t>Exame de sangue</t>
  </si>
  <si>
    <t>IPVA Maio</t>
  </si>
  <si>
    <t>Teatro Domingo</t>
  </si>
  <si>
    <t>Legumes</t>
  </si>
  <si>
    <t>Banco Santo André</t>
  </si>
  <si>
    <t>Banco Utaí</t>
  </si>
  <si>
    <t>Banco Refresco</t>
  </si>
  <si>
    <t>Rótulos de Linha</t>
  </si>
  <si>
    <t>Total Geral</t>
  </si>
  <si>
    <t>jun</t>
  </si>
  <si>
    <t>jul</t>
  </si>
  <si>
    <t>ago</t>
  </si>
  <si>
    <t>Soma de Acumulado</t>
  </si>
  <si>
    <t>Soma de Valor Absoluto</t>
  </si>
  <si>
    <t>Tipo</t>
  </si>
  <si>
    <t>Receita</t>
  </si>
  <si>
    <t>Despesa</t>
  </si>
  <si>
    <t>Rótulos de Coluna</t>
  </si>
  <si>
    <t xml:space="preserve">  </t>
  </si>
  <si>
    <t>Registro</t>
  </si>
  <si>
    <t>Cadastros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</si>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</sst>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Montserrat"/>
    </font>
    <font>
      <b/>
      <sz val="14"/>
      <color theme="0"/>
      <name val="Montserrat"/>
    </font>
    <font>
      <sz val="11"/>
      <color theme="1"/>
      <name val="Montserrat"/>
    </font>
    <font>
      <b/>
      <sz val="11"/>
      <color theme="0"/>
      <name val="Montserrat"/>
    </font>
    <font>
      <sz val="26"/>
      <color theme="0"/>
      <name val="Montserrat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rgb="FF181E1E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1">
    <xf numFmtId="0" fontId="0" fillId="0" borderId="0" xfId="0"/>
    <xf numFmtId="44" fontId="0" fillId="0" borderId="0" xfId="0" applyNumberForma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10" xfId="0" applyFont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14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44" fontId="6" fillId="0" borderId="0" xfId="1" applyFont="1" applyAlignment="1">
      <alignment vertical="center"/>
    </xf>
    <xf numFmtId="44" fontId="6" fillId="0" borderId="0" xfId="0" applyNumberFormat="1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0" fontId="0" fillId="3" borderId="0" xfId="0" applyFill="1"/>
    <xf numFmtId="0" fontId="8" fillId="3" borderId="0" xfId="0" applyFont="1" applyFill="1"/>
    <xf numFmtId="0" fontId="5" fillId="3" borderId="9" xfId="0" applyFont="1" applyFill="1" applyBorder="1" applyAlignment="1">
      <alignment horizontal="center" vertical="center"/>
    </xf>
    <xf numFmtId="14" fontId="0" fillId="0" borderId="0" xfId="0" applyNumberFormat="1" applyAlignment="1">
      <alignment horizontal="left" indent="2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30">
    <dxf>
      <font>
        <color theme="0"/>
      </font>
      <fill>
        <patternFill>
          <bgColor rgb="FFCC0000"/>
        </patternFill>
      </fill>
    </dxf>
    <dxf>
      <font>
        <color theme="0"/>
      </font>
      <fill>
        <patternFill>
          <bgColor rgb="FFCC0000"/>
        </patternFill>
      </fill>
    </dxf>
    <dxf>
      <font>
        <color theme="0"/>
      </font>
      <fill>
        <patternFill>
          <bgColor rgb="FFCC0000"/>
        </patternFill>
      </fill>
    </dxf>
    <dxf>
      <font>
        <color theme="0"/>
      </font>
      <fill>
        <patternFill>
          <bgColor rgb="FFCC0000"/>
        </patternFill>
      </fill>
    </dxf>
    <dxf>
      <font>
        <color theme="0"/>
      </font>
      <fill>
        <patternFill>
          <bgColor rgb="FFCC000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strike val="0"/>
        <outline val="0"/>
        <shadow val="0"/>
        <u val="none"/>
        <vertAlign val="baseline"/>
        <color theme="1"/>
        <name val="Montserrat"/>
        <scheme val="none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Montserrat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Montserrat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Montserrat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Montserrat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Montserrat"/>
        <scheme val="none"/>
      </font>
      <numFmt numFmtId="19" formatCode="dd/mm/yyyy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Montserrat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Montserrat"/>
        <scheme val="none"/>
      </font>
      <alignment horizontal="general" vertical="center" textRotation="0" wrapText="0" indent="0" justifyLastLine="0" shrinkToFit="0" readingOrder="0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border>
        <top style="thin">
          <color theme="1"/>
        </top>
      </border>
    </dxf>
    <dxf>
      <border>
        <top style="thin">
          <color theme="1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1"/>
        </top>
      </border>
    </dxf>
    <dxf>
      <font>
        <b/>
        <color theme="0"/>
      </font>
      <fill>
        <patternFill patternType="solid">
          <fgColor theme="1"/>
          <bgColor rgb="FF181E1E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z val="11"/>
        <color rgb="FF081C15"/>
        <name val="Montserrat"/>
        <scheme val="none"/>
      </font>
      <fill>
        <patternFill>
          <bgColor theme="0"/>
        </patternFill>
      </fill>
    </dxf>
    <dxf>
      <font>
        <b/>
        <sz val="11"/>
        <color theme="1"/>
      </font>
    </dxf>
    <dxf>
      <font>
        <color theme="0"/>
        <name val="Montserrat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</dxfs>
  <tableStyles count="3" defaultTableStyle="TableStyleMedium2" defaultPivotStyle="PivotStyleLight16">
    <tableStyle name="Estilo de Linha do Tempo 1" pivot="0" table="0" count="8" xr9:uid="{79AA1FDD-8FD9-4700-B59A-8A9CE54A0E11}">
      <tableStyleElement type="wholeTable" dxfId="29"/>
      <tableStyleElement type="headerRow" dxfId="28"/>
    </tableStyle>
    <tableStyle name="Slicer Style 1" pivot="0" table="0" count="3" xr9:uid="{2FA4C71E-1977-45F6-9C70-74114CD59A3F}">
      <tableStyleElement type="wholeTable" dxfId="27"/>
    </tableStyle>
    <tableStyle name="TableStyleLight8 2" pivot="0" count="9" xr9:uid="{F6481E05-3BAD-4EC6-B559-BD11F5C85FB4}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firstRowStripe" dxfId="21"/>
      <tableStyleElement type="secondRowStripe" dxfId="20"/>
      <tableStyleElement type="firstColumnStripe" dxfId="19"/>
      <tableStyleElement type="secondColumnStripe" dxfId="18"/>
    </tableStyle>
  </tableStyles>
  <colors>
    <mruColors>
      <color rgb="FF181E1E"/>
      <color rgb="FFCC0000"/>
    </mruColors>
  </colors>
  <extLst>
    <ext xmlns:x14="http://schemas.microsoft.com/office/spreadsheetml/2009/9/main" uri="{46F421CA-312F-682f-3DD2-61675219B42D}">
      <x14:dxfs count="2">
        <dxf>
          <font>
            <sz val="11"/>
            <color theme="0"/>
            <name val="Montserrat"/>
            <scheme val="none"/>
          </font>
          <fill>
            <patternFill>
              <bgColor rgb="FF28323B"/>
            </patternFill>
          </fill>
        </dxf>
        <dxf>
          <font>
            <sz val="11"/>
            <color theme="0"/>
            <name val="Montserrat"/>
            <scheme val="none"/>
          </font>
          <fill>
            <patternFill>
              <bgColor rgb="FF28323B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8" tint="-0.24994659260841701"/>
            </patternFill>
          </fill>
        </dxf>
        <dxf>
          <font>
            <sz val="9"/>
            <color theme="0"/>
            <name val="Montserrat"/>
            <scheme val="none"/>
          </font>
        </dxf>
        <dxf>
          <font>
            <sz val="9"/>
            <color theme="0"/>
            <name val="Montserrat"/>
            <scheme val="none"/>
          </font>
        </dxf>
        <dxf>
          <font>
            <sz val="9"/>
            <color theme="0"/>
            <name val="Montserrat"/>
            <scheme val="none"/>
          </font>
        </dxf>
        <dxf>
          <font>
            <sz val="10"/>
            <color theme="0"/>
            <name val="Calibri"/>
            <family val="2"/>
            <scheme val="minor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Estilo de Linha do Tempo 1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1/relationships/timelineCache" Target="timelineCaches/timelineCach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de Orçamento Familiar.xlsx]Cálculos!Tabela dinâmica1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Cálculos!$B$3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Cálculos!$A$4:$A$20</c:f>
              <c:multiLvlStrCache>
                <c:ptCount val="12"/>
                <c:lvl>
                  <c:pt idx="0">
                    <c:v>15/06/2022</c:v>
                  </c:pt>
                  <c:pt idx="1">
                    <c:v>18/06/2022</c:v>
                  </c:pt>
                  <c:pt idx="2">
                    <c:v>21/06/2022</c:v>
                  </c:pt>
                  <c:pt idx="3">
                    <c:v>24/06/2022</c:v>
                  </c:pt>
                  <c:pt idx="4">
                    <c:v>16/07/2022</c:v>
                  </c:pt>
                  <c:pt idx="5">
                    <c:v>19/07/2022</c:v>
                  </c:pt>
                  <c:pt idx="6">
                    <c:v>22/07/2022</c:v>
                  </c:pt>
                  <c:pt idx="7">
                    <c:v>25/07/2022</c:v>
                  </c:pt>
                  <c:pt idx="8">
                    <c:v>17/08/2022</c:v>
                  </c:pt>
                  <c:pt idx="9">
                    <c:v>20/08/2022</c:v>
                  </c:pt>
                  <c:pt idx="10">
                    <c:v>23/08/2022</c:v>
                  </c:pt>
                  <c:pt idx="11">
                    <c:v>26/08/2022</c:v>
                  </c:pt>
                </c:lvl>
                <c:lvl>
                  <c:pt idx="0">
                    <c:v>jun</c:v>
                  </c:pt>
                  <c:pt idx="4">
                    <c:v>jul</c:v>
                  </c:pt>
                  <c:pt idx="8">
                    <c:v>ago</c:v>
                  </c:pt>
                </c:lvl>
                <c:lvl>
                  <c:pt idx="0">
                    <c:v>2022</c:v>
                  </c:pt>
                </c:lvl>
              </c:multiLvlStrCache>
            </c:multiLvlStrRef>
          </c:cat>
          <c:val>
            <c:numRef>
              <c:f>Cálculos!$B$4:$B$20</c:f>
              <c:numCache>
                <c:formatCode>"R$"\ #,##0</c:formatCode>
                <c:ptCount val="12"/>
                <c:pt idx="0">
                  <c:v>10635</c:v>
                </c:pt>
                <c:pt idx="1">
                  <c:v>10555</c:v>
                </c:pt>
                <c:pt idx="2">
                  <c:v>10540</c:v>
                </c:pt>
                <c:pt idx="3">
                  <c:v>10420</c:v>
                </c:pt>
                <c:pt idx="4">
                  <c:v>10620</c:v>
                </c:pt>
                <c:pt idx="5">
                  <c:v>10320</c:v>
                </c:pt>
                <c:pt idx="6">
                  <c:v>10180</c:v>
                </c:pt>
                <c:pt idx="7">
                  <c:v>9780</c:v>
                </c:pt>
                <c:pt idx="8">
                  <c:v>11780</c:v>
                </c:pt>
                <c:pt idx="9">
                  <c:v>11530</c:v>
                </c:pt>
                <c:pt idx="10">
                  <c:v>11510</c:v>
                </c:pt>
                <c:pt idx="11">
                  <c:v>11310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B1-4649-A917-6B306F0E65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8363888"/>
        <c:axId val="388364368"/>
      </c:lineChart>
      <c:catAx>
        <c:axId val="38836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388364368"/>
        <c:crosses val="autoZero"/>
        <c:auto val="1"/>
        <c:lblAlgn val="ctr"/>
        <c:lblOffset val="100"/>
        <c:noMultiLvlLbl val="0"/>
      </c:catAx>
      <c:valAx>
        <c:axId val="388364368"/>
        <c:scaling>
          <c:orientation val="minMax"/>
        </c:scaling>
        <c:delete val="0"/>
        <c:axPos val="l"/>
        <c:numFmt formatCode="&quot;R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388363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  <a:latin typeface="Montserrat" panose="00000500000000000000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de Orçamento Familiar.xlsx]Cálculos!Tabela dinâmica3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7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8"/>
        <c:spPr>
          <a:solidFill>
            <a:schemeClr val="accent1"/>
          </a:solidFill>
          <a:ln w="19050"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Cálculos!$M$3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AC5-4BD3-97FD-3F76420C1D19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AC5-4BD3-97FD-3F76420C1D19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AC5-4BD3-97FD-3F76420C1D1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Cálculos!$L$4:$L$6</c:f>
              <c:strCache>
                <c:ptCount val="2"/>
                <c:pt idx="0">
                  <c:v>Banco Santo André</c:v>
                </c:pt>
                <c:pt idx="1">
                  <c:v>Banco Utaí</c:v>
                </c:pt>
              </c:strCache>
            </c:strRef>
          </c:cat>
          <c:val>
            <c:numRef>
              <c:f>Cálculos!$M$4:$M$6</c:f>
              <c:numCache>
                <c:formatCode>_("R$"* #,##0.00_);_("R$"* \(#,##0.00\);_("R$"* "-"??_);_(@_)</c:formatCode>
                <c:ptCount val="2"/>
                <c:pt idx="0">
                  <c:v>2000</c:v>
                </c:pt>
                <c:pt idx="1">
                  <c:v>5200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C5-4BD3-97FD-3F76420C1D1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  <a:latin typeface="Montserrat" panose="00000500000000000000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de Orçamento Familiar.xlsx]Cálculos!Tabela dinâmica5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Cálculos!$P$3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Cálculos!$O$4:$O$13</c:f>
              <c:strCache>
                <c:ptCount val="9"/>
                <c:pt idx="0">
                  <c:v>Transporte por app</c:v>
                </c:pt>
                <c:pt idx="1">
                  <c:v>Padaria</c:v>
                </c:pt>
                <c:pt idx="2">
                  <c:v>Telefone / internet</c:v>
                </c:pt>
                <c:pt idx="3">
                  <c:v>Exames</c:v>
                </c:pt>
                <c:pt idx="4">
                  <c:v>Academia</c:v>
                </c:pt>
                <c:pt idx="5">
                  <c:v>Teatro</c:v>
                </c:pt>
                <c:pt idx="6">
                  <c:v>Consulta com médicos</c:v>
                </c:pt>
                <c:pt idx="7">
                  <c:v>Restaurantes</c:v>
                </c:pt>
                <c:pt idx="8">
                  <c:v>IPVA</c:v>
                </c:pt>
              </c:strCache>
            </c:strRef>
          </c:cat>
          <c:val>
            <c:numRef>
              <c:f>Cálculos!$P$4:$P$13</c:f>
              <c:numCache>
                <c:formatCode>_("R$"* #,##0.00_);_("R$"* \(#,##0.00\);_("R$"* "-"??_);_(@_)</c:formatCode>
                <c:ptCount val="9"/>
                <c:pt idx="0">
                  <c:v>15</c:v>
                </c:pt>
                <c:pt idx="1">
                  <c:v>20</c:v>
                </c:pt>
                <c:pt idx="2">
                  <c:v>80</c:v>
                </c:pt>
                <c:pt idx="3">
                  <c:v>120</c:v>
                </c:pt>
                <c:pt idx="4">
                  <c:v>140</c:v>
                </c:pt>
                <c:pt idx="5">
                  <c:v>200</c:v>
                </c:pt>
                <c:pt idx="6">
                  <c:v>250</c:v>
                </c:pt>
                <c:pt idx="7">
                  <c:v>300</c:v>
                </c:pt>
                <c:pt idx="8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47-4FE8-8F30-53620A6B6D6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76258496"/>
        <c:axId val="876245056"/>
      </c:barChart>
      <c:catAx>
        <c:axId val="876258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76245056"/>
        <c:crosses val="autoZero"/>
        <c:auto val="1"/>
        <c:lblAlgn val="ctr"/>
        <c:lblOffset val="100"/>
        <c:noMultiLvlLbl val="0"/>
      </c:catAx>
      <c:valAx>
        <c:axId val="876245056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76258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de Orçamento Familiar.xlsx]Cálculos!Tabela dinâmica4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layout>
            <c:manualLayout>
              <c:x val="7.8395760730376809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9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0"/>
        <c:spPr>
          <a:solidFill>
            <a:schemeClr val="accent1"/>
          </a:solidFill>
          <a:ln w="19050"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Cálculos!$M$13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A53-49DE-8A92-94D98476AEB7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A53-49DE-8A92-94D98476AEB7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A53-49DE-8A92-94D98476AEB7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A53-49DE-8A92-94D98476AEB7}"/>
              </c:ext>
            </c:extLst>
          </c:dPt>
          <c:dLbls>
            <c:dLbl>
              <c:idx val="0"/>
              <c:layout>
                <c:manualLayout>
                  <c:x val="7.8395760730376809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A53-49DE-8A92-94D98476AE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Cálculos!$L$14:$L$18</c:f>
              <c:strCache>
                <c:ptCount val="4"/>
                <c:pt idx="0">
                  <c:v>Banco Refresco</c:v>
                </c:pt>
                <c:pt idx="1">
                  <c:v>Banco Santo André</c:v>
                </c:pt>
                <c:pt idx="2">
                  <c:v>Banco Utaí</c:v>
                </c:pt>
                <c:pt idx="3">
                  <c:v>Caixa</c:v>
                </c:pt>
              </c:strCache>
            </c:strRef>
          </c:cat>
          <c:val>
            <c:numRef>
              <c:f>Cálculos!$M$14:$M$18</c:f>
              <c:numCache>
                <c:formatCode>_("R$"* #,##0.00_);_("R$"* \(#,##0.00\);_("R$"* "-"??_);_(@_)</c:formatCode>
                <c:ptCount val="4"/>
                <c:pt idx="0">
                  <c:v>390</c:v>
                </c:pt>
                <c:pt idx="1">
                  <c:v>600</c:v>
                </c:pt>
                <c:pt idx="2">
                  <c:v>500</c:v>
                </c:pt>
                <c:pt idx="3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A53-49DE-8A92-94D98476AEB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  <a:latin typeface="Montserrat" panose="00000500000000000000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de Orçamento Familiar.xlsx]Cálculos!Tabela dinâmica7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7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8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9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0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1"/>
        <c:spPr>
          <a:solidFill>
            <a:schemeClr val="accent1"/>
          </a:solidFill>
          <a:ln w="19050"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Cálculos!$P$25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24A-4C51-AF97-3154DB36708D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24A-4C51-AF97-3154DB36708D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24A-4C51-AF97-3154DB36708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Cálculos!$O$26:$O$29</c:f>
              <c:strCache>
                <c:ptCount val="3"/>
                <c:pt idx="0">
                  <c:v>Ações</c:v>
                </c:pt>
                <c:pt idx="1">
                  <c:v>Aluguel de Imóveis</c:v>
                </c:pt>
                <c:pt idx="2">
                  <c:v>Salários</c:v>
                </c:pt>
              </c:strCache>
            </c:strRef>
          </c:cat>
          <c:val>
            <c:numRef>
              <c:f>Cálculos!$P$26:$P$29</c:f>
              <c:numCache>
                <c:formatCode>_("R$"* #,##0.00_);_("R$"* \(#,##0.00\);_("R$"* "-"??_);_(@_)</c:formatCode>
                <c:ptCount val="3"/>
                <c:pt idx="0">
                  <c:v>200</c:v>
                </c:pt>
                <c:pt idx="1">
                  <c:v>2000</c:v>
                </c:pt>
                <c:pt idx="2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24A-4C51-AF97-3154DB36708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  <a:latin typeface="Montserrat" panose="00000500000000000000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de Orçamento Familiar.xlsx]Cálculos!Tabela dinâmica2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Cálculos!$E$3:$E$4</c:f>
              <c:strCache>
                <c:ptCount val="1"/>
                <c:pt idx="0">
                  <c:v>Alimentação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Cálculos!$D$5:$D$9</c:f>
              <c:multiLvlStrCache>
                <c:ptCount val="3"/>
                <c:lvl>
                  <c:pt idx="0">
                    <c:v>jun</c:v>
                  </c:pt>
                  <c:pt idx="1">
                    <c:v>jul</c:v>
                  </c:pt>
                  <c:pt idx="2">
                    <c:v>ago</c:v>
                  </c:pt>
                </c:lvl>
                <c:lvl>
                  <c:pt idx="0">
                    <c:v>2022</c:v>
                  </c:pt>
                </c:lvl>
              </c:multiLvlStrCache>
            </c:multiLvlStrRef>
          </c:cat>
          <c:val>
            <c:numRef>
              <c:f>Cálculos!$E$5:$E$9</c:f>
              <c:numCache>
                <c:formatCode>_("R$"* #,##0.00_);_("R$"* \(#,##0.00\);_("R$"* "-"??_);_(@_)</c:formatCode>
                <c:ptCount val="3"/>
                <c:pt idx="0">
                  <c:v>0</c:v>
                </c:pt>
                <c:pt idx="1">
                  <c:v>300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5D-4BA5-B67F-21A85F5F6222}"/>
            </c:ext>
          </c:extLst>
        </c:ser>
        <c:ser>
          <c:idx val="1"/>
          <c:order val="1"/>
          <c:tx>
            <c:strRef>
              <c:f>Cálculos!$F$3:$F$4</c:f>
              <c:strCache>
                <c:ptCount val="1"/>
                <c:pt idx="0">
                  <c:v>Lazer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Cálculos!$D$5:$D$9</c:f>
              <c:multiLvlStrCache>
                <c:ptCount val="3"/>
                <c:lvl>
                  <c:pt idx="0">
                    <c:v>jun</c:v>
                  </c:pt>
                  <c:pt idx="1">
                    <c:v>jul</c:v>
                  </c:pt>
                  <c:pt idx="2">
                    <c:v>ago</c:v>
                  </c:pt>
                </c:lvl>
                <c:lvl>
                  <c:pt idx="0">
                    <c:v>2022</c:v>
                  </c:pt>
                </c:lvl>
              </c:multiLvlStrCache>
            </c:multiLvlStrRef>
          </c:cat>
          <c:val>
            <c:numRef>
              <c:f>Cálculos!$F$5:$F$9</c:f>
              <c:numCache>
                <c:formatCode>_("R$"* #,##0.00_);_("R$"* \(#,##0.00\);_("R$"* "-"??_);_(@_)</c:formatCode>
                <c:ptCount val="3"/>
                <c:pt idx="0">
                  <c:v>0</c:v>
                </c:pt>
                <c:pt idx="1">
                  <c:v>140</c:v>
                </c:pt>
                <c:pt idx="2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7C1-4939-A6BE-C7BF46A155F0}"/>
            </c:ext>
          </c:extLst>
        </c:ser>
        <c:ser>
          <c:idx val="2"/>
          <c:order val="2"/>
          <c:tx>
            <c:strRef>
              <c:f>Cálculos!$G$3:$G$4</c:f>
              <c:strCache>
                <c:ptCount val="1"/>
                <c:pt idx="0">
                  <c:v>Moradia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Cálculos!$D$5:$D$9</c:f>
              <c:multiLvlStrCache>
                <c:ptCount val="3"/>
                <c:lvl>
                  <c:pt idx="0">
                    <c:v>jun</c:v>
                  </c:pt>
                  <c:pt idx="1">
                    <c:v>jul</c:v>
                  </c:pt>
                  <c:pt idx="2">
                    <c:v>ago</c:v>
                  </c:pt>
                </c:lvl>
                <c:lvl>
                  <c:pt idx="0">
                    <c:v>2022</c:v>
                  </c:pt>
                </c:lvl>
              </c:multiLvlStrCache>
            </c:multiLvlStrRef>
          </c:cat>
          <c:val>
            <c:numRef>
              <c:f>Cálculos!$G$5:$G$9</c:f>
              <c:numCache>
                <c:formatCode>_("R$"* #,##0.00_);_("R$"* \(#,##0.00\);_("R$"* "-"??_);_(@_)</c:formatCode>
                <c:ptCount val="3"/>
                <c:pt idx="0">
                  <c:v>80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7C1-4939-A6BE-C7BF46A155F0}"/>
            </c:ext>
          </c:extLst>
        </c:ser>
        <c:ser>
          <c:idx val="3"/>
          <c:order val="3"/>
          <c:tx>
            <c:strRef>
              <c:f>Cálculos!$H$3:$H$4</c:f>
              <c:strCache>
                <c:ptCount val="1"/>
                <c:pt idx="0">
                  <c:v>Saúde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Cálculos!$D$5:$D$9</c:f>
              <c:multiLvlStrCache>
                <c:ptCount val="3"/>
                <c:lvl>
                  <c:pt idx="0">
                    <c:v>jun</c:v>
                  </c:pt>
                  <c:pt idx="1">
                    <c:v>jul</c:v>
                  </c:pt>
                  <c:pt idx="2">
                    <c:v>ago</c:v>
                  </c:pt>
                </c:lvl>
                <c:lvl>
                  <c:pt idx="0">
                    <c:v>2022</c:v>
                  </c:pt>
                </c:lvl>
              </c:multiLvlStrCache>
            </c:multiLvlStrRef>
          </c:cat>
          <c:val>
            <c:numRef>
              <c:f>Cálculos!$H$5:$H$9</c:f>
              <c:numCache>
                <c:formatCode>_("R$"* #,##0.00_);_("R$"* \(#,##0.00\);_("R$"* "-"??_);_(@_)</c:formatCode>
                <c:ptCount val="3"/>
                <c:pt idx="0">
                  <c:v>120</c:v>
                </c:pt>
                <c:pt idx="1">
                  <c:v>0</c:v>
                </c:pt>
                <c:pt idx="2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7C1-4939-A6BE-C7BF46A155F0}"/>
            </c:ext>
          </c:extLst>
        </c:ser>
        <c:ser>
          <c:idx val="4"/>
          <c:order val="4"/>
          <c:tx>
            <c:strRef>
              <c:f>Cálculos!$I$3:$I$4</c:f>
              <c:strCache>
                <c:ptCount val="1"/>
                <c:pt idx="0">
                  <c:v>Transporte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Cálculos!$D$5:$D$9</c:f>
              <c:multiLvlStrCache>
                <c:ptCount val="3"/>
                <c:lvl>
                  <c:pt idx="0">
                    <c:v>jun</c:v>
                  </c:pt>
                  <c:pt idx="1">
                    <c:v>jul</c:v>
                  </c:pt>
                  <c:pt idx="2">
                    <c:v>ago</c:v>
                  </c:pt>
                </c:lvl>
                <c:lvl>
                  <c:pt idx="0">
                    <c:v>2022</c:v>
                  </c:pt>
                </c:lvl>
              </c:multiLvlStrCache>
            </c:multiLvlStrRef>
          </c:cat>
          <c:val>
            <c:numRef>
              <c:f>Cálculos!$I$5:$I$9</c:f>
              <c:numCache>
                <c:formatCode>_("R$"* #,##0.00_);_("R$"* \(#,##0.00\);_("R$"* "-"??_);_(@_)</c:formatCode>
                <c:ptCount val="3"/>
                <c:pt idx="0">
                  <c:v>15</c:v>
                </c:pt>
                <c:pt idx="1">
                  <c:v>400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7C1-4939-A6BE-C7BF46A15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30364256"/>
        <c:axId val="830364736"/>
      </c:barChart>
      <c:catAx>
        <c:axId val="830364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830364736"/>
        <c:crosses val="autoZero"/>
        <c:auto val="1"/>
        <c:lblAlgn val="ctr"/>
        <c:lblOffset val="100"/>
        <c:noMultiLvlLbl val="0"/>
      </c:catAx>
      <c:valAx>
        <c:axId val="830364736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830364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  <a:latin typeface="Montserrat" panose="00000500000000000000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9071</xdr:colOff>
      <xdr:row>0</xdr:row>
      <xdr:rowOff>0</xdr:rowOff>
    </xdr:from>
    <xdr:to>
      <xdr:col>26</xdr:col>
      <xdr:colOff>235857</xdr:colOff>
      <xdr:row>47</xdr:row>
      <xdr:rowOff>54428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D3CC165-1061-4365-B155-7BE46AED430B}"/>
            </a:ext>
          </a:extLst>
        </xdr:cNvPr>
        <xdr:cNvSpPr/>
      </xdr:nvSpPr>
      <xdr:spPr>
        <a:xfrm>
          <a:off x="9071" y="0"/>
          <a:ext cx="16076386" cy="8649788"/>
        </a:xfrm>
        <a:prstGeom prst="rect">
          <a:avLst/>
        </a:prstGeom>
        <a:solidFill>
          <a:srgbClr val="181E1E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148771</xdr:colOff>
      <xdr:row>1</xdr:row>
      <xdr:rowOff>23180</xdr:rowOff>
    </xdr:from>
    <xdr:to>
      <xdr:col>25</xdr:col>
      <xdr:colOff>598055</xdr:colOff>
      <xdr:row>7</xdr:row>
      <xdr:rowOff>9069</xdr:rowOff>
    </xdr:to>
    <xdr:sp macro="" textlink="">
      <xdr:nvSpPr>
        <xdr:cNvPr id="7" name="Rectangle: Rounded Corners 43">
          <a:extLst>
            <a:ext uri="{FF2B5EF4-FFF2-40B4-BE49-F238E27FC236}">
              <a16:creationId xmlns:a16="http://schemas.microsoft.com/office/drawing/2014/main" id="{16707E2D-7773-4720-9C8C-2178003E64EC}"/>
            </a:ext>
          </a:extLst>
        </xdr:cNvPr>
        <xdr:cNvSpPr/>
      </xdr:nvSpPr>
      <xdr:spPr>
        <a:xfrm>
          <a:off x="5025571" y="209447"/>
          <a:ext cx="10812484" cy="1103489"/>
        </a:xfrm>
        <a:prstGeom prst="roundRect">
          <a:avLst>
            <a:gd name="adj" fmla="val 11614"/>
          </a:avLst>
        </a:prstGeom>
        <a:solidFill>
          <a:srgbClr val="28323B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153789</xdr:colOff>
      <xdr:row>7</xdr:row>
      <xdr:rowOff>177712</xdr:rowOff>
    </xdr:from>
    <xdr:to>
      <xdr:col>11</xdr:col>
      <xdr:colOff>97971</xdr:colOff>
      <xdr:row>26</xdr:row>
      <xdr:rowOff>99459</xdr:rowOff>
    </xdr:to>
    <xdr:sp macro="" textlink="">
      <xdr:nvSpPr>
        <xdr:cNvPr id="8" name="Rectangle: Rounded Corners 9">
          <a:extLst>
            <a:ext uri="{FF2B5EF4-FFF2-40B4-BE49-F238E27FC236}">
              <a16:creationId xmlns:a16="http://schemas.microsoft.com/office/drawing/2014/main" id="{2687DBFD-2797-4D30-9D49-746E9B6A1089}"/>
            </a:ext>
          </a:extLst>
        </xdr:cNvPr>
        <xdr:cNvSpPr/>
      </xdr:nvSpPr>
      <xdr:spPr>
        <a:xfrm>
          <a:off x="153789" y="1473112"/>
          <a:ext cx="6649782" cy="3437833"/>
        </a:xfrm>
        <a:prstGeom prst="roundRect">
          <a:avLst>
            <a:gd name="adj" fmla="val 2165"/>
          </a:avLst>
        </a:prstGeom>
        <a:solidFill>
          <a:srgbClr val="28323B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106610</xdr:colOff>
      <xdr:row>27</xdr:row>
      <xdr:rowOff>97970</xdr:rowOff>
    </xdr:from>
    <xdr:to>
      <xdr:col>26</xdr:col>
      <xdr:colOff>27215</xdr:colOff>
      <xdr:row>46</xdr:row>
      <xdr:rowOff>9071</xdr:rowOff>
    </xdr:to>
    <xdr:sp macro="" textlink="">
      <xdr:nvSpPr>
        <xdr:cNvPr id="9" name="Rectangle: Rounded Corners 18">
          <a:extLst>
            <a:ext uri="{FF2B5EF4-FFF2-40B4-BE49-F238E27FC236}">
              <a16:creationId xmlns:a16="http://schemas.microsoft.com/office/drawing/2014/main" id="{31F0F2F3-809B-40C8-9364-4080F8B5DDF2}"/>
            </a:ext>
          </a:extLst>
        </xdr:cNvPr>
        <xdr:cNvSpPr/>
      </xdr:nvSpPr>
      <xdr:spPr>
        <a:xfrm>
          <a:off x="10469810" y="5094513"/>
          <a:ext cx="5407005" cy="3427187"/>
        </a:xfrm>
        <a:prstGeom prst="roundRect">
          <a:avLst>
            <a:gd name="adj" fmla="val 2165"/>
          </a:avLst>
        </a:prstGeom>
        <a:solidFill>
          <a:srgbClr val="28323B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210904</xdr:colOff>
      <xdr:row>8</xdr:row>
      <xdr:rowOff>32781</xdr:rowOff>
    </xdr:from>
    <xdr:to>
      <xdr:col>4</xdr:col>
      <xdr:colOff>475789</xdr:colOff>
      <xdr:row>9</xdr:row>
      <xdr:rowOff>160815</xdr:rowOff>
    </xdr:to>
    <xdr:sp macro="" textlink="">
      <xdr:nvSpPr>
        <xdr:cNvPr id="11" name="TextBox 24">
          <a:extLst>
            <a:ext uri="{FF2B5EF4-FFF2-40B4-BE49-F238E27FC236}">
              <a16:creationId xmlns:a16="http://schemas.microsoft.com/office/drawing/2014/main" id="{F5702013-2E6B-4D2A-B1BD-427D8987C1B1}"/>
            </a:ext>
          </a:extLst>
        </xdr:cNvPr>
        <xdr:cNvSpPr txBox="1"/>
      </xdr:nvSpPr>
      <xdr:spPr>
        <a:xfrm>
          <a:off x="210904" y="1513238"/>
          <a:ext cx="2703285" cy="3130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>
              <a:solidFill>
                <a:schemeClr val="bg1"/>
              </a:solidFill>
              <a:latin typeface="Montserrat" panose="00000500000000000000" pitchFamily="2" charset="0"/>
            </a:rPr>
            <a:t>Acumulado por Mês</a:t>
          </a:r>
        </a:p>
      </xdr:txBody>
    </xdr:sp>
    <xdr:clientData/>
  </xdr:twoCellAnchor>
  <xdr:twoCellAnchor>
    <xdr:from>
      <xdr:col>17</xdr:col>
      <xdr:colOff>160104</xdr:colOff>
      <xdr:row>27</xdr:row>
      <xdr:rowOff>163106</xdr:rowOff>
    </xdr:from>
    <xdr:to>
      <xdr:col>24</xdr:col>
      <xdr:colOff>67123</xdr:colOff>
      <xdr:row>29</xdr:row>
      <xdr:rowOff>77358</xdr:rowOff>
    </xdr:to>
    <xdr:sp macro="" textlink="">
      <xdr:nvSpPr>
        <xdr:cNvPr id="12" name="TextBox 29">
          <a:extLst>
            <a:ext uri="{FF2B5EF4-FFF2-40B4-BE49-F238E27FC236}">
              <a16:creationId xmlns:a16="http://schemas.microsoft.com/office/drawing/2014/main" id="{02E97910-9EE7-40A9-BAB9-232B703D5E05}"/>
            </a:ext>
          </a:extLst>
        </xdr:cNvPr>
        <xdr:cNvSpPr txBox="1"/>
      </xdr:nvSpPr>
      <xdr:spPr>
        <a:xfrm>
          <a:off x="10523304" y="5159649"/>
          <a:ext cx="4174219" cy="2843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>
              <a:solidFill>
                <a:schemeClr val="bg1"/>
              </a:solidFill>
              <a:latin typeface="Montserrat" panose="00000500000000000000" pitchFamily="2" charset="0"/>
            </a:rPr>
            <a:t>Maiores</a:t>
          </a:r>
          <a:r>
            <a:rPr lang="en-US" sz="1400" b="0" baseline="0">
              <a:solidFill>
                <a:schemeClr val="bg1"/>
              </a:solidFill>
              <a:latin typeface="Montserrat" panose="00000500000000000000" pitchFamily="2" charset="0"/>
            </a:rPr>
            <a:t> Despesas</a:t>
          </a:r>
          <a:endParaRPr lang="en-US" sz="1400" b="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11</xdr:col>
      <xdr:colOff>233086</xdr:colOff>
      <xdr:row>27</xdr:row>
      <xdr:rowOff>83113</xdr:rowOff>
    </xdr:from>
    <xdr:to>
      <xdr:col>16</xdr:col>
      <xdr:colOff>519956</xdr:colOff>
      <xdr:row>46</xdr:row>
      <xdr:rowOff>8047</xdr:rowOff>
    </xdr:to>
    <xdr:sp macro="" textlink="">
      <xdr:nvSpPr>
        <xdr:cNvPr id="13" name="Rectangle: Rounded Corners 60">
          <a:extLst>
            <a:ext uri="{FF2B5EF4-FFF2-40B4-BE49-F238E27FC236}">
              <a16:creationId xmlns:a16="http://schemas.microsoft.com/office/drawing/2014/main" id="{1F68487F-7CFF-4440-A814-6A2DB426A8BC}"/>
            </a:ext>
          </a:extLst>
        </xdr:cNvPr>
        <xdr:cNvSpPr/>
      </xdr:nvSpPr>
      <xdr:spPr>
        <a:xfrm>
          <a:off x="6938686" y="5064187"/>
          <a:ext cx="3334870" cy="3430134"/>
        </a:xfrm>
        <a:prstGeom prst="roundRect">
          <a:avLst>
            <a:gd name="adj" fmla="val 2165"/>
          </a:avLst>
        </a:prstGeom>
        <a:solidFill>
          <a:srgbClr val="28323B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166689</xdr:colOff>
      <xdr:row>1</xdr:row>
      <xdr:rowOff>24203</xdr:rowOff>
    </xdr:from>
    <xdr:to>
      <xdr:col>8</xdr:col>
      <xdr:colOff>54429</xdr:colOff>
      <xdr:row>7</xdr:row>
      <xdr:rowOff>8958</xdr:rowOff>
    </xdr:to>
    <xdr:sp macro="" textlink="">
      <xdr:nvSpPr>
        <xdr:cNvPr id="15" name="Rectangle: Rounded Corners 69">
          <a:extLst>
            <a:ext uri="{FF2B5EF4-FFF2-40B4-BE49-F238E27FC236}">
              <a16:creationId xmlns:a16="http://schemas.microsoft.com/office/drawing/2014/main" id="{444548BF-5657-4FA1-82AB-136CF68D42DA}"/>
            </a:ext>
          </a:extLst>
        </xdr:cNvPr>
        <xdr:cNvSpPr/>
      </xdr:nvSpPr>
      <xdr:spPr>
        <a:xfrm>
          <a:off x="166689" y="209260"/>
          <a:ext cx="4764540" cy="1095098"/>
        </a:xfrm>
        <a:prstGeom prst="roundRect">
          <a:avLst>
            <a:gd name="adj" fmla="val 11614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272589</xdr:colOff>
      <xdr:row>27</xdr:row>
      <xdr:rowOff>102052</xdr:rowOff>
    </xdr:from>
    <xdr:to>
      <xdr:col>15</xdr:col>
      <xdr:colOff>535660</xdr:colOff>
      <xdr:row>29</xdr:row>
      <xdr:rowOff>33288</xdr:rowOff>
    </xdr:to>
    <xdr:sp macro="" textlink="">
      <xdr:nvSpPr>
        <xdr:cNvPr id="22" name="TextBox 76">
          <a:extLst>
            <a:ext uri="{FF2B5EF4-FFF2-40B4-BE49-F238E27FC236}">
              <a16:creationId xmlns:a16="http://schemas.microsoft.com/office/drawing/2014/main" id="{4703E965-7B62-4F3C-A1B7-844836E501FF}"/>
            </a:ext>
          </a:extLst>
        </xdr:cNvPr>
        <xdr:cNvSpPr txBox="1"/>
      </xdr:nvSpPr>
      <xdr:spPr>
        <a:xfrm>
          <a:off x="6978189" y="4942993"/>
          <a:ext cx="2701471" cy="2898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>
              <a:solidFill>
                <a:schemeClr val="bg1"/>
              </a:solidFill>
              <a:latin typeface="Montserrat" panose="00000500000000000000" pitchFamily="2" charset="0"/>
            </a:rPr>
            <a:t>Receitas</a:t>
          </a:r>
          <a:r>
            <a:rPr lang="en-US" sz="1400" b="0" baseline="0">
              <a:solidFill>
                <a:schemeClr val="bg1"/>
              </a:solidFill>
              <a:latin typeface="Montserrat" panose="00000500000000000000" pitchFamily="2" charset="0"/>
            </a:rPr>
            <a:t> por Banco</a:t>
          </a:r>
          <a:endParaRPr lang="en-US" sz="1400" b="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221673</xdr:colOff>
      <xdr:row>10</xdr:row>
      <xdr:rowOff>175164</xdr:rowOff>
    </xdr:from>
    <xdr:to>
      <xdr:col>11</xdr:col>
      <xdr:colOff>0</xdr:colOff>
      <xdr:row>26</xdr:row>
      <xdr:rowOff>31671</xdr:rowOff>
    </xdr:to>
    <xdr:graphicFrame macro="">
      <xdr:nvGraphicFramePr>
        <xdr:cNvPr id="46" name="Gráfico 45">
          <a:extLst>
            <a:ext uri="{FF2B5EF4-FFF2-40B4-BE49-F238E27FC236}">
              <a16:creationId xmlns:a16="http://schemas.microsoft.com/office/drawing/2014/main" id="{7944BADF-BCD7-4917-A17A-3397D0B4E2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296141</xdr:colOff>
      <xdr:row>29</xdr:row>
      <xdr:rowOff>136813</xdr:rowOff>
    </xdr:from>
    <xdr:to>
      <xdr:col>16</xdr:col>
      <xdr:colOff>400050</xdr:colOff>
      <xdr:row>45</xdr:row>
      <xdr:rowOff>130628</xdr:rowOff>
    </xdr:to>
    <xdr:graphicFrame macro="">
      <xdr:nvGraphicFramePr>
        <xdr:cNvPr id="48" name="Gráfico 47">
          <a:extLst>
            <a:ext uri="{FF2B5EF4-FFF2-40B4-BE49-F238E27FC236}">
              <a16:creationId xmlns:a16="http://schemas.microsoft.com/office/drawing/2014/main" id="{7412776D-AA6C-4BD9-BF56-171E99D714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244186</xdr:colOff>
      <xdr:row>29</xdr:row>
      <xdr:rowOff>141513</xdr:rowOff>
    </xdr:from>
    <xdr:to>
      <xdr:col>25</xdr:col>
      <xdr:colOff>514350</xdr:colOff>
      <xdr:row>45</xdr:row>
      <xdr:rowOff>105640</xdr:rowOff>
    </xdr:to>
    <xdr:graphicFrame macro="">
      <xdr:nvGraphicFramePr>
        <xdr:cNvPr id="50" name="Gráfico 49">
          <a:extLst>
            <a:ext uri="{FF2B5EF4-FFF2-40B4-BE49-F238E27FC236}">
              <a16:creationId xmlns:a16="http://schemas.microsoft.com/office/drawing/2014/main" id="{6DA68D2C-2384-4EAA-AB0E-75CF33A8FA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400731</xdr:colOff>
      <xdr:row>27</xdr:row>
      <xdr:rowOff>83113</xdr:rowOff>
    </xdr:from>
    <xdr:to>
      <xdr:col>11</xdr:col>
      <xdr:colOff>78001</xdr:colOff>
      <xdr:row>46</xdr:row>
      <xdr:rowOff>8047</xdr:rowOff>
    </xdr:to>
    <xdr:sp macro="" textlink="">
      <xdr:nvSpPr>
        <xdr:cNvPr id="52" name="Rectangle: Rounded Corners 60">
          <a:extLst>
            <a:ext uri="{FF2B5EF4-FFF2-40B4-BE49-F238E27FC236}">
              <a16:creationId xmlns:a16="http://schemas.microsoft.com/office/drawing/2014/main" id="{795FE522-F378-4FC9-A0F9-852CADD6591E}"/>
            </a:ext>
          </a:extLst>
        </xdr:cNvPr>
        <xdr:cNvSpPr/>
      </xdr:nvSpPr>
      <xdr:spPr>
        <a:xfrm>
          <a:off x="3448731" y="5064187"/>
          <a:ext cx="3334870" cy="3430134"/>
        </a:xfrm>
        <a:prstGeom prst="roundRect">
          <a:avLst>
            <a:gd name="adj" fmla="val 2165"/>
          </a:avLst>
        </a:prstGeom>
        <a:solidFill>
          <a:srgbClr val="28323B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149575</xdr:colOff>
      <xdr:row>27</xdr:row>
      <xdr:rowOff>83113</xdr:rowOff>
    </xdr:from>
    <xdr:to>
      <xdr:col>5</xdr:col>
      <xdr:colOff>273312</xdr:colOff>
      <xdr:row>46</xdr:row>
      <xdr:rowOff>8047</xdr:rowOff>
    </xdr:to>
    <xdr:sp macro="" textlink="">
      <xdr:nvSpPr>
        <xdr:cNvPr id="53" name="Rectangle: Rounded Corners 60">
          <a:extLst>
            <a:ext uri="{FF2B5EF4-FFF2-40B4-BE49-F238E27FC236}">
              <a16:creationId xmlns:a16="http://schemas.microsoft.com/office/drawing/2014/main" id="{04D1B820-B0E0-4DF3-ABF4-870D29B377E3}"/>
            </a:ext>
          </a:extLst>
        </xdr:cNvPr>
        <xdr:cNvSpPr/>
      </xdr:nvSpPr>
      <xdr:spPr>
        <a:xfrm>
          <a:off x="149575" y="4969438"/>
          <a:ext cx="3171737" cy="3363459"/>
        </a:xfrm>
        <a:prstGeom prst="roundRect">
          <a:avLst>
            <a:gd name="adj" fmla="val 2165"/>
          </a:avLst>
        </a:prstGeom>
        <a:solidFill>
          <a:srgbClr val="28323B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199733</xdr:colOff>
      <xdr:row>27</xdr:row>
      <xdr:rowOff>96607</xdr:rowOff>
    </xdr:from>
    <xdr:to>
      <xdr:col>4</xdr:col>
      <xdr:colOff>464618</xdr:colOff>
      <xdr:row>29</xdr:row>
      <xdr:rowOff>38733</xdr:rowOff>
    </xdr:to>
    <xdr:sp macro="" textlink="">
      <xdr:nvSpPr>
        <xdr:cNvPr id="25" name="TextBox 105">
          <a:extLst>
            <a:ext uri="{FF2B5EF4-FFF2-40B4-BE49-F238E27FC236}">
              <a16:creationId xmlns:a16="http://schemas.microsoft.com/office/drawing/2014/main" id="{0C662F8E-6E2E-4BFE-8B78-E7CDA0ABEBAD}"/>
            </a:ext>
          </a:extLst>
        </xdr:cNvPr>
        <xdr:cNvSpPr txBox="1"/>
      </xdr:nvSpPr>
      <xdr:spPr>
        <a:xfrm>
          <a:off x="199733" y="4937548"/>
          <a:ext cx="2703285" cy="3007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>
              <a:solidFill>
                <a:schemeClr val="bg1"/>
              </a:solidFill>
              <a:latin typeface="Montserrat" panose="00000500000000000000" pitchFamily="2" charset="0"/>
            </a:rPr>
            <a:t>Despesas por Banco</a:t>
          </a:r>
        </a:p>
      </xdr:txBody>
    </xdr:sp>
    <xdr:clientData/>
  </xdr:twoCellAnchor>
  <xdr:twoCellAnchor>
    <xdr:from>
      <xdr:col>5</xdr:col>
      <xdr:colOff>427626</xdr:colOff>
      <xdr:row>27</xdr:row>
      <xdr:rowOff>96607</xdr:rowOff>
    </xdr:from>
    <xdr:to>
      <xdr:col>10</xdr:col>
      <xdr:colOff>82911</xdr:colOff>
      <xdr:row>29</xdr:row>
      <xdr:rowOff>38733</xdr:rowOff>
    </xdr:to>
    <xdr:sp macro="" textlink="">
      <xdr:nvSpPr>
        <xdr:cNvPr id="54" name="TextBox 105">
          <a:extLst>
            <a:ext uri="{FF2B5EF4-FFF2-40B4-BE49-F238E27FC236}">
              <a16:creationId xmlns:a16="http://schemas.microsoft.com/office/drawing/2014/main" id="{C9A8FDE3-ABCC-43B1-B3FA-0C0BAA6E4C24}"/>
            </a:ext>
          </a:extLst>
        </xdr:cNvPr>
        <xdr:cNvSpPr txBox="1"/>
      </xdr:nvSpPr>
      <xdr:spPr>
        <a:xfrm>
          <a:off x="3475626" y="4937548"/>
          <a:ext cx="2703285" cy="3007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>
              <a:solidFill>
                <a:schemeClr val="bg1"/>
              </a:solidFill>
              <a:latin typeface="Montserrat" panose="00000500000000000000" pitchFamily="2" charset="0"/>
            </a:rPr>
            <a:t>Receita</a:t>
          </a:r>
          <a:r>
            <a:rPr lang="en-US" sz="1400" b="0" baseline="0">
              <a:solidFill>
                <a:schemeClr val="bg1"/>
              </a:solidFill>
              <a:latin typeface="Montserrat" panose="00000500000000000000" pitchFamily="2" charset="0"/>
            </a:rPr>
            <a:t> por Classificação</a:t>
          </a:r>
          <a:endParaRPr lang="en-US" sz="1400" b="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239602</xdr:colOff>
      <xdr:row>29</xdr:row>
      <xdr:rowOff>107578</xdr:rowOff>
    </xdr:from>
    <xdr:to>
      <xdr:col>5</xdr:col>
      <xdr:colOff>107576</xdr:colOff>
      <xdr:row>45</xdr:row>
      <xdr:rowOff>143436</xdr:rowOff>
    </xdr:to>
    <xdr:graphicFrame macro="">
      <xdr:nvGraphicFramePr>
        <xdr:cNvPr id="49" name="Gráfico 48">
          <a:extLst>
            <a:ext uri="{FF2B5EF4-FFF2-40B4-BE49-F238E27FC236}">
              <a16:creationId xmlns:a16="http://schemas.microsoft.com/office/drawing/2014/main" id="{4C812988-A090-4B39-A492-18609E26D1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454478</xdr:colOff>
      <xdr:row>29</xdr:row>
      <xdr:rowOff>133350</xdr:rowOff>
    </xdr:from>
    <xdr:to>
      <xdr:col>11</xdr:col>
      <xdr:colOff>16328</xdr:colOff>
      <xdr:row>45</xdr:row>
      <xdr:rowOff>152400</xdr:rowOff>
    </xdr:to>
    <xdr:graphicFrame macro="">
      <xdr:nvGraphicFramePr>
        <xdr:cNvPr id="51" name="Gráfico 50">
          <a:extLst>
            <a:ext uri="{FF2B5EF4-FFF2-40B4-BE49-F238E27FC236}">
              <a16:creationId xmlns:a16="http://schemas.microsoft.com/office/drawing/2014/main" id="{67F29E70-AEA5-43F6-B241-5BAFCDF581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250371</xdr:colOff>
      <xdr:row>7</xdr:row>
      <xdr:rowOff>185056</xdr:rowOff>
    </xdr:from>
    <xdr:to>
      <xdr:col>26</xdr:col>
      <xdr:colOff>27648</xdr:colOff>
      <xdr:row>26</xdr:row>
      <xdr:rowOff>96157</xdr:rowOff>
    </xdr:to>
    <xdr:sp macro="" textlink="">
      <xdr:nvSpPr>
        <xdr:cNvPr id="55" name="Rectangle: Rounded Corners 18">
          <a:extLst>
            <a:ext uri="{FF2B5EF4-FFF2-40B4-BE49-F238E27FC236}">
              <a16:creationId xmlns:a16="http://schemas.microsoft.com/office/drawing/2014/main" id="{200200D6-515E-4B7B-B344-F23ED1229F81}"/>
            </a:ext>
          </a:extLst>
        </xdr:cNvPr>
        <xdr:cNvSpPr/>
      </xdr:nvSpPr>
      <xdr:spPr>
        <a:xfrm>
          <a:off x="6955971" y="1480456"/>
          <a:ext cx="8921277" cy="3427187"/>
        </a:xfrm>
        <a:prstGeom prst="roundRect">
          <a:avLst>
            <a:gd name="adj" fmla="val 2165"/>
          </a:avLst>
        </a:prstGeom>
        <a:solidFill>
          <a:srgbClr val="28323B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359229</xdr:colOff>
      <xdr:row>10</xdr:row>
      <xdr:rowOff>152403</xdr:rowOff>
    </xdr:from>
    <xdr:to>
      <xdr:col>25</xdr:col>
      <xdr:colOff>576943</xdr:colOff>
      <xdr:row>26</xdr:row>
      <xdr:rowOff>8908</xdr:rowOff>
    </xdr:to>
    <xdr:graphicFrame macro="">
      <xdr:nvGraphicFramePr>
        <xdr:cNvPr id="47" name="Gráfico 46">
          <a:extLst>
            <a:ext uri="{FF2B5EF4-FFF2-40B4-BE49-F238E27FC236}">
              <a16:creationId xmlns:a16="http://schemas.microsoft.com/office/drawing/2014/main" id="{0C93A6C4-7355-4A95-A45D-7FF93FFDDD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8</xdr:col>
      <xdr:colOff>315685</xdr:colOff>
      <xdr:row>1</xdr:row>
      <xdr:rowOff>88495</xdr:rowOff>
    </xdr:from>
    <xdr:to>
      <xdr:col>25</xdr:col>
      <xdr:colOff>522513</xdr:colOff>
      <xdr:row>6</xdr:row>
      <xdr:rowOff>24269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56" name="Data">
              <a:extLst>
                <a:ext uri="{FF2B5EF4-FFF2-40B4-BE49-F238E27FC236}">
                  <a16:creationId xmlns:a16="http://schemas.microsoft.com/office/drawing/2014/main" id="{0635A96D-F041-441C-A076-265245D1BD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92485" y="273552"/>
              <a:ext cx="10570028" cy="8610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  <xdr:twoCellAnchor>
    <xdr:from>
      <xdr:col>11</xdr:col>
      <xdr:colOff>241406</xdr:colOff>
      <xdr:row>8</xdr:row>
      <xdr:rowOff>28814</xdr:rowOff>
    </xdr:from>
    <xdr:to>
      <xdr:col>15</xdr:col>
      <xdr:colOff>506291</xdr:colOff>
      <xdr:row>9</xdr:row>
      <xdr:rowOff>151085</xdr:rowOff>
    </xdr:to>
    <xdr:sp macro="" textlink="">
      <xdr:nvSpPr>
        <xdr:cNvPr id="57" name="TextBox 24">
          <a:extLst>
            <a:ext uri="{FF2B5EF4-FFF2-40B4-BE49-F238E27FC236}">
              <a16:creationId xmlns:a16="http://schemas.microsoft.com/office/drawing/2014/main" id="{CEC6F06C-B064-49D8-8A84-B586A86DB7AF}"/>
            </a:ext>
          </a:extLst>
        </xdr:cNvPr>
        <xdr:cNvSpPr txBox="1"/>
      </xdr:nvSpPr>
      <xdr:spPr>
        <a:xfrm>
          <a:off x="6947006" y="1509271"/>
          <a:ext cx="2703285" cy="3073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>
              <a:solidFill>
                <a:schemeClr val="bg1"/>
              </a:solidFill>
              <a:latin typeface="Montserrat" panose="00000500000000000000" pitchFamily="2" charset="0"/>
            </a:rPr>
            <a:t>Despesas por Mês</a:t>
          </a:r>
        </a:p>
      </xdr:txBody>
    </xdr:sp>
    <xdr:clientData/>
  </xdr:twoCellAnchor>
  <xdr:twoCellAnchor>
    <xdr:from>
      <xdr:col>0</xdr:col>
      <xdr:colOff>297317</xdr:colOff>
      <xdr:row>2</xdr:row>
      <xdr:rowOff>133061</xdr:rowOff>
    </xdr:from>
    <xdr:to>
      <xdr:col>7</xdr:col>
      <xdr:colOff>424542</xdr:colOff>
      <xdr:row>5</xdr:row>
      <xdr:rowOff>65315</xdr:rowOff>
    </xdr:to>
    <xdr:sp macro="" textlink="">
      <xdr:nvSpPr>
        <xdr:cNvPr id="58" name="TextBox 24">
          <a:extLst>
            <a:ext uri="{FF2B5EF4-FFF2-40B4-BE49-F238E27FC236}">
              <a16:creationId xmlns:a16="http://schemas.microsoft.com/office/drawing/2014/main" id="{E5F5F245-1B38-482C-BE04-7B08EEDBB245}"/>
            </a:ext>
          </a:extLst>
        </xdr:cNvPr>
        <xdr:cNvSpPr txBox="1"/>
      </xdr:nvSpPr>
      <xdr:spPr>
        <a:xfrm>
          <a:off x="297317" y="503175"/>
          <a:ext cx="4394425" cy="4874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800" b="1">
              <a:solidFill>
                <a:schemeClr val="tx1"/>
              </a:solidFill>
              <a:latin typeface="Montserrat" panose="00000500000000000000" pitchFamily="2" charset="0"/>
            </a:rPr>
            <a:t>Orçamento Familiar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fredo Araujo" refreshedDate="45061.662700925925" createdVersion="8" refreshedVersion="8" minRefreshableVersion="3" recordCount="52" xr:uid="{A67F11D1-B1C5-4CB2-923A-3145B3B85D3A}">
  <cacheSource type="worksheet">
    <worksheetSource name="Tabela1"/>
  </cacheSource>
  <cacheFields count="12">
    <cacheField name="Data" numFmtId="14">
      <sharedItems containsSemiMixedTypes="0" containsNonDate="0" containsDate="1" containsString="0" minDate="2022-05-15T00:00:00" maxDate="2023-08-28T00:00:00" count="51"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6-15T00:00:00"/>
        <d v="2022-06-18T00:00:00"/>
        <d v="2022-06-21T00:00:00"/>
        <d v="2022-06-24T00:00:00"/>
        <d v="2022-07-16T00:00:00"/>
        <d v="2022-07-19T00:00:00"/>
        <d v="2022-07-22T00:00:00"/>
        <d v="2022-07-25T00:00:00"/>
        <d v="2022-08-17T00:00:00"/>
        <d v="2022-08-20T00:00:00"/>
        <d v="2022-08-23T00:00:00"/>
        <d v="2022-08-26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6-15T00:00:00"/>
        <d v="2023-06-18T00:00:00"/>
        <d v="2023-06-21T00:00:00"/>
        <d v="2023-06-24T00:00:00"/>
        <d v="2023-07-16T00:00:00"/>
        <d v="2023-07-19T00:00:00"/>
        <d v="2023-07-22T00:00:00"/>
        <d v="2023-07-25T00:00:00"/>
        <d v="2023-08-17T00:00:00"/>
        <d v="2023-08-20T00:00:00"/>
        <d v="2023-08-23T00:00:00"/>
        <d v="2023-08-26T00:00:00"/>
        <d v="2023-08-27T00:00:00"/>
      </sharedItems>
      <fieldGroup par="11"/>
    </cacheField>
    <cacheField name="Classificação" numFmtId="0">
      <sharedItems count="8">
        <s v="Renda_Familiar"/>
        <s v="Receitas_Financeiras"/>
        <s v="Outras_Receitas"/>
        <s v="Moradia"/>
        <s v="Lazer"/>
        <s v="Saúde"/>
        <s v="Transporte"/>
        <s v="Alimentação"/>
      </sharedItems>
    </cacheField>
    <cacheField name="Tipo" numFmtId="0">
      <sharedItems count="2">
        <s v="Receita"/>
        <s v="Despesa"/>
      </sharedItems>
    </cacheField>
    <cacheField name="Movimento" numFmtId="0">
      <sharedItems count="14">
        <s v="Salários"/>
        <s v="Poupança"/>
        <s v="Aluguel de Imóveis"/>
        <s v="Telefone / internet"/>
        <s v="Restaurantes"/>
        <s v="Consulta com médicos"/>
        <s v="Transporte por app"/>
        <s v="Academia"/>
        <s v="Padaria"/>
        <s v="Exames"/>
        <s v="IPVA"/>
        <s v="Teatro"/>
        <s v="Hortifruti"/>
        <s v="Ações"/>
      </sharedItems>
    </cacheField>
    <cacheField name="Descrição" numFmtId="0">
      <sharedItems/>
    </cacheField>
    <cacheField name="Banco" numFmtId="0">
      <sharedItems count="4">
        <s v="Banco Santo André"/>
        <s v="Banco Refresco"/>
        <s v="Banco Utaí"/>
        <s v="Caixa"/>
      </sharedItems>
    </cacheField>
    <cacheField name="Valor" numFmtId="44">
      <sharedItems containsSemiMixedTypes="0" containsString="0" containsNumber="1" containsInteger="1" minValue="-400" maxValue="5000"/>
    </cacheField>
    <cacheField name="Acumulado" numFmtId="44">
      <sharedItems containsSemiMixedTypes="0" containsString="0" containsNumber="1" containsInteger="1" minValue="5000" maxValue="23090"/>
    </cacheField>
    <cacheField name="Valor Absoluto" numFmtId="0" formula="ABS(Valor)" databaseField="0"/>
    <cacheField name="Dias (Data)" numFmtId="0" databaseField="0">
      <fieldGroup base="0">
        <rangePr groupBy="days" startDate="2022-05-15T00:00:00" endDate="2023-08-28T00:00:00"/>
        <groupItems count="368">
          <s v="&lt;15/05/2022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28/08/2023"/>
        </groupItems>
      </fieldGroup>
    </cacheField>
    <cacheField name="Meses (Data)" numFmtId="0" databaseField="0">
      <fieldGroup base="0">
        <rangePr groupBy="months" startDate="2022-05-15T00:00:00" endDate="2023-08-28T00:00:00"/>
        <groupItems count="14">
          <s v="&lt;15/05/2022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8/08/2023"/>
        </groupItems>
      </fieldGroup>
    </cacheField>
    <cacheField name="Anos (Data)" numFmtId="0" databaseField="0">
      <fieldGroup base="0">
        <rangePr groupBy="years" startDate="2022-05-15T00:00:00" endDate="2023-08-28T00:00:00"/>
        <groupItems count="4">
          <s v="&lt;15/05/2022"/>
          <s v="2022"/>
          <s v="2023"/>
          <s v="&gt;28/08/2023"/>
        </groupItems>
      </fieldGroup>
    </cacheField>
  </cacheFields>
  <extLst>
    <ext xmlns:x14="http://schemas.microsoft.com/office/spreadsheetml/2009/9/main" uri="{725AE2AE-9491-48be-B2B4-4EB974FC3084}">
      <x14:pivotCacheDefinition pivotCacheId="11735260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x v="0"/>
    <x v="0"/>
    <x v="0"/>
    <x v="0"/>
    <s v="Salário Maio"/>
    <x v="0"/>
    <n v="5000"/>
    <n v="5000"/>
  </r>
  <r>
    <x v="1"/>
    <x v="1"/>
    <x v="0"/>
    <x v="1"/>
    <s v="Dividendos Petrobrás"/>
    <x v="1"/>
    <n v="200"/>
    <n v="5200"/>
  </r>
  <r>
    <x v="2"/>
    <x v="2"/>
    <x v="0"/>
    <x v="2"/>
    <s v="Aluguel Maio"/>
    <x v="0"/>
    <n v="2000"/>
    <n v="7200"/>
  </r>
  <r>
    <x v="3"/>
    <x v="3"/>
    <x v="1"/>
    <x v="3"/>
    <s v="Celular Filho"/>
    <x v="0"/>
    <n v="-80"/>
    <n v="7120"/>
  </r>
  <r>
    <x v="4"/>
    <x v="4"/>
    <x v="1"/>
    <x v="4"/>
    <s v="Jantar sábado"/>
    <x v="2"/>
    <n v="-300"/>
    <n v="6820"/>
  </r>
  <r>
    <x v="5"/>
    <x v="5"/>
    <x v="1"/>
    <x v="5"/>
    <s v="Médico Mãe"/>
    <x v="1"/>
    <n v="-250"/>
    <n v="6570"/>
  </r>
  <r>
    <x v="6"/>
    <x v="6"/>
    <x v="1"/>
    <x v="6"/>
    <s v="Corrida para mercado"/>
    <x v="3"/>
    <n v="-15"/>
    <n v="6555"/>
  </r>
  <r>
    <x v="7"/>
    <x v="4"/>
    <x v="1"/>
    <x v="7"/>
    <s v="Mensalidade Maio"/>
    <x v="1"/>
    <n v="-140"/>
    <n v="6415"/>
  </r>
  <r>
    <x v="8"/>
    <x v="7"/>
    <x v="1"/>
    <x v="8"/>
    <s v="Pão doce"/>
    <x v="3"/>
    <n v="-20"/>
    <n v="6395"/>
  </r>
  <r>
    <x v="9"/>
    <x v="5"/>
    <x v="1"/>
    <x v="9"/>
    <s v="Exame de sangue"/>
    <x v="0"/>
    <n v="-120"/>
    <n v="6275"/>
  </r>
  <r>
    <x v="10"/>
    <x v="6"/>
    <x v="1"/>
    <x v="10"/>
    <s v="IPVA Maio"/>
    <x v="0"/>
    <n v="-400"/>
    <n v="5875"/>
  </r>
  <r>
    <x v="11"/>
    <x v="4"/>
    <x v="1"/>
    <x v="11"/>
    <s v="Teatro Domingo"/>
    <x v="2"/>
    <n v="-200"/>
    <n v="5675"/>
  </r>
  <r>
    <x v="12"/>
    <x v="7"/>
    <x v="1"/>
    <x v="12"/>
    <s v="Legumes"/>
    <x v="3"/>
    <n v="-40"/>
    <n v="5635"/>
  </r>
  <r>
    <x v="13"/>
    <x v="0"/>
    <x v="0"/>
    <x v="0"/>
    <s v="Salário Maio"/>
    <x v="2"/>
    <n v="5000"/>
    <n v="10635"/>
  </r>
  <r>
    <x v="14"/>
    <x v="3"/>
    <x v="1"/>
    <x v="3"/>
    <s v="Celular Filho"/>
    <x v="0"/>
    <n v="-80"/>
    <n v="10555"/>
  </r>
  <r>
    <x v="15"/>
    <x v="6"/>
    <x v="1"/>
    <x v="6"/>
    <s v="Corrida para mercado"/>
    <x v="3"/>
    <n v="-15"/>
    <n v="10540"/>
  </r>
  <r>
    <x v="16"/>
    <x v="5"/>
    <x v="1"/>
    <x v="9"/>
    <s v="Exame de sangue"/>
    <x v="0"/>
    <n v="-120"/>
    <n v="10420"/>
  </r>
  <r>
    <x v="17"/>
    <x v="1"/>
    <x v="0"/>
    <x v="13"/>
    <s v="Dividendos Petrobrás"/>
    <x v="2"/>
    <n v="200"/>
    <n v="10620"/>
  </r>
  <r>
    <x v="18"/>
    <x v="7"/>
    <x v="1"/>
    <x v="4"/>
    <s v="Jantar sábado"/>
    <x v="2"/>
    <n v="-300"/>
    <n v="10320"/>
  </r>
  <r>
    <x v="19"/>
    <x v="4"/>
    <x v="1"/>
    <x v="7"/>
    <s v="Mensalidade Maio"/>
    <x v="1"/>
    <n v="-140"/>
    <n v="10180"/>
  </r>
  <r>
    <x v="20"/>
    <x v="6"/>
    <x v="1"/>
    <x v="10"/>
    <s v="IPVA Maio"/>
    <x v="0"/>
    <n v="-400"/>
    <n v="9780"/>
  </r>
  <r>
    <x v="21"/>
    <x v="2"/>
    <x v="0"/>
    <x v="2"/>
    <s v="Aluguel Maio"/>
    <x v="0"/>
    <n v="2000"/>
    <n v="11780"/>
  </r>
  <r>
    <x v="22"/>
    <x v="5"/>
    <x v="1"/>
    <x v="5"/>
    <s v="Médico Mãe"/>
    <x v="1"/>
    <n v="-250"/>
    <n v="11530"/>
  </r>
  <r>
    <x v="23"/>
    <x v="7"/>
    <x v="1"/>
    <x v="8"/>
    <s v="Pão doce"/>
    <x v="3"/>
    <n v="-20"/>
    <n v="11510"/>
  </r>
  <r>
    <x v="24"/>
    <x v="4"/>
    <x v="1"/>
    <x v="11"/>
    <s v="Teatro Domingo"/>
    <x v="2"/>
    <n v="-200"/>
    <n v="11310"/>
  </r>
  <r>
    <x v="25"/>
    <x v="0"/>
    <x v="0"/>
    <x v="0"/>
    <s v="Salário Maio"/>
    <x v="0"/>
    <n v="5000"/>
    <n v="16310"/>
  </r>
  <r>
    <x v="26"/>
    <x v="1"/>
    <x v="0"/>
    <x v="13"/>
    <s v="Dividendos Petrobrás"/>
    <x v="1"/>
    <n v="200"/>
    <n v="16510"/>
  </r>
  <r>
    <x v="27"/>
    <x v="2"/>
    <x v="0"/>
    <x v="2"/>
    <s v="Aluguel Maio"/>
    <x v="0"/>
    <n v="2000"/>
    <n v="18510"/>
  </r>
  <r>
    <x v="28"/>
    <x v="3"/>
    <x v="1"/>
    <x v="3"/>
    <s v="Celular Filho"/>
    <x v="0"/>
    <n v="-80"/>
    <n v="18430"/>
  </r>
  <r>
    <x v="29"/>
    <x v="7"/>
    <x v="1"/>
    <x v="4"/>
    <s v="Jantar sábado"/>
    <x v="2"/>
    <n v="-300"/>
    <n v="18130"/>
  </r>
  <r>
    <x v="30"/>
    <x v="5"/>
    <x v="1"/>
    <x v="5"/>
    <s v="Médico Mãe"/>
    <x v="1"/>
    <n v="-250"/>
    <n v="17880"/>
  </r>
  <r>
    <x v="31"/>
    <x v="6"/>
    <x v="1"/>
    <x v="6"/>
    <s v="Corrida para mercado"/>
    <x v="3"/>
    <n v="-15"/>
    <n v="17865"/>
  </r>
  <r>
    <x v="32"/>
    <x v="4"/>
    <x v="1"/>
    <x v="7"/>
    <s v="Mensalidade Maio"/>
    <x v="1"/>
    <n v="-140"/>
    <n v="17725"/>
  </r>
  <r>
    <x v="33"/>
    <x v="7"/>
    <x v="1"/>
    <x v="8"/>
    <s v="Pão doce"/>
    <x v="3"/>
    <n v="-20"/>
    <n v="17705"/>
  </r>
  <r>
    <x v="34"/>
    <x v="5"/>
    <x v="1"/>
    <x v="9"/>
    <s v="Exame de sangue"/>
    <x v="0"/>
    <n v="-120"/>
    <n v="17585"/>
  </r>
  <r>
    <x v="35"/>
    <x v="6"/>
    <x v="1"/>
    <x v="10"/>
    <s v="IPVA Maio"/>
    <x v="0"/>
    <n v="-400"/>
    <n v="17185"/>
  </r>
  <r>
    <x v="36"/>
    <x v="4"/>
    <x v="1"/>
    <x v="11"/>
    <s v="Teatro Domingo"/>
    <x v="2"/>
    <n v="-200"/>
    <n v="16985"/>
  </r>
  <r>
    <x v="37"/>
    <x v="7"/>
    <x v="1"/>
    <x v="12"/>
    <s v="Legumes"/>
    <x v="3"/>
    <n v="-40"/>
    <n v="16945"/>
  </r>
  <r>
    <x v="38"/>
    <x v="0"/>
    <x v="0"/>
    <x v="0"/>
    <s v="Salário Maio"/>
    <x v="2"/>
    <n v="5000"/>
    <n v="21945"/>
  </r>
  <r>
    <x v="39"/>
    <x v="3"/>
    <x v="1"/>
    <x v="3"/>
    <s v="Celular Filho"/>
    <x v="0"/>
    <n v="-80"/>
    <n v="21865"/>
  </r>
  <r>
    <x v="40"/>
    <x v="6"/>
    <x v="1"/>
    <x v="6"/>
    <s v="Corrida para mercado"/>
    <x v="3"/>
    <n v="-15"/>
    <n v="21850"/>
  </r>
  <r>
    <x v="41"/>
    <x v="5"/>
    <x v="1"/>
    <x v="9"/>
    <s v="Exame de sangue"/>
    <x v="0"/>
    <n v="-120"/>
    <n v="21730"/>
  </r>
  <r>
    <x v="42"/>
    <x v="1"/>
    <x v="0"/>
    <x v="13"/>
    <s v="Dividendos Petrobrás"/>
    <x v="2"/>
    <n v="200"/>
    <n v="21930"/>
  </r>
  <r>
    <x v="43"/>
    <x v="7"/>
    <x v="1"/>
    <x v="4"/>
    <s v="Jantar sábado"/>
    <x v="2"/>
    <n v="-300"/>
    <n v="21630"/>
  </r>
  <r>
    <x v="44"/>
    <x v="4"/>
    <x v="1"/>
    <x v="7"/>
    <s v="Mensalidade Maio"/>
    <x v="1"/>
    <n v="-140"/>
    <n v="21490"/>
  </r>
  <r>
    <x v="45"/>
    <x v="6"/>
    <x v="1"/>
    <x v="10"/>
    <s v="IPVA Maio"/>
    <x v="0"/>
    <n v="-400"/>
    <n v="21090"/>
  </r>
  <r>
    <x v="46"/>
    <x v="2"/>
    <x v="0"/>
    <x v="2"/>
    <s v="Aluguel Maio"/>
    <x v="0"/>
    <n v="2000"/>
    <n v="23090"/>
  </r>
  <r>
    <x v="47"/>
    <x v="5"/>
    <x v="1"/>
    <x v="5"/>
    <s v="Médico Mãe"/>
    <x v="1"/>
    <n v="-250"/>
    <n v="22840"/>
  </r>
  <r>
    <x v="48"/>
    <x v="7"/>
    <x v="1"/>
    <x v="8"/>
    <s v="Pão doce"/>
    <x v="3"/>
    <n v="-20"/>
    <n v="22820"/>
  </r>
  <r>
    <x v="49"/>
    <x v="4"/>
    <x v="1"/>
    <x v="11"/>
    <s v="Teatro Domingo"/>
    <x v="2"/>
    <n v="-200"/>
    <n v="22620"/>
  </r>
  <r>
    <x v="50"/>
    <x v="7"/>
    <x v="1"/>
    <x v="12"/>
    <s v="Legumes"/>
    <x v="3"/>
    <n v="-40"/>
    <n v="22580"/>
  </r>
  <r>
    <x v="50"/>
    <x v="7"/>
    <x v="1"/>
    <x v="12"/>
    <s v="Legumes"/>
    <x v="3"/>
    <n v="-40"/>
    <n v="225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26249E-15AA-4E74-83EA-D690A164E981}" name="Tabela dinâmica2" cacheId="8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6">
  <location ref="D3:J9" firstHeaderRow="1" firstDataRow="2" firstDataCol="1" rowPageCount="1" colPageCount="1"/>
  <pivotFields count="12">
    <pivotField numFmtId="14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axis="axisCol" showAll="0">
      <items count="9">
        <item x="7"/>
        <item x="4"/>
        <item x="3"/>
        <item x="2"/>
        <item x="1"/>
        <item x="0"/>
        <item x="5"/>
        <item x="6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numFmtId="44" showAll="0"/>
    <pivotField numFmtId="44" showAll="0"/>
    <pivotField dataField="1"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11"/>
    <field x="10"/>
  </rowFields>
  <rowItems count="5">
    <i>
      <x v="1"/>
    </i>
    <i r="1">
      <x v="6"/>
    </i>
    <i r="1">
      <x v="7"/>
    </i>
    <i r="1">
      <x v="8"/>
    </i>
    <i t="grand">
      <x/>
    </i>
  </rowItems>
  <colFields count="1">
    <field x="1"/>
  </colFields>
  <colItems count="6">
    <i>
      <x/>
    </i>
    <i>
      <x v="1"/>
    </i>
    <i>
      <x v="2"/>
    </i>
    <i>
      <x v="6"/>
    </i>
    <i>
      <x v="7"/>
    </i>
    <i t="grand">
      <x/>
    </i>
  </colItems>
  <pageFields count="1">
    <pageField fld="2" item="0" hier="-1"/>
  </pageFields>
  <dataFields count="1">
    <dataField name="Soma de Valor Absoluto" fld="8" baseField="0" baseItem="0" numFmtId="44"/>
  </dataFields>
  <chartFormats count="6"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5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5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341" name="Data">
      <autoFilter ref="A1">
        <filterColumn colId="0">
          <customFilters and="1">
            <customFilter operator="greaterThanOrEqual" val="44713"/>
            <customFilter operator="lessThanOrEqual" val="4492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4852D7-BFE0-4D36-BA54-3624047D4A31}" name="Tabela dinâmica1" cacheId="8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7">
  <location ref="A3:B20" firstHeaderRow="1" firstDataRow="1" firstDataCol="1"/>
  <pivotFields count="12">
    <pivotField axis="axisRow" numFmtId="14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showAll="0"/>
    <pivotField showAll="0"/>
    <pivotField showAll="0"/>
    <pivotField showAll="0"/>
    <pivotField showAll="0"/>
    <pivotField numFmtId="44" showAll="0"/>
    <pivotField dataField="1" numFmtId="44" showAll="0"/>
    <pivotField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3">
    <field x="11"/>
    <field x="10"/>
    <field x="0"/>
  </rowFields>
  <rowItems count="17">
    <i>
      <x v="1"/>
    </i>
    <i r="1">
      <x v="6"/>
    </i>
    <i r="2">
      <x v="13"/>
    </i>
    <i r="2">
      <x v="14"/>
    </i>
    <i r="2">
      <x v="15"/>
    </i>
    <i r="2">
      <x v="16"/>
    </i>
    <i r="1">
      <x v="7"/>
    </i>
    <i r="2">
      <x v="17"/>
    </i>
    <i r="2">
      <x v="18"/>
    </i>
    <i r="2">
      <x v="19"/>
    </i>
    <i r="2">
      <x v="20"/>
    </i>
    <i r="1">
      <x v="8"/>
    </i>
    <i r="2">
      <x v="21"/>
    </i>
    <i r="2">
      <x v="22"/>
    </i>
    <i r="2">
      <x v="23"/>
    </i>
    <i r="2">
      <x v="24"/>
    </i>
    <i t="grand">
      <x/>
    </i>
  </rowItems>
  <colItems count="1">
    <i/>
  </colItems>
  <dataFields count="1">
    <dataField name="Soma de Acumulado" fld="7" baseField="7" baseItem="137" numFmtId="164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348" name="Data">
      <autoFilter ref="A1">
        <filterColumn colId="0">
          <customFilters and="1">
            <customFilter operator="greaterThanOrEqual" val="44713"/>
            <customFilter operator="lessThanOrEqual" val="4492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E7275D-5F21-4E1A-A6F8-E6B52C2CDFDE}" name="Tabela dinâmica7" cacheId="8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6">
  <location ref="O25:P29" firstHeaderRow="1" firstDataRow="1" firstDataCol="1" rowPageCount="1" colPageCount="1"/>
  <pivotFields count="12">
    <pivotField numFmtId="14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showAll="0"/>
    <pivotField axis="axisPage" multipleItemSelectionAllowed="1" showAll="0">
      <items count="3">
        <item h="1" x="1"/>
        <item x="0"/>
        <item t="default"/>
      </items>
    </pivotField>
    <pivotField axis="axisRow" showAll="0">
      <items count="15">
        <item x="7"/>
        <item x="13"/>
        <item x="2"/>
        <item x="5"/>
        <item x="9"/>
        <item x="12"/>
        <item x="10"/>
        <item x="8"/>
        <item x="4"/>
        <item x="0"/>
        <item x="11"/>
        <item x="3"/>
        <item x="6"/>
        <item x="1"/>
        <item t="default"/>
      </items>
    </pivotField>
    <pivotField showAll="0"/>
    <pivotField showAll="0"/>
    <pivotField numFmtId="44" showAll="0"/>
    <pivotField numFmtId="44" showAll="0"/>
    <pivotField dataField="1"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4">
    <i>
      <x v="1"/>
    </i>
    <i>
      <x v="2"/>
    </i>
    <i>
      <x v="9"/>
    </i>
    <i t="grand">
      <x/>
    </i>
  </rowItems>
  <colItems count="1">
    <i/>
  </colItems>
  <pageFields count="1">
    <pageField fld="2" hier="-1"/>
  </pageFields>
  <dataFields count="1">
    <dataField name="Soma de Valor Absoluto" fld="8" baseField="0" baseItem="0" numFmtId="44"/>
  </dataFields>
  <chartFormats count="7"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5" format="7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</references>
      </pivotArea>
    </chartFormat>
    <chartFormat chart="5" format="8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9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341" name="Data">
      <autoFilter ref="A1">
        <filterColumn colId="0">
          <customFilters and="1">
            <customFilter operator="greaterThanOrEqual" val="44713"/>
            <customFilter operator="lessThanOrEqual" val="4492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C2A44D-61D6-4D71-8CF8-5BA950AA3F77}" name="Tabela dinâmica5" cacheId="8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5">
  <location ref="O3:P13" firstHeaderRow="1" firstDataRow="1" firstDataCol="1" rowPageCount="1" colPageCount="1"/>
  <pivotFields count="12">
    <pivotField numFmtId="14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showAll="0"/>
    <pivotField axis="axisPage" multipleItemSelectionAllowed="1" showAll="0">
      <items count="3">
        <item x="1"/>
        <item h="1" x="0"/>
        <item t="default"/>
      </items>
    </pivotField>
    <pivotField axis="axisRow" showAll="0" sortType="ascending">
      <items count="15">
        <item x="7"/>
        <item x="13"/>
        <item x="2"/>
        <item x="5"/>
        <item x="9"/>
        <item x="12"/>
        <item x="10"/>
        <item x="8"/>
        <item x="4"/>
        <item x="0"/>
        <item x="11"/>
        <item x="3"/>
        <item x="6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44" showAll="0"/>
    <pivotField numFmtId="44" showAll="0"/>
    <pivotField dataField="1"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10">
    <i>
      <x v="12"/>
    </i>
    <i>
      <x v="7"/>
    </i>
    <i>
      <x v="11"/>
    </i>
    <i>
      <x v="4"/>
    </i>
    <i>
      <x/>
    </i>
    <i>
      <x v="10"/>
    </i>
    <i>
      <x v="3"/>
    </i>
    <i>
      <x v="8"/>
    </i>
    <i>
      <x v="6"/>
    </i>
    <i t="grand">
      <x/>
    </i>
  </rowItems>
  <colItems count="1">
    <i/>
  </colItems>
  <pageFields count="1">
    <pageField fld="2" hier="-1"/>
  </pageFields>
  <dataFields count="1">
    <dataField name="Soma de Valor Absoluto" fld="8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341" name="Data">
      <autoFilter ref="A1">
        <filterColumn colId="0">
          <customFilters and="1">
            <customFilter operator="greaterThanOrEqual" val="44713"/>
            <customFilter operator="lessThanOrEqual" val="4492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69DA98-0799-42AC-B11B-C5B883F3D7B6}" name="Tabela dinâmica4" cacheId="8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0">
  <location ref="L13:M18" firstHeaderRow="1" firstDataRow="1" firstDataCol="1" rowPageCount="1" colPageCount="1"/>
  <pivotFields count="12">
    <pivotField numFmtId="14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44" showAll="0"/>
    <pivotField numFmtId="44" showAll="0"/>
    <pivotField dataField="1"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item="0" hier="-1"/>
  </pageFields>
  <dataFields count="1">
    <dataField name="Soma de Valor Absoluto" fld="8" baseField="0" baseItem="0" numFmtId="44"/>
  </dataFields>
  <chartFormats count="5"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341" name="Data">
      <autoFilter ref="A1">
        <filterColumn colId="0">
          <customFilters and="1">
            <customFilter operator="greaterThanOrEqual" val="44713"/>
            <customFilter operator="lessThanOrEqual" val="4492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A3E099-0036-4C5A-A5C9-9A72E3F67A79}" name="Tabela dinâmica3" cacheId="8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7">
  <location ref="L3:M6" firstHeaderRow="1" firstDataRow="1" firstDataCol="1" rowPageCount="1" colPageCount="1"/>
  <pivotFields count="12">
    <pivotField numFmtId="14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44" showAll="0"/>
    <pivotField numFmtId="44" showAll="0"/>
    <pivotField dataField="1"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3">
    <i>
      <x v="1"/>
    </i>
    <i>
      <x v="2"/>
    </i>
    <i t="grand">
      <x/>
    </i>
  </rowItems>
  <colItems count="1">
    <i/>
  </colItems>
  <pageFields count="1">
    <pageField fld="2" item="1" hier="-1"/>
  </pageFields>
  <dataFields count="1">
    <dataField name="Soma de Valor Absoluto" fld="8" baseField="0" baseItem="0" numFmtId="44"/>
  </dataFields>
  <chartFormats count="4"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341" name="Data">
      <autoFilter ref="A1">
        <filterColumn colId="0">
          <customFilters and="1">
            <customFilter operator="greaterThanOrEqual" val="44713"/>
            <customFilter operator="lessThanOrEqual" val="4492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12B304-7A98-41CC-AAE2-A951B9D25BE8}" name="Tabela1" displayName="Tabela1" ref="B3:I55" totalsRowShown="0" headerRowDxfId="17" dataDxfId="16">
  <autoFilter ref="B3:I55" xr:uid="{5A12B304-7A98-41CC-AAE2-A951B9D25BE8}"/>
  <sortState xmlns:xlrd2="http://schemas.microsoft.com/office/spreadsheetml/2017/richdata2" ref="B4:I55">
    <sortCondition ref="B3:B55"/>
  </sortState>
  <tableColumns count="8">
    <tableColumn id="1" xr3:uid="{4297D7E9-3D05-4BD1-8CCB-3A1FF3259572}" name="Data" dataDxfId="15"/>
    <tableColumn id="2" xr3:uid="{F2DBE4BE-EF57-4AF2-9052-A13D019A11F8}" name="Classificação" dataDxfId="14"/>
    <tableColumn id="8" xr3:uid="{C46E22ED-0733-4EF4-B557-06FDEA1D3B74}" name="Tipo" dataDxfId="13">
      <calculatedColumnFormula>IF(Tabela1[[#This Row],[Valor]]&gt;0,"Receita","Despesa")</calculatedColumnFormula>
    </tableColumn>
    <tableColumn id="3" xr3:uid="{FCA92A9F-FD93-4E1B-8786-F36B912E1278}" name="Movimento" dataDxfId="12"/>
    <tableColumn id="4" xr3:uid="{05A4C097-D443-44D8-9A3D-901321B31407}" name="Descrição" dataDxfId="11"/>
    <tableColumn id="5" xr3:uid="{4B952CDB-FBF1-41DF-9FC3-AD1269AD0F0C}" name="Banco" dataDxfId="10"/>
    <tableColumn id="6" xr3:uid="{EF111F3B-6D07-42B0-A80C-968B3F37F048}" name="Valor" dataDxfId="9" dataCellStyle="Moeda"/>
    <tableColumn id="7" xr3:uid="{B3D8C9D4-8030-4071-8F0D-C34EF64CE519}" name="Acumulado" dataDxfId="8">
      <calculatedColumnFormula>I3+H4</calculatedColumnFormula>
    </tableColumn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a" xr10:uid="{D2DA0447-CC43-4EAA-B60E-6A2D38A85B0C}" sourceName="Data">
  <pivotTables>
    <pivotTable tabId="3" name="Tabela dinâmica1"/>
    <pivotTable tabId="3" name="Tabela dinâmica2"/>
    <pivotTable tabId="3" name="Tabela dinâmica3"/>
    <pivotTable tabId="3" name="Tabela dinâmica4"/>
    <pivotTable tabId="3" name="Tabela dinâmica5"/>
    <pivotTable tabId="3" name="Tabela dinâmica7"/>
  </pivotTables>
  <state minimalRefreshVersion="6" lastRefreshVersion="6" pivotCacheId="1173526050" filterType="dateBetween">
    <selection startDate="2022-06-01T00:00:00" endDate="2022-12-31T00:00:00"/>
    <bounds startDate="2022-01-01T00:00:00" endDate="2024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a" xr10:uid="{D34C3834-A101-49C9-B5E8-956BAF5CDC49}" cache="NativeTimeline_Data" caption="Data" showHeader="0" showSelectionLabel="0" showTimeLevel="0" level="2" selectionLevel="2" scrollPosition="2022-01-01T00:00:00" style="Estilo de Linha do Tempo 1"/>
</timeline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showGridLines="0" topLeftCell="B1" workbookViewId="0">
      <selection activeCell="F5" sqref="F5:F6"/>
    </sheetView>
  </sheetViews>
  <sheetFormatPr defaultRowHeight="14.4" x14ac:dyDescent="0.3"/>
  <cols>
    <col min="1" max="1" width="17.6640625" hidden="1" customWidth="1"/>
    <col min="2" max="2" width="1.77734375" customWidth="1"/>
    <col min="3" max="3" width="20.6640625" bestFit="1" customWidth="1"/>
    <col min="4" max="4" width="0.88671875" customWidth="1"/>
    <col min="5" max="5" width="25.77734375" customWidth="1"/>
    <col min="6" max="6" width="23.77734375" customWidth="1"/>
    <col min="7" max="7" width="21.77734375" customWidth="1"/>
    <col min="8" max="8" width="0.88671875" customWidth="1"/>
    <col min="9" max="9" width="19.5546875" bestFit="1" customWidth="1"/>
    <col min="10" max="10" width="14.44140625" bestFit="1" customWidth="1"/>
    <col min="11" max="11" width="24.33203125" bestFit="1" customWidth="1"/>
    <col min="12" max="12" width="20.33203125" bestFit="1" customWidth="1"/>
    <col min="13" max="13" width="11.21875" bestFit="1" customWidth="1"/>
  </cols>
  <sheetData>
    <row r="1" spans="1:13" ht="40.049999999999997" customHeight="1" x14ac:dyDescent="0.9">
      <c r="C1" s="25" t="s">
        <v>86</v>
      </c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ht="4.05" customHeight="1" x14ac:dyDescent="0.3"/>
    <row r="3" spans="1:13" ht="30" customHeight="1" x14ac:dyDescent="0.4">
      <c r="A3" t="s">
        <v>47</v>
      </c>
      <c r="C3" s="26" t="s">
        <v>44</v>
      </c>
      <c r="D3" s="4"/>
      <c r="E3" s="28" t="s">
        <v>0</v>
      </c>
      <c r="F3" s="29"/>
      <c r="G3" s="30"/>
      <c r="H3" s="5"/>
      <c r="I3" s="28" t="s">
        <v>8</v>
      </c>
      <c r="J3" s="29"/>
      <c r="K3" s="29"/>
      <c r="L3" s="29"/>
      <c r="M3" s="30"/>
    </row>
    <row r="4" spans="1:13" ht="16.8" x14ac:dyDescent="0.4">
      <c r="A4" t="s">
        <v>54</v>
      </c>
      <c r="C4" s="6" t="s">
        <v>70</v>
      </c>
      <c r="D4" s="5"/>
      <c r="E4" s="7" t="s">
        <v>54</v>
      </c>
      <c r="F4" s="8" t="s">
        <v>55</v>
      </c>
      <c r="G4" s="9" t="s">
        <v>56</v>
      </c>
      <c r="H4" s="5"/>
      <c r="I4" s="7" t="s">
        <v>9</v>
      </c>
      <c r="J4" s="8" t="s">
        <v>10</v>
      </c>
      <c r="K4" s="8" t="s">
        <v>11</v>
      </c>
      <c r="L4" s="8" t="s">
        <v>12</v>
      </c>
      <c r="M4" s="9" t="s">
        <v>13</v>
      </c>
    </row>
    <row r="5" spans="1:13" ht="16.8" x14ac:dyDescent="0.4">
      <c r="A5" t="s">
        <v>55</v>
      </c>
      <c r="C5" s="6" t="s">
        <v>71</v>
      </c>
      <c r="D5" s="5"/>
      <c r="E5" s="10" t="s">
        <v>1</v>
      </c>
      <c r="F5" s="5" t="s">
        <v>4</v>
      </c>
      <c r="G5" s="11" t="s">
        <v>6</v>
      </c>
      <c r="H5" s="5"/>
      <c r="I5" s="10" t="s">
        <v>14</v>
      </c>
      <c r="J5" s="5" t="s">
        <v>21</v>
      </c>
      <c r="K5" s="5" t="s">
        <v>27</v>
      </c>
      <c r="L5" s="5" t="s">
        <v>31</v>
      </c>
      <c r="M5" s="11" t="s">
        <v>38</v>
      </c>
    </row>
    <row r="6" spans="1:13" ht="16.8" x14ac:dyDescent="0.4">
      <c r="A6" t="s">
        <v>56</v>
      </c>
      <c r="C6" s="6" t="s">
        <v>72</v>
      </c>
      <c r="D6" s="5"/>
      <c r="E6" s="10" t="s">
        <v>2</v>
      </c>
      <c r="F6" s="5" t="s">
        <v>5</v>
      </c>
      <c r="G6" s="11" t="s">
        <v>7</v>
      </c>
      <c r="H6" s="5"/>
      <c r="I6" s="10" t="s">
        <v>15</v>
      </c>
      <c r="J6" s="5" t="s">
        <v>22</v>
      </c>
      <c r="K6" s="5" t="s">
        <v>26</v>
      </c>
      <c r="L6" s="5" t="s">
        <v>32</v>
      </c>
      <c r="M6" s="11" t="s">
        <v>39</v>
      </c>
    </row>
    <row r="7" spans="1:13" ht="16.8" x14ac:dyDescent="0.4">
      <c r="A7" t="s">
        <v>9</v>
      </c>
      <c r="C7" s="6" t="s">
        <v>45</v>
      </c>
      <c r="D7" s="5"/>
      <c r="E7" s="10" t="s">
        <v>3</v>
      </c>
      <c r="F7" s="5"/>
      <c r="G7" s="11"/>
      <c r="H7" s="5"/>
      <c r="I7" s="10" t="s">
        <v>16</v>
      </c>
      <c r="J7" s="5" t="s">
        <v>23</v>
      </c>
      <c r="K7" s="5" t="s">
        <v>28</v>
      </c>
      <c r="L7" s="5" t="s">
        <v>33</v>
      </c>
      <c r="M7" s="11" t="s">
        <v>40</v>
      </c>
    </row>
    <row r="8" spans="1:13" ht="16.8" x14ac:dyDescent="0.4">
      <c r="A8" t="s">
        <v>10</v>
      </c>
      <c r="C8" s="6"/>
      <c r="D8" s="5"/>
      <c r="E8" s="10"/>
      <c r="F8" s="5"/>
      <c r="G8" s="11"/>
      <c r="H8" s="5"/>
      <c r="I8" s="10" t="s">
        <v>17</v>
      </c>
      <c r="J8" s="5" t="s">
        <v>24</v>
      </c>
      <c r="K8" s="5" t="s">
        <v>29</v>
      </c>
      <c r="L8" s="5" t="s">
        <v>34</v>
      </c>
      <c r="M8" s="11" t="s">
        <v>41</v>
      </c>
    </row>
    <row r="9" spans="1:13" ht="16.8" x14ac:dyDescent="0.4">
      <c r="A9" t="s">
        <v>11</v>
      </c>
      <c r="C9" s="6"/>
      <c r="D9" s="5"/>
      <c r="E9" s="10"/>
      <c r="F9" s="5"/>
      <c r="G9" s="11"/>
      <c r="H9" s="5"/>
      <c r="I9" s="10" t="s">
        <v>18</v>
      </c>
      <c r="J9" s="5" t="s">
        <v>25</v>
      </c>
      <c r="K9" s="5" t="s">
        <v>30</v>
      </c>
      <c r="L9" s="5" t="s">
        <v>35</v>
      </c>
      <c r="M9" s="11" t="s">
        <v>42</v>
      </c>
    </row>
    <row r="10" spans="1:13" ht="16.8" x14ac:dyDescent="0.4">
      <c r="A10" t="s">
        <v>12</v>
      </c>
      <c r="C10" s="6"/>
      <c r="D10" s="5"/>
      <c r="E10" s="10"/>
      <c r="F10" s="5"/>
      <c r="G10" s="11"/>
      <c r="H10" s="5"/>
      <c r="I10" s="10" t="s">
        <v>19</v>
      </c>
      <c r="J10" s="5"/>
      <c r="K10" s="5"/>
      <c r="L10" s="5" t="s">
        <v>36</v>
      </c>
      <c r="M10" s="11" t="s">
        <v>43</v>
      </c>
    </row>
    <row r="11" spans="1:13" ht="16.8" x14ac:dyDescent="0.4">
      <c r="A11" t="s">
        <v>13</v>
      </c>
      <c r="C11" s="6"/>
      <c r="D11" s="5"/>
      <c r="E11" s="10"/>
      <c r="F11" s="5"/>
      <c r="G11" s="11"/>
      <c r="H11" s="5"/>
      <c r="I11" s="10" t="s">
        <v>20</v>
      </c>
      <c r="J11" s="5"/>
      <c r="K11" s="5"/>
      <c r="L11" s="5" t="s">
        <v>37</v>
      </c>
      <c r="M11" s="11"/>
    </row>
    <row r="12" spans="1:13" ht="16.8" x14ac:dyDescent="0.4">
      <c r="C12" s="6"/>
      <c r="D12" s="5"/>
      <c r="E12" s="10"/>
      <c r="F12" s="5"/>
      <c r="G12" s="11"/>
      <c r="H12" s="5"/>
      <c r="I12" s="10"/>
      <c r="J12" s="5"/>
      <c r="K12" s="5"/>
      <c r="L12" s="5"/>
      <c r="M12" s="11"/>
    </row>
    <row r="13" spans="1:13" ht="16.8" x14ac:dyDescent="0.4">
      <c r="C13" s="6"/>
      <c r="D13" s="5"/>
      <c r="E13" s="10"/>
      <c r="F13" s="5"/>
      <c r="G13" s="11"/>
      <c r="H13" s="5"/>
      <c r="I13" s="10"/>
      <c r="J13" s="5"/>
      <c r="K13" s="5"/>
      <c r="L13" s="5"/>
      <c r="M13" s="11"/>
    </row>
    <row r="14" spans="1:13" ht="16.8" x14ac:dyDescent="0.4">
      <c r="C14" s="6"/>
      <c r="D14" s="5"/>
      <c r="E14" s="10"/>
      <c r="F14" s="5"/>
      <c r="G14" s="11"/>
      <c r="H14" s="5"/>
      <c r="I14" s="10"/>
      <c r="J14" s="5"/>
      <c r="K14" s="5"/>
      <c r="L14" s="5"/>
      <c r="M14" s="11"/>
    </row>
    <row r="15" spans="1:13" ht="16.8" x14ac:dyDescent="0.4">
      <c r="C15" s="12"/>
      <c r="D15" s="5"/>
      <c r="E15" s="13"/>
      <c r="F15" s="14"/>
      <c r="G15" s="15"/>
      <c r="H15" s="5"/>
      <c r="I15" s="13"/>
      <c r="J15" s="14"/>
      <c r="K15" s="14"/>
      <c r="L15" s="14"/>
      <c r="M15" s="15"/>
    </row>
  </sheetData>
  <mergeCells count="2">
    <mergeCell ref="E3:G3"/>
    <mergeCell ref="I3: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BE375-594C-41DD-8698-1F08AB165919}">
  <dimension ref="B1:I209"/>
  <sheetViews>
    <sheetView showGridLines="0" topLeftCell="A9" workbookViewId="0">
      <selection activeCell="H8" sqref="H8"/>
    </sheetView>
  </sheetViews>
  <sheetFormatPr defaultRowHeight="14.4" x14ac:dyDescent="0.3"/>
  <cols>
    <col min="1" max="1" width="1.77734375" customWidth="1"/>
    <col min="2" max="2" width="11.77734375" customWidth="1"/>
    <col min="3" max="3" width="24.77734375" customWidth="1"/>
    <col min="4" max="4" width="24.77734375" hidden="1" customWidth="1"/>
    <col min="5" max="9" width="24.77734375" customWidth="1"/>
  </cols>
  <sheetData>
    <row r="1" spans="2:9" ht="40.049999999999997" customHeight="1" x14ac:dyDescent="0.9">
      <c r="B1" s="25" t="s">
        <v>85</v>
      </c>
      <c r="C1" s="24"/>
      <c r="D1" s="24"/>
      <c r="E1" s="24"/>
      <c r="F1" s="24"/>
      <c r="G1" s="24"/>
      <c r="H1" s="24"/>
      <c r="I1" s="24"/>
    </row>
    <row r="2" spans="2:9" ht="1.95" customHeight="1" x14ac:dyDescent="0.3"/>
    <row r="3" spans="2:9" s="2" customFormat="1" ht="30" customHeight="1" x14ac:dyDescent="0.3">
      <c r="B3" s="3" t="s">
        <v>46</v>
      </c>
      <c r="C3" s="3" t="s">
        <v>48</v>
      </c>
      <c r="D3" s="3" t="s">
        <v>80</v>
      </c>
      <c r="E3" s="3" t="s">
        <v>50</v>
      </c>
      <c r="F3" s="3" t="s">
        <v>49</v>
      </c>
      <c r="G3" s="3" t="s">
        <v>51</v>
      </c>
      <c r="H3" s="3" t="s">
        <v>52</v>
      </c>
      <c r="I3" s="3" t="s">
        <v>53</v>
      </c>
    </row>
    <row r="4" spans="2:9" ht="18" customHeight="1" x14ac:dyDescent="0.3">
      <c r="B4" s="16">
        <v>44696</v>
      </c>
      <c r="C4" s="17" t="s">
        <v>54</v>
      </c>
      <c r="D4" s="17" t="s">
        <v>81</v>
      </c>
      <c r="E4" s="17" t="s">
        <v>1</v>
      </c>
      <c r="F4" s="17" t="s">
        <v>57</v>
      </c>
      <c r="G4" s="17" t="s">
        <v>70</v>
      </c>
      <c r="H4" s="18">
        <v>5000</v>
      </c>
      <c r="I4" s="19">
        <f>Tabela1[[#This Row],[Valor]]</f>
        <v>5000</v>
      </c>
    </row>
    <row r="5" spans="2:9" ht="18" customHeight="1" x14ac:dyDescent="0.3">
      <c r="B5" s="16">
        <v>44697</v>
      </c>
      <c r="C5" s="17" t="s">
        <v>55</v>
      </c>
      <c r="D5" s="17" t="s">
        <v>81</v>
      </c>
      <c r="E5" s="17" t="s">
        <v>4</v>
      </c>
      <c r="F5" s="17" t="s">
        <v>58</v>
      </c>
      <c r="G5" s="17" t="s">
        <v>72</v>
      </c>
      <c r="H5" s="18">
        <v>200</v>
      </c>
      <c r="I5" s="19">
        <f>I4+Tabela1[[#This Row],[Valor]]</f>
        <v>5200</v>
      </c>
    </row>
    <row r="6" spans="2:9" ht="18" customHeight="1" x14ac:dyDescent="0.3">
      <c r="B6" s="16">
        <v>44698</v>
      </c>
      <c r="C6" s="17" t="s">
        <v>56</v>
      </c>
      <c r="D6" s="17" t="s">
        <v>81</v>
      </c>
      <c r="E6" s="17" t="s">
        <v>6</v>
      </c>
      <c r="F6" s="17" t="s">
        <v>59</v>
      </c>
      <c r="G6" s="17" t="s">
        <v>70</v>
      </c>
      <c r="H6" s="18">
        <v>2000</v>
      </c>
      <c r="I6" s="19">
        <f>I5+Tabela1[[#This Row],[Valor]]</f>
        <v>7200</v>
      </c>
    </row>
    <row r="7" spans="2:9" ht="18" customHeight="1" x14ac:dyDescent="0.3">
      <c r="B7" s="16">
        <v>44699</v>
      </c>
      <c r="C7" s="17" t="s">
        <v>9</v>
      </c>
      <c r="D7" s="17" t="s">
        <v>82</v>
      </c>
      <c r="E7" s="17" t="s">
        <v>19</v>
      </c>
      <c r="F7" s="17" t="s">
        <v>60</v>
      </c>
      <c r="G7" s="17" t="s">
        <v>70</v>
      </c>
      <c r="H7" s="18">
        <v>-80</v>
      </c>
      <c r="I7" s="19">
        <f>I6+Tabela1[[#This Row],[Valor]]</f>
        <v>7120</v>
      </c>
    </row>
    <row r="8" spans="2:9" ht="18" customHeight="1" x14ac:dyDescent="0.3">
      <c r="B8" s="16">
        <v>44700</v>
      </c>
      <c r="C8" s="17" t="s">
        <v>13</v>
      </c>
      <c r="D8" s="17" t="s">
        <v>82</v>
      </c>
      <c r="E8" s="17" t="s">
        <v>24</v>
      </c>
      <c r="F8" s="17" t="s">
        <v>61</v>
      </c>
      <c r="G8" s="17" t="s">
        <v>71</v>
      </c>
      <c r="H8" s="18">
        <v>-300</v>
      </c>
      <c r="I8" s="19">
        <f>I7+Tabela1[[#This Row],[Valor]]</f>
        <v>6820</v>
      </c>
    </row>
    <row r="9" spans="2:9" ht="18" customHeight="1" x14ac:dyDescent="0.3">
      <c r="B9" s="16">
        <v>44701</v>
      </c>
      <c r="C9" s="17" t="s">
        <v>11</v>
      </c>
      <c r="D9" s="17" t="s">
        <v>82</v>
      </c>
      <c r="E9" s="17" t="s">
        <v>26</v>
      </c>
      <c r="F9" s="17" t="s">
        <v>62</v>
      </c>
      <c r="G9" s="17" t="s">
        <v>72</v>
      </c>
      <c r="H9" s="18">
        <v>-250</v>
      </c>
      <c r="I9" s="19">
        <f>I8+Tabela1[[#This Row],[Valor]]</f>
        <v>6570</v>
      </c>
    </row>
    <row r="10" spans="2:9" ht="18" customHeight="1" x14ac:dyDescent="0.3">
      <c r="B10" s="16">
        <v>44702</v>
      </c>
      <c r="C10" s="17" t="s">
        <v>12</v>
      </c>
      <c r="D10" s="17" t="s">
        <v>82</v>
      </c>
      <c r="E10" s="17" t="s">
        <v>37</v>
      </c>
      <c r="F10" s="17" t="s">
        <v>63</v>
      </c>
      <c r="G10" s="17" t="s">
        <v>45</v>
      </c>
      <c r="H10" s="18">
        <v>-15</v>
      </c>
      <c r="I10" s="19">
        <f>I9+Tabela1[[#This Row],[Valor]]</f>
        <v>6555</v>
      </c>
    </row>
    <row r="11" spans="2:9" ht="18" customHeight="1" x14ac:dyDescent="0.3">
      <c r="B11" s="16">
        <v>44703</v>
      </c>
      <c r="C11" s="17" t="s">
        <v>13</v>
      </c>
      <c r="D11" s="17" t="s">
        <v>82</v>
      </c>
      <c r="E11" s="17" t="s">
        <v>42</v>
      </c>
      <c r="F11" s="17" t="s">
        <v>64</v>
      </c>
      <c r="G11" s="17" t="s">
        <v>72</v>
      </c>
      <c r="H11" s="18">
        <v>-140</v>
      </c>
      <c r="I11" s="19">
        <f>I10+Tabela1[[#This Row],[Valor]]</f>
        <v>6415</v>
      </c>
    </row>
    <row r="12" spans="2:9" ht="18" customHeight="1" x14ac:dyDescent="0.3">
      <c r="B12" s="16">
        <v>44704</v>
      </c>
      <c r="C12" s="17" t="s">
        <v>10</v>
      </c>
      <c r="D12" s="17" t="s">
        <v>82</v>
      </c>
      <c r="E12" s="17" t="s">
        <v>22</v>
      </c>
      <c r="F12" s="17" t="s">
        <v>65</v>
      </c>
      <c r="G12" s="17" t="s">
        <v>45</v>
      </c>
      <c r="H12" s="18">
        <v>-20</v>
      </c>
      <c r="I12" s="19">
        <f>I11+Tabela1[[#This Row],[Valor]]</f>
        <v>6395</v>
      </c>
    </row>
    <row r="13" spans="2:9" ht="18" customHeight="1" x14ac:dyDescent="0.3">
      <c r="B13" s="16">
        <v>44705</v>
      </c>
      <c r="C13" s="17" t="s">
        <v>11</v>
      </c>
      <c r="D13" s="17" t="s">
        <v>82</v>
      </c>
      <c r="E13" s="17" t="s">
        <v>28</v>
      </c>
      <c r="F13" s="17" t="s">
        <v>66</v>
      </c>
      <c r="G13" s="17" t="s">
        <v>70</v>
      </c>
      <c r="H13" s="18">
        <v>-120</v>
      </c>
      <c r="I13" s="19">
        <f>I12+Tabela1[[#This Row],[Valor]]</f>
        <v>6275</v>
      </c>
    </row>
    <row r="14" spans="2:9" ht="18" customHeight="1" x14ac:dyDescent="0.3">
      <c r="B14" s="16">
        <v>44706</v>
      </c>
      <c r="C14" s="17" t="s">
        <v>12</v>
      </c>
      <c r="D14" s="17" t="s">
        <v>82</v>
      </c>
      <c r="E14" s="17" t="s">
        <v>35</v>
      </c>
      <c r="F14" s="17" t="s">
        <v>67</v>
      </c>
      <c r="G14" s="17" t="s">
        <v>70</v>
      </c>
      <c r="H14" s="18">
        <v>-400</v>
      </c>
      <c r="I14" s="19">
        <f>I13+Tabela1[[#This Row],[Valor]]</f>
        <v>5875</v>
      </c>
    </row>
    <row r="15" spans="2:9" ht="18" customHeight="1" x14ac:dyDescent="0.3">
      <c r="B15" s="16">
        <v>44707</v>
      </c>
      <c r="C15" s="17" t="s">
        <v>13</v>
      </c>
      <c r="D15" s="17" t="s">
        <v>82</v>
      </c>
      <c r="E15" s="17" t="s">
        <v>39</v>
      </c>
      <c r="F15" s="17" t="s">
        <v>68</v>
      </c>
      <c r="G15" s="17" t="s">
        <v>71</v>
      </c>
      <c r="H15" s="18">
        <v>-200</v>
      </c>
      <c r="I15" s="19">
        <f>I14+Tabela1[[#This Row],[Valor]]</f>
        <v>5675</v>
      </c>
    </row>
    <row r="16" spans="2:9" ht="18" customHeight="1" x14ac:dyDescent="0.3">
      <c r="B16" s="16">
        <v>44708</v>
      </c>
      <c r="C16" s="17" t="s">
        <v>10</v>
      </c>
      <c r="D16" s="17" t="s">
        <v>82</v>
      </c>
      <c r="E16" s="17" t="s">
        <v>23</v>
      </c>
      <c r="F16" s="17" t="s">
        <v>69</v>
      </c>
      <c r="G16" s="17" t="s">
        <v>45</v>
      </c>
      <c r="H16" s="18">
        <v>-40</v>
      </c>
      <c r="I16" s="19">
        <f>I15+Tabela1[[#This Row],[Valor]]</f>
        <v>5635</v>
      </c>
    </row>
    <row r="17" spans="2:9" ht="18" customHeight="1" x14ac:dyDescent="0.3">
      <c r="B17" s="16">
        <v>44727</v>
      </c>
      <c r="C17" s="17" t="s">
        <v>54</v>
      </c>
      <c r="D17" s="17" t="s">
        <v>81</v>
      </c>
      <c r="E17" s="17" t="s">
        <v>1</v>
      </c>
      <c r="F17" s="17" t="s">
        <v>57</v>
      </c>
      <c r="G17" s="17" t="s">
        <v>71</v>
      </c>
      <c r="H17" s="18">
        <v>5000</v>
      </c>
      <c r="I17" s="19">
        <f>I16+Tabela1[[#This Row],[Valor]]</f>
        <v>10635</v>
      </c>
    </row>
    <row r="18" spans="2:9" ht="18" customHeight="1" x14ac:dyDescent="0.3">
      <c r="B18" s="16">
        <v>44730</v>
      </c>
      <c r="C18" s="17" t="s">
        <v>9</v>
      </c>
      <c r="D18" s="17" t="s">
        <v>82</v>
      </c>
      <c r="E18" s="17" t="s">
        <v>19</v>
      </c>
      <c r="F18" s="17" t="s">
        <v>60</v>
      </c>
      <c r="G18" s="17" t="s">
        <v>70</v>
      </c>
      <c r="H18" s="18">
        <v>-80</v>
      </c>
      <c r="I18" s="19">
        <f>I17+Tabela1[[#This Row],[Valor]]</f>
        <v>10555</v>
      </c>
    </row>
    <row r="19" spans="2:9" ht="18" customHeight="1" x14ac:dyDescent="0.3">
      <c r="B19" s="16">
        <v>44733</v>
      </c>
      <c r="C19" s="17" t="s">
        <v>12</v>
      </c>
      <c r="D19" s="17" t="s">
        <v>82</v>
      </c>
      <c r="E19" s="17" t="s">
        <v>37</v>
      </c>
      <c r="F19" s="17" t="s">
        <v>63</v>
      </c>
      <c r="G19" s="17" t="s">
        <v>45</v>
      </c>
      <c r="H19" s="18">
        <v>-15</v>
      </c>
      <c r="I19" s="19">
        <f>I18+Tabela1[[#This Row],[Valor]]</f>
        <v>10540</v>
      </c>
    </row>
    <row r="20" spans="2:9" ht="18" customHeight="1" x14ac:dyDescent="0.3">
      <c r="B20" s="16">
        <v>44736</v>
      </c>
      <c r="C20" s="17" t="s">
        <v>11</v>
      </c>
      <c r="D20" s="17" t="s">
        <v>82</v>
      </c>
      <c r="E20" s="17" t="s">
        <v>28</v>
      </c>
      <c r="F20" s="17" t="s">
        <v>66</v>
      </c>
      <c r="G20" s="17" t="s">
        <v>70</v>
      </c>
      <c r="H20" s="18">
        <v>-120</v>
      </c>
      <c r="I20" s="19">
        <f>I19+Tabela1[[#This Row],[Valor]]</f>
        <v>10420</v>
      </c>
    </row>
    <row r="21" spans="2:9" ht="18" customHeight="1" x14ac:dyDescent="0.3">
      <c r="B21" s="16">
        <v>44758</v>
      </c>
      <c r="C21" s="17" t="s">
        <v>55</v>
      </c>
      <c r="D21" s="17" t="s">
        <v>81</v>
      </c>
      <c r="E21" s="17" t="s">
        <v>5</v>
      </c>
      <c r="F21" s="17" t="s">
        <v>58</v>
      </c>
      <c r="G21" s="17" t="s">
        <v>71</v>
      </c>
      <c r="H21" s="18">
        <v>200</v>
      </c>
      <c r="I21" s="19">
        <f>I20+Tabela1[[#This Row],[Valor]]</f>
        <v>10620</v>
      </c>
    </row>
    <row r="22" spans="2:9" ht="18" customHeight="1" x14ac:dyDescent="0.3">
      <c r="B22" s="16">
        <v>44761</v>
      </c>
      <c r="C22" s="17" t="s">
        <v>10</v>
      </c>
      <c r="D22" s="17" t="s">
        <v>82</v>
      </c>
      <c r="E22" s="17" t="s">
        <v>24</v>
      </c>
      <c r="F22" s="17" t="s">
        <v>61</v>
      </c>
      <c r="G22" s="17" t="s">
        <v>71</v>
      </c>
      <c r="H22" s="18">
        <v>-300</v>
      </c>
      <c r="I22" s="19">
        <f>I21+Tabela1[[#This Row],[Valor]]</f>
        <v>10320</v>
      </c>
    </row>
    <row r="23" spans="2:9" ht="18" customHeight="1" x14ac:dyDescent="0.3">
      <c r="B23" s="16">
        <v>44764</v>
      </c>
      <c r="C23" s="17" t="s">
        <v>13</v>
      </c>
      <c r="D23" s="17" t="s">
        <v>82</v>
      </c>
      <c r="E23" s="17" t="s">
        <v>42</v>
      </c>
      <c r="F23" s="17" t="s">
        <v>64</v>
      </c>
      <c r="G23" s="17" t="s">
        <v>72</v>
      </c>
      <c r="H23" s="18">
        <v>-140</v>
      </c>
      <c r="I23" s="19">
        <f>I22+Tabela1[[#This Row],[Valor]]</f>
        <v>10180</v>
      </c>
    </row>
    <row r="24" spans="2:9" ht="18" customHeight="1" x14ac:dyDescent="0.3">
      <c r="B24" s="16">
        <v>44767</v>
      </c>
      <c r="C24" s="17" t="s">
        <v>12</v>
      </c>
      <c r="D24" s="17" t="s">
        <v>82</v>
      </c>
      <c r="E24" s="17" t="s">
        <v>35</v>
      </c>
      <c r="F24" s="17" t="s">
        <v>67</v>
      </c>
      <c r="G24" s="17" t="s">
        <v>70</v>
      </c>
      <c r="H24" s="18">
        <v>-400</v>
      </c>
      <c r="I24" s="19">
        <f>I23+Tabela1[[#This Row],[Valor]]</f>
        <v>9780</v>
      </c>
    </row>
    <row r="25" spans="2:9" ht="18" customHeight="1" x14ac:dyDescent="0.3">
      <c r="B25" s="16">
        <v>44790</v>
      </c>
      <c r="C25" s="17" t="s">
        <v>56</v>
      </c>
      <c r="D25" s="17" t="s">
        <v>81</v>
      </c>
      <c r="E25" s="17" t="s">
        <v>6</v>
      </c>
      <c r="F25" s="17" t="s">
        <v>59</v>
      </c>
      <c r="G25" s="17" t="s">
        <v>70</v>
      </c>
      <c r="H25" s="18">
        <v>2000</v>
      </c>
      <c r="I25" s="19">
        <f>I24+Tabela1[[#This Row],[Valor]]</f>
        <v>11780</v>
      </c>
    </row>
    <row r="26" spans="2:9" ht="18" customHeight="1" x14ac:dyDescent="0.3">
      <c r="B26" s="16">
        <v>44793</v>
      </c>
      <c r="C26" s="17" t="s">
        <v>11</v>
      </c>
      <c r="D26" s="17" t="s">
        <v>82</v>
      </c>
      <c r="E26" s="17" t="s">
        <v>26</v>
      </c>
      <c r="F26" s="17" t="s">
        <v>62</v>
      </c>
      <c r="G26" s="17" t="s">
        <v>72</v>
      </c>
      <c r="H26" s="18">
        <v>-250</v>
      </c>
      <c r="I26" s="19">
        <f>I25+Tabela1[[#This Row],[Valor]]</f>
        <v>11530</v>
      </c>
    </row>
    <row r="27" spans="2:9" ht="18" customHeight="1" x14ac:dyDescent="0.3">
      <c r="B27" s="16">
        <v>44796</v>
      </c>
      <c r="C27" s="17" t="s">
        <v>10</v>
      </c>
      <c r="D27" s="17" t="s">
        <v>82</v>
      </c>
      <c r="E27" s="17" t="s">
        <v>22</v>
      </c>
      <c r="F27" s="17" t="s">
        <v>65</v>
      </c>
      <c r="G27" s="17" t="s">
        <v>45</v>
      </c>
      <c r="H27" s="18">
        <v>-20</v>
      </c>
      <c r="I27" s="19">
        <f>I26+Tabela1[[#This Row],[Valor]]</f>
        <v>11510</v>
      </c>
    </row>
    <row r="28" spans="2:9" ht="18" customHeight="1" x14ac:dyDescent="0.3">
      <c r="B28" s="16">
        <v>44799</v>
      </c>
      <c r="C28" s="17" t="s">
        <v>13</v>
      </c>
      <c r="D28" s="17" t="s">
        <v>82</v>
      </c>
      <c r="E28" s="17" t="s">
        <v>39</v>
      </c>
      <c r="F28" s="17" t="s">
        <v>68</v>
      </c>
      <c r="G28" s="17" t="s">
        <v>71</v>
      </c>
      <c r="H28" s="18">
        <v>-200</v>
      </c>
      <c r="I28" s="19">
        <f>I27+Tabela1[[#This Row],[Valor]]</f>
        <v>11310</v>
      </c>
    </row>
    <row r="29" spans="2:9" ht="18" customHeight="1" x14ac:dyDescent="0.3">
      <c r="B29" s="16">
        <v>45061</v>
      </c>
      <c r="C29" s="17" t="s">
        <v>54</v>
      </c>
      <c r="D29" s="17" t="str">
        <f>IF(Tabela1[[#This Row],[Valor]]&gt;0,"Receita","Despesa")</f>
        <v>Receita</v>
      </c>
      <c r="E29" s="17" t="s">
        <v>1</v>
      </c>
      <c r="F29" s="17" t="s">
        <v>57</v>
      </c>
      <c r="G29" s="17" t="s">
        <v>70</v>
      </c>
      <c r="H29" s="18">
        <v>5000</v>
      </c>
      <c r="I29" s="19">
        <f>I28+Tabela1[[#This Row],[Valor]]</f>
        <v>16310</v>
      </c>
    </row>
    <row r="30" spans="2:9" ht="18" customHeight="1" x14ac:dyDescent="0.3">
      <c r="B30" s="16">
        <v>45062</v>
      </c>
      <c r="C30" s="17" t="s">
        <v>55</v>
      </c>
      <c r="D30" s="17" t="str">
        <f>IF(Tabela1[[#This Row],[Valor]]&gt;0,"Receita","Despesa")</f>
        <v>Receita</v>
      </c>
      <c r="E30" s="17" t="s">
        <v>5</v>
      </c>
      <c r="F30" s="17" t="s">
        <v>58</v>
      </c>
      <c r="G30" s="17" t="s">
        <v>72</v>
      </c>
      <c r="H30" s="18">
        <v>200</v>
      </c>
      <c r="I30" s="19">
        <f>I29+Tabela1[[#This Row],[Valor]]</f>
        <v>16510</v>
      </c>
    </row>
    <row r="31" spans="2:9" ht="18" customHeight="1" x14ac:dyDescent="0.3">
      <c r="B31" s="16">
        <v>45063</v>
      </c>
      <c r="C31" s="17" t="s">
        <v>56</v>
      </c>
      <c r="D31" s="17" t="str">
        <f>IF(Tabela1[[#This Row],[Valor]]&gt;0,"Receita","Despesa")</f>
        <v>Receita</v>
      </c>
      <c r="E31" s="17" t="s">
        <v>6</v>
      </c>
      <c r="F31" s="17" t="s">
        <v>59</v>
      </c>
      <c r="G31" s="17" t="s">
        <v>70</v>
      </c>
      <c r="H31" s="18">
        <v>2000</v>
      </c>
      <c r="I31" s="19">
        <f>I30+Tabela1[[#This Row],[Valor]]</f>
        <v>18510</v>
      </c>
    </row>
    <row r="32" spans="2:9" ht="18" customHeight="1" x14ac:dyDescent="0.3">
      <c r="B32" s="16">
        <v>45064</v>
      </c>
      <c r="C32" s="17" t="s">
        <v>9</v>
      </c>
      <c r="D32" s="17" t="str">
        <f>IF(Tabela1[[#This Row],[Valor]]&gt;0,"Receita","Despesa")</f>
        <v>Despesa</v>
      </c>
      <c r="E32" s="17" t="s">
        <v>19</v>
      </c>
      <c r="F32" s="17" t="s">
        <v>60</v>
      </c>
      <c r="G32" s="17" t="s">
        <v>70</v>
      </c>
      <c r="H32" s="18">
        <v>-80</v>
      </c>
      <c r="I32" s="19">
        <f>I31+Tabela1[[#This Row],[Valor]]</f>
        <v>18430</v>
      </c>
    </row>
    <row r="33" spans="2:9" ht="18" customHeight="1" x14ac:dyDescent="0.3">
      <c r="B33" s="16">
        <v>45065</v>
      </c>
      <c r="C33" s="17" t="s">
        <v>10</v>
      </c>
      <c r="D33" s="17" t="str">
        <f>IF(Tabela1[[#This Row],[Valor]]&gt;0,"Receita","Despesa")</f>
        <v>Despesa</v>
      </c>
      <c r="E33" s="17" t="s">
        <v>24</v>
      </c>
      <c r="F33" s="17" t="s">
        <v>61</v>
      </c>
      <c r="G33" s="17" t="s">
        <v>71</v>
      </c>
      <c r="H33" s="18">
        <v>-300</v>
      </c>
      <c r="I33" s="19">
        <f>I32+Tabela1[[#This Row],[Valor]]</f>
        <v>18130</v>
      </c>
    </row>
    <row r="34" spans="2:9" ht="18" customHeight="1" x14ac:dyDescent="0.3">
      <c r="B34" s="16">
        <v>45066</v>
      </c>
      <c r="C34" s="17" t="s">
        <v>11</v>
      </c>
      <c r="D34" s="17" t="str">
        <f>IF(Tabela1[[#This Row],[Valor]]&gt;0,"Receita","Despesa")</f>
        <v>Despesa</v>
      </c>
      <c r="E34" s="17" t="s">
        <v>26</v>
      </c>
      <c r="F34" s="17" t="s">
        <v>62</v>
      </c>
      <c r="G34" s="17" t="s">
        <v>72</v>
      </c>
      <c r="H34" s="18">
        <v>-250</v>
      </c>
      <c r="I34" s="19">
        <f>I33+Tabela1[[#This Row],[Valor]]</f>
        <v>17880</v>
      </c>
    </row>
    <row r="35" spans="2:9" ht="18" customHeight="1" x14ac:dyDescent="0.3">
      <c r="B35" s="16">
        <v>45067</v>
      </c>
      <c r="C35" s="17" t="s">
        <v>12</v>
      </c>
      <c r="D35" s="17" t="str">
        <f>IF(Tabela1[[#This Row],[Valor]]&gt;0,"Receita","Despesa")</f>
        <v>Despesa</v>
      </c>
      <c r="E35" s="17" t="s">
        <v>37</v>
      </c>
      <c r="F35" s="17" t="s">
        <v>63</v>
      </c>
      <c r="G35" s="17" t="s">
        <v>45</v>
      </c>
      <c r="H35" s="18">
        <v>-15</v>
      </c>
      <c r="I35" s="19">
        <f>I34+Tabela1[[#This Row],[Valor]]</f>
        <v>17865</v>
      </c>
    </row>
    <row r="36" spans="2:9" ht="18" customHeight="1" x14ac:dyDescent="0.3">
      <c r="B36" s="16">
        <v>45068</v>
      </c>
      <c r="C36" s="17" t="s">
        <v>13</v>
      </c>
      <c r="D36" s="17" t="str">
        <f>IF(Tabela1[[#This Row],[Valor]]&gt;0,"Receita","Despesa")</f>
        <v>Despesa</v>
      </c>
      <c r="E36" s="17" t="s">
        <v>42</v>
      </c>
      <c r="F36" s="17" t="s">
        <v>64</v>
      </c>
      <c r="G36" s="17" t="s">
        <v>72</v>
      </c>
      <c r="H36" s="18">
        <v>-140</v>
      </c>
      <c r="I36" s="19">
        <f>I35+Tabela1[[#This Row],[Valor]]</f>
        <v>17725</v>
      </c>
    </row>
    <row r="37" spans="2:9" ht="18" customHeight="1" x14ac:dyDescent="0.3">
      <c r="B37" s="16">
        <v>45069</v>
      </c>
      <c r="C37" s="17" t="s">
        <v>10</v>
      </c>
      <c r="D37" s="17" t="str">
        <f>IF(Tabela1[[#This Row],[Valor]]&gt;0,"Receita","Despesa")</f>
        <v>Despesa</v>
      </c>
      <c r="E37" s="17" t="s">
        <v>22</v>
      </c>
      <c r="F37" s="17" t="s">
        <v>65</v>
      </c>
      <c r="G37" s="17" t="s">
        <v>45</v>
      </c>
      <c r="H37" s="18">
        <v>-20</v>
      </c>
      <c r="I37" s="19">
        <f>I36+Tabela1[[#This Row],[Valor]]</f>
        <v>17705</v>
      </c>
    </row>
    <row r="38" spans="2:9" ht="18" customHeight="1" x14ac:dyDescent="0.3">
      <c r="B38" s="16">
        <v>45070</v>
      </c>
      <c r="C38" s="17" t="s">
        <v>11</v>
      </c>
      <c r="D38" s="17" t="str">
        <f>IF(Tabela1[[#This Row],[Valor]]&gt;0,"Receita","Despesa")</f>
        <v>Despesa</v>
      </c>
      <c r="E38" s="17" t="s">
        <v>28</v>
      </c>
      <c r="F38" s="17" t="s">
        <v>66</v>
      </c>
      <c r="G38" s="17" t="s">
        <v>70</v>
      </c>
      <c r="H38" s="18">
        <v>-120</v>
      </c>
      <c r="I38" s="19">
        <f>I37+Tabela1[[#This Row],[Valor]]</f>
        <v>17585</v>
      </c>
    </row>
    <row r="39" spans="2:9" ht="18" customHeight="1" x14ac:dyDescent="0.3">
      <c r="B39" s="16">
        <v>45071</v>
      </c>
      <c r="C39" s="17" t="s">
        <v>12</v>
      </c>
      <c r="D39" s="17" t="str">
        <f>IF(Tabela1[[#This Row],[Valor]]&gt;0,"Receita","Despesa")</f>
        <v>Despesa</v>
      </c>
      <c r="E39" s="17" t="s">
        <v>35</v>
      </c>
      <c r="F39" s="17" t="s">
        <v>67</v>
      </c>
      <c r="G39" s="17" t="s">
        <v>70</v>
      </c>
      <c r="H39" s="18">
        <v>-400</v>
      </c>
      <c r="I39" s="19">
        <f>I38+Tabela1[[#This Row],[Valor]]</f>
        <v>17185</v>
      </c>
    </row>
    <row r="40" spans="2:9" ht="18" customHeight="1" x14ac:dyDescent="0.3">
      <c r="B40" s="16">
        <v>45072</v>
      </c>
      <c r="C40" s="17" t="s">
        <v>13</v>
      </c>
      <c r="D40" s="17" t="str">
        <f>IF(Tabela1[[#This Row],[Valor]]&gt;0,"Receita","Despesa")</f>
        <v>Despesa</v>
      </c>
      <c r="E40" s="17" t="s">
        <v>39</v>
      </c>
      <c r="F40" s="17" t="s">
        <v>68</v>
      </c>
      <c r="G40" s="17" t="s">
        <v>71</v>
      </c>
      <c r="H40" s="18">
        <v>-200</v>
      </c>
      <c r="I40" s="19">
        <f>I39+Tabela1[[#This Row],[Valor]]</f>
        <v>16985</v>
      </c>
    </row>
    <row r="41" spans="2:9" ht="18" customHeight="1" x14ac:dyDescent="0.3">
      <c r="B41" s="16">
        <v>45073</v>
      </c>
      <c r="C41" s="17" t="s">
        <v>10</v>
      </c>
      <c r="D41" s="17" t="str">
        <f>IF(Tabela1[[#This Row],[Valor]]&gt;0,"Receita","Despesa")</f>
        <v>Despesa</v>
      </c>
      <c r="E41" s="17" t="s">
        <v>23</v>
      </c>
      <c r="F41" s="17" t="s">
        <v>69</v>
      </c>
      <c r="G41" s="17" t="s">
        <v>45</v>
      </c>
      <c r="H41" s="18">
        <v>-40</v>
      </c>
      <c r="I41" s="19">
        <f>I40+Tabela1[[#This Row],[Valor]]</f>
        <v>16945</v>
      </c>
    </row>
    <row r="42" spans="2:9" ht="18" customHeight="1" x14ac:dyDescent="0.3">
      <c r="B42" s="16">
        <v>45092</v>
      </c>
      <c r="C42" s="17" t="s">
        <v>54</v>
      </c>
      <c r="D42" s="17" t="str">
        <f>IF(Tabela1[[#This Row],[Valor]]&gt;0,"Receita","Despesa")</f>
        <v>Receita</v>
      </c>
      <c r="E42" s="17" t="s">
        <v>1</v>
      </c>
      <c r="F42" s="17" t="s">
        <v>57</v>
      </c>
      <c r="G42" s="17" t="s">
        <v>71</v>
      </c>
      <c r="H42" s="18">
        <v>5000</v>
      </c>
      <c r="I42" s="19">
        <f>I41+Tabela1[[#This Row],[Valor]]</f>
        <v>21945</v>
      </c>
    </row>
    <row r="43" spans="2:9" ht="18" customHeight="1" x14ac:dyDescent="0.3">
      <c r="B43" s="16">
        <v>45095</v>
      </c>
      <c r="C43" s="17" t="s">
        <v>9</v>
      </c>
      <c r="D43" s="17" t="str">
        <f>IF(Tabela1[[#This Row],[Valor]]&gt;0,"Receita","Despesa")</f>
        <v>Despesa</v>
      </c>
      <c r="E43" s="17" t="s">
        <v>19</v>
      </c>
      <c r="F43" s="17" t="s">
        <v>60</v>
      </c>
      <c r="G43" s="17" t="s">
        <v>70</v>
      </c>
      <c r="H43" s="18">
        <v>-80</v>
      </c>
      <c r="I43" s="19">
        <f>I42+Tabela1[[#This Row],[Valor]]</f>
        <v>21865</v>
      </c>
    </row>
    <row r="44" spans="2:9" ht="18" customHeight="1" x14ac:dyDescent="0.3">
      <c r="B44" s="16">
        <v>45098</v>
      </c>
      <c r="C44" s="17" t="s">
        <v>12</v>
      </c>
      <c r="D44" s="17" t="str">
        <f>IF(Tabela1[[#This Row],[Valor]]&gt;0,"Receita","Despesa")</f>
        <v>Despesa</v>
      </c>
      <c r="E44" s="17" t="s">
        <v>37</v>
      </c>
      <c r="F44" s="17" t="s">
        <v>63</v>
      </c>
      <c r="G44" s="17" t="s">
        <v>45</v>
      </c>
      <c r="H44" s="18">
        <v>-15</v>
      </c>
      <c r="I44" s="19">
        <f>I43+Tabela1[[#This Row],[Valor]]</f>
        <v>21850</v>
      </c>
    </row>
    <row r="45" spans="2:9" ht="18" customHeight="1" x14ac:dyDescent="0.3">
      <c r="B45" s="16">
        <v>45101</v>
      </c>
      <c r="C45" s="17" t="s">
        <v>11</v>
      </c>
      <c r="D45" s="17" t="str">
        <f>IF(Tabela1[[#This Row],[Valor]]&gt;0,"Receita","Despesa")</f>
        <v>Despesa</v>
      </c>
      <c r="E45" s="17" t="s">
        <v>28</v>
      </c>
      <c r="F45" s="17" t="s">
        <v>66</v>
      </c>
      <c r="G45" s="17" t="s">
        <v>70</v>
      </c>
      <c r="H45" s="18">
        <v>-120</v>
      </c>
      <c r="I45" s="19">
        <f>I44+Tabela1[[#This Row],[Valor]]</f>
        <v>21730</v>
      </c>
    </row>
    <row r="46" spans="2:9" ht="18" customHeight="1" x14ac:dyDescent="0.3">
      <c r="B46" s="16">
        <v>45123</v>
      </c>
      <c r="C46" s="17" t="s">
        <v>55</v>
      </c>
      <c r="D46" s="17" t="str">
        <f>IF(Tabela1[[#This Row],[Valor]]&gt;0,"Receita","Despesa")</f>
        <v>Receita</v>
      </c>
      <c r="E46" s="17" t="s">
        <v>5</v>
      </c>
      <c r="F46" s="17" t="s">
        <v>58</v>
      </c>
      <c r="G46" s="17" t="s">
        <v>71</v>
      </c>
      <c r="H46" s="18">
        <v>200</v>
      </c>
      <c r="I46" s="19">
        <f>I45+Tabela1[[#This Row],[Valor]]</f>
        <v>21930</v>
      </c>
    </row>
    <row r="47" spans="2:9" ht="18" customHeight="1" x14ac:dyDescent="0.3">
      <c r="B47" s="16">
        <v>45126</v>
      </c>
      <c r="C47" s="17" t="s">
        <v>10</v>
      </c>
      <c r="D47" s="17" t="str">
        <f>IF(Tabela1[[#This Row],[Valor]]&gt;0,"Receita","Despesa")</f>
        <v>Despesa</v>
      </c>
      <c r="E47" s="17" t="s">
        <v>24</v>
      </c>
      <c r="F47" s="17" t="s">
        <v>61</v>
      </c>
      <c r="G47" s="17" t="s">
        <v>71</v>
      </c>
      <c r="H47" s="18">
        <v>-300</v>
      </c>
      <c r="I47" s="19">
        <f>I46+Tabela1[[#This Row],[Valor]]</f>
        <v>21630</v>
      </c>
    </row>
    <row r="48" spans="2:9" ht="18" customHeight="1" x14ac:dyDescent="0.3">
      <c r="B48" s="16">
        <v>45129</v>
      </c>
      <c r="C48" s="17" t="s">
        <v>13</v>
      </c>
      <c r="D48" s="17" t="str">
        <f>IF(Tabela1[[#This Row],[Valor]]&gt;0,"Receita","Despesa")</f>
        <v>Despesa</v>
      </c>
      <c r="E48" s="17" t="s">
        <v>42</v>
      </c>
      <c r="F48" s="17" t="s">
        <v>64</v>
      </c>
      <c r="G48" s="17" t="s">
        <v>72</v>
      </c>
      <c r="H48" s="18">
        <v>-140</v>
      </c>
      <c r="I48" s="19">
        <f>I47+Tabela1[[#This Row],[Valor]]</f>
        <v>21490</v>
      </c>
    </row>
    <row r="49" spans="2:9" ht="18" customHeight="1" x14ac:dyDescent="0.3">
      <c r="B49" s="16">
        <v>45132</v>
      </c>
      <c r="C49" s="17" t="s">
        <v>12</v>
      </c>
      <c r="D49" s="17" t="str">
        <f>IF(Tabela1[[#This Row],[Valor]]&gt;0,"Receita","Despesa")</f>
        <v>Despesa</v>
      </c>
      <c r="E49" s="17" t="s">
        <v>35</v>
      </c>
      <c r="F49" s="17" t="s">
        <v>67</v>
      </c>
      <c r="G49" s="17" t="s">
        <v>70</v>
      </c>
      <c r="H49" s="18">
        <v>-400</v>
      </c>
      <c r="I49" s="19">
        <f>I48+Tabela1[[#This Row],[Valor]]</f>
        <v>21090</v>
      </c>
    </row>
    <row r="50" spans="2:9" ht="18" customHeight="1" x14ac:dyDescent="0.3">
      <c r="B50" s="16">
        <v>45155</v>
      </c>
      <c r="C50" s="17" t="s">
        <v>56</v>
      </c>
      <c r="D50" s="17" t="str">
        <f>IF(Tabela1[[#This Row],[Valor]]&gt;0,"Receita","Despesa")</f>
        <v>Receita</v>
      </c>
      <c r="E50" s="17" t="s">
        <v>6</v>
      </c>
      <c r="F50" s="17" t="s">
        <v>59</v>
      </c>
      <c r="G50" s="17" t="s">
        <v>70</v>
      </c>
      <c r="H50" s="18">
        <v>2000</v>
      </c>
      <c r="I50" s="19">
        <f>I49+Tabela1[[#This Row],[Valor]]</f>
        <v>23090</v>
      </c>
    </row>
    <row r="51" spans="2:9" ht="18" customHeight="1" x14ac:dyDescent="0.3">
      <c r="B51" s="16">
        <v>45158</v>
      </c>
      <c r="C51" s="17" t="s">
        <v>11</v>
      </c>
      <c r="D51" s="17" t="str">
        <f>IF(Tabela1[[#This Row],[Valor]]&gt;0,"Receita","Despesa")</f>
        <v>Despesa</v>
      </c>
      <c r="E51" s="17" t="s">
        <v>26</v>
      </c>
      <c r="F51" s="17" t="s">
        <v>62</v>
      </c>
      <c r="G51" s="17" t="s">
        <v>72</v>
      </c>
      <c r="H51" s="18">
        <v>-250</v>
      </c>
      <c r="I51" s="19">
        <f>I50+Tabela1[[#This Row],[Valor]]</f>
        <v>22840</v>
      </c>
    </row>
    <row r="52" spans="2:9" ht="18" customHeight="1" x14ac:dyDescent="0.3">
      <c r="B52" s="16">
        <v>45161</v>
      </c>
      <c r="C52" s="17" t="s">
        <v>10</v>
      </c>
      <c r="D52" s="17" t="str">
        <f>IF(Tabela1[[#This Row],[Valor]]&gt;0,"Receita","Despesa")</f>
        <v>Despesa</v>
      </c>
      <c r="E52" s="17" t="s">
        <v>22</v>
      </c>
      <c r="F52" s="17" t="s">
        <v>65</v>
      </c>
      <c r="G52" s="17" t="s">
        <v>45</v>
      </c>
      <c r="H52" s="18">
        <v>-20</v>
      </c>
      <c r="I52" s="19">
        <f>I51+Tabela1[[#This Row],[Valor]]</f>
        <v>22820</v>
      </c>
    </row>
    <row r="53" spans="2:9" ht="18" customHeight="1" x14ac:dyDescent="0.3">
      <c r="B53" s="16">
        <v>45164</v>
      </c>
      <c r="C53" s="17" t="s">
        <v>13</v>
      </c>
      <c r="D53" s="17" t="str">
        <f>IF(Tabela1[[#This Row],[Valor]]&gt;0,"Receita","Despesa")</f>
        <v>Despesa</v>
      </c>
      <c r="E53" s="17" t="s">
        <v>39</v>
      </c>
      <c r="F53" s="17" t="s">
        <v>68</v>
      </c>
      <c r="G53" s="17" t="s">
        <v>71</v>
      </c>
      <c r="H53" s="18">
        <v>-200</v>
      </c>
      <c r="I53" s="19">
        <f>I52+Tabela1[[#This Row],[Valor]]</f>
        <v>22620</v>
      </c>
    </row>
    <row r="54" spans="2:9" ht="18" customHeight="1" x14ac:dyDescent="0.3">
      <c r="B54" s="16">
        <v>45165</v>
      </c>
      <c r="C54" s="17" t="s">
        <v>10</v>
      </c>
      <c r="D54" s="17" t="str">
        <f>IF(Tabela1[[#This Row],[Valor]]&gt;0,"Receita","Despesa")</f>
        <v>Despesa</v>
      </c>
      <c r="E54" s="17" t="s">
        <v>23</v>
      </c>
      <c r="F54" s="17" t="s">
        <v>69</v>
      </c>
      <c r="G54" s="17" t="s">
        <v>45</v>
      </c>
      <c r="H54" s="18">
        <v>-40</v>
      </c>
      <c r="I54" s="19">
        <f>I53+Tabela1[[#This Row],[Valor]]</f>
        <v>22580</v>
      </c>
    </row>
    <row r="55" spans="2:9" ht="18" customHeight="1" x14ac:dyDescent="0.3">
      <c r="B55" s="16">
        <v>45165</v>
      </c>
      <c r="C55" s="17" t="s">
        <v>10</v>
      </c>
      <c r="D55" s="17" t="s">
        <v>82</v>
      </c>
      <c r="E55" s="17" t="s">
        <v>23</v>
      </c>
      <c r="F55" s="17" t="s">
        <v>69</v>
      </c>
      <c r="G55" s="17" t="s">
        <v>45</v>
      </c>
      <c r="H55" s="18">
        <v>-40</v>
      </c>
      <c r="I55" s="19">
        <f>I54+Tabela1[[#This Row],[Valor]]</f>
        <v>22540</v>
      </c>
    </row>
    <row r="56" spans="2:9" ht="18" customHeight="1" x14ac:dyDescent="0.3"/>
    <row r="57" spans="2:9" ht="18" customHeight="1" x14ac:dyDescent="0.3"/>
    <row r="58" spans="2:9" ht="18" customHeight="1" x14ac:dyDescent="0.3"/>
    <row r="59" spans="2:9" ht="18" customHeight="1" x14ac:dyDescent="0.3"/>
    <row r="60" spans="2:9" ht="18" customHeight="1" x14ac:dyDescent="0.3"/>
    <row r="61" spans="2:9" ht="18" customHeight="1" x14ac:dyDescent="0.3"/>
    <row r="62" spans="2:9" ht="18" customHeight="1" x14ac:dyDescent="0.3"/>
    <row r="63" spans="2:9" ht="18" customHeight="1" x14ac:dyDescent="0.3"/>
    <row r="64" spans="2:9" ht="18" customHeight="1" x14ac:dyDescent="0.3"/>
    <row r="65" ht="18" customHeight="1" x14ac:dyDescent="0.3"/>
    <row r="66" ht="18" customHeight="1" x14ac:dyDescent="0.3"/>
    <row r="67" ht="18" customHeight="1" x14ac:dyDescent="0.3"/>
    <row r="68" ht="18" customHeight="1" x14ac:dyDescent="0.3"/>
    <row r="69" ht="18" customHeight="1" x14ac:dyDescent="0.3"/>
    <row r="70" ht="18" customHeight="1" x14ac:dyDescent="0.3"/>
    <row r="71" ht="18" customHeight="1" x14ac:dyDescent="0.3"/>
    <row r="72" ht="18" customHeight="1" x14ac:dyDescent="0.3"/>
    <row r="73" ht="18" customHeight="1" x14ac:dyDescent="0.3"/>
    <row r="74" ht="18" customHeight="1" x14ac:dyDescent="0.3"/>
    <row r="75" ht="18" customHeight="1" x14ac:dyDescent="0.3"/>
    <row r="76" ht="18" customHeight="1" x14ac:dyDescent="0.3"/>
    <row r="77" ht="18" customHeight="1" x14ac:dyDescent="0.3"/>
    <row r="78" ht="18" customHeight="1" x14ac:dyDescent="0.3"/>
    <row r="79" ht="18" customHeight="1" x14ac:dyDescent="0.3"/>
    <row r="80" ht="18" customHeight="1" x14ac:dyDescent="0.3"/>
    <row r="81" ht="18" customHeight="1" x14ac:dyDescent="0.3"/>
    <row r="82" ht="18" customHeight="1" x14ac:dyDescent="0.3"/>
    <row r="83" ht="18" customHeight="1" x14ac:dyDescent="0.3"/>
    <row r="84" ht="18" customHeight="1" x14ac:dyDescent="0.3"/>
    <row r="85" ht="18" customHeight="1" x14ac:dyDescent="0.3"/>
    <row r="86" ht="18" customHeight="1" x14ac:dyDescent="0.3"/>
    <row r="87" ht="18" customHeight="1" x14ac:dyDescent="0.3"/>
    <row r="88" ht="18" customHeight="1" x14ac:dyDescent="0.3"/>
    <row r="89" ht="18" customHeight="1" x14ac:dyDescent="0.3"/>
    <row r="90" ht="18" customHeight="1" x14ac:dyDescent="0.3"/>
    <row r="91" ht="18" customHeight="1" x14ac:dyDescent="0.3"/>
    <row r="92" ht="18" customHeight="1" x14ac:dyDescent="0.3"/>
    <row r="93" ht="18" customHeight="1" x14ac:dyDescent="0.3"/>
    <row r="94" ht="18" customHeight="1" x14ac:dyDescent="0.3"/>
    <row r="95" ht="18" customHeight="1" x14ac:dyDescent="0.3"/>
    <row r="96" ht="18" customHeight="1" x14ac:dyDescent="0.3"/>
    <row r="97" ht="18" customHeight="1" x14ac:dyDescent="0.3"/>
    <row r="98" ht="18" customHeight="1" x14ac:dyDescent="0.3"/>
    <row r="99" ht="18" customHeight="1" x14ac:dyDescent="0.3"/>
    <row r="100" ht="18" customHeight="1" x14ac:dyDescent="0.3"/>
    <row r="101" ht="18" customHeight="1" x14ac:dyDescent="0.3"/>
    <row r="102" ht="18" customHeight="1" x14ac:dyDescent="0.3"/>
    <row r="103" ht="18" customHeight="1" x14ac:dyDescent="0.3"/>
    <row r="104" ht="18" customHeight="1" x14ac:dyDescent="0.3"/>
    <row r="105" ht="18" customHeight="1" x14ac:dyDescent="0.3"/>
    <row r="106" ht="18" customHeight="1" x14ac:dyDescent="0.3"/>
    <row r="107" ht="18" customHeight="1" x14ac:dyDescent="0.3"/>
    <row r="108" ht="18" customHeight="1" x14ac:dyDescent="0.3"/>
    <row r="109" ht="18" customHeight="1" x14ac:dyDescent="0.3"/>
    <row r="110" ht="18" customHeight="1" x14ac:dyDescent="0.3"/>
    <row r="111" ht="18" customHeight="1" x14ac:dyDescent="0.3"/>
    <row r="112" ht="18" customHeight="1" x14ac:dyDescent="0.3"/>
    <row r="113" ht="18" customHeight="1" x14ac:dyDescent="0.3"/>
    <row r="114" ht="18" customHeight="1" x14ac:dyDescent="0.3"/>
    <row r="115" ht="18" customHeight="1" x14ac:dyDescent="0.3"/>
    <row r="116" ht="18" customHeight="1" x14ac:dyDescent="0.3"/>
    <row r="117" ht="18" customHeight="1" x14ac:dyDescent="0.3"/>
    <row r="118" ht="18" customHeight="1" x14ac:dyDescent="0.3"/>
    <row r="119" ht="18" customHeight="1" x14ac:dyDescent="0.3"/>
    <row r="120" ht="18" customHeight="1" x14ac:dyDescent="0.3"/>
    <row r="121" ht="18" customHeight="1" x14ac:dyDescent="0.3"/>
    <row r="122" ht="18" customHeight="1" x14ac:dyDescent="0.3"/>
    <row r="123" ht="18" customHeight="1" x14ac:dyDescent="0.3"/>
    <row r="124" ht="18" customHeight="1" x14ac:dyDescent="0.3"/>
    <row r="125" ht="18" customHeight="1" x14ac:dyDescent="0.3"/>
    <row r="126" ht="18" customHeight="1" x14ac:dyDescent="0.3"/>
    <row r="127" ht="18" customHeight="1" x14ac:dyDescent="0.3"/>
    <row r="128" ht="18" customHeight="1" x14ac:dyDescent="0.3"/>
    <row r="129" ht="18" customHeight="1" x14ac:dyDescent="0.3"/>
    <row r="130" ht="18" customHeight="1" x14ac:dyDescent="0.3"/>
    <row r="131" ht="18" customHeight="1" x14ac:dyDescent="0.3"/>
    <row r="132" ht="18" customHeight="1" x14ac:dyDescent="0.3"/>
    <row r="133" ht="18" customHeight="1" x14ac:dyDescent="0.3"/>
    <row r="134" ht="18" customHeight="1" x14ac:dyDescent="0.3"/>
    <row r="135" ht="18" customHeight="1" x14ac:dyDescent="0.3"/>
    <row r="136" ht="18" customHeight="1" x14ac:dyDescent="0.3"/>
    <row r="137" ht="18" customHeight="1" x14ac:dyDescent="0.3"/>
    <row r="138" ht="18" customHeight="1" x14ac:dyDescent="0.3"/>
    <row r="139" ht="18" customHeight="1" x14ac:dyDescent="0.3"/>
    <row r="140" ht="18" customHeight="1" x14ac:dyDescent="0.3"/>
    <row r="141" ht="18" customHeight="1" x14ac:dyDescent="0.3"/>
    <row r="142" ht="18" customHeight="1" x14ac:dyDescent="0.3"/>
    <row r="143" ht="18" customHeight="1" x14ac:dyDescent="0.3"/>
    <row r="144" ht="18" customHeight="1" x14ac:dyDescent="0.3"/>
    <row r="145" ht="18" customHeight="1" x14ac:dyDescent="0.3"/>
    <row r="146" ht="18" customHeight="1" x14ac:dyDescent="0.3"/>
    <row r="147" ht="18" customHeight="1" x14ac:dyDescent="0.3"/>
    <row r="148" ht="18" customHeight="1" x14ac:dyDescent="0.3"/>
    <row r="149" ht="18" customHeight="1" x14ac:dyDescent="0.3"/>
    <row r="150" ht="18" customHeight="1" x14ac:dyDescent="0.3"/>
    <row r="151" ht="18" customHeight="1" x14ac:dyDescent="0.3"/>
    <row r="152" ht="18" customHeight="1" x14ac:dyDescent="0.3"/>
    <row r="153" ht="18" customHeight="1" x14ac:dyDescent="0.3"/>
    <row r="154" ht="18" customHeight="1" x14ac:dyDescent="0.3"/>
    <row r="155" ht="18" customHeight="1" x14ac:dyDescent="0.3"/>
    <row r="156" ht="18" customHeight="1" x14ac:dyDescent="0.3"/>
    <row r="157" ht="18" customHeight="1" x14ac:dyDescent="0.3"/>
    <row r="158" ht="18" customHeight="1" x14ac:dyDescent="0.3"/>
    <row r="159" ht="18" customHeight="1" x14ac:dyDescent="0.3"/>
    <row r="160" ht="18" customHeight="1" x14ac:dyDescent="0.3"/>
    <row r="161" ht="18" customHeight="1" x14ac:dyDescent="0.3"/>
    <row r="162" ht="18" customHeight="1" x14ac:dyDescent="0.3"/>
    <row r="163" ht="18" customHeight="1" x14ac:dyDescent="0.3"/>
    <row r="164" ht="18" customHeight="1" x14ac:dyDescent="0.3"/>
    <row r="165" ht="18" customHeight="1" x14ac:dyDescent="0.3"/>
    <row r="166" ht="18" customHeight="1" x14ac:dyDescent="0.3"/>
    <row r="167" ht="18" customHeight="1" x14ac:dyDescent="0.3"/>
    <row r="168" ht="18" customHeight="1" x14ac:dyDescent="0.3"/>
    <row r="169" ht="18" customHeight="1" x14ac:dyDescent="0.3"/>
    <row r="170" ht="18" customHeight="1" x14ac:dyDescent="0.3"/>
    <row r="171" ht="18" customHeight="1" x14ac:dyDescent="0.3"/>
    <row r="172" ht="18" customHeight="1" x14ac:dyDescent="0.3"/>
    <row r="173" ht="18" customHeight="1" x14ac:dyDescent="0.3"/>
    <row r="174" ht="18" customHeight="1" x14ac:dyDescent="0.3"/>
    <row r="175" ht="18" customHeight="1" x14ac:dyDescent="0.3"/>
    <row r="176" ht="18" customHeight="1" x14ac:dyDescent="0.3"/>
    <row r="177" ht="18" customHeight="1" x14ac:dyDescent="0.3"/>
    <row r="178" ht="18" customHeight="1" x14ac:dyDescent="0.3"/>
    <row r="179" ht="18" customHeight="1" x14ac:dyDescent="0.3"/>
    <row r="180" ht="18" customHeight="1" x14ac:dyDescent="0.3"/>
    <row r="181" ht="18" customHeight="1" x14ac:dyDescent="0.3"/>
    <row r="182" ht="18" customHeight="1" x14ac:dyDescent="0.3"/>
    <row r="183" ht="18" customHeight="1" x14ac:dyDescent="0.3"/>
    <row r="184" ht="18" customHeight="1" x14ac:dyDescent="0.3"/>
    <row r="185" ht="18" customHeight="1" x14ac:dyDescent="0.3"/>
    <row r="186" ht="18" customHeight="1" x14ac:dyDescent="0.3"/>
    <row r="187" ht="18" customHeight="1" x14ac:dyDescent="0.3"/>
    <row r="188" ht="18" customHeight="1" x14ac:dyDescent="0.3"/>
    <row r="189" ht="18" customHeight="1" x14ac:dyDescent="0.3"/>
    <row r="190" ht="18" customHeight="1" x14ac:dyDescent="0.3"/>
    <row r="191" ht="18" customHeight="1" x14ac:dyDescent="0.3"/>
    <row r="192" ht="18" customHeight="1" x14ac:dyDescent="0.3"/>
    <row r="193" ht="18" customHeight="1" x14ac:dyDescent="0.3"/>
    <row r="194" ht="18" customHeight="1" x14ac:dyDescent="0.3"/>
    <row r="195" ht="18" customHeight="1" x14ac:dyDescent="0.3"/>
    <row r="196" ht="18" customHeight="1" x14ac:dyDescent="0.3"/>
    <row r="197" ht="18" customHeight="1" x14ac:dyDescent="0.3"/>
    <row r="198" ht="18" customHeight="1" x14ac:dyDescent="0.3"/>
    <row r="199" ht="18" customHeight="1" x14ac:dyDescent="0.3"/>
    <row r="200" ht="18" customHeight="1" x14ac:dyDescent="0.3"/>
    <row r="201" ht="18" customHeight="1" x14ac:dyDescent="0.3"/>
    <row r="202" ht="18" customHeight="1" x14ac:dyDescent="0.3"/>
    <row r="203" ht="18" customHeight="1" x14ac:dyDescent="0.3"/>
    <row r="204" ht="18" customHeight="1" x14ac:dyDescent="0.3"/>
    <row r="205" ht="18" customHeight="1" x14ac:dyDescent="0.3"/>
    <row r="206" ht="18" customHeight="1" x14ac:dyDescent="0.3"/>
    <row r="207" ht="18" customHeight="1" x14ac:dyDescent="0.3"/>
    <row r="208" ht="18" customHeight="1" x14ac:dyDescent="0.3"/>
    <row r="209" ht="18" customHeight="1" x14ac:dyDescent="0.3"/>
  </sheetData>
  <phoneticPr fontId="2" type="noConversion"/>
  <conditionalFormatting sqref="C4:D55">
    <cfRule type="cellIs" dxfId="7" priority="1" operator="equal">
      <formula>"Outras_Receitas"</formula>
    </cfRule>
    <cfRule type="cellIs" dxfId="6" priority="2" operator="equal">
      <formula>"Receitas_Financeiras"</formula>
    </cfRule>
    <cfRule type="cellIs" dxfId="5" priority="3" operator="equal">
      <formula>"Renda_Familiar"</formula>
    </cfRule>
    <cfRule type="cellIs" dxfId="4" priority="4" operator="equal">
      <formula>"Moradia"</formula>
    </cfRule>
    <cfRule type="cellIs" dxfId="3" priority="5" operator="equal">
      <formula>"Saúde"</formula>
    </cfRule>
    <cfRule type="cellIs" dxfId="2" priority="6" operator="equal">
      <formula>"Transporte"</formula>
    </cfRule>
    <cfRule type="cellIs" dxfId="1" priority="7" operator="equal">
      <formula>"Lazer"</formula>
    </cfRule>
    <cfRule type="cellIs" dxfId="0" priority="8" operator="equal">
      <formula>"Alimentação"</formula>
    </cfRule>
  </conditionalFormatting>
  <dataValidations count="2">
    <dataValidation type="list" allowBlank="1" showInputMessage="1" showErrorMessage="1" sqref="E4:E55" xr:uid="{B7264F01-0384-49D5-9BA4-04F4C605654E}">
      <formula1>INDIRECT(C4)</formula1>
    </dataValidation>
    <dataValidation type="list" allowBlank="1" showInputMessage="1" showErrorMessage="1" sqref="G4:G55" xr:uid="{76EB0A5B-33CC-4CC8-8FCC-B958B816AAB6}">
      <formula1>INDIRECT("Bancos")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9B254F9-563B-44D8-8DD1-F1BAB1D08C06}">
          <x14:formula1>
            <xm:f>Cadastros!$A$4:$A$11</xm:f>
          </x14:formula1>
          <xm:sqref>C4:C55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84930-08E2-4E29-83CD-5DF0D49104B9}">
  <dimension ref="A1:P29"/>
  <sheetViews>
    <sheetView workbookViewId="0">
      <selection activeCell="A21" sqref="A21"/>
    </sheetView>
  </sheetViews>
  <sheetFormatPr defaultRowHeight="14.4" x14ac:dyDescent="0.3"/>
  <cols>
    <col min="1" max="1" width="17.21875" bestFit="1" customWidth="1"/>
    <col min="2" max="2" width="18.6640625" bestFit="1" customWidth="1"/>
    <col min="4" max="4" width="21.5546875" bestFit="1" customWidth="1"/>
    <col min="5" max="5" width="18.5546875" bestFit="1" customWidth="1"/>
    <col min="6" max="6" width="10.44140625" bestFit="1" customWidth="1"/>
    <col min="7" max="7" width="9.44140625" bestFit="1" customWidth="1"/>
    <col min="8" max="9" width="10.44140625" bestFit="1" customWidth="1"/>
    <col min="10" max="10" width="12" bestFit="1" customWidth="1"/>
    <col min="12" max="12" width="17.21875" bestFit="1" customWidth="1"/>
    <col min="13" max="13" width="21.5546875" bestFit="1" customWidth="1"/>
    <col min="14" max="14" width="8.88671875" customWidth="1"/>
    <col min="15" max="15" width="19.5546875" bestFit="1" customWidth="1"/>
    <col min="16" max="16" width="21.5546875" bestFit="1" customWidth="1"/>
  </cols>
  <sheetData>
    <row r="1" spans="1:16" x14ac:dyDescent="0.3">
      <c r="D1" s="20" t="s">
        <v>80</v>
      </c>
      <c r="E1" t="s">
        <v>82</v>
      </c>
      <c r="L1" s="20" t="s">
        <v>80</v>
      </c>
      <c r="M1" t="s">
        <v>81</v>
      </c>
      <c r="O1" s="20" t="s">
        <v>80</v>
      </c>
      <c r="P1" t="s">
        <v>82</v>
      </c>
    </row>
    <row r="3" spans="1:16" x14ac:dyDescent="0.3">
      <c r="A3" s="20" t="s">
        <v>73</v>
      </c>
      <c r="B3" t="s">
        <v>78</v>
      </c>
      <c r="D3" s="20" t="s">
        <v>79</v>
      </c>
      <c r="E3" s="20" t="s">
        <v>83</v>
      </c>
      <c r="L3" s="20" t="s">
        <v>73</v>
      </c>
      <c r="M3" t="s">
        <v>79</v>
      </c>
      <c r="O3" s="20" t="s">
        <v>73</v>
      </c>
      <c r="P3" t="s">
        <v>79</v>
      </c>
    </row>
    <row r="4" spans="1:16" x14ac:dyDescent="0.3">
      <c r="A4" s="21" t="s">
        <v>87</v>
      </c>
      <c r="B4" s="23">
        <v>129180</v>
      </c>
      <c r="D4" s="20" t="s">
        <v>73</v>
      </c>
      <c r="E4" t="s">
        <v>10</v>
      </c>
      <c r="F4" t="s">
        <v>13</v>
      </c>
      <c r="G4" t="s">
        <v>9</v>
      </c>
      <c r="H4" t="s">
        <v>11</v>
      </c>
      <c r="I4" t="s">
        <v>12</v>
      </c>
      <c r="J4" t="s">
        <v>74</v>
      </c>
      <c r="L4" s="21" t="s">
        <v>70</v>
      </c>
      <c r="M4" s="1">
        <v>2000</v>
      </c>
      <c r="O4" s="21" t="s">
        <v>37</v>
      </c>
      <c r="P4" s="1">
        <v>15</v>
      </c>
    </row>
    <row r="5" spans="1:16" x14ac:dyDescent="0.3">
      <c r="A5" s="22" t="s">
        <v>75</v>
      </c>
      <c r="B5" s="23">
        <v>42150</v>
      </c>
      <c r="D5" s="21" t="s">
        <v>87</v>
      </c>
      <c r="E5" s="1">
        <v>320</v>
      </c>
      <c r="F5" s="1">
        <v>340</v>
      </c>
      <c r="G5" s="1">
        <v>80</v>
      </c>
      <c r="H5" s="1">
        <v>370</v>
      </c>
      <c r="I5" s="1">
        <v>415</v>
      </c>
      <c r="J5" s="1">
        <v>1525</v>
      </c>
      <c r="L5" s="21" t="s">
        <v>71</v>
      </c>
      <c r="M5" s="1">
        <v>5200</v>
      </c>
      <c r="O5" s="21" t="s">
        <v>22</v>
      </c>
      <c r="P5" s="1">
        <v>20</v>
      </c>
    </row>
    <row r="6" spans="1:16" x14ac:dyDescent="0.3">
      <c r="A6" s="27">
        <v>44727</v>
      </c>
      <c r="B6" s="23">
        <v>10635</v>
      </c>
      <c r="D6" s="22" t="s">
        <v>75</v>
      </c>
      <c r="E6" s="1">
        <v>0</v>
      </c>
      <c r="F6" s="1">
        <v>0</v>
      </c>
      <c r="G6" s="1">
        <v>80</v>
      </c>
      <c r="H6" s="1">
        <v>120</v>
      </c>
      <c r="I6" s="1">
        <v>15</v>
      </c>
      <c r="J6" s="1">
        <v>215</v>
      </c>
      <c r="L6" s="21" t="s">
        <v>74</v>
      </c>
      <c r="M6" s="1">
        <v>7200</v>
      </c>
      <c r="O6" s="21" t="s">
        <v>19</v>
      </c>
      <c r="P6" s="1">
        <v>80</v>
      </c>
    </row>
    <row r="7" spans="1:16" x14ac:dyDescent="0.3">
      <c r="A7" s="27">
        <v>44730</v>
      </c>
      <c r="B7" s="23">
        <v>10555</v>
      </c>
      <c r="D7" s="22" t="s">
        <v>76</v>
      </c>
      <c r="E7" s="1">
        <v>300</v>
      </c>
      <c r="F7" s="1">
        <v>140</v>
      </c>
      <c r="G7" s="1">
        <v>0</v>
      </c>
      <c r="H7" s="1">
        <v>0</v>
      </c>
      <c r="I7" s="1">
        <v>400</v>
      </c>
      <c r="J7" s="1">
        <v>840</v>
      </c>
      <c r="O7" s="21" t="s">
        <v>28</v>
      </c>
      <c r="P7" s="1">
        <v>120</v>
      </c>
    </row>
    <row r="8" spans="1:16" x14ac:dyDescent="0.3">
      <c r="A8" s="27">
        <v>44733</v>
      </c>
      <c r="B8" s="23">
        <v>10540</v>
      </c>
      <c r="D8" s="22" t="s">
        <v>77</v>
      </c>
      <c r="E8" s="1">
        <v>20</v>
      </c>
      <c r="F8" s="1">
        <v>200</v>
      </c>
      <c r="G8" s="1">
        <v>0</v>
      </c>
      <c r="H8" s="1">
        <v>250</v>
      </c>
      <c r="I8" s="1">
        <v>0</v>
      </c>
      <c r="J8" s="1">
        <v>470</v>
      </c>
      <c r="O8" s="21" t="s">
        <v>42</v>
      </c>
      <c r="P8" s="1">
        <v>140</v>
      </c>
    </row>
    <row r="9" spans="1:16" x14ac:dyDescent="0.3">
      <c r="A9" s="27">
        <v>44736</v>
      </c>
      <c r="B9" s="23">
        <v>10420</v>
      </c>
      <c r="D9" s="21" t="s">
        <v>74</v>
      </c>
      <c r="E9" s="1">
        <v>320</v>
      </c>
      <c r="F9" s="1">
        <v>340</v>
      </c>
      <c r="G9" s="1">
        <v>80</v>
      </c>
      <c r="H9" s="1">
        <v>370</v>
      </c>
      <c r="I9" s="1">
        <v>415</v>
      </c>
      <c r="J9" s="1">
        <v>1525</v>
      </c>
      <c r="O9" s="21" t="s">
        <v>39</v>
      </c>
      <c r="P9" s="1">
        <v>200</v>
      </c>
    </row>
    <row r="10" spans="1:16" x14ac:dyDescent="0.3">
      <c r="A10" s="22" t="s">
        <v>76</v>
      </c>
      <c r="B10" s="23">
        <v>40900</v>
      </c>
      <c r="O10" s="21" t="s">
        <v>26</v>
      </c>
      <c r="P10" s="1">
        <v>250</v>
      </c>
    </row>
    <row r="11" spans="1:16" x14ac:dyDescent="0.3">
      <c r="A11" s="27">
        <v>44758</v>
      </c>
      <c r="B11" s="23">
        <v>10620</v>
      </c>
      <c r="L11" s="20" t="s">
        <v>80</v>
      </c>
      <c r="M11" t="s">
        <v>82</v>
      </c>
      <c r="O11" s="21" t="s">
        <v>24</v>
      </c>
      <c r="P11" s="1">
        <v>300</v>
      </c>
    </row>
    <row r="12" spans="1:16" x14ac:dyDescent="0.3">
      <c r="A12" s="27">
        <v>44761</v>
      </c>
      <c r="B12" s="23">
        <v>10320</v>
      </c>
      <c r="O12" s="21" t="s">
        <v>35</v>
      </c>
      <c r="P12" s="1">
        <v>400</v>
      </c>
    </row>
    <row r="13" spans="1:16" x14ac:dyDescent="0.3">
      <c r="A13" s="27">
        <v>44764</v>
      </c>
      <c r="B13" s="23">
        <v>10180</v>
      </c>
      <c r="L13" s="20" t="s">
        <v>73</v>
      </c>
      <c r="M13" t="s">
        <v>79</v>
      </c>
      <c r="O13" s="21" t="s">
        <v>74</v>
      </c>
      <c r="P13" s="1">
        <v>1525</v>
      </c>
    </row>
    <row r="14" spans="1:16" x14ac:dyDescent="0.3">
      <c r="A14" s="27">
        <v>44767</v>
      </c>
      <c r="B14" s="23">
        <v>9780</v>
      </c>
      <c r="L14" s="21" t="s">
        <v>72</v>
      </c>
      <c r="M14" s="1">
        <v>390</v>
      </c>
    </row>
    <row r="15" spans="1:16" x14ac:dyDescent="0.3">
      <c r="A15" s="22" t="s">
        <v>77</v>
      </c>
      <c r="B15" s="23">
        <v>46130</v>
      </c>
      <c r="L15" s="21" t="s">
        <v>70</v>
      </c>
      <c r="M15" s="1">
        <v>600</v>
      </c>
    </row>
    <row r="16" spans="1:16" x14ac:dyDescent="0.3">
      <c r="A16" s="27">
        <v>44790</v>
      </c>
      <c r="B16" s="23">
        <v>11780</v>
      </c>
      <c r="L16" s="21" t="s">
        <v>71</v>
      </c>
      <c r="M16" s="1">
        <v>500</v>
      </c>
    </row>
    <row r="17" spans="1:16" x14ac:dyDescent="0.3">
      <c r="A17" s="27">
        <v>44793</v>
      </c>
      <c r="B17" s="23">
        <v>11530</v>
      </c>
      <c r="L17" s="21" t="s">
        <v>45</v>
      </c>
      <c r="M17" s="1">
        <v>35</v>
      </c>
    </row>
    <row r="18" spans="1:16" x14ac:dyDescent="0.3">
      <c r="A18" s="27">
        <v>44796</v>
      </c>
      <c r="B18" s="23">
        <v>11510</v>
      </c>
      <c r="L18" s="21" t="s">
        <v>74</v>
      </c>
      <c r="M18" s="1">
        <v>1525</v>
      </c>
    </row>
    <row r="19" spans="1:16" x14ac:dyDescent="0.3">
      <c r="A19" s="27">
        <v>44799</v>
      </c>
      <c r="B19" s="23">
        <v>11310</v>
      </c>
    </row>
    <row r="20" spans="1:16" x14ac:dyDescent="0.3">
      <c r="A20" s="21" t="s">
        <v>74</v>
      </c>
      <c r="B20" s="23">
        <v>129180</v>
      </c>
    </row>
    <row r="23" spans="1:16" x14ac:dyDescent="0.3">
      <c r="O23" s="20" t="s">
        <v>80</v>
      </c>
      <c r="P23" t="s">
        <v>81</v>
      </c>
    </row>
    <row r="25" spans="1:16" x14ac:dyDescent="0.3">
      <c r="O25" s="20" t="s">
        <v>73</v>
      </c>
      <c r="P25" t="s">
        <v>79</v>
      </c>
    </row>
    <row r="26" spans="1:16" x14ac:dyDescent="0.3">
      <c r="O26" s="21" t="s">
        <v>5</v>
      </c>
      <c r="P26" s="1">
        <v>200</v>
      </c>
    </row>
    <row r="27" spans="1:16" x14ac:dyDescent="0.3">
      <c r="O27" s="21" t="s">
        <v>6</v>
      </c>
      <c r="P27" s="1">
        <v>2000</v>
      </c>
    </row>
    <row r="28" spans="1:16" x14ac:dyDescent="0.3">
      <c r="O28" s="21" t="s">
        <v>1</v>
      </c>
      <c r="P28" s="1">
        <v>5000</v>
      </c>
    </row>
    <row r="29" spans="1:16" x14ac:dyDescent="0.3">
      <c r="O29" s="21" t="s">
        <v>74</v>
      </c>
      <c r="P29" s="1">
        <v>7200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A60E4-DBF0-4EA9-AD00-F0537CDAEC9D}">
  <dimension ref="AA12"/>
  <sheetViews>
    <sheetView showGridLines="0" showRowColHeaders="0" tabSelected="1" zoomScale="90" zoomScaleNormal="90" workbookViewId="0">
      <selection activeCell="AC6" sqref="AC6"/>
    </sheetView>
  </sheetViews>
  <sheetFormatPr defaultRowHeight="14.4" x14ac:dyDescent="0.3"/>
  <sheetData>
    <row r="12" spans="27:27" x14ac:dyDescent="0.3">
      <c r="AA12" t="s">
        <v>84</v>
      </c>
    </row>
  </sheetData>
  <pageMargins left="0.7" right="0.7" top="0.75" bottom="0.75" header="0.3" footer="0.3"/>
  <pageSetup orientation="portrait" r:id="rId1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9</vt:i4>
      </vt:variant>
    </vt:vector>
  </HeadingPairs>
  <TitlesOfParts>
    <vt:vector size="13" baseType="lpstr">
      <vt:lpstr>Cadastros</vt:lpstr>
      <vt:lpstr>Registro</vt:lpstr>
      <vt:lpstr>Cálculos</vt:lpstr>
      <vt:lpstr>Dashboard</vt:lpstr>
      <vt:lpstr>Alimentação</vt:lpstr>
      <vt:lpstr>Bancos</vt:lpstr>
      <vt:lpstr>Lazer</vt:lpstr>
      <vt:lpstr>Moradia</vt:lpstr>
      <vt:lpstr>Outras_Receitas</vt:lpstr>
      <vt:lpstr>Receitas_Financeiras</vt:lpstr>
      <vt:lpstr>Renda_Familiar</vt:lpstr>
      <vt:lpstr>Saúde</vt:lpstr>
      <vt:lpstr>Transporte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Araujo</dc:creator>
  <cp:lastModifiedBy>Alfredo Araujo</cp:lastModifiedBy>
  <dcterms:created xsi:type="dcterms:W3CDTF">2015-06-05T18:17:20Z</dcterms:created>
  <dcterms:modified xsi:type="dcterms:W3CDTF">2023-05-15T19:28:10Z</dcterms:modified>
</cp:coreProperties>
</file>