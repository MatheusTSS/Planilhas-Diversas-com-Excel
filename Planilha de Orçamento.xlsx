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7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/Modelos de Planilha/Orçamento/"/>
    </mc:Choice>
  </mc:AlternateContent>
  <xr:revisionPtr revIDLastSave="634" documentId="11_AD4D361C20488DEA4E38A02CEC1B7FE25BDEDD8E" xr6:coauthVersionLast="47" xr6:coauthVersionMax="47" xr10:uidLastSave="{804B146D-6936-437A-BD61-16E022C7B97A}"/>
  <bookViews>
    <workbookView xWindow="-108" yWindow="-108" windowWidth="23256" windowHeight="12456" activeTab="2" xr2:uid="{00000000-000D-0000-FFFF-FFFF00000000}"/>
  </bookViews>
  <sheets>
    <sheet name="Sobre a Hashtag" sheetId="5" r:id="rId1"/>
    <sheet name="Instruções" sheetId="6" r:id="rId2"/>
    <sheet name="Cadastros" sheetId="1" r:id="rId3"/>
    <sheet name="Planejamento" sheetId="2" r:id="rId4"/>
    <sheet name="Cálculos Orçamento" sheetId="3" state="hidden" r:id="rId5"/>
    <sheet name="Dashboard Orçamento" sheetId="4" r:id="rId6"/>
  </sheets>
  <externalReferences>
    <externalReference r:id="rId7"/>
  </externalReferences>
  <definedNames>
    <definedName name="Administrativo">Tabela3[Administrativo]</definedName>
    <definedName name="Aprovadores" localSheetId="1">[1]!Tabela2510[Aprovador Compra]</definedName>
    <definedName name="Aprovadores">[1]!Tabela2510[Aprovador Compra]</definedName>
    <definedName name="Categorias">Tabela8[Categorias]</definedName>
    <definedName name="Equipamentos">Tabela5[Equipamentos]</definedName>
    <definedName name="Fornecedores" localSheetId="1">#REF!</definedName>
    <definedName name="Fornecedores">[1]!Tabela1[Fornecedor]</definedName>
    <definedName name="Funcionarios" localSheetId="1">[1]!Tabela29[Responsável Compra]</definedName>
    <definedName name="Funcionarios">[1]!Tabela29[Responsável Compra]</definedName>
    <definedName name="Materiais">Tabela1[Materiais]</definedName>
    <definedName name="Operacional">Tabela4[Operacional]</definedName>
    <definedName name="Pessoal">Tabela2[Pessoal]</definedName>
    <definedName name="Produtos" localSheetId="1">[1]!Tabela313[Produto]</definedName>
    <definedName name="Produtos">[1]!Tabela313[Produto]</definedName>
    <definedName name="Responsaveis" localSheetId="1">[1]!Tabela2510[Aprovador Compra]</definedName>
    <definedName name="Responsaveis">[1]!Tabela2510[Aprovador Compra]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2" l="1"/>
  <c r="H39" i="2"/>
  <c r="A21" i="2" l="1"/>
  <c r="A22" i="2"/>
  <c r="A23" i="2"/>
  <c r="A24" i="2"/>
  <c r="A25" i="2"/>
  <c r="A26" i="2"/>
  <c r="A30" i="2"/>
  <c r="A28" i="2"/>
  <c r="A31" i="2"/>
  <c r="A32" i="2"/>
  <c r="A34" i="2"/>
  <c r="A35" i="2"/>
  <c r="A38" i="2"/>
  <c r="A37" i="2"/>
  <c r="A36" i="2"/>
  <c r="A33" i="2"/>
  <c r="A27" i="2"/>
  <c r="G10" i="3" s="1"/>
  <c r="A29" i="2"/>
  <c r="H21" i="2"/>
  <c r="H22" i="2"/>
  <c r="H23" i="2"/>
  <c r="H24" i="2"/>
  <c r="H25" i="2"/>
  <c r="H26" i="2"/>
  <c r="H30" i="2"/>
  <c r="H28" i="2"/>
  <c r="H31" i="2"/>
  <c r="H32" i="2"/>
  <c r="H34" i="2"/>
  <c r="H35" i="2"/>
  <c r="H38" i="2"/>
  <c r="H37" i="2"/>
  <c r="H36" i="2"/>
  <c r="H33" i="2"/>
  <c r="H27" i="2"/>
  <c r="H29" i="2"/>
  <c r="A19" i="2"/>
  <c r="A4" i="2"/>
  <c r="A5" i="2"/>
  <c r="A20" i="2"/>
  <c r="A6" i="2"/>
  <c r="C3" i="3" s="1"/>
  <c r="A7" i="2"/>
  <c r="A8" i="2"/>
  <c r="A17" i="2"/>
  <c r="A9" i="2"/>
  <c r="A10" i="2"/>
  <c r="A11" i="2"/>
  <c r="A12" i="2"/>
  <c r="A13" i="2"/>
  <c r="A14" i="2"/>
  <c r="A15" i="2"/>
  <c r="A16" i="2"/>
  <c r="A18" i="2"/>
  <c r="A3" i="2"/>
  <c r="B4" i="3"/>
  <c r="B5" i="3"/>
  <c r="H11" i="2"/>
  <c r="H6" i="2"/>
  <c r="H13" i="2"/>
  <c r="H8" i="2"/>
  <c r="H16" i="2"/>
  <c r="H15" i="2"/>
  <c r="H5" i="2"/>
  <c r="H7" i="2"/>
  <c r="F15" i="3" s="1"/>
  <c r="H4" i="2"/>
  <c r="H17" i="2"/>
  <c r="H12" i="2"/>
  <c r="H20" i="2"/>
  <c r="H18" i="2"/>
  <c r="H14" i="2"/>
  <c r="H10" i="2"/>
  <c r="B6" i="3" s="1"/>
  <c r="H19" i="2"/>
  <c r="H9" i="2"/>
  <c r="H3" i="2"/>
  <c r="B2" i="3" s="1"/>
  <c r="C4" i="3" l="1"/>
  <c r="F16" i="3"/>
  <c r="H8" i="3"/>
  <c r="H5" i="3"/>
  <c r="I12" i="3"/>
  <c r="G8" i="3"/>
  <c r="G12" i="3"/>
  <c r="H12" i="3"/>
  <c r="G11" i="3"/>
  <c r="K11" i="3"/>
  <c r="I7" i="3"/>
  <c r="H13" i="3"/>
  <c r="G2" i="3"/>
  <c r="K12" i="3"/>
  <c r="K8" i="3"/>
  <c r="K4" i="3"/>
  <c r="G13" i="3"/>
  <c r="J12" i="3"/>
  <c r="J8" i="3"/>
  <c r="J4" i="3"/>
  <c r="I4" i="3"/>
  <c r="H4" i="3"/>
  <c r="K3" i="3"/>
  <c r="G9" i="3"/>
  <c r="J11" i="3"/>
  <c r="J7" i="3"/>
  <c r="J3" i="3"/>
  <c r="I3" i="3"/>
  <c r="G7" i="3"/>
  <c r="H11" i="3"/>
  <c r="H7" i="3"/>
  <c r="H3" i="3"/>
  <c r="G6" i="3"/>
  <c r="K10" i="3"/>
  <c r="K6" i="3"/>
  <c r="K2" i="3"/>
  <c r="G5" i="3"/>
  <c r="J10" i="3"/>
  <c r="J6" i="3"/>
  <c r="J2" i="3"/>
  <c r="I2" i="3"/>
  <c r="I8" i="3"/>
  <c r="I10" i="3"/>
  <c r="I6" i="3"/>
  <c r="C2" i="3"/>
  <c r="G3" i="3"/>
  <c r="H10" i="3"/>
  <c r="H6" i="3"/>
  <c r="H2" i="3"/>
  <c r="K13" i="3"/>
  <c r="K9" i="3"/>
  <c r="K5" i="3"/>
  <c r="K7" i="3"/>
  <c r="I11" i="3"/>
  <c r="C6" i="3"/>
  <c r="C5" i="3"/>
  <c r="J13" i="3"/>
  <c r="J9" i="3"/>
  <c r="J5" i="3"/>
  <c r="G4" i="3"/>
  <c r="I13" i="3"/>
  <c r="I9" i="3"/>
  <c r="I5" i="3"/>
  <c r="H9" i="3"/>
  <c r="B3" i="3"/>
</calcChain>
</file>

<file path=xl/sharedStrings.xml><?xml version="1.0" encoding="utf-8"?>
<sst xmlns="http://schemas.openxmlformats.org/spreadsheetml/2006/main" count="185" uniqueCount="61">
  <si>
    <t>Materiais</t>
  </si>
  <si>
    <t>Administrativo</t>
  </si>
  <si>
    <t>Operacional</t>
  </si>
  <si>
    <t>Piso 80x80 polido</t>
  </si>
  <si>
    <t>Piso 70x70 esmaltado</t>
  </si>
  <si>
    <t>Argamassa</t>
  </si>
  <si>
    <t>Tinta acrílica 18l</t>
  </si>
  <si>
    <t>Massa corrida 18l</t>
  </si>
  <si>
    <t>Verniz 500ml</t>
  </si>
  <si>
    <t>Pintor</t>
  </si>
  <si>
    <t>Pedreiro</t>
  </si>
  <si>
    <t>Eletricista</t>
  </si>
  <si>
    <t>Energia</t>
  </si>
  <si>
    <t>Água</t>
  </si>
  <si>
    <t>Rolo de lã alto</t>
  </si>
  <si>
    <t>Rolo de esponja</t>
  </si>
  <si>
    <t>Ajudante Pedreiro</t>
  </si>
  <si>
    <t>Data</t>
  </si>
  <si>
    <t>Categoria</t>
  </si>
  <si>
    <t>Quantidade</t>
  </si>
  <si>
    <t>Transporte materiais</t>
  </si>
  <si>
    <t>Transporte pessoal</t>
  </si>
  <si>
    <t>Item</t>
  </si>
  <si>
    <t>Observação</t>
  </si>
  <si>
    <t>Luvas</t>
  </si>
  <si>
    <t>Capacetes</t>
  </si>
  <si>
    <t>Equipamentos</t>
  </si>
  <si>
    <t>Papel</t>
  </si>
  <si>
    <t>Impostos</t>
  </si>
  <si>
    <t>Categorias</t>
  </si>
  <si>
    <t>Pessoal</t>
  </si>
  <si>
    <t>Situação</t>
  </si>
  <si>
    <t>Planejado</t>
  </si>
  <si>
    <t>Valor Unitário</t>
  </si>
  <si>
    <t>Valor Total</t>
  </si>
  <si>
    <t>Realizado</t>
  </si>
  <si>
    <t>Cimento 50KG</t>
  </si>
  <si>
    <t>Areia m³</t>
  </si>
  <si>
    <t>Mês</t>
  </si>
  <si>
    <t>Ano todo</t>
  </si>
  <si>
    <t>Detalhe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</si>
  <si>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</si>
  <si>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</si>
  <si>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</si>
  <si>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</si>
  <si>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</si>
  <si>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</si>
  <si>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</si>
  <si>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</si>
  <si>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</si>
  <si>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</si>
  <si>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</si>
  <si>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</si>
  <si>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Cadastros</t>
  </si>
  <si>
    <t>Dashboard Orçamentário</t>
  </si>
  <si>
    <t>2 Diárias</t>
  </si>
  <si>
    <t>Ref jan/22</t>
  </si>
  <si>
    <t>MarcaX</t>
  </si>
  <si>
    <t>Planilha de Orçamento - Instruções</t>
  </si>
  <si>
    <t>Planejamento</t>
  </si>
  <si>
    <t>Furadeira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</si>
</sst>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&quot;R$&quot;\ #,##0"/>
    <numFmt numFmtId="166" formatCode="000\″\.\”###\”\.\”###\-##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71C0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1" fillId="0" borderId="1" xfId="0" applyFont="1" applyBorder="1"/>
    <xf numFmtId="1" fontId="0" fillId="0" borderId="1" xfId="0" applyNumberFormat="1" applyBorder="1"/>
    <xf numFmtId="14" fontId="0" fillId="0" borderId="0" xfId="0" applyNumberFormat="1"/>
    <xf numFmtId="1" fontId="0" fillId="0" borderId="0" xfId="0" applyNumberFormat="1"/>
    <xf numFmtId="1" fontId="0" fillId="0" borderId="2" xfId="0" applyNumberFormat="1" applyBorder="1"/>
    <xf numFmtId="0" fontId="0" fillId="3" borderId="0" xfId="0" applyFill="1"/>
    <xf numFmtId="166" fontId="0" fillId="3" borderId="0" xfId="0" quotePrefix="1" applyNumberFormat="1" applyFill="1"/>
    <xf numFmtId="0" fontId="0" fillId="4" borderId="0" xfId="0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 style="thin">
          <color theme="5"/>
        </left>
        <right/>
        <top style="thin">
          <color theme="5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'Cálculos Orçamento'!$G$1</c:f>
              <c:strCache>
                <c:ptCount val="1"/>
                <c:pt idx="0">
                  <c:v>Materiais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'Cálculos Orçamento'!$F$2:$F$13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'Cálculos Orçamento'!$G$2:$G$13</c:f>
              <c:numCache>
                <c:formatCode>General</c:formatCode>
                <c:ptCount val="12"/>
                <c:pt idx="0">
                  <c:v>1150</c:v>
                </c:pt>
                <c:pt idx="1">
                  <c:v>341</c:v>
                </c:pt>
                <c:pt idx="2">
                  <c:v>672</c:v>
                </c:pt>
                <c:pt idx="3">
                  <c:v>350</c:v>
                </c:pt>
                <c:pt idx="4">
                  <c:v>540</c:v>
                </c:pt>
                <c:pt idx="5">
                  <c:v>1240</c:v>
                </c:pt>
                <c:pt idx="6">
                  <c:v>450</c:v>
                </c:pt>
                <c:pt idx="7">
                  <c:v>640</c:v>
                </c:pt>
                <c:pt idx="8">
                  <c:v>6</c:v>
                </c:pt>
                <c:pt idx="9">
                  <c:v>465</c:v>
                </c:pt>
                <c:pt idx="10">
                  <c:v>220</c:v>
                </c:pt>
                <c:pt idx="1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C-46E0-B58F-A2C3066C04A2}"/>
            </c:ext>
          </c:extLst>
        </c:ser>
        <c:ser>
          <c:idx val="1"/>
          <c:order val="1"/>
          <c:tx>
            <c:strRef>
              <c:f>'Cálculos Orçamento'!$H$1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'Cálculos Orçamento'!$F$2:$F$13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'Cálculos Orçamento'!$H$2:$H$13</c:f>
              <c:numCache>
                <c:formatCode>General</c:formatCode>
                <c:ptCount val="12"/>
                <c:pt idx="0">
                  <c:v>400</c:v>
                </c:pt>
                <c:pt idx="1">
                  <c:v>0</c:v>
                </c:pt>
                <c:pt idx="2">
                  <c:v>200</c:v>
                </c:pt>
                <c:pt idx="3">
                  <c:v>360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400</c:v>
                </c:pt>
                <c:pt idx="8">
                  <c:v>360</c:v>
                </c:pt>
                <c:pt idx="9">
                  <c:v>0</c:v>
                </c:pt>
                <c:pt idx="10">
                  <c:v>200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C-46E0-B58F-A2C3066C04A2}"/>
            </c:ext>
          </c:extLst>
        </c:ser>
        <c:ser>
          <c:idx val="2"/>
          <c:order val="2"/>
          <c:tx>
            <c:strRef>
              <c:f>'Cálculos Orçamento'!$I$1</c:f>
              <c:strCache>
                <c:ptCount val="1"/>
                <c:pt idx="0">
                  <c:v>Administrativo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'Cálculos Orçamento'!$F$2:$F$13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'Cálculos Orçamento'!$I$2:$I$13</c:f>
              <c:numCache>
                <c:formatCode>General</c:formatCode>
                <c:ptCount val="12"/>
                <c:pt idx="0">
                  <c:v>200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C-46E0-B58F-A2C3066C04A2}"/>
            </c:ext>
          </c:extLst>
        </c:ser>
        <c:ser>
          <c:idx val="3"/>
          <c:order val="3"/>
          <c:tx>
            <c:strRef>
              <c:f>'Cálculos Orçamento'!$J$1</c:f>
              <c:strCache>
                <c:ptCount val="1"/>
                <c:pt idx="0">
                  <c:v>Operacional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'Cálculos Orçamento'!$F$2:$F$13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'Cálculos Orçamento'!$J$2:$J$13</c:f>
              <c:numCache>
                <c:formatCode>General</c:formatCode>
                <c:ptCount val="1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4C-46E0-B58F-A2C3066C04A2}"/>
            </c:ext>
          </c:extLst>
        </c:ser>
        <c:ser>
          <c:idx val="4"/>
          <c:order val="4"/>
          <c:tx>
            <c:strRef>
              <c:f>'Cálculos Orçamento'!$K$1</c:f>
              <c:strCache>
                <c:ptCount val="1"/>
                <c:pt idx="0">
                  <c:v>Equipamentos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'Cálculos Orçamento'!$F$2:$F$13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'Cálculos Orçamento'!$K$2:$K$13</c:f>
              <c:numCache>
                <c:formatCode>General</c:formatCode>
                <c:ptCount val="12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4C-46E0-B58F-A2C3066C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6054896"/>
        <c:axId val="2116055312"/>
      </c:barChart>
      <c:catAx>
        <c:axId val="21160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6055312"/>
        <c:crosses val="autoZero"/>
        <c:auto val="1"/>
        <c:lblAlgn val="ctr"/>
        <c:lblOffset val="100"/>
        <c:noMultiLvlLbl val="0"/>
      </c:catAx>
      <c:valAx>
        <c:axId val="21160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605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</a:t>
            </a:r>
            <a:r>
              <a:rPr lang="pt-BR" baseline="0"/>
              <a:t> Ano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CE-4495-8660-A56EC4FC048A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CE-4495-8660-A56EC4FC048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CE-4495-8660-A56EC4FC048A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CE-4495-8660-A56EC4FC048A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3CE-4495-8660-A56EC4FC048A}"/>
              </c:ext>
            </c:extLst>
          </c:dPt>
          <c:cat>
            <c:strRef>
              <c:f>'Cálculos Orçamento'!$A$2:$A$6</c:f>
              <c:strCache>
                <c:ptCount val="5"/>
                <c:pt idx="0">
                  <c:v>Materiais</c:v>
                </c:pt>
                <c:pt idx="1">
                  <c:v>Pessoal</c:v>
                </c:pt>
                <c:pt idx="2">
                  <c:v>Administrativo</c:v>
                </c:pt>
                <c:pt idx="3">
                  <c:v>Operacional</c:v>
                </c:pt>
                <c:pt idx="4">
                  <c:v>Equipamentos</c:v>
                </c:pt>
              </c:strCache>
            </c:strRef>
          </c:cat>
          <c:val>
            <c:numRef>
              <c:f>'Cálculos Orçamento'!$B$2:$B$6</c:f>
              <c:numCache>
                <c:formatCode>"R$"\ #,##0</c:formatCode>
                <c:ptCount val="5"/>
                <c:pt idx="0">
                  <c:v>6106</c:v>
                </c:pt>
                <c:pt idx="1">
                  <c:v>1920</c:v>
                </c:pt>
                <c:pt idx="2">
                  <c:v>600</c:v>
                </c:pt>
                <c:pt idx="3">
                  <c:v>80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CE-4495-8660-A56EC4FC0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 Mês</a:t>
            </a:r>
          </a:p>
        </c:rich>
      </c:tx>
      <c:layout>
        <c:manualLayout>
          <c:xMode val="edge"/>
          <c:yMode val="edge"/>
          <c:x val="0.20360879078756128"/>
          <c:y val="3.8022813688212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A2-498D-947D-4D507A9B2324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A2-498D-947D-4D507A9B232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A2-498D-947D-4D507A9B2324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A2-498D-947D-4D507A9B2324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A2-498D-947D-4D507A9B2324}"/>
              </c:ext>
            </c:extLst>
          </c:dPt>
          <c:cat>
            <c:strRef>
              <c:f>'Cálculos Orçamento'!$A$2:$A$6</c:f>
              <c:strCache>
                <c:ptCount val="5"/>
                <c:pt idx="0">
                  <c:v>Materiais</c:v>
                </c:pt>
                <c:pt idx="1">
                  <c:v>Pessoal</c:v>
                </c:pt>
                <c:pt idx="2">
                  <c:v>Administrativo</c:v>
                </c:pt>
                <c:pt idx="3">
                  <c:v>Operacional</c:v>
                </c:pt>
                <c:pt idx="4">
                  <c:v>Equipamentos</c:v>
                </c:pt>
              </c:strCache>
            </c:strRef>
          </c:cat>
          <c:val>
            <c:numRef>
              <c:f>'Cálculos Orçamento'!$C$2:$C$6</c:f>
              <c:numCache>
                <c:formatCode>"R$"\ #,##0</c:formatCode>
                <c:ptCount val="5"/>
                <c:pt idx="0">
                  <c:v>540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A2-498D-947D-4D507A9B2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Realizado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70-4E38-9A57-EC0AF179F5F8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70-4E38-9A57-EC0AF179F5F8}"/>
              </c:ext>
            </c:extLst>
          </c:dPt>
          <c:dLbls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'Cálculos Orçamento'!$E$15:$E$16</c:f>
              <c:strCache>
                <c:ptCount val="2"/>
                <c:pt idx="0">
                  <c:v>Planejado</c:v>
                </c:pt>
                <c:pt idx="1">
                  <c:v>Realizado</c:v>
                </c:pt>
              </c:strCache>
            </c:strRef>
          </c:cat>
          <c:val>
            <c:numRef>
              <c:f>'Cálculos Orçamento'!$F$15:$F$16</c:f>
              <c:numCache>
                <c:formatCode>"R$"\ #,##0.00</c:formatCode>
                <c:ptCount val="2"/>
                <c:pt idx="0">
                  <c:v>3782</c:v>
                </c:pt>
                <c:pt idx="1">
                  <c:v>5084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0-4E38-9A57-EC0AF179F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'Cálculos Orçamento'!$A$1" fmlaRange="'Cálculos Orçamento'!$F$2:$F$13" noThreeD="1" sel="5" val="4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svg"/><Relationship Id="rId3" Type="http://schemas.openxmlformats.org/officeDocument/2006/relationships/hyperlink" Target="https://www.youtube.com/c/HashtagTreinamentos" TargetMode="External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hyperlink" Target="https://www.hashtagtreinamentos.com/" TargetMode="External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hyperlink" Target="https://www.instagram.com/hashtagtreinamentos/" TargetMode="External"/><Relationship Id="rId10" Type="http://schemas.openxmlformats.org/officeDocument/2006/relationships/hyperlink" Target="https://pages.hashtagtreinamentos.com/esperaexcelimpressionador?origemurl=hashtag_yt_org_listaesperaexcel_quuuZNtZk8c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0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579088</xdr:colOff>
      <xdr:row>1</xdr:row>
      <xdr:rowOff>1</xdr:rowOff>
    </xdr:from>
    <xdr:to>
      <xdr:col>4</xdr:col>
      <xdr:colOff>92426</xdr:colOff>
      <xdr:row>6</xdr:row>
      <xdr:rowOff>53797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9088" y="182881"/>
          <a:ext cx="2012698" cy="968196"/>
        </a:xfrm>
        <a:prstGeom prst="rect">
          <a:avLst/>
        </a:prstGeom>
      </xdr:spPr>
    </xdr:pic>
    <xdr:clientData/>
  </xdr:twoCellAnchor>
  <xdr:twoCellAnchor>
    <xdr:from>
      <xdr:col>5</xdr:col>
      <xdr:colOff>154783</xdr:colOff>
      <xdr:row>2</xdr:row>
      <xdr:rowOff>92656</xdr:rowOff>
    </xdr:from>
    <xdr:to>
      <xdr:col>5</xdr:col>
      <xdr:colOff>154783</xdr:colOff>
      <xdr:row>20</xdr:row>
      <xdr:rowOff>78794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278983" y="458416"/>
          <a:ext cx="0" cy="3277978"/>
        </a:xfrm>
        <a:prstGeom prst="line">
          <a:avLst/>
        </a:prstGeom>
        <a:ln w="28575">
          <a:solidFill>
            <a:srgbClr val="34680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500344</xdr:colOff>
      <xdr:row>1</xdr:row>
      <xdr:rowOff>21919</xdr:rowOff>
    </xdr:from>
    <xdr:to>
      <xdr:col>8</xdr:col>
      <xdr:colOff>459862</xdr:colOff>
      <xdr:row>21</xdr:row>
      <xdr:rowOff>57144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3624544" y="204799"/>
          <a:ext cx="1834038" cy="3692825"/>
          <a:chOff x="3525932" y="212419"/>
          <a:chExt cx="1774871" cy="3845225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3525932" y="212419"/>
            <a:ext cx="1774871" cy="3845225"/>
            <a:chOff x="509258" y="1384565"/>
            <a:chExt cx="2325339" cy="2701660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12868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509258" y="1389242"/>
              <a:ext cx="2325339" cy="30784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98673" y="1384565"/>
              <a:ext cx="2116490" cy="32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Nossas Redes</a:t>
              </a:r>
              <a:r>
                <a:rPr lang="pt-BR" sz="1200" b="1" u="sng" baseline="0">
                  <a:solidFill>
                    <a:schemeClr val="bg1"/>
                  </a:solidFill>
                  <a:latin typeface="Montserrat" panose="00000500000000000000" pitchFamily="2" charset="0"/>
                </a:rPr>
                <a:t> Sociais</a:t>
              </a:r>
              <a:endParaRPr lang="pt-BR" sz="1200" b="1" u="sng">
                <a:solidFill>
                  <a:schemeClr val="bg1"/>
                </a:solidFill>
                <a:latin typeface="Montserrat" panose="00000500000000000000" pitchFamily="2" charset="0"/>
              </a:endParaRPr>
            </a:p>
          </xdr:txBody>
        </xdr:sp>
      </xdr:grpSp>
      <xdr:pic>
        <xdr:nvPicPr>
          <xdr:cNvPr id="6" name="Imagem 5" descr="Youtube - ícones de mídia social grátis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61609" y="1025339"/>
            <a:ext cx="503516" cy="476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CaixaDeTexto 6">
            <a:hlinkClick xmlns:r="http://schemas.openxmlformats.org/officeDocument/2006/relationships" r:id="rId3" tooltip="Canal Youtube Hashtag Treinamentos"/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3903780" y="1535719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Canal</a:t>
            </a:r>
            <a:r>
              <a:rPr lang="pt-BR" sz="900" baseline="0">
                <a:latin typeface="Montserrat" panose="00000500000000000000" pitchFamily="2" charset="0"/>
              </a:rPr>
              <a:t> Youtube Hashtag Treinamentos</a:t>
            </a:r>
            <a:endParaRPr lang="pt-BR" sz="900">
              <a:latin typeface="Montserrat" panose="00000500000000000000" pitchFamily="2" charset="0"/>
            </a:endParaRPr>
          </a:p>
        </xdr:txBody>
      </xdr:sp>
      <xdr:pic>
        <xdr:nvPicPr>
          <xdr:cNvPr id="8" name="Picture 6" descr="Instagram Ícone – Icon - PNG Transparent - Image PNG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99860" y="2559802"/>
            <a:ext cx="427015" cy="4267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hlinkClick xmlns:r="http://schemas.openxmlformats.org/officeDocument/2006/relationships" r:id="rId5" tooltip="https://www.instagram.com/hashtagtreinamentos/"/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3903780" y="3069245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Perfil Instagram Hashtag Treinamentos</a:t>
            </a:r>
          </a:p>
        </xdr:txBody>
      </xdr:sp>
    </xdr:grpSp>
    <xdr:clientData/>
  </xdr:twoCellAnchor>
  <xdr:twoCellAnchor>
    <xdr:from>
      <xdr:col>9</xdr:col>
      <xdr:colOff>114802</xdr:colOff>
      <xdr:row>1</xdr:row>
      <xdr:rowOff>28576</xdr:rowOff>
    </xdr:from>
    <xdr:to>
      <xdr:col>15</xdr:col>
      <xdr:colOff>277824</xdr:colOff>
      <xdr:row>21</xdr:row>
      <xdr:rowOff>57144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5738362" y="211456"/>
          <a:ext cx="4491182" cy="3686168"/>
          <a:chOff x="509258" y="1389242"/>
          <a:chExt cx="2325339" cy="2696983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6180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Minicursos de Excel Gratuitos</a:t>
            </a:r>
          </a:p>
        </xdr:txBody>
      </xdr:sp>
    </xdr:grpSp>
    <xdr:clientData/>
  </xdr:twoCellAnchor>
  <xdr:twoCellAnchor>
    <xdr:from>
      <xdr:col>15</xdr:col>
      <xdr:colOff>537882</xdr:colOff>
      <xdr:row>1</xdr:row>
      <xdr:rowOff>28576</xdr:rowOff>
    </xdr:from>
    <xdr:to>
      <xdr:col>19</xdr:col>
      <xdr:colOff>381000</xdr:colOff>
      <xdr:row>21</xdr:row>
      <xdr:rowOff>57144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10489602" y="211456"/>
          <a:ext cx="2342478" cy="3686168"/>
          <a:chOff x="509258" y="1389242"/>
          <a:chExt cx="2325339" cy="2696983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9668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Excel</a:t>
            </a:r>
            <a:r>
              <a:rPr lang="pt-BR" sz="1200" b="1" u="sng" baseline="0">
                <a:solidFill>
                  <a:schemeClr val="bg1"/>
                </a:solidFill>
                <a:latin typeface="Montserrat" panose="00000500000000000000" pitchFamily="2" charset="0"/>
              </a:rPr>
              <a:t> Impressionador</a:t>
            </a:r>
            <a:endParaRPr lang="pt-BR" sz="1200" b="1" u="sng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 editAs="oneCell">
    <xdr:from>
      <xdr:col>10</xdr:col>
      <xdr:colOff>585018</xdr:colOff>
      <xdr:row>5</xdr:row>
      <xdr:rowOff>6845</xdr:rowOff>
    </xdr:from>
    <xdr:to>
      <xdr:col>12</xdr:col>
      <xdr:colOff>516518</xdr:colOff>
      <xdr:row>12</xdr:row>
      <xdr:rowOff>113345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2538" y="921245"/>
          <a:ext cx="1181180" cy="1386660"/>
        </a:xfrm>
        <a:prstGeom prst="rect">
          <a:avLst/>
        </a:prstGeom>
      </xdr:spPr>
    </xdr:pic>
    <xdr:clientData/>
  </xdr:twoCellAnchor>
  <xdr:twoCellAnchor editAs="oneCell">
    <xdr:from>
      <xdr:col>9</xdr:col>
      <xdr:colOff>378600</xdr:colOff>
      <xdr:row>5</xdr:row>
      <xdr:rowOff>6845</xdr:rowOff>
    </xdr:from>
    <xdr:to>
      <xdr:col>10</xdr:col>
      <xdr:colOff>345574</xdr:colOff>
      <xdr:row>12</xdr:row>
      <xdr:rowOff>113345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160" y="921245"/>
          <a:ext cx="1170934" cy="1386660"/>
        </a:xfrm>
        <a:prstGeom prst="rect">
          <a:avLst/>
        </a:prstGeom>
      </xdr:spPr>
    </xdr:pic>
    <xdr:clientData/>
  </xdr:twoCellAnchor>
  <xdr:twoCellAnchor editAs="oneCell">
    <xdr:from>
      <xdr:col>13</xdr:col>
      <xdr:colOff>126054</xdr:colOff>
      <xdr:row>5</xdr:row>
      <xdr:rowOff>6845</xdr:rowOff>
    </xdr:from>
    <xdr:to>
      <xdr:col>15</xdr:col>
      <xdr:colOff>24594</xdr:colOff>
      <xdr:row>12</xdr:row>
      <xdr:rowOff>113345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8094" y="921245"/>
          <a:ext cx="1148220" cy="1386660"/>
        </a:xfrm>
        <a:prstGeom prst="rect">
          <a:avLst/>
        </a:prstGeom>
      </xdr:spPr>
    </xdr:pic>
    <xdr:clientData/>
  </xdr:twoCellAnchor>
  <xdr:twoCellAnchor>
    <xdr:from>
      <xdr:col>9</xdr:col>
      <xdr:colOff>402839</xdr:colOff>
      <xdr:row>13</xdr:row>
      <xdr:rowOff>40532</xdr:rowOff>
    </xdr:from>
    <xdr:to>
      <xdr:col>10</xdr:col>
      <xdr:colOff>321335</xdr:colOff>
      <xdr:row>17</xdr:row>
      <xdr:rowOff>62070</xdr:rowOff>
    </xdr:to>
    <xdr:sp macro="" textlink="">
      <xdr:nvSpPr>
        <xdr:cNvPr id="24" name="CaixaDeTexto 23">
          <a:hlinkClick xmlns:r="http://schemas.openxmlformats.org/officeDocument/2006/relationships" r:id="rId3" tooltip="Canal Youtube Hashtag Treinamentos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6026399" y="2417972"/>
          <a:ext cx="1122456" cy="75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Dashboards</a:t>
          </a:r>
        </a:p>
      </xdr:txBody>
    </xdr:sp>
    <xdr:clientData/>
  </xdr:twoCellAnchor>
  <xdr:twoCellAnchor>
    <xdr:from>
      <xdr:col>11</xdr:col>
      <xdr:colOff>5733</xdr:colOff>
      <xdr:row>13</xdr:row>
      <xdr:rowOff>40532</xdr:rowOff>
    </xdr:from>
    <xdr:to>
      <xdr:col>12</xdr:col>
      <xdr:colOff>486204</xdr:colOff>
      <xdr:row>17</xdr:row>
      <xdr:rowOff>62070</xdr:rowOff>
    </xdr:to>
    <xdr:sp macro="" textlink="">
      <xdr:nvSpPr>
        <xdr:cNvPr id="25" name="CaixaDeTexto 24">
          <a:hlinkClick xmlns:r="http://schemas.openxmlformats.org/officeDocument/2006/relationships" r:id="rId3" tooltip="Canal Youtube Hashtag Treinamentos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458093" y="2417972"/>
          <a:ext cx="1105311" cy="75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10 temas mais cobrados no merdado</a:t>
          </a:r>
        </a:p>
      </xdr:txBody>
    </xdr:sp>
    <xdr:clientData/>
  </xdr:twoCellAnchor>
  <xdr:twoCellAnchor>
    <xdr:from>
      <xdr:col>13</xdr:col>
      <xdr:colOff>139889</xdr:colOff>
      <xdr:row>13</xdr:row>
      <xdr:rowOff>40532</xdr:rowOff>
    </xdr:from>
    <xdr:to>
      <xdr:col>15</xdr:col>
      <xdr:colOff>10760</xdr:colOff>
      <xdr:row>17</xdr:row>
      <xdr:rowOff>62070</xdr:rowOff>
    </xdr:to>
    <xdr:sp macro="" textlink="">
      <xdr:nvSpPr>
        <xdr:cNvPr id="26" name="CaixaDeTexto 25">
          <a:hlinkClick xmlns:r="http://schemas.openxmlformats.org/officeDocument/2006/relationships" r:id="rId3" tooltip="Canal Youtube Hashtag Treinamentos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8841929" y="2417972"/>
          <a:ext cx="1120551" cy="753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como Impressionar no Excel</a:t>
          </a:r>
        </a:p>
      </xdr:txBody>
    </xdr:sp>
    <xdr:clientData/>
  </xdr:twoCellAnchor>
  <xdr:twoCellAnchor>
    <xdr:from>
      <xdr:col>16</xdr:col>
      <xdr:colOff>124326</xdr:colOff>
      <xdr:row>4</xdr:row>
      <xdr:rowOff>133350</xdr:rowOff>
    </xdr:from>
    <xdr:to>
      <xdr:col>19</xdr:col>
      <xdr:colOff>133349</xdr:colOff>
      <xdr:row>11</xdr:row>
      <xdr:rowOff>66675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0700886" y="864870"/>
          <a:ext cx="1883543" cy="12134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 saber mais sobre o nosso Curso Completo de Excel? Clique no link abaixo para garantir sua vaga na próxima turma: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15</xdr:col>
      <xdr:colOff>600075</xdr:colOff>
      <xdr:row>12</xdr:row>
      <xdr:rowOff>19050</xdr:rowOff>
    </xdr:from>
    <xdr:to>
      <xdr:col>19</xdr:col>
      <xdr:colOff>304800</xdr:colOff>
      <xdr:row>18</xdr:row>
      <xdr:rowOff>81558</xdr:rowOff>
    </xdr:to>
    <xdr:pic>
      <xdr:nvPicPr>
        <xdr:cNvPr id="28" name="Picture 8" descr="Todos os Cursos Hashtag Treinamentos">
          <a:hlinkClick xmlns:r="http://schemas.openxmlformats.org/officeDocument/2006/relationships" r:id="rId10" tooltip="Curso Excel Impressionador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1795" y="2213610"/>
          <a:ext cx="2204085" cy="1159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</xdr:row>
      <xdr:rowOff>58373</xdr:rowOff>
    </xdr:from>
    <xdr:to>
      <xdr:col>4</xdr:col>
      <xdr:colOff>414339</xdr:colOff>
      <xdr:row>21</xdr:row>
      <xdr:rowOff>85725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257175" y="1338533"/>
          <a:ext cx="2656524" cy="2587672"/>
          <a:chOff x="257175" y="1391873"/>
          <a:chExt cx="2595564" cy="2694352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257175" y="1391873"/>
            <a:ext cx="2595564" cy="2694352"/>
            <a:chOff x="507207" y="1391873"/>
            <a:chExt cx="2327602" cy="2694352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7839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507207" y="1391873"/>
              <a:ext cx="2327602" cy="44585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 txBox="1"/>
          </xdr:nvSpPr>
          <xdr:spPr>
            <a:xfrm>
              <a:off x="843243" y="1476749"/>
              <a:ext cx="1666875" cy="311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4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Quem somos</a:t>
              </a:r>
            </a:p>
          </xdr:txBody>
        </xdr:sp>
      </xdr:grp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295776" y="1885950"/>
            <a:ext cx="2514099" cy="2105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Com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dezenas de milhares de alunos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treinados em todo o Brasil,</a:t>
            </a:r>
            <a:r>
              <a:rPr lang="pt-BR" sz="900" b="0" i="0" baseline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a Hashtag Treinamentos sabe exatamente como ajudar seus alunos a se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tornarem referências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onde trabalham ou onde pensam em trabalhar.</a:t>
            </a:r>
          </a:p>
          <a:p>
            <a:pPr algn="ctr"/>
            <a:endParaRPr lang="pt-BR" sz="900" b="0" i="0">
              <a:solidFill>
                <a:srgbClr val="211A1E"/>
              </a:solidFill>
              <a:effectLst/>
              <a:latin typeface="Montserrat" panose="00000500000000000000" pitchFamily="2" charset="0"/>
              <a:ea typeface="+mn-ea"/>
              <a:cs typeface="+mn-cs"/>
            </a:endParaRPr>
          </a:p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Todos os </a:t>
            </a:r>
            <a:r>
              <a:rPr lang="pt-BR" sz="900" b="0" i="0" u="none" strike="noStrike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nossos programas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 são extremamente didáticos, com índice de satisfação superior a 98,3% e levam qualquer um do básico até o 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nível Impressionador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, que está além do avançado.</a:t>
            </a:r>
          </a:p>
        </xdr:txBody>
      </xdr:sp>
    </xdr:grpSp>
    <xdr:clientData/>
  </xdr:twoCellAnchor>
  <xdr:twoCellAnchor editAs="oneCell">
    <xdr:from>
      <xdr:col>9</xdr:col>
      <xdr:colOff>447675</xdr:colOff>
      <xdr:row>17</xdr:row>
      <xdr:rowOff>152400</xdr:rowOff>
    </xdr:from>
    <xdr:to>
      <xdr:col>9</xdr:col>
      <xdr:colOff>904875</xdr:colOff>
      <xdr:row>20</xdr:row>
      <xdr:rowOff>38100</xdr:rowOff>
    </xdr:to>
    <xdr:pic>
      <xdr:nvPicPr>
        <xdr:cNvPr id="35" name="Gráfico 34" descr="Cursor com preenchimento sólid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6071235" y="3261360"/>
          <a:ext cx="457200" cy="434340"/>
        </a:xfrm>
        <a:prstGeom prst="rect">
          <a:avLst/>
        </a:prstGeom>
      </xdr:spPr>
    </xdr:pic>
    <xdr:clientData/>
  </xdr:twoCellAnchor>
  <xdr:twoCellAnchor>
    <xdr:from>
      <xdr:col>9</xdr:col>
      <xdr:colOff>848226</xdr:colOff>
      <xdr:row>17</xdr:row>
      <xdr:rowOff>76201</xdr:rowOff>
    </xdr:from>
    <xdr:to>
      <xdr:col>15</xdr:col>
      <xdr:colOff>47624</xdr:colOff>
      <xdr:row>20</xdr:row>
      <xdr:rowOff>159752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6471786" y="3185161"/>
          <a:ext cx="3527558" cy="632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900">
              <a:latin typeface="Montserrat" panose="00000500000000000000" pitchFamily="2" charset="0"/>
            </a:rPr>
            <a:t>Para ter</a:t>
          </a:r>
          <a:r>
            <a:rPr lang="pt-BR" sz="900" baseline="0">
              <a:latin typeface="Montserrat" panose="00000500000000000000" pitchFamily="2" charset="0"/>
            </a:rPr>
            <a:t> acesso ao minicurso, basta clicar nas imagens de interesse!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</xdr:row>
      <xdr:rowOff>160020</xdr:rowOff>
    </xdr:from>
    <xdr:to>
      <xdr:col>1</xdr:col>
      <xdr:colOff>921866</xdr:colOff>
      <xdr:row>22</xdr:row>
      <xdr:rowOff>99060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620" y="1104900"/>
          <a:ext cx="2339186" cy="3596640"/>
        </a:xfrm>
        <a:prstGeom prst="roundRect">
          <a:avLst>
            <a:gd name="adj" fmla="val 9668"/>
          </a:avLst>
        </a:prstGeom>
        <a:solidFill>
          <a:schemeClr val="bg1"/>
        </a:solidFill>
        <a:ln w="19050">
          <a:solidFill>
            <a:schemeClr val="accent4">
              <a:lumMod val="75000"/>
            </a:schemeClr>
          </a:solidFill>
        </a:ln>
        <a:effectLst>
          <a:outerShdw blurRad="50800" dist="38100" algn="tl" rotWithShape="0">
            <a:prstClr val="black">
              <a:alpha val="26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7620</xdr:colOff>
      <xdr:row>2</xdr:row>
      <xdr:rowOff>0</xdr:rowOff>
    </xdr:from>
    <xdr:to>
      <xdr:col>1</xdr:col>
      <xdr:colOff>925158</xdr:colOff>
      <xdr:row>4</xdr:row>
      <xdr:rowOff>54993</xdr:rowOff>
    </xdr:to>
    <xdr:sp macro="" textlink="">
      <xdr:nvSpPr>
        <xdr:cNvPr id="7" name="Retângulo: Cantos Superiores Arredondado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7620" y="944880"/>
          <a:ext cx="2342478" cy="420753"/>
        </a:xfrm>
        <a:prstGeom prst="round2SameRect">
          <a:avLst>
            <a:gd name="adj1" fmla="val 50000"/>
            <a:gd name="adj2" fmla="val 0"/>
          </a:avLst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0</xdr:col>
      <xdr:colOff>97694</xdr:colOff>
      <xdr:row>2</xdr:row>
      <xdr:rowOff>83659</xdr:rowOff>
    </xdr:from>
    <xdr:to>
      <xdr:col>1</xdr:col>
      <xdr:colOff>883920</xdr:colOff>
      <xdr:row>3</xdr:row>
      <xdr:rowOff>169553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7694" y="1028539"/>
          <a:ext cx="2211166" cy="268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1" u="sng">
              <a:solidFill>
                <a:schemeClr val="bg1"/>
              </a:solidFill>
              <a:latin typeface="Montserrat" panose="00000500000000000000" pitchFamily="2" charset="0"/>
            </a:rPr>
            <a:t>Planilha Cadastros</a:t>
          </a:r>
        </a:p>
      </xdr:txBody>
    </xdr:sp>
    <xdr:clientData/>
  </xdr:twoCellAnchor>
  <xdr:twoCellAnchor>
    <xdr:from>
      <xdr:col>1</xdr:col>
      <xdr:colOff>1013460</xdr:colOff>
      <xdr:row>2</xdr:row>
      <xdr:rowOff>144780</xdr:rowOff>
    </xdr:from>
    <xdr:to>
      <xdr:col>2</xdr:col>
      <xdr:colOff>998220</xdr:colOff>
      <xdr:row>22</xdr:row>
      <xdr:rowOff>91440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438400" y="1089660"/>
          <a:ext cx="2362200" cy="3604260"/>
        </a:xfrm>
        <a:prstGeom prst="roundRect">
          <a:avLst>
            <a:gd name="adj" fmla="val 9668"/>
          </a:avLst>
        </a:prstGeom>
        <a:solidFill>
          <a:schemeClr val="bg1"/>
        </a:solidFill>
        <a:ln w="19050">
          <a:solidFill>
            <a:schemeClr val="accent4">
              <a:lumMod val="75000"/>
            </a:schemeClr>
          </a:solidFill>
        </a:ln>
        <a:effectLst>
          <a:outerShdw blurRad="50800" dist="38100" algn="tl" rotWithShape="0">
            <a:prstClr val="black">
              <a:alpha val="26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1013460</xdr:colOff>
      <xdr:row>1</xdr:row>
      <xdr:rowOff>167640</xdr:rowOff>
    </xdr:from>
    <xdr:to>
      <xdr:col>2</xdr:col>
      <xdr:colOff>993738</xdr:colOff>
      <xdr:row>4</xdr:row>
      <xdr:rowOff>39753</xdr:rowOff>
    </xdr:to>
    <xdr:sp macro="" textlink="">
      <xdr:nvSpPr>
        <xdr:cNvPr id="10" name="Retângulo: Cantos Superiores Arredondado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438400" y="929640"/>
          <a:ext cx="2357718" cy="420753"/>
        </a:xfrm>
        <a:prstGeom prst="round2SameRect">
          <a:avLst>
            <a:gd name="adj1" fmla="val 50000"/>
            <a:gd name="adj2" fmla="val 0"/>
          </a:avLst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</xdr:col>
      <xdr:colOff>1103534</xdr:colOff>
      <xdr:row>2</xdr:row>
      <xdr:rowOff>68419</xdr:rowOff>
    </xdr:from>
    <xdr:to>
      <xdr:col>2</xdr:col>
      <xdr:colOff>858184</xdr:colOff>
      <xdr:row>3</xdr:row>
      <xdr:rowOff>154313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528474" y="1013299"/>
          <a:ext cx="2132090" cy="268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1" u="sng">
              <a:solidFill>
                <a:schemeClr val="bg1"/>
              </a:solidFill>
              <a:latin typeface="Montserrat" panose="00000500000000000000" pitchFamily="2" charset="0"/>
            </a:rPr>
            <a:t>Planilha Planejamento</a:t>
          </a:r>
        </a:p>
      </xdr:txBody>
    </xdr:sp>
    <xdr:clientData/>
  </xdr:twoCellAnchor>
  <xdr:twoCellAnchor>
    <xdr:from>
      <xdr:col>2</xdr:col>
      <xdr:colOff>1074420</xdr:colOff>
      <xdr:row>2</xdr:row>
      <xdr:rowOff>129540</xdr:rowOff>
    </xdr:from>
    <xdr:to>
      <xdr:col>5</xdr:col>
      <xdr:colOff>319886</xdr:colOff>
      <xdr:row>22</xdr:row>
      <xdr:rowOff>106680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876800" y="1074420"/>
          <a:ext cx="2339186" cy="3634740"/>
        </a:xfrm>
        <a:prstGeom prst="roundRect">
          <a:avLst>
            <a:gd name="adj" fmla="val 9668"/>
          </a:avLst>
        </a:prstGeom>
        <a:solidFill>
          <a:schemeClr val="bg1"/>
        </a:solidFill>
        <a:ln w="19050">
          <a:solidFill>
            <a:schemeClr val="accent4">
              <a:lumMod val="75000"/>
            </a:schemeClr>
          </a:solidFill>
        </a:ln>
        <a:effectLst>
          <a:outerShdw blurRad="50800" dist="38100" algn="tl" rotWithShape="0">
            <a:prstClr val="black">
              <a:alpha val="26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1074420</xdr:colOff>
      <xdr:row>1</xdr:row>
      <xdr:rowOff>152400</xdr:rowOff>
    </xdr:from>
    <xdr:to>
      <xdr:col>5</xdr:col>
      <xdr:colOff>323178</xdr:colOff>
      <xdr:row>4</xdr:row>
      <xdr:rowOff>24513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876800" y="914400"/>
          <a:ext cx="2342478" cy="420753"/>
        </a:xfrm>
        <a:prstGeom prst="round2SameRect">
          <a:avLst>
            <a:gd name="adj1" fmla="val 50000"/>
            <a:gd name="adj2" fmla="val 0"/>
          </a:avLst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1164494</xdr:colOff>
      <xdr:row>2</xdr:row>
      <xdr:rowOff>53179</xdr:rowOff>
    </xdr:from>
    <xdr:to>
      <xdr:col>5</xdr:col>
      <xdr:colOff>202864</xdr:colOff>
      <xdr:row>3</xdr:row>
      <xdr:rowOff>139073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4966874" y="998059"/>
          <a:ext cx="2132090" cy="268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1" u="sng">
              <a:solidFill>
                <a:schemeClr val="bg1"/>
              </a:solidFill>
              <a:latin typeface="Montserrat" panose="00000500000000000000" pitchFamily="2" charset="0"/>
            </a:rPr>
            <a:t>Dashboard Orçamento</a:t>
          </a:r>
        </a:p>
      </xdr:txBody>
    </xdr:sp>
    <xdr:clientData/>
  </xdr:twoCellAnchor>
  <xdr:twoCellAnchor>
    <xdr:from>
      <xdr:col>0</xdr:col>
      <xdr:colOff>97694</xdr:colOff>
      <xdr:row>14</xdr:row>
      <xdr:rowOff>152239</xdr:rowOff>
    </xdr:from>
    <xdr:to>
      <xdr:col>0</xdr:col>
      <xdr:colOff>119044</xdr:colOff>
      <xdr:row>16</xdr:row>
      <xdr:rowOff>55253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97694" y="3291679"/>
          <a:ext cx="21350" cy="268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200" b="1" u="sng">
              <a:solidFill>
                <a:schemeClr val="bg1"/>
              </a:solidFill>
              <a:latin typeface="Montserrat" panose="00000500000000000000" pitchFamily="2" charset="0"/>
            </a:rPr>
            <a:t>Planilha Produtos</a:t>
          </a:r>
        </a:p>
      </xdr:txBody>
    </xdr:sp>
    <xdr:clientData/>
  </xdr:twoCellAnchor>
  <xdr:twoCellAnchor>
    <xdr:from>
      <xdr:col>0</xdr:col>
      <xdr:colOff>38100</xdr:colOff>
      <xdr:row>4</xdr:row>
      <xdr:rowOff>60960</xdr:rowOff>
    </xdr:from>
    <xdr:to>
      <xdr:col>1</xdr:col>
      <xdr:colOff>937260</xdr:colOff>
      <xdr:row>22</xdr:row>
      <xdr:rowOff>38100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38100" y="1371600"/>
          <a:ext cx="2324100" cy="3268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Preencher a tabela com os</a:t>
          </a:r>
          <a:r>
            <a:rPr lang="pt-BR" sz="1100" b="0" i="0" baseline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custos divididos em cinco categorias: materiais, pessoal, administrativo, operacional e equipamentos. Essas categorias vão abranger os custos de quaisquer orçamentos e é importante que essas categorias não sejam alteradas ou excluídas.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1036320</xdr:colOff>
      <xdr:row>4</xdr:row>
      <xdr:rowOff>22860</xdr:rowOff>
    </xdr:from>
    <xdr:to>
      <xdr:col>2</xdr:col>
      <xdr:colOff>982980</xdr:colOff>
      <xdr:row>22</xdr:row>
      <xdr:rowOff>30480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61260" y="1333500"/>
          <a:ext cx="2324100" cy="3299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Planilha onde são</a:t>
          </a:r>
          <a:r>
            <a:rPr lang="pt-BR" sz="1100" b="0" i="0" baseline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preenchidos os gastos diários. As opções do campo "item" aparecem de acordo com a categoria selecionada, trazendo os itens de cada categoria na aba Cadastro. O campo observação é de preenchimento livre e não altera o funcionamento da planilha. Já na coluna situação é importante atualizar se o gasto já foi executado ou ainda está apenas planejado. O campo valor tota é de preenchimento automático e calculado a partir do valor unitário e da quantidade.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2</xdr:col>
      <xdr:colOff>1082040</xdr:colOff>
      <xdr:row>4</xdr:row>
      <xdr:rowOff>38100</xdr:rowOff>
    </xdr:from>
    <xdr:to>
      <xdr:col>5</xdr:col>
      <xdr:colOff>312420</xdr:colOff>
      <xdr:row>22</xdr:row>
      <xdr:rowOff>15240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4884420" y="1348740"/>
          <a:ext cx="2324100" cy="3268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Dashboard que mostra a participação de cada categoria</a:t>
          </a:r>
          <a:r>
            <a:rPr lang="pt-BR" sz="1100" b="0" i="0" baseline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no orçamento total e mensal, além da % de execução do orçamento e de um demonstrativo da evolução mensal dos gastos orçados. Ao selecionar o ano, são alterados os valores do gráfico orçamento mensal. Os demais campos retornam os valores de todo o orçamento independente  do mês.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60960</xdr:rowOff>
    </xdr:from>
    <xdr:to>
      <xdr:col>0</xdr:col>
      <xdr:colOff>1334249</xdr:colOff>
      <xdr:row>1</xdr:row>
      <xdr:rowOff>421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334249" cy="7014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60960</xdr:rowOff>
    </xdr:from>
    <xdr:to>
      <xdr:col>0</xdr:col>
      <xdr:colOff>1334249</xdr:colOff>
      <xdr:row>1</xdr:row>
      <xdr:rowOff>421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334249" cy="7014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60960</xdr:rowOff>
    </xdr:from>
    <xdr:to>
      <xdr:col>1</xdr:col>
      <xdr:colOff>1334249</xdr:colOff>
      <xdr:row>1</xdr:row>
      <xdr:rowOff>421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334249" cy="7014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11</xdr:row>
      <xdr:rowOff>160020</xdr:rowOff>
    </xdr:from>
    <xdr:to>
      <xdr:col>15</xdr:col>
      <xdr:colOff>449580</xdr:colOff>
      <xdr:row>24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1</xdr:row>
      <xdr:rowOff>0</xdr:rowOff>
    </xdr:from>
    <xdr:to>
      <xdr:col>15</xdr:col>
      <xdr:colOff>388620</xdr:colOff>
      <xdr:row>11</xdr:row>
      <xdr:rowOff>175259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</xdr:colOff>
      <xdr:row>1</xdr:row>
      <xdr:rowOff>0</xdr:rowOff>
    </xdr:from>
    <xdr:to>
      <xdr:col>5</xdr:col>
      <xdr:colOff>502920</xdr:colOff>
      <xdr:row>11</xdr:row>
      <xdr:rowOff>175260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2</xdr:row>
          <xdr:rowOff>0</xdr:rowOff>
        </xdr:from>
        <xdr:to>
          <xdr:col>5</xdr:col>
          <xdr:colOff>381000</xdr:colOff>
          <xdr:row>3</xdr:row>
          <xdr:rowOff>99060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5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144780</xdr:colOff>
      <xdr:row>1</xdr:row>
      <xdr:rowOff>0</xdr:rowOff>
    </xdr:from>
    <xdr:to>
      <xdr:col>10</xdr:col>
      <xdr:colOff>106680</xdr:colOff>
      <xdr:row>12</xdr:row>
      <xdr:rowOff>38099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129540</xdr:colOff>
      <xdr:row>11</xdr:row>
      <xdr:rowOff>152400</xdr:rowOff>
    </xdr:from>
    <xdr:to>
      <xdr:col>15</xdr:col>
      <xdr:colOff>487680</xdr:colOff>
      <xdr:row>11</xdr:row>
      <xdr:rowOff>152400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/>
      </xdr:nvCxnSpPr>
      <xdr:spPr>
        <a:xfrm flipH="1">
          <a:off x="129540" y="2743200"/>
          <a:ext cx="9502140" cy="0"/>
        </a:xfrm>
        <a:prstGeom prst="line">
          <a:avLst/>
        </a:prstGeom>
        <a:ln w="25400"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0</xdr:row>
      <xdr:rowOff>60960</xdr:rowOff>
    </xdr:from>
    <xdr:to>
      <xdr:col>1</xdr:col>
      <xdr:colOff>595109</xdr:colOff>
      <xdr:row>1</xdr:row>
      <xdr:rowOff>421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334249" cy="7014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alfredo_araujo_hashtagtreinamentos_com/Documents/Fred/1%20-%20Youtube/Modelos%20de%20Planilha/Gest&#227;o%20de%20Compras/Gest&#227;o%20de%20Comp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bre a Hashtag"/>
      <sheetName val="Instruções"/>
      <sheetName val="Fornecedores"/>
      <sheetName val="Funcionários"/>
      <sheetName val="Produtos"/>
      <sheetName val="Cotações"/>
      <sheetName val="Compras"/>
      <sheetName val="Análise de Preços"/>
      <sheetName val="Gestão de Compras"/>
      <sheetName val="CALCULOS_GESTÃO_COMPRA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44891-BC1C-4C3A-8C06-C373C9C714A1}" name="Tabela1" displayName="Tabela1" ref="A2:A12" totalsRowShown="0">
  <tableColumns count="1">
    <tableColumn id="1" xr3:uid="{D5ADE8EF-C319-4C0D-A426-F8EF91D363F4}" name="Materiai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BF0E8-A0B0-4E73-9E5E-2FE18FE7420A}" name="Tabela2" displayName="Tabela2" ref="B2:B6" totalsRowShown="0">
  <tableColumns count="1">
    <tableColumn id="1" xr3:uid="{92D9DB7E-9BC2-47A6-905D-8AC5E6B11575}" name="Pessoal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D8835F-B653-4546-B567-97B17A672723}" name="Tabela3" displayName="Tabela3" ref="C2:C6" totalsRowShown="0">
  <tableColumns count="1">
    <tableColumn id="1" xr3:uid="{DED8BE1D-134A-493A-A759-3F22661C9D21}" name="Administrativo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82162-052E-4487-8235-DF2699A5DB8C}" name="Tabela4" displayName="Tabela4" ref="D2:D4" totalsRowShown="0">
  <tableColumns count="1">
    <tableColumn id="1" xr3:uid="{EC6EA983-8B2B-416D-932C-203B5D857ACD}" name="Operacional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E405A6-5EA1-4B46-AFB8-344ADAF347C2}" name="Tabela5" displayName="Tabela5" ref="E2:E5" totalsRowShown="0">
  <tableColumns count="1">
    <tableColumn id="1" xr3:uid="{DEC08195-F853-4D93-914B-B46325DBFF96}" name="Equipamentos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8147F4-4856-49C2-956F-93B7515524F5}" name="Tabela9" displayName="Tabela9" ref="A2:I39" totalsRowShown="0" headerRowDxfId="10" dataDxfId="9">
  <autoFilter ref="A2:I39" xr:uid="{508147F4-4856-49C2-956F-93B7515524F5}"/>
  <sortState xmlns:xlrd2="http://schemas.microsoft.com/office/spreadsheetml/2017/richdata2" ref="A3:I38">
    <sortCondition ref="B2:B38"/>
  </sortState>
  <tableColumns count="9">
    <tableColumn id="9" xr3:uid="{5E756C35-3218-4DAD-A64C-68EC67FF1B8D}" name="Mês" dataDxfId="8">
      <calculatedColumnFormula>MONTH(Tabela9[[#This Row],[Data]])</calculatedColumnFormula>
    </tableColumn>
    <tableColumn id="1" xr3:uid="{2EC6DB2E-D351-44B0-A13E-93309173096B}" name="Data" dataDxfId="7"/>
    <tableColumn id="2" xr3:uid="{1BEDCDD4-21B8-431D-B300-E299EE72C8DA}" name="Categoria" dataDxfId="6"/>
    <tableColumn id="3" xr3:uid="{CE2F1CAF-ECFB-4771-8BFA-8CEB34BCAF24}" name="Item" dataDxfId="5"/>
    <tableColumn id="4" xr3:uid="{D54E51CB-CEEF-48BB-B855-926C9CA82192}" name="Situação" dataDxfId="4"/>
    <tableColumn id="5" xr3:uid="{521453D6-ECFE-4796-A1EF-43AD6F00AF51}" name="Quantidade" dataDxfId="3"/>
    <tableColumn id="6" xr3:uid="{B9546DD0-CE6A-45ED-8136-48672DFE7909}" name="Valor Unitário" dataDxfId="2"/>
    <tableColumn id="7" xr3:uid="{3632ADB6-20E7-4F91-9C82-302A4D497D3A}" name="Valor Total" dataDxfId="1">
      <calculatedColumnFormula>Tabela9[[#This Row],[Quantidade]]*Tabela9[[#This Row],[Valor Unitário]]</calculatedColumnFormula>
    </tableColumn>
    <tableColumn id="8" xr3:uid="{9AB89657-DC99-41B3-8E7F-847BF9894F42}" name="Observação" dataDxfId="0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D6BAF3-B88C-4C59-B77A-44CF1C9651DC}" name="Tabela8" displayName="Tabela8" ref="N1:N6" totalsRowShown="0">
  <tableColumns count="1">
    <tableColumn id="1" xr3:uid="{683A1F81-EEE4-45F9-83BA-387DF23AC804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ercadoaaa@hotmail.com" TargetMode="External"/><Relationship Id="rId2" Type="http://schemas.openxmlformats.org/officeDocument/2006/relationships/hyperlink" Target="mailto:mercadoxyz@yahoo.com" TargetMode="External"/><Relationship Id="rId1" Type="http://schemas.openxmlformats.org/officeDocument/2006/relationships/hyperlink" Target="mailto:emailarc@g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fornecedoralf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236E-9FC6-483B-8F46-D13B419175C0}">
  <sheetPr>
    <tabColor rgb="FF071C03"/>
  </sheetPr>
  <dimension ref="A1:T34"/>
  <sheetViews>
    <sheetView showGridLines="0" showRowColHeaders="0" zoomScaleNormal="100" workbookViewId="0"/>
  </sheetViews>
  <sheetFormatPr defaultColWidth="0" defaultRowHeight="14.4" customHeight="1" zeroHeight="1" x14ac:dyDescent="0.3"/>
  <cols>
    <col min="1" max="9" width="9.109375" customWidth="1"/>
    <col min="10" max="10" width="17.5546875" bestFit="1" customWidth="1"/>
    <col min="11" max="20" width="9.109375" customWidth="1"/>
  </cols>
  <sheetData>
    <row r="1" spans="1:20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10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33" customFormat="1" hidden="1" x14ac:dyDescent="0.3"/>
    <row r="34" customFormat="1" hidden="1" x14ac:dyDescent="0.3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0D0B-CF09-4F21-A499-C32F239F564A}">
  <sheetPr>
    <tabColor theme="4" tint="0.79998168889431442"/>
  </sheetPr>
  <dimension ref="A1:R29"/>
  <sheetViews>
    <sheetView showGridLines="0" zoomScaleNormal="100" workbookViewId="0"/>
  </sheetViews>
  <sheetFormatPr defaultColWidth="0" defaultRowHeight="14.4" zeroHeight="1" x14ac:dyDescent="0.3"/>
  <cols>
    <col min="1" max="1" width="20.77734375" customWidth="1"/>
    <col min="2" max="2" width="34.6640625" customWidth="1"/>
    <col min="3" max="3" width="18" customWidth="1"/>
    <col min="4" max="4" width="18.21875" customWidth="1"/>
    <col min="5" max="5" width="8.88671875" customWidth="1"/>
    <col min="6" max="6" width="5.21875" customWidth="1"/>
  </cols>
  <sheetData>
    <row r="1" spans="1:18" ht="60" customHeight="1" x14ac:dyDescent="0.5">
      <c r="A1" s="12"/>
      <c r="B1" s="13" t="s">
        <v>58</v>
      </c>
      <c r="C1" s="12"/>
      <c r="D1" s="12"/>
      <c r="E1" s="12"/>
      <c r="F1" s="1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4.4" customHeight="1" x14ac:dyDescent="0.3"/>
    <row r="3" spans="1:18" x14ac:dyDescent="0.3"/>
    <row r="4" spans="1:18" x14ac:dyDescent="0.3"/>
    <row r="5" spans="1:18" x14ac:dyDescent="0.3"/>
    <row r="6" spans="1:18" x14ac:dyDescent="0.3"/>
    <row r="7" spans="1:18" x14ac:dyDescent="0.3"/>
    <row r="8" spans="1:18" x14ac:dyDescent="0.3"/>
    <row r="9" spans="1:18" x14ac:dyDescent="0.3"/>
    <row r="10" spans="1:18" x14ac:dyDescent="0.3"/>
    <row r="11" spans="1:18" x14ac:dyDescent="0.3"/>
    <row r="12" spans="1:18" x14ac:dyDescent="0.3"/>
    <row r="13" spans="1:18" x14ac:dyDescent="0.3"/>
    <row r="14" spans="1:18" x14ac:dyDescent="0.3"/>
    <row r="15" spans="1:18" x14ac:dyDescent="0.3"/>
    <row r="16" spans="1:18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hidden="1" x14ac:dyDescent="0.3"/>
    <row r="25" customFormat="1" hidden="1" x14ac:dyDescent="0.3"/>
    <row r="26" customFormat="1" hidden="1" x14ac:dyDescent="0.3"/>
    <row r="27" customFormat="1" hidden="1" x14ac:dyDescent="0.3"/>
    <row r="28" customFormat="1" hidden="1" x14ac:dyDescent="0.3"/>
    <row r="29" customFormat="1" hidden="1" x14ac:dyDescent="0.3"/>
  </sheetData>
  <hyperlinks>
    <hyperlink ref="B4" r:id="rId1" display="emailarc@gmail.com" xr:uid="{4EFA42C1-6BDF-4D52-AF4F-16E9954B4423}"/>
    <hyperlink ref="B5" r:id="rId2" display="mercadoxyz@yahoo.com" xr:uid="{EF4C6AF0-3AA6-4ABE-9125-349652C4252F}"/>
    <hyperlink ref="B6" r:id="rId3" display="mercadoaaa@hotmail.com" xr:uid="{EA03DAAE-087B-4385-980F-4BD5863FC4DC}"/>
    <hyperlink ref="B7" r:id="rId4" display="fornecedoralf@gmail.com" xr:uid="{2AB0DBDF-06EE-4D05-89B0-E044B47CF0B0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showGridLines="0" tabSelected="1" workbookViewId="0"/>
  </sheetViews>
  <sheetFormatPr defaultColWidth="0" defaultRowHeight="14.4" x14ac:dyDescent="0.3"/>
  <cols>
    <col min="1" max="5" width="20.77734375" customWidth="1"/>
    <col min="6" max="7" width="8.88671875" hidden="1" customWidth="1"/>
    <col min="8" max="16" width="0" hidden="1" customWidth="1"/>
    <col min="17" max="16384" width="8.88671875" hidden="1"/>
  </cols>
  <sheetData>
    <row r="1" spans="1:16" ht="60" customHeight="1" x14ac:dyDescent="0.5">
      <c r="A1" s="12"/>
      <c r="B1" s="13" t="s">
        <v>53</v>
      </c>
      <c r="C1" s="13"/>
      <c r="D1" s="13"/>
      <c r="E1" s="12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3">
      <c r="A2" t="s">
        <v>0</v>
      </c>
      <c r="B2" t="s">
        <v>30</v>
      </c>
      <c r="C2" t="s">
        <v>1</v>
      </c>
      <c r="D2" t="s">
        <v>2</v>
      </c>
      <c r="E2" t="s">
        <v>26</v>
      </c>
    </row>
    <row r="3" spans="1:16" x14ac:dyDescent="0.3">
      <c r="A3" t="s">
        <v>36</v>
      </c>
      <c r="B3" t="s">
        <v>9</v>
      </c>
      <c r="C3" t="s">
        <v>12</v>
      </c>
      <c r="D3" t="s">
        <v>20</v>
      </c>
      <c r="E3" t="s">
        <v>24</v>
      </c>
    </row>
    <row r="4" spans="1:16" x14ac:dyDescent="0.3">
      <c r="A4" t="s">
        <v>37</v>
      </c>
      <c r="B4" t="s">
        <v>10</v>
      </c>
      <c r="C4" t="s">
        <v>13</v>
      </c>
      <c r="D4" t="s">
        <v>21</v>
      </c>
      <c r="E4" t="s">
        <v>25</v>
      </c>
    </row>
    <row r="5" spans="1:16" x14ac:dyDescent="0.3">
      <c r="A5" t="s">
        <v>3</v>
      </c>
      <c r="B5" t="s">
        <v>16</v>
      </c>
      <c r="C5" t="s">
        <v>27</v>
      </c>
      <c r="E5" t="s">
        <v>60</v>
      </c>
    </row>
    <row r="6" spans="1:16" x14ac:dyDescent="0.3">
      <c r="A6" t="s">
        <v>4</v>
      </c>
      <c r="B6" t="s">
        <v>11</v>
      </c>
      <c r="C6" t="s">
        <v>28</v>
      </c>
    </row>
    <row r="7" spans="1:16" x14ac:dyDescent="0.3">
      <c r="A7" t="s">
        <v>5</v>
      </c>
    </row>
    <row r="8" spans="1:16" x14ac:dyDescent="0.3">
      <c r="A8" t="s">
        <v>6</v>
      </c>
    </row>
    <row r="9" spans="1:16" x14ac:dyDescent="0.3">
      <c r="A9" t="s">
        <v>7</v>
      </c>
    </row>
    <row r="10" spans="1:16" x14ac:dyDescent="0.3">
      <c r="A10" t="s">
        <v>8</v>
      </c>
    </row>
    <row r="11" spans="1:16" x14ac:dyDescent="0.3">
      <c r="A11" t="s">
        <v>14</v>
      </c>
    </row>
    <row r="12" spans="1:16" x14ac:dyDescent="0.3">
      <c r="A12" t="s">
        <v>15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1AB6-1D21-4238-A53B-9F19B0BD0CB9}">
  <dimension ref="A1:Q39"/>
  <sheetViews>
    <sheetView showGridLines="0" topLeftCell="B1" workbookViewId="0">
      <selection activeCell="B1" sqref="B1"/>
    </sheetView>
  </sheetViews>
  <sheetFormatPr defaultColWidth="0" defaultRowHeight="14.4" x14ac:dyDescent="0.3"/>
  <cols>
    <col min="1" max="1" width="10.5546875" hidden="1" customWidth="1"/>
    <col min="2" max="2" width="20.77734375" customWidth="1"/>
    <col min="3" max="8" width="17.5546875" customWidth="1"/>
    <col min="9" max="9" width="69.77734375" customWidth="1"/>
    <col min="10" max="17" width="0" hidden="1" customWidth="1"/>
    <col min="18" max="16384" width="8.88671875" hidden="1"/>
  </cols>
  <sheetData>
    <row r="1" spans="1:17" ht="60" customHeight="1" x14ac:dyDescent="0.5">
      <c r="A1" s="12"/>
      <c r="B1" s="12"/>
      <c r="C1" s="13" t="s">
        <v>59</v>
      </c>
      <c r="D1" s="13"/>
      <c r="E1" s="13"/>
      <c r="F1" s="12"/>
      <c r="G1" s="12"/>
      <c r="H1" s="12"/>
      <c r="I1" s="12"/>
      <c r="J1" s="11"/>
      <c r="K1" s="11"/>
      <c r="L1" s="11"/>
      <c r="M1" s="11"/>
      <c r="N1" s="11"/>
      <c r="O1" s="11"/>
      <c r="P1" s="11"/>
      <c r="Q1" s="11"/>
    </row>
    <row r="2" spans="1:17" x14ac:dyDescent="0.3">
      <c r="A2" s="4" t="s">
        <v>38</v>
      </c>
      <c r="B2" t="s">
        <v>17</v>
      </c>
      <c r="C2" t="s">
        <v>18</v>
      </c>
      <c r="D2" t="s">
        <v>22</v>
      </c>
      <c r="E2" t="s">
        <v>31</v>
      </c>
      <c r="F2" t="s">
        <v>19</v>
      </c>
      <c r="G2" t="s">
        <v>33</v>
      </c>
      <c r="H2" t="s">
        <v>34</v>
      </c>
      <c r="I2" t="s">
        <v>23</v>
      </c>
    </row>
    <row r="3" spans="1:17" x14ac:dyDescent="0.3">
      <c r="A3" s="5">
        <f>MONTH(Tabela9[[#This Row],[Data]])</f>
        <v>1</v>
      </c>
      <c r="B3" s="6">
        <v>44564</v>
      </c>
      <c r="C3" t="s">
        <v>0</v>
      </c>
      <c r="D3" t="s">
        <v>36</v>
      </c>
      <c r="E3" t="s">
        <v>35</v>
      </c>
      <c r="F3">
        <v>20</v>
      </c>
      <c r="G3">
        <v>35</v>
      </c>
      <c r="H3">
        <f>Tabela9[[#This Row],[Quantidade]]*Tabela9[[#This Row],[Valor Unitário]]</f>
        <v>700</v>
      </c>
    </row>
    <row r="4" spans="1:17" x14ac:dyDescent="0.3">
      <c r="A4" s="5">
        <f>MONTH(Tabela9[[#This Row],[Data]])</f>
        <v>1</v>
      </c>
      <c r="B4" s="6">
        <v>44570</v>
      </c>
      <c r="C4" t="s">
        <v>0</v>
      </c>
      <c r="D4" t="s">
        <v>3</v>
      </c>
      <c r="E4" t="s">
        <v>35</v>
      </c>
      <c r="F4">
        <v>5</v>
      </c>
      <c r="G4">
        <v>90</v>
      </c>
      <c r="H4">
        <f>Tabela9[[#This Row],[Quantidade]]*Tabela9[[#This Row],[Valor Unitário]]</f>
        <v>450</v>
      </c>
    </row>
    <row r="5" spans="1:17" x14ac:dyDescent="0.3">
      <c r="A5" s="5">
        <f>MONTH(Tabela9[[#This Row],[Data]])</f>
        <v>1</v>
      </c>
      <c r="B5" s="6">
        <v>44574</v>
      </c>
      <c r="C5" t="s">
        <v>1</v>
      </c>
      <c r="D5" t="s">
        <v>12</v>
      </c>
      <c r="E5" t="s">
        <v>35</v>
      </c>
      <c r="F5">
        <v>1</v>
      </c>
      <c r="G5">
        <v>200</v>
      </c>
      <c r="H5">
        <f>Tabela9[[#This Row],[Quantidade]]*Tabela9[[#This Row],[Valor Unitário]]</f>
        <v>200</v>
      </c>
      <c r="I5" t="s">
        <v>56</v>
      </c>
    </row>
    <row r="6" spans="1:17" x14ac:dyDescent="0.3">
      <c r="A6" s="5">
        <f>MONTH(Tabela9[[#This Row],[Data]])</f>
        <v>1</v>
      </c>
      <c r="B6" s="6">
        <v>44579</v>
      </c>
      <c r="C6" t="s">
        <v>30</v>
      </c>
      <c r="D6" t="s">
        <v>10</v>
      </c>
      <c r="E6" t="s">
        <v>35</v>
      </c>
      <c r="F6">
        <v>2</v>
      </c>
      <c r="G6">
        <v>200</v>
      </c>
      <c r="H6">
        <f>Tabela9[[#This Row],[Quantidade]]*Tabela9[[#This Row],[Valor Unitário]]</f>
        <v>400</v>
      </c>
      <c r="I6" t="s">
        <v>55</v>
      </c>
    </row>
    <row r="7" spans="1:17" x14ac:dyDescent="0.3">
      <c r="A7" s="5">
        <f>MONTH(Tabela9[[#This Row],[Data]])</f>
        <v>1</v>
      </c>
      <c r="B7" s="6">
        <v>44583</v>
      </c>
      <c r="C7" t="s">
        <v>2</v>
      </c>
      <c r="D7" t="s">
        <v>21</v>
      </c>
      <c r="E7" t="s">
        <v>32</v>
      </c>
      <c r="F7">
        <v>3</v>
      </c>
      <c r="G7">
        <v>5</v>
      </c>
      <c r="H7">
        <f>Tabela9[[#This Row],[Quantidade]]*Tabela9[[#This Row],[Valor Unitário]]</f>
        <v>15</v>
      </c>
    </row>
    <row r="8" spans="1:17" x14ac:dyDescent="0.3">
      <c r="A8" s="5">
        <f>MONTH(Tabela9[[#This Row],[Data]])</f>
        <v>2</v>
      </c>
      <c r="B8" s="6">
        <v>44596</v>
      </c>
      <c r="C8" t="s">
        <v>0</v>
      </c>
      <c r="D8" t="s">
        <v>15</v>
      </c>
      <c r="E8" t="s">
        <v>32</v>
      </c>
      <c r="F8">
        <v>2</v>
      </c>
      <c r="G8">
        <v>3</v>
      </c>
      <c r="H8">
        <f>Tabela9[[#This Row],[Quantidade]]*Tabela9[[#This Row],[Valor Unitário]]</f>
        <v>6</v>
      </c>
    </row>
    <row r="9" spans="1:17" x14ac:dyDescent="0.3">
      <c r="A9" s="5">
        <f>MONTH(Tabela9[[#This Row],[Data]])</f>
        <v>2</v>
      </c>
      <c r="B9" s="6">
        <v>44598</v>
      </c>
      <c r="C9" t="s">
        <v>0</v>
      </c>
      <c r="D9" t="s">
        <v>37</v>
      </c>
      <c r="E9" t="s">
        <v>32</v>
      </c>
      <c r="F9">
        <v>1</v>
      </c>
      <c r="G9">
        <v>115</v>
      </c>
      <c r="H9">
        <f>Tabela9[[#This Row],[Quantidade]]*Tabela9[[#This Row],[Valor Unitário]]</f>
        <v>115</v>
      </c>
    </row>
    <row r="10" spans="1:17" x14ac:dyDescent="0.3">
      <c r="A10" s="5">
        <f>MONTH(Tabela9[[#This Row],[Data]])</f>
        <v>2</v>
      </c>
      <c r="B10" s="6">
        <v>44603</v>
      </c>
      <c r="C10" t="s">
        <v>26</v>
      </c>
      <c r="D10" t="s">
        <v>25</v>
      </c>
      <c r="E10" t="s">
        <v>32</v>
      </c>
      <c r="F10">
        <v>2</v>
      </c>
      <c r="G10">
        <v>30</v>
      </c>
      <c r="H10">
        <f>Tabela9[[#This Row],[Quantidade]]*Tabela9[[#This Row],[Valor Unitário]]</f>
        <v>60</v>
      </c>
    </row>
    <row r="11" spans="1:17" x14ac:dyDescent="0.3">
      <c r="A11" s="5">
        <f>MONTH(Tabela9[[#This Row],[Data]])</f>
        <v>2</v>
      </c>
      <c r="B11" s="6">
        <v>44605</v>
      </c>
      <c r="C11" t="s">
        <v>0</v>
      </c>
      <c r="D11" t="s">
        <v>37</v>
      </c>
      <c r="E11" t="s">
        <v>35</v>
      </c>
      <c r="F11">
        <v>2</v>
      </c>
      <c r="G11">
        <v>110</v>
      </c>
      <c r="H11">
        <f>Tabela9[[#This Row],[Quantidade]]*Tabela9[[#This Row],[Valor Unitário]]</f>
        <v>220</v>
      </c>
    </row>
    <row r="12" spans="1:17" x14ac:dyDescent="0.3">
      <c r="A12" s="5">
        <f>MONTH(Tabela9[[#This Row],[Data]])</f>
        <v>2</v>
      </c>
      <c r="B12" s="6">
        <v>44605</v>
      </c>
      <c r="C12" t="s">
        <v>26</v>
      </c>
      <c r="D12" t="s">
        <v>24</v>
      </c>
      <c r="E12" t="s">
        <v>32</v>
      </c>
      <c r="F12">
        <v>20</v>
      </c>
      <c r="G12">
        <v>1</v>
      </c>
      <c r="H12">
        <f>Tabela9[[#This Row],[Quantidade]]*Tabela9[[#This Row],[Valor Unitário]]</f>
        <v>20</v>
      </c>
    </row>
    <row r="13" spans="1:17" x14ac:dyDescent="0.3">
      <c r="A13" s="5">
        <f>MONTH(Tabela9[[#This Row],[Data]])</f>
        <v>3</v>
      </c>
      <c r="B13" s="6">
        <v>44629</v>
      </c>
      <c r="C13" t="s">
        <v>0</v>
      </c>
      <c r="D13" t="s">
        <v>14</v>
      </c>
      <c r="E13" t="s">
        <v>35</v>
      </c>
      <c r="F13">
        <v>2</v>
      </c>
      <c r="G13">
        <v>16</v>
      </c>
      <c r="H13">
        <f>Tabela9[[#This Row],[Quantidade]]*Tabela9[[#This Row],[Valor Unitário]]</f>
        <v>32</v>
      </c>
    </row>
    <row r="14" spans="1:17" x14ac:dyDescent="0.3">
      <c r="A14" s="5">
        <f>MONTH(Tabela9[[#This Row],[Data]])</f>
        <v>3</v>
      </c>
      <c r="B14" s="6">
        <v>44635</v>
      </c>
      <c r="C14" t="s">
        <v>30</v>
      </c>
      <c r="D14" t="s">
        <v>16</v>
      </c>
      <c r="E14" t="s">
        <v>32</v>
      </c>
      <c r="F14">
        <v>2</v>
      </c>
      <c r="G14">
        <v>100</v>
      </c>
      <c r="H14">
        <f>Tabela9[[#This Row],[Quantidade]]*Tabela9[[#This Row],[Valor Unitário]]</f>
        <v>200</v>
      </c>
    </row>
    <row r="15" spans="1:17" x14ac:dyDescent="0.3">
      <c r="A15" s="5">
        <f>MONTH(Tabela9[[#This Row],[Data]])</f>
        <v>3</v>
      </c>
      <c r="B15" s="6">
        <v>44640</v>
      </c>
      <c r="C15" t="s">
        <v>1</v>
      </c>
      <c r="D15" t="s">
        <v>13</v>
      </c>
      <c r="E15" t="s">
        <v>32</v>
      </c>
      <c r="F15">
        <v>1</v>
      </c>
      <c r="G15">
        <v>100</v>
      </c>
      <c r="H15">
        <f>Tabela9[[#This Row],[Quantidade]]*Tabela9[[#This Row],[Valor Unitário]]</f>
        <v>100</v>
      </c>
    </row>
    <row r="16" spans="1:17" x14ac:dyDescent="0.3">
      <c r="A16" s="5">
        <f>MONTH(Tabela9[[#This Row],[Data]])</f>
        <v>3</v>
      </c>
      <c r="B16" s="6">
        <v>44651</v>
      </c>
      <c r="C16" t="s">
        <v>0</v>
      </c>
      <c r="D16" t="s">
        <v>6</v>
      </c>
      <c r="E16" t="s">
        <v>32</v>
      </c>
      <c r="F16">
        <v>2</v>
      </c>
      <c r="G16">
        <v>320</v>
      </c>
      <c r="H16">
        <f>Tabela9[[#This Row],[Quantidade]]*Tabela9[[#This Row],[Valor Unitário]]</f>
        <v>640</v>
      </c>
    </row>
    <row r="17" spans="1:9" x14ac:dyDescent="0.3">
      <c r="A17" s="5">
        <f>MONTH(Tabela9[[#This Row],[Data]])</f>
        <v>4</v>
      </c>
      <c r="B17" s="6">
        <v>44657</v>
      </c>
      <c r="C17" t="s">
        <v>0</v>
      </c>
      <c r="D17" t="s">
        <v>4</v>
      </c>
      <c r="E17" t="s">
        <v>32</v>
      </c>
      <c r="F17">
        <v>5</v>
      </c>
      <c r="G17">
        <v>70</v>
      </c>
      <c r="H17">
        <f>Tabela9[[#This Row],[Quantidade]]*Tabela9[[#This Row],[Valor Unitário]]</f>
        <v>350</v>
      </c>
    </row>
    <row r="18" spans="1:9" x14ac:dyDescent="0.3">
      <c r="A18" s="5">
        <f>MONTH(Tabela9[[#This Row],[Data]])</f>
        <v>4</v>
      </c>
      <c r="B18" s="6">
        <v>44662</v>
      </c>
      <c r="C18" t="s">
        <v>30</v>
      </c>
      <c r="D18" t="s">
        <v>9</v>
      </c>
      <c r="E18" t="s">
        <v>32</v>
      </c>
      <c r="F18">
        <v>2</v>
      </c>
      <c r="G18">
        <v>180</v>
      </c>
      <c r="H18">
        <f>Tabela9[[#This Row],[Quantidade]]*Tabela9[[#This Row],[Valor Unitário]]</f>
        <v>360</v>
      </c>
    </row>
    <row r="19" spans="1:9" x14ac:dyDescent="0.3">
      <c r="A19" s="5">
        <f>MONTH(Tabela9[[#This Row],[Data]])</f>
        <v>5</v>
      </c>
      <c r="B19" s="6">
        <v>44684</v>
      </c>
      <c r="C19" t="s">
        <v>0</v>
      </c>
      <c r="D19" t="s">
        <v>36</v>
      </c>
      <c r="E19" t="s">
        <v>35</v>
      </c>
      <c r="F19">
        <v>15</v>
      </c>
      <c r="G19">
        <v>36</v>
      </c>
      <c r="H19">
        <f>Tabela9[[#This Row],[Quantidade]]*Tabela9[[#This Row],[Valor Unitário]]</f>
        <v>540</v>
      </c>
      <c r="I19" t="s">
        <v>57</v>
      </c>
    </row>
    <row r="20" spans="1:9" x14ac:dyDescent="0.3">
      <c r="A20" s="5">
        <f>MONTH(Tabela9[[#This Row],[Data]])</f>
        <v>5</v>
      </c>
      <c r="B20" s="6">
        <v>44697</v>
      </c>
      <c r="C20" t="s">
        <v>2</v>
      </c>
      <c r="D20" t="s">
        <v>21</v>
      </c>
      <c r="E20" t="s">
        <v>32</v>
      </c>
      <c r="F20">
        <v>5</v>
      </c>
      <c r="G20">
        <v>5</v>
      </c>
      <c r="H20">
        <f>Tabela9[[#This Row],[Quantidade]]*Tabela9[[#This Row],[Valor Unitário]]</f>
        <v>25</v>
      </c>
    </row>
    <row r="21" spans="1:9" x14ac:dyDescent="0.3">
      <c r="A21" s="5">
        <f>MONTH(Tabela9[[#This Row],[Data]])</f>
        <v>6</v>
      </c>
      <c r="B21" s="6">
        <v>44715</v>
      </c>
      <c r="C21" t="s">
        <v>0</v>
      </c>
      <c r="D21" t="s">
        <v>36</v>
      </c>
      <c r="E21" t="s">
        <v>35</v>
      </c>
      <c r="F21" s="7">
        <v>20</v>
      </c>
      <c r="G21">
        <v>35</v>
      </c>
      <c r="H21">
        <f>Tabela9[[#This Row],[Quantidade]]*Tabela9[[#This Row],[Valor Unitário]]</f>
        <v>700</v>
      </c>
    </row>
    <row r="22" spans="1:9" x14ac:dyDescent="0.3">
      <c r="A22" s="8">
        <f>MONTH(Tabela9[[#This Row],[Data]])</f>
        <v>6</v>
      </c>
      <c r="B22" s="6">
        <v>44715</v>
      </c>
      <c r="C22" t="s">
        <v>0</v>
      </c>
      <c r="D22" t="s">
        <v>36</v>
      </c>
      <c r="E22" t="s">
        <v>35</v>
      </c>
      <c r="F22" s="7">
        <v>15</v>
      </c>
      <c r="G22">
        <v>36</v>
      </c>
      <c r="H22">
        <f>Tabela9[[#This Row],[Quantidade]]*Tabela9[[#This Row],[Valor Unitário]]</f>
        <v>540</v>
      </c>
    </row>
    <row r="23" spans="1:9" x14ac:dyDescent="0.3">
      <c r="A23" s="8">
        <f>MONTH(Tabela9[[#This Row],[Data]])</f>
        <v>7</v>
      </c>
      <c r="B23" s="6">
        <v>44751</v>
      </c>
      <c r="C23" t="s">
        <v>0</v>
      </c>
      <c r="D23" t="s">
        <v>3</v>
      </c>
      <c r="E23" t="s">
        <v>35</v>
      </c>
      <c r="F23">
        <v>5</v>
      </c>
      <c r="G23">
        <v>90</v>
      </c>
      <c r="H23">
        <f>Tabela9[[#This Row],[Quantidade]]*Tabela9[[#This Row],[Valor Unitário]]</f>
        <v>450</v>
      </c>
    </row>
    <row r="24" spans="1:9" x14ac:dyDescent="0.3">
      <c r="A24" s="8">
        <f>MONTH(Tabela9[[#This Row],[Data]])</f>
        <v>7</v>
      </c>
      <c r="B24" s="6">
        <v>44755</v>
      </c>
      <c r="C24" t="s">
        <v>1</v>
      </c>
      <c r="D24" t="s">
        <v>12</v>
      </c>
      <c r="E24" t="s">
        <v>35</v>
      </c>
      <c r="F24">
        <v>1</v>
      </c>
      <c r="G24">
        <v>200</v>
      </c>
      <c r="H24">
        <f>Tabela9[[#This Row],[Quantidade]]*Tabela9[[#This Row],[Valor Unitário]]</f>
        <v>200</v>
      </c>
    </row>
    <row r="25" spans="1:9" x14ac:dyDescent="0.3">
      <c r="A25" s="8">
        <f>MONTH(Tabela9[[#This Row],[Data]])</f>
        <v>8</v>
      </c>
      <c r="B25" s="6">
        <v>44789</v>
      </c>
      <c r="C25" t="s">
        <v>2</v>
      </c>
      <c r="D25" t="s">
        <v>21</v>
      </c>
      <c r="E25" t="s">
        <v>32</v>
      </c>
      <c r="F25">
        <v>5</v>
      </c>
      <c r="G25">
        <v>5</v>
      </c>
      <c r="H25">
        <f>Tabela9[[#This Row],[Quantidade]]*Tabela9[[#This Row],[Valor Unitário]]</f>
        <v>25</v>
      </c>
    </row>
    <row r="26" spans="1:9" x14ac:dyDescent="0.3">
      <c r="A26" s="8">
        <f>MONTH(Tabela9[[#This Row],[Data]])</f>
        <v>8</v>
      </c>
      <c r="B26" s="6">
        <v>44791</v>
      </c>
      <c r="C26" t="s">
        <v>30</v>
      </c>
      <c r="D26" t="s">
        <v>10</v>
      </c>
      <c r="E26" t="s">
        <v>35</v>
      </c>
      <c r="F26">
        <v>2</v>
      </c>
      <c r="G26">
        <v>200</v>
      </c>
      <c r="H26">
        <f>Tabela9[[#This Row],[Quantidade]]*Tabela9[[#This Row],[Valor Unitário]]</f>
        <v>400</v>
      </c>
    </row>
    <row r="27" spans="1:9" x14ac:dyDescent="0.3">
      <c r="A27" s="8">
        <f>MONTH(Tabela9[[#This Row],[Data]])</f>
        <v>8</v>
      </c>
      <c r="B27" s="6">
        <v>44804</v>
      </c>
      <c r="C27" t="s">
        <v>0</v>
      </c>
      <c r="D27" t="s">
        <v>6</v>
      </c>
      <c r="E27" t="s">
        <v>32</v>
      </c>
      <c r="F27">
        <v>2</v>
      </c>
      <c r="G27">
        <v>320</v>
      </c>
      <c r="H27">
        <f>Tabela9[[#This Row],[Quantidade]]*Tabela9[[#This Row],[Valor Unitário]]</f>
        <v>640</v>
      </c>
    </row>
    <row r="28" spans="1:9" x14ac:dyDescent="0.3">
      <c r="A28" s="8">
        <f>MONTH(Tabela9[[#This Row],[Data]])</f>
        <v>9</v>
      </c>
      <c r="B28" s="6">
        <v>44808</v>
      </c>
      <c r="C28" t="s">
        <v>0</v>
      </c>
      <c r="D28" t="s">
        <v>15</v>
      </c>
      <c r="E28" t="s">
        <v>32</v>
      </c>
      <c r="F28">
        <v>2</v>
      </c>
      <c r="G28">
        <v>3</v>
      </c>
      <c r="H28">
        <f>Tabela9[[#This Row],[Quantidade]]*Tabela9[[#This Row],[Valor Unitário]]</f>
        <v>6</v>
      </c>
    </row>
    <row r="29" spans="1:9" x14ac:dyDescent="0.3">
      <c r="A29" s="8">
        <f>MONTH(Tabela9[[#This Row],[Data]])</f>
        <v>9</v>
      </c>
      <c r="B29" s="6">
        <v>44815</v>
      </c>
      <c r="C29" t="s">
        <v>30</v>
      </c>
      <c r="D29" t="s">
        <v>9</v>
      </c>
      <c r="E29" t="s">
        <v>32</v>
      </c>
      <c r="F29">
        <v>2</v>
      </c>
      <c r="G29">
        <v>180</v>
      </c>
      <c r="H29">
        <f>Tabela9[[#This Row],[Quantidade]]*Tabela9[[#This Row],[Valor Unitário]]</f>
        <v>360</v>
      </c>
    </row>
    <row r="30" spans="1:9" x14ac:dyDescent="0.3">
      <c r="A30" s="8">
        <f>MONTH(Tabela9[[#This Row],[Data]])</f>
        <v>9</v>
      </c>
      <c r="B30" s="6">
        <v>44826</v>
      </c>
      <c r="C30" t="s">
        <v>2</v>
      </c>
      <c r="D30" t="s">
        <v>21</v>
      </c>
      <c r="E30" t="s">
        <v>32</v>
      </c>
      <c r="F30">
        <v>3</v>
      </c>
      <c r="G30">
        <v>5</v>
      </c>
      <c r="H30">
        <f>Tabela9[[#This Row],[Quantidade]]*Tabela9[[#This Row],[Valor Unitário]]</f>
        <v>15</v>
      </c>
    </row>
    <row r="31" spans="1:9" x14ac:dyDescent="0.3">
      <c r="A31" s="8">
        <f>MONTH(Tabela9[[#This Row],[Data]])</f>
        <v>10</v>
      </c>
      <c r="B31" s="6">
        <v>44840</v>
      </c>
      <c r="C31" t="s">
        <v>0</v>
      </c>
      <c r="D31" t="s">
        <v>4</v>
      </c>
      <c r="E31" t="s">
        <v>32</v>
      </c>
      <c r="F31">
        <v>5</v>
      </c>
      <c r="G31">
        <v>70</v>
      </c>
      <c r="H31">
        <f>Tabela9[[#This Row],[Quantidade]]*Tabela9[[#This Row],[Valor Unitário]]</f>
        <v>350</v>
      </c>
    </row>
    <row r="32" spans="1:9" x14ac:dyDescent="0.3">
      <c r="A32" s="8">
        <f>MONTH(Tabela9[[#This Row],[Data]])</f>
        <v>10</v>
      </c>
      <c r="B32" s="6">
        <v>44840</v>
      </c>
      <c r="C32" t="s">
        <v>0</v>
      </c>
      <c r="D32" t="s">
        <v>37</v>
      </c>
      <c r="E32" t="s">
        <v>32</v>
      </c>
      <c r="F32">
        <v>1</v>
      </c>
      <c r="G32">
        <v>115</v>
      </c>
      <c r="H32">
        <f>Tabela9[[#This Row],[Quantidade]]*Tabela9[[#This Row],[Valor Unitário]]</f>
        <v>115</v>
      </c>
    </row>
    <row r="33" spans="1:8" x14ac:dyDescent="0.3">
      <c r="A33" s="8">
        <f>MONTH(Tabela9[[#This Row],[Data]])</f>
        <v>10</v>
      </c>
      <c r="B33" s="6">
        <v>44854</v>
      </c>
      <c r="C33" t="s">
        <v>1</v>
      </c>
      <c r="D33" t="s">
        <v>13</v>
      </c>
      <c r="E33" t="s">
        <v>32</v>
      </c>
      <c r="F33">
        <v>1</v>
      </c>
      <c r="G33">
        <v>100</v>
      </c>
      <c r="H33">
        <f>Tabela9[[#This Row],[Quantidade]]*Tabela9[[#This Row],[Valor Unitário]]</f>
        <v>100</v>
      </c>
    </row>
    <row r="34" spans="1:8" x14ac:dyDescent="0.3">
      <c r="A34" s="8">
        <f>MONTH(Tabela9[[#This Row],[Data]])</f>
        <v>11</v>
      </c>
      <c r="B34" s="6">
        <v>44876</v>
      </c>
      <c r="C34" t="s">
        <v>26</v>
      </c>
      <c r="D34" t="s">
        <v>25</v>
      </c>
      <c r="E34" t="s">
        <v>32</v>
      </c>
      <c r="F34">
        <v>2</v>
      </c>
      <c r="G34">
        <v>30</v>
      </c>
      <c r="H34">
        <f>Tabela9[[#This Row],[Quantidade]]*Tabela9[[#This Row],[Valor Unitário]]</f>
        <v>60</v>
      </c>
    </row>
    <row r="35" spans="1:8" x14ac:dyDescent="0.3">
      <c r="A35" s="8">
        <f>MONTH(Tabela9[[#This Row],[Data]])</f>
        <v>11</v>
      </c>
      <c r="B35" s="6">
        <v>44878</v>
      </c>
      <c r="C35" t="s">
        <v>0</v>
      </c>
      <c r="D35" t="s">
        <v>37</v>
      </c>
      <c r="E35" t="s">
        <v>35</v>
      </c>
      <c r="F35">
        <v>2</v>
      </c>
      <c r="G35">
        <v>110</v>
      </c>
      <c r="H35">
        <f>Tabela9[[#This Row],[Quantidade]]*Tabela9[[#This Row],[Valor Unitário]]</f>
        <v>220</v>
      </c>
    </row>
    <row r="36" spans="1:8" x14ac:dyDescent="0.3">
      <c r="A36" s="8">
        <f>MONTH(Tabela9[[#This Row],[Data]])</f>
        <v>11</v>
      </c>
      <c r="B36" s="6">
        <v>44880</v>
      </c>
      <c r="C36" t="s">
        <v>30</v>
      </c>
      <c r="D36" t="s">
        <v>16</v>
      </c>
      <c r="E36" t="s">
        <v>32</v>
      </c>
      <c r="F36">
        <v>2</v>
      </c>
      <c r="G36">
        <v>100</v>
      </c>
      <c r="H36">
        <f>Tabela9[[#This Row],[Quantidade]]*Tabela9[[#This Row],[Valor Unitário]]</f>
        <v>200</v>
      </c>
    </row>
    <row r="37" spans="1:8" x14ac:dyDescent="0.3">
      <c r="A37" s="8">
        <f>MONTH(Tabela9[[#This Row],[Data]])</f>
        <v>12</v>
      </c>
      <c r="B37" s="6">
        <v>44904</v>
      </c>
      <c r="C37" t="s">
        <v>0</v>
      </c>
      <c r="D37" t="s">
        <v>14</v>
      </c>
      <c r="E37" t="s">
        <v>35</v>
      </c>
      <c r="F37">
        <v>2</v>
      </c>
      <c r="G37">
        <v>16</v>
      </c>
      <c r="H37">
        <f>Tabela9[[#This Row],[Quantidade]]*Tabela9[[#This Row],[Valor Unitário]]</f>
        <v>32</v>
      </c>
    </row>
    <row r="38" spans="1:8" x14ac:dyDescent="0.3">
      <c r="A38" s="8">
        <f>MONTH(Tabela9[[#This Row],[Data]])</f>
        <v>12</v>
      </c>
      <c r="B38" s="6">
        <v>44908</v>
      </c>
      <c r="C38" t="s">
        <v>26</v>
      </c>
      <c r="D38" t="s">
        <v>24</v>
      </c>
      <c r="E38" t="s">
        <v>32</v>
      </c>
      <c r="F38">
        <v>20</v>
      </c>
      <c r="G38">
        <v>1</v>
      </c>
      <c r="H38">
        <f>Tabela9[[#This Row],[Quantidade]]*Tabela9[[#This Row],[Valor Unitário]]</f>
        <v>20</v>
      </c>
    </row>
    <row r="39" spans="1:8" x14ac:dyDescent="0.3">
      <c r="A39" s="5">
        <f>MONTH(Tabela9[[#This Row],[Data]])</f>
        <v>12</v>
      </c>
      <c r="B39" s="6">
        <v>44910</v>
      </c>
      <c r="C39" t="s">
        <v>0</v>
      </c>
      <c r="H39">
        <f>Tabela9[[#This Row],[Quantidade]]*Tabela9[[#This Row],[Valor Unitário]]</f>
        <v>0</v>
      </c>
    </row>
  </sheetData>
  <dataValidations count="3">
    <dataValidation type="list" allowBlank="1" showInputMessage="1" showErrorMessage="1" sqref="C3:C39" xr:uid="{CB260A24-053D-43D9-9133-186C658F5392}">
      <formula1>INDIRECT("Categorias")</formula1>
    </dataValidation>
    <dataValidation type="list" allowBlank="1" showInputMessage="1" showErrorMessage="1" sqref="E3:E39" xr:uid="{09E3F388-7DB8-4C25-B4DE-07AA751E122D}">
      <formula1>"Planejado,Realizado"</formula1>
    </dataValidation>
    <dataValidation type="list" allowBlank="1" showInputMessage="1" showErrorMessage="1" sqref="D3:D39" xr:uid="{2EBD64E9-540C-49B9-95B7-506E0E468775}">
      <formula1>INDIRECT(C3)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6414-479D-40E2-A892-CD24D87CE27F}">
  <dimension ref="A1:N16"/>
  <sheetViews>
    <sheetView showGridLines="0" workbookViewId="0">
      <selection activeCell="N13" sqref="N13"/>
    </sheetView>
  </sheetViews>
  <sheetFormatPr defaultRowHeight="14.4" x14ac:dyDescent="0.3"/>
  <cols>
    <col min="1" max="1" width="12.77734375" bestFit="1" customWidth="1"/>
    <col min="2" max="2" width="10.5546875" bestFit="1" customWidth="1"/>
    <col min="3" max="3" width="9" bestFit="1" customWidth="1"/>
    <col min="6" max="6" width="10.5546875" bestFit="1" customWidth="1"/>
  </cols>
  <sheetData>
    <row r="1" spans="1:14" x14ac:dyDescent="0.3">
      <c r="A1">
        <v>5</v>
      </c>
      <c r="B1" t="s">
        <v>39</v>
      </c>
      <c r="C1" t="s">
        <v>40</v>
      </c>
      <c r="G1" t="s">
        <v>0</v>
      </c>
      <c r="H1" t="s">
        <v>30</v>
      </c>
      <c r="I1" t="s">
        <v>1</v>
      </c>
      <c r="J1" t="s">
        <v>2</v>
      </c>
      <c r="K1" t="s">
        <v>26</v>
      </c>
      <c r="N1" t="s">
        <v>29</v>
      </c>
    </row>
    <row r="2" spans="1:14" x14ac:dyDescent="0.3">
      <c r="A2" t="s">
        <v>0</v>
      </c>
      <c r="B2" s="2">
        <f>SUMIFS(Planejamento!H:H,Planejamento!C:C,'Cálculos Orçamento'!A2)</f>
        <v>6106</v>
      </c>
      <c r="C2" s="2">
        <f>SUMIFS(Planejamento!H:H,Planejamento!C:C,'Cálculos Orçamento'!A2,Planejamento!A:A,'Cálculos Orçamento'!$A$1)</f>
        <v>540</v>
      </c>
      <c r="E2">
        <v>1</v>
      </c>
      <c r="F2" t="s">
        <v>41</v>
      </c>
      <c r="G2">
        <f>SUMIFS(Planejamento!$H:$H,Planejamento!$A:$A,'Cálculos Orçamento'!$E2,Planejamento!$C:$C,'Cálculos Orçamento'!G$1)</f>
        <v>1150</v>
      </c>
      <c r="H2">
        <f>SUMIFS(Planejamento!$H:$H,Planejamento!$A:$A,'Cálculos Orçamento'!$E2,Planejamento!$C:$C,'Cálculos Orçamento'!H$1)</f>
        <v>400</v>
      </c>
      <c r="I2">
        <f>SUMIFS(Planejamento!$H:$H,Planejamento!$A:$A,'Cálculos Orçamento'!$E2,Planejamento!$C:$C,'Cálculos Orçamento'!I$1)</f>
        <v>200</v>
      </c>
      <c r="J2">
        <f>SUMIFS(Planejamento!$H:$H,Planejamento!$A:$A,'Cálculos Orçamento'!$E2,Planejamento!$C:$C,'Cálculos Orçamento'!J$1)</f>
        <v>15</v>
      </c>
      <c r="K2">
        <f>SUMIFS(Planejamento!$H:$H,Planejamento!$A:$A,'Cálculos Orçamento'!$E2,Planejamento!$C:$C,'Cálculos Orçamento'!K$1)</f>
        <v>0</v>
      </c>
      <c r="N2" t="s">
        <v>0</v>
      </c>
    </row>
    <row r="3" spans="1:14" x14ac:dyDescent="0.3">
      <c r="A3" t="s">
        <v>30</v>
      </c>
      <c r="B3" s="2">
        <f>SUMIFS(Planejamento!H:H,Planejamento!C:C,'Cálculos Orçamento'!A3)</f>
        <v>1920</v>
      </c>
      <c r="C3" s="2">
        <f>SUMIFS(Planejamento!H:H,Planejamento!C:C,'Cálculos Orçamento'!A3,Planejamento!A:A,'Cálculos Orçamento'!$A$1)</f>
        <v>0</v>
      </c>
      <c r="E3">
        <v>2</v>
      </c>
      <c r="F3" t="s">
        <v>42</v>
      </c>
      <c r="G3">
        <f>SUMIFS(Planejamento!$H:$H,Planejamento!$A:$A,'Cálculos Orçamento'!$E3,Planejamento!$C:$C,'Cálculos Orçamento'!G$1)</f>
        <v>341</v>
      </c>
      <c r="H3">
        <f>SUMIFS(Planejamento!$H:$H,Planejamento!$A:$A,'Cálculos Orçamento'!$E3,Planejamento!$C:$C,'Cálculos Orçamento'!H$1)</f>
        <v>0</v>
      </c>
      <c r="I3">
        <f>SUMIFS(Planejamento!$H:$H,Planejamento!$A:$A,'Cálculos Orçamento'!$E3,Planejamento!$C:$C,'Cálculos Orçamento'!I$1)</f>
        <v>0</v>
      </c>
      <c r="J3">
        <f>SUMIFS(Planejamento!$H:$H,Planejamento!$A:$A,'Cálculos Orçamento'!$E3,Planejamento!$C:$C,'Cálculos Orçamento'!J$1)</f>
        <v>0</v>
      </c>
      <c r="K3">
        <f>SUMIFS(Planejamento!$H:$H,Planejamento!$A:$A,'Cálculos Orçamento'!$E3,Planejamento!$C:$C,'Cálculos Orçamento'!K$1)</f>
        <v>80</v>
      </c>
      <c r="N3" t="s">
        <v>30</v>
      </c>
    </row>
    <row r="4" spans="1:14" x14ac:dyDescent="0.3">
      <c r="A4" t="s">
        <v>1</v>
      </c>
      <c r="B4" s="2">
        <f>SUMIFS(Planejamento!H:H,Planejamento!C:C,'Cálculos Orçamento'!A4)</f>
        <v>600</v>
      </c>
      <c r="C4" s="2">
        <f>SUMIFS(Planejamento!H:H,Planejamento!C:C,'Cálculos Orçamento'!A4,Planejamento!A:A,'Cálculos Orçamento'!$A$1)</f>
        <v>0</v>
      </c>
      <c r="E4">
        <v>3</v>
      </c>
      <c r="F4" t="s">
        <v>43</v>
      </c>
      <c r="G4">
        <f>SUMIFS(Planejamento!$H:$H,Planejamento!$A:$A,'Cálculos Orçamento'!$E4,Planejamento!$C:$C,'Cálculos Orçamento'!G$1)</f>
        <v>672</v>
      </c>
      <c r="H4">
        <f>SUMIFS(Planejamento!$H:$H,Planejamento!$A:$A,'Cálculos Orçamento'!$E4,Planejamento!$C:$C,'Cálculos Orçamento'!H$1)</f>
        <v>200</v>
      </c>
      <c r="I4">
        <f>SUMIFS(Planejamento!$H:$H,Planejamento!$A:$A,'Cálculos Orçamento'!$E4,Planejamento!$C:$C,'Cálculos Orçamento'!I$1)</f>
        <v>100</v>
      </c>
      <c r="J4">
        <f>SUMIFS(Planejamento!$H:$H,Planejamento!$A:$A,'Cálculos Orçamento'!$E4,Planejamento!$C:$C,'Cálculos Orçamento'!J$1)</f>
        <v>0</v>
      </c>
      <c r="K4">
        <f>SUMIFS(Planejamento!$H:$H,Planejamento!$A:$A,'Cálculos Orçamento'!$E4,Planejamento!$C:$C,'Cálculos Orçamento'!K$1)</f>
        <v>0</v>
      </c>
      <c r="N4" t="s">
        <v>1</v>
      </c>
    </row>
    <row r="5" spans="1:14" x14ac:dyDescent="0.3">
      <c r="A5" t="s">
        <v>2</v>
      </c>
      <c r="B5" s="2">
        <f>SUMIFS(Planejamento!H:H,Planejamento!C:C,'Cálculos Orçamento'!A5)</f>
        <v>80</v>
      </c>
      <c r="C5" s="2">
        <f>SUMIFS(Planejamento!H:H,Planejamento!C:C,'Cálculos Orçamento'!A5,Planejamento!A:A,'Cálculos Orçamento'!$A$1)</f>
        <v>25</v>
      </c>
      <c r="E5">
        <v>4</v>
      </c>
      <c r="F5" t="s">
        <v>44</v>
      </c>
      <c r="G5">
        <f>SUMIFS(Planejamento!$H:$H,Planejamento!$A:$A,'Cálculos Orçamento'!$E5,Planejamento!$C:$C,'Cálculos Orçamento'!G$1)</f>
        <v>350</v>
      </c>
      <c r="H5">
        <f>SUMIFS(Planejamento!$H:$H,Planejamento!$A:$A,'Cálculos Orçamento'!$E5,Planejamento!$C:$C,'Cálculos Orçamento'!H$1)</f>
        <v>360</v>
      </c>
      <c r="I5">
        <f>SUMIFS(Planejamento!$H:$H,Planejamento!$A:$A,'Cálculos Orçamento'!$E5,Planejamento!$C:$C,'Cálculos Orçamento'!I$1)</f>
        <v>0</v>
      </c>
      <c r="J5">
        <f>SUMIFS(Planejamento!$H:$H,Planejamento!$A:$A,'Cálculos Orçamento'!$E5,Planejamento!$C:$C,'Cálculos Orçamento'!J$1)</f>
        <v>0</v>
      </c>
      <c r="K5">
        <f>SUMIFS(Planejamento!$H:$H,Planejamento!$A:$A,'Cálculos Orçamento'!$E5,Planejamento!$C:$C,'Cálculos Orçamento'!K$1)</f>
        <v>0</v>
      </c>
      <c r="N5" t="s">
        <v>2</v>
      </c>
    </row>
    <row r="6" spans="1:14" x14ac:dyDescent="0.3">
      <c r="A6" t="s">
        <v>26</v>
      </c>
      <c r="B6" s="2">
        <f>SUMIFS(Planejamento!H:H,Planejamento!C:C,'Cálculos Orçamento'!A6)</f>
        <v>160</v>
      </c>
      <c r="C6" s="2">
        <f>SUMIFS(Planejamento!H:H,Planejamento!C:C,'Cálculos Orçamento'!A6,Planejamento!A:A,'Cálculos Orçamento'!$A$1)</f>
        <v>0</v>
      </c>
      <c r="E6">
        <v>5</v>
      </c>
      <c r="F6" t="s">
        <v>45</v>
      </c>
      <c r="G6">
        <f>SUMIFS(Planejamento!$H:$H,Planejamento!$A:$A,'Cálculos Orçamento'!$E6,Planejamento!$C:$C,'Cálculos Orçamento'!G$1)</f>
        <v>540</v>
      </c>
      <c r="H6">
        <f>SUMIFS(Planejamento!$H:$H,Planejamento!$A:$A,'Cálculos Orçamento'!$E6,Planejamento!$C:$C,'Cálculos Orçamento'!H$1)</f>
        <v>0</v>
      </c>
      <c r="I6">
        <f>SUMIFS(Planejamento!$H:$H,Planejamento!$A:$A,'Cálculos Orçamento'!$E6,Planejamento!$C:$C,'Cálculos Orçamento'!I$1)</f>
        <v>0</v>
      </c>
      <c r="J6">
        <f>SUMIFS(Planejamento!$H:$H,Planejamento!$A:$A,'Cálculos Orçamento'!$E6,Planejamento!$C:$C,'Cálculos Orçamento'!J$1)</f>
        <v>25</v>
      </c>
      <c r="K6">
        <f>SUMIFS(Planejamento!$H:$H,Planejamento!$A:$A,'Cálculos Orçamento'!$E6,Planejamento!$C:$C,'Cálculos Orçamento'!K$1)</f>
        <v>0</v>
      </c>
      <c r="N6" t="s">
        <v>26</v>
      </c>
    </row>
    <row r="7" spans="1:14" x14ac:dyDescent="0.3">
      <c r="E7">
        <v>6</v>
      </c>
      <c r="F7" t="s">
        <v>46</v>
      </c>
      <c r="G7">
        <f>SUMIFS(Planejamento!$H:$H,Planejamento!$A:$A,'Cálculos Orçamento'!$E7,Planejamento!$C:$C,'Cálculos Orçamento'!G$1)</f>
        <v>1240</v>
      </c>
      <c r="H7">
        <f>SUMIFS(Planejamento!$H:$H,Planejamento!$A:$A,'Cálculos Orçamento'!$E7,Planejamento!$C:$C,'Cálculos Orçamento'!H$1)</f>
        <v>0</v>
      </c>
      <c r="I7">
        <f>SUMIFS(Planejamento!$H:$H,Planejamento!$A:$A,'Cálculos Orçamento'!$E7,Planejamento!$C:$C,'Cálculos Orçamento'!I$1)</f>
        <v>0</v>
      </c>
      <c r="J7">
        <f>SUMIFS(Planejamento!$H:$H,Planejamento!$A:$A,'Cálculos Orçamento'!$E7,Planejamento!$C:$C,'Cálculos Orçamento'!J$1)</f>
        <v>0</v>
      </c>
      <c r="K7">
        <f>SUMIFS(Planejamento!$H:$H,Planejamento!$A:$A,'Cálculos Orçamento'!$E7,Planejamento!$C:$C,'Cálculos Orçamento'!K$1)</f>
        <v>0</v>
      </c>
    </row>
    <row r="8" spans="1:14" x14ac:dyDescent="0.3">
      <c r="E8">
        <v>7</v>
      </c>
      <c r="F8" t="s">
        <v>47</v>
      </c>
      <c r="G8">
        <f>SUMIFS(Planejamento!$H:$H,Planejamento!$A:$A,'Cálculos Orçamento'!$E8,Planejamento!$C:$C,'Cálculos Orçamento'!G$1)</f>
        <v>450</v>
      </c>
      <c r="H8">
        <f>SUMIFS(Planejamento!$H:$H,Planejamento!$A:$A,'Cálculos Orçamento'!$E8,Planejamento!$C:$C,'Cálculos Orçamento'!H$1)</f>
        <v>0</v>
      </c>
      <c r="I8">
        <f>SUMIFS(Planejamento!$H:$H,Planejamento!$A:$A,'Cálculos Orçamento'!$E8,Planejamento!$C:$C,'Cálculos Orçamento'!I$1)</f>
        <v>200</v>
      </c>
      <c r="J8">
        <f>SUMIFS(Planejamento!$H:$H,Planejamento!$A:$A,'Cálculos Orçamento'!$E8,Planejamento!$C:$C,'Cálculos Orçamento'!J$1)</f>
        <v>0</v>
      </c>
      <c r="K8">
        <f>SUMIFS(Planejamento!$H:$H,Planejamento!$A:$A,'Cálculos Orçamento'!$E8,Planejamento!$C:$C,'Cálculos Orçamento'!K$1)</f>
        <v>0</v>
      </c>
    </row>
    <row r="9" spans="1:14" x14ac:dyDescent="0.3">
      <c r="E9">
        <v>8</v>
      </c>
      <c r="F9" t="s">
        <v>48</v>
      </c>
      <c r="G9">
        <f>SUMIFS(Planejamento!$H:$H,Planejamento!$A:$A,'Cálculos Orçamento'!$E9,Planejamento!$C:$C,'Cálculos Orçamento'!G$1)</f>
        <v>640</v>
      </c>
      <c r="H9">
        <f>SUMIFS(Planejamento!$H:$H,Planejamento!$A:$A,'Cálculos Orçamento'!$E9,Planejamento!$C:$C,'Cálculos Orçamento'!H$1)</f>
        <v>400</v>
      </c>
      <c r="I9">
        <f>SUMIFS(Planejamento!$H:$H,Planejamento!$A:$A,'Cálculos Orçamento'!$E9,Planejamento!$C:$C,'Cálculos Orçamento'!I$1)</f>
        <v>0</v>
      </c>
      <c r="J9">
        <f>SUMIFS(Planejamento!$H:$H,Planejamento!$A:$A,'Cálculos Orçamento'!$E9,Planejamento!$C:$C,'Cálculos Orçamento'!J$1)</f>
        <v>25</v>
      </c>
      <c r="K9">
        <f>SUMIFS(Planejamento!$H:$H,Planejamento!$A:$A,'Cálculos Orçamento'!$E9,Planejamento!$C:$C,'Cálculos Orçamento'!K$1)</f>
        <v>0</v>
      </c>
    </row>
    <row r="10" spans="1:14" x14ac:dyDescent="0.3">
      <c r="E10">
        <v>9</v>
      </c>
      <c r="F10" t="s">
        <v>49</v>
      </c>
      <c r="G10">
        <f>SUMIFS(Planejamento!$H:$H,Planejamento!$A:$A,'Cálculos Orçamento'!$E10,Planejamento!$C:$C,'Cálculos Orçamento'!G$1)</f>
        <v>6</v>
      </c>
      <c r="H10">
        <f>SUMIFS(Planejamento!$H:$H,Planejamento!$A:$A,'Cálculos Orçamento'!$E10,Planejamento!$C:$C,'Cálculos Orçamento'!H$1)</f>
        <v>360</v>
      </c>
      <c r="I10">
        <f>SUMIFS(Planejamento!$H:$H,Planejamento!$A:$A,'Cálculos Orçamento'!$E10,Planejamento!$C:$C,'Cálculos Orçamento'!I$1)</f>
        <v>0</v>
      </c>
      <c r="J10">
        <f>SUMIFS(Planejamento!$H:$H,Planejamento!$A:$A,'Cálculos Orçamento'!$E10,Planejamento!$C:$C,'Cálculos Orçamento'!J$1)</f>
        <v>15</v>
      </c>
      <c r="K10">
        <f>SUMIFS(Planejamento!$H:$H,Planejamento!$A:$A,'Cálculos Orçamento'!$E10,Planejamento!$C:$C,'Cálculos Orçamento'!K$1)</f>
        <v>0</v>
      </c>
    </row>
    <row r="11" spans="1:14" x14ac:dyDescent="0.3">
      <c r="E11">
        <v>10</v>
      </c>
      <c r="F11" t="s">
        <v>50</v>
      </c>
      <c r="G11">
        <f>SUMIFS(Planejamento!$H:$H,Planejamento!$A:$A,'Cálculos Orçamento'!$E11,Planejamento!$C:$C,'Cálculos Orçamento'!G$1)</f>
        <v>465</v>
      </c>
      <c r="H11">
        <f>SUMIFS(Planejamento!$H:$H,Planejamento!$A:$A,'Cálculos Orçamento'!$E11,Planejamento!$C:$C,'Cálculos Orçamento'!H$1)</f>
        <v>0</v>
      </c>
      <c r="I11">
        <f>SUMIFS(Planejamento!$H:$H,Planejamento!$A:$A,'Cálculos Orçamento'!$E11,Planejamento!$C:$C,'Cálculos Orçamento'!I$1)</f>
        <v>100</v>
      </c>
      <c r="J11">
        <f>SUMIFS(Planejamento!$H:$H,Planejamento!$A:$A,'Cálculos Orçamento'!$E11,Planejamento!$C:$C,'Cálculos Orçamento'!J$1)</f>
        <v>0</v>
      </c>
      <c r="K11">
        <f>SUMIFS(Planejamento!$H:$H,Planejamento!$A:$A,'Cálculos Orçamento'!$E11,Planejamento!$C:$C,'Cálculos Orçamento'!K$1)</f>
        <v>0</v>
      </c>
    </row>
    <row r="12" spans="1:14" x14ac:dyDescent="0.3">
      <c r="E12">
        <v>11</v>
      </c>
      <c r="F12" t="s">
        <v>51</v>
      </c>
      <c r="G12">
        <f>SUMIFS(Planejamento!$H:$H,Planejamento!$A:$A,'Cálculos Orçamento'!$E12,Planejamento!$C:$C,'Cálculos Orçamento'!G$1)</f>
        <v>220</v>
      </c>
      <c r="H12">
        <f>SUMIFS(Planejamento!$H:$H,Planejamento!$A:$A,'Cálculos Orçamento'!$E12,Planejamento!$C:$C,'Cálculos Orçamento'!H$1)</f>
        <v>200</v>
      </c>
      <c r="I12">
        <f>SUMIFS(Planejamento!$H:$H,Planejamento!$A:$A,'Cálculos Orçamento'!$E12,Planejamento!$C:$C,'Cálculos Orçamento'!I$1)</f>
        <v>0</v>
      </c>
      <c r="J12">
        <f>SUMIFS(Planejamento!$H:$H,Planejamento!$A:$A,'Cálculos Orçamento'!$E12,Planejamento!$C:$C,'Cálculos Orçamento'!J$1)</f>
        <v>0</v>
      </c>
      <c r="K12">
        <f>SUMIFS(Planejamento!$H:$H,Planejamento!$A:$A,'Cálculos Orçamento'!$E12,Planejamento!$C:$C,'Cálculos Orçamento'!K$1)</f>
        <v>60</v>
      </c>
    </row>
    <row r="13" spans="1:14" x14ac:dyDescent="0.3">
      <c r="E13">
        <v>12</v>
      </c>
      <c r="F13" t="s">
        <v>52</v>
      </c>
      <c r="G13">
        <f>SUMIFS(Planejamento!$H:$H,Planejamento!$A:$A,'Cálculos Orçamento'!$E13,Planejamento!$C:$C,'Cálculos Orçamento'!G$1)</f>
        <v>32</v>
      </c>
      <c r="H13">
        <f>SUMIFS(Planejamento!$H:$H,Planejamento!$A:$A,'Cálculos Orçamento'!$E13,Planejamento!$C:$C,'Cálculos Orçamento'!H$1)</f>
        <v>0</v>
      </c>
      <c r="I13">
        <f>SUMIFS(Planejamento!$H:$H,Planejamento!$A:$A,'Cálculos Orçamento'!$E13,Planejamento!$C:$C,'Cálculos Orçamento'!I$1)</f>
        <v>0</v>
      </c>
      <c r="J13">
        <f>SUMIFS(Planejamento!$H:$H,Planejamento!$A:$A,'Cálculos Orçamento'!$E13,Planejamento!$C:$C,'Cálculos Orçamento'!J$1)</f>
        <v>0</v>
      </c>
      <c r="K13">
        <f>SUMIFS(Planejamento!$H:$H,Planejamento!$A:$A,'Cálculos Orçamento'!$E13,Planejamento!$C:$C,'Cálculos Orçamento'!K$1)</f>
        <v>20</v>
      </c>
    </row>
    <row r="15" spans="1:14" x14ac:dyDescent="0.3">
      <c r="E15" t="s">
        <v>32</v>
      </c>
      <c r="F15" s="1">
        <f>SUMIFS(Planejamento!H:H,Planejamento!E:E,'Cálculos Orçamento'!E15)</f>
        <v>3782</v>
      </c>
    </row>
    <row r="16" spans="1:14" x14ac:dyDescent="0.3">
      <c r="E16" t="s">
        <v>35</v>
      </c>
      <c r="F16" s="1">
        <f>SUMIFS(Planejamento!H:H,Planejamento!E:E,'Cálculos Orçamento'!E16)</f>
        <v>5084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817C-5942-4132-84CA-57FE259E2DD1}">
  <dimension ref="A1:P87"/>
  <sheetViews>
    <sheetView showGridLines="0" workbookViewId="0"/>
  </sheetViews>
  <sheetFormatPr defaultColWidth="0" defaultRowHeight="14.4" zeroHeight="1" x14ac:dyDescent="0.3"/>
  <cols>
    <col min="1" max="2" width="10.77734375" customWidth="1"/>
    <col min="3" max="16" width="8.88671875" customWidth="1"/>
    <col min="17" max="16384" width="8.88671875" hidden="1"/>
  </cols>
  <sheetData>
    <row r="1" spans="1:16" ht="60" customHeight="1" x14ac:dyDescent="0.5">
      <c r="A1" s="12"/>
      <c r="B1" s="12"/>
      <c r="C1" s="13" t="s">
        <v>54</v>
      </c>
      <c r="D1" s="13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idden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33" customFormat="1" hidden="1" x14ac:dyDescent="0.3"/>
    <row r="34" customFormat="1" hidden="1" x14ac:dyDescent="0.3"/>
    <row r="35" customFormat="1" hidden="1" x14ac:dyDescent="0.3"/>
    <row r="36" customFormat="1" hidden="1" x14ac:dyDescent="0.3"/>
    <row r="37" customFormat="1" hidden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  <row r="43" customFormat="1" hidden="1" x14ac:dyDescent="0.3"/>
    <row r="44" customFormat="1" hidden="1" x14ac:dyDescent="0.3"/>
    <row r="45" customFormat="1" hidden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  <row r="62" customFormat="1" hidden="1" x14ac:dyDescent="0.3"/>
    <row r="63" customFormat="1" hidden="1" x14ac:dyDescent="0.3"/>
    <row r="64" customFormat="1" hidden="1" x14ac:dyDescent="0.3"/>
    <row r="65" customFormat="1" hidden="1" x14ac:dyDescent="0.3"/>
    <row r="66" customFormat="1" hidden="1" x14ac:dyDescent="0.3"/>
    <row r="67" customFormat="1" hidden="1" x14ac:dyDescent="0.3"/>
    <row r="68" customFormat="1" hidden="1" x14ac:dyDescent="0.3"/>
    <row r="69" customFormat="1" hidden="1" x14ac:dyDescent="0.3"/>
    <row r="70" customFormat="1" hidden="1" x14ac:dyDescent="0.3"/>
    <row r="71" customFormat="1" hidden="1" x14ac:dyDescent="0.3"/>
    <row r="72" customFormat="1" hidden="1" x14ac:dyDescent="0.3"/>
    <row r="73" customFormat="1" hidden="1" x14ac:dyDescent="0.3"/>
    <row r="74" customFormat="1" hidden="1" x14ac:dyDescent="0.3"/>
    <row r="75" customFormat="1" hidden="1" x14ac:dyDescent="0.3"/>
    <row r="76" customFormat="1" hidden="1" x14ac:dyDescent="0.3"/>
    <row r="77" customFormat="1" hidden="1" x14ac:dyDescent="0.3"/>
    <row r="78" customFormat="1" hidden="1" x14ac:dyDescent="0.3"/>
    <row r="79" customFormat="1" hidden="1" x14ac:dyDescent="0.3"/>
    <row r="80" customFormat="1" hidden="1" x14ac:dyDescent="0.3"/>
    <row r="81" customFormat="1" hidden="1" x14ac:dyDescent="0.3"/>
    <row r="82" customFormat="1" hidden="1" x14ac:dyDescent="0.3"/>
    <row r="83" customFormat="1" hidden="1" x14ac:dyDescent="0.3"/>
    <row r="84" customFormat="1" hidden="1" x14ac:dyDescent="0.3"/>
    <row r="85" customFormat="1" hidden="1" x14ac:dyDescent="0.3"/>
    <row r="86" customFormat="1" hidden="1" x14ac:dyDescent="0.3"/>
    <row r="87" customFormat="1" hidden="1" x14ac:dyDescent="0.3"/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Drop Down 3">
              <controlPr defaultSize="0" autoLine="0" autoPict="0">
                <anchor moveWithCells="1">
                  <from>
                    <xdr:col>4</xdr:col>
                    <xdr:colOff>53340</xdr:colOff>
                    <xdr:row>2</xdr:row>
                    <xdr:rowOff>0</xdr:rowOff>
                  </from>
                  <to>
                    <xdr:col>5</xdr:col>
                    <xdr:colOff>381000</xdr:colOff>
                    <xdr:row>3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Sobre a Hashtag</vt:lpstr>
      <vt:lpstr>Instruções</vt:lpstr>
      <vt:lpstr>Cadastros</vt:lpstr>
      <vt:lpstr>Planejamento</vt:lpstr>
      <vt:lpstr>Cálculos Orçamento</vt:lpstr>
      <vt:lpstr>Dashboard Orçamento</vt:lpstr>
      <vt:lpstr>Administrativo</vt:lpstr>
      <vt:lpstr>Categorias</vt:lpstr>
      <vt:lpstr>Equipamentos</vt:lpstr>
      <vt:lpstr>Materiais</vt:lpstr>
      <vt:lpstr>Operacional</vt:lpstr>
      <vt:lpstr>Pessoal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2015-06-05T18:19:34Z</dcterms:created>
  <dcterms:modified xsi:type="dcterms:W3CDTF">2022-06-18T00:15:33Z</dcterms:modified>
</cp:coreProperties>
</file>