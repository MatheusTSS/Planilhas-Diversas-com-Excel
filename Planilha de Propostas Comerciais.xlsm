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414" codeName="{5022B3EB-BCE5-7840-4BB8-8062D341818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55219\Desktop\"/>
    </mc:Choice>
  </mc:AlternateContent>
  <xr:revisionPtr revIDLastSave="0" documentId="13_ncr:1_{3C9AB8A5-589D-4200-8658-A8AA6F362031}" xr6:coauthVersionLast="47" xr6:coauthVersionMax="47" xr10:uidLastSave="{00000000-0000-0000-0000-000000000000}"/>
  <bookViews>
    <workbookView xWindow="-108" yWindow="-108" windowWidth="23256" windowHeight="13176" xr2:uid="{3C0B63A3-E450-4579-8D94-1F089EFB5F76}"/>
  </bookViews>
  <sheets>
    <sheet name="Empresa" sheetId="1" r:id="rId1"/>
    <sheet name="Clientes" sheetId="2" r:id="rId2"/>
    <sheet name="Proposta" sheetId="4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2" i="4" l="1"/>
  <c r="E32" i="4"/>
  <c r="B32" i="4"/>
  <c r="B41" i="4"/>
  <c r="C44" i="4"/>
  <c r="H44" i="4" s="1"/>
  <c r="B40" i="4"/>
  <c r="C6" i="4"/>
  <c r="H11" i="4"/>
  <c r="H10" i="4"/>
  <c r="H9" i="4"/>
  <c r="H8" i="4"/>
  <c r="H7" i="4"/>
  <c r="C10" i="4"/>
  <c r="C9" i="4"/>
  <c r="C8" i="4"/>
  <c r="C7" i="4"/>
</calcChain>
</file>

<file path=xl/sharedStrings.xml><?xml version="1.0" encoding="utf-8"?>
<sst xmlns="http://schemas.openxmlformats.org/spreadsheetml/2006/main" count="93" uniqueCount="74">
  <si>
    <t>Nome da Empresa</t>
  </si>
  <si>
    <t>Endereço</t>
  </si>
  <si>
    <t>Cidade, UF</t>
  </si>
  <si>
    <t>Telefone</t>
  </si>
  <si>
    <t>E-mail</t>
  </si>
  <si>
    <t>Responsáveis Técnicos</t>
  </si>
  <si>
    <t>Área</t>
  </si>
  <si>
    <t>Sistemas de Informação</t>
  </si>
  <si>
    <t>André Cavalcanti</t>
  </si>
  <si>
    <t>Rodrigo Tavares</t>
  </si>
  <si>
    <t>Finanças Corporativas</t>
  </si>
  <si>
    <t>Carolina Gibão</t>
  </si>
  <si>
    <t>Supply Chain</t>
  </si>
  <si>
    <t>Gabriela Marques</t>
  </si>
  <si>
    <t>Segurança da Informação</t>
  </si>
  <si>
    <t>Andre Silva</t>
  </si>
  <si>
    <t>Estratégia Empresarial</t>
  </si>
  <si>
    <t>Responsável</t>
  </si>
  <si>
    <t>Fred Finanças</t>
  </si>
  <si>
    <t>Nome do Serviço</t>
  </si>
  <si>
    <t>Equipe Mínima</t>
  </si>
  <si>
    <t>Custo Mínimo</t>
  </si>
  <si>
    <t>Hashtag Consultoria</t>
  </si>
  <si>
    <t>Av. Macário Pinto Lopes, 186</t>
  </si>
  <si>
    <t>Bairro</t>
  </si>
  <si>
    <t>Vila Nova</t>
  </si>
  <si>
    <t>Cabo Frio</t>
  </si>
  <si>
    <t>RJ</t>
  </si>
  <si>
    <t>hashconsulting@gmail.com</t>
  </si>
  <si>
    <t>Transformação Digital</t>
  </si>
  <si>
    <t>Garantia de Receita</t>
  </si>
  <si>
    <t>Análise de Fornecedores</t>
  </si>
  <si>
    <t>Gestão de Frotas</t>
  </si>
  <si>
    <t>Definição de KPIs</t>
  </si>
  <si>
    <t>Planejamento Financeiro</t>
  </si>
  <si>
    <t>Prazo Mínimo (meses)</t>
  </si>
  <si>
    <t>Endereço 1, 75</t>
  </si>
  <si>
    <t>Marcus Dados</t>
  </si>
  <si>
    <t>Proposta Comercial</t>
  </si>
  <si>
    <t>Informações da Contratada</t>
  </si>
  <si>
    <t>Informações da Contratante</t>
  </si>
  <si>
    <t>Nome:</t>
  </si>
  <si>
    <t>Endereço:</t>
  </si>
  <si>
    <t>Bairro:</t>
  </si>
  <si>
    <t>Cidade, UF:</t>
  </si>
  <si>
    <t>Telefone:</t>
  </si>
  <si>
    <t>Alfredo Silva</t>
  </si>
  <si>
    <t>financas@financas.com</t>
  </si>
  <si>
    <t>marcus@dados.com</t>
  </si>
  <si>
    <t>Marcus Figueiredo</t>
  </si>
  <si>
    <t>Endereço 2, 50</t>
  </si>
  <si>
    <t>Nome da Empresa:</t>
  </si>
  <si>
    <t>Cidade:</t>
  </si>
  <si>
    <t>UF:</t>
  </si>
  <si>
    <t>E-mail:</t>
  </si>
  <si>
    <t>Centro</t>
  </si>
  <si>
    <t>Parque</t>
  </si>
  <si>
    <t>Cidade 1, SC</t>
  </si>
  <si>
    <t>Cidade 2, BA</t>
  </si>
  <si>
    <t>Responsável:</t>
  </si>
  <si>
    <t>Descrição do serviço:</t>
  </si>
  <si>
    <t>Área:</t>
  </si>
  <si>
    <t>Informações do Serviço</t>
  </si>
  <si>
    <t>Serviço:</t>
  </si>
  <si>
    <t>Equipe</t>
  </si>
  <si>
    <t>Prazo</t>
  </si>
  <si>
    <t>Investimento</t>
  </si>
  <si>
    <t>Emitido em:</t>
  </si>
  <si>
    <t>Válido até:</t>
  </si>
  <si>
    <t>Planilha de Propostas Comerciais</t>
  </si>
  <si>
    <t>Cadastre as informações da sua empresa, incluindo responsáveis técnicos e serviços</t>
  </si>
  <si>
    <t>Cadastre as informações dos seus clientes</t>
  </si>
  <si>
    <t>Cliente 3</t>
  </si>
  <si>
    <t>Endereço novo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</si>
</sst>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164" formatCode="\(00\)\ 00000\-0000"/>
    <numFmt numFmtId="165" formatCode="&quot;R$&quot;\ #,##0.0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8"/>
      <color theme="1"/>
      <name val="Arial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8"/>
      <color theme="0"/>
      <name val="Montserrat"/>
    </font>
    <font>
      <sz val="11"/>
      <name val="Calibri"/>
      <family val="2"/>
      <scheme val="minor"/>
    </font>
    <font>
      <b/>
      <sz val="9"/>
      <name val="Montserrat"/>
    </font>
  </fonts>
  <fills count="4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  <fill>
      <patternFill patternType="solid">
        <fgColor theme="2" tint="-9.9978637043366805E-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43">
    <xf numFmtId="0" fontId="0" fillId="0" borderId="0" xfId="0"/>
    <xf numFmtId="164" fontId="0" fillId="0" borderId="0" xfId="0" applyNumberFormat="1"/>
    <xf numFmtId="164" fontId="0" fillId="0" borderId="0" xfId="0" applyNumberFormat="1" applyAlignment="1">
      <alignment horizontal="right"/>
    </xf>
    <xf numFmtId="0" fontId="3" fillId="0" borderId="0" xfId="2"/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164" fontId="0" fillId="0" borderId="4" xfId="0" applyNumberFormat="1" applyBorder="1" applyAlignment="1">
      <alignment horizontal="center"/>
    </xf>
    <xf numFmtId="0" fontId="0" fillId="0" borderId="6" xfId="0" applyBorder="1" applyAlignment="1">
      <alignment horizontal="center"/>
    </xf>
    <xf numFmtId="0" fontId="2" fillId="2" borderId="1" xfId="0" applyFont="1" applyFill="1" applyBorder="1"/>
    <xf numFmtId="0" fontId="2" fillId="2" borderId="3" xfId="0" applyFont="1" applyFill="1" applyBorder="1"/>
    <xf numFmtId="0" fontId="2" fillId="2" borderId="5" xfId="0" applyFont="1" applyFill="1" applyBorder="1"/>
    <xf numFmtId="0" fontId="5" fillId="0" borderId="0" xfId="0" applyFont="1"/>
    <xf numFmtId="0" fontId="6" fillId="0" borderId="0" xfId="0" applyFont="1" applyAlignment="1">
      <alignment horizontal="left"/>
    </xf>
    <xf numFmtId="0" fontId="0" fillId="0" borderId="0" xfId="0" applyAlignment="1">
      <alignment horizontal="center"/>
    </xf>
    <xf numFmtId="0" fontId="0" fillId="2" borderId="0" xfId="0" applyFill="1"/>
    <xf numFmtId="0" fontId="0" fillId="0" borderId="0" xfId="0" applyAlignment="1">
      <alignment vertical="center"/>
    </xf>
    <xf numFmtId="165" fontId="0" fillId="0" borderId="0" xfId="0" applyNumberFormat="1" applyAlignment="1">
      <alignment vertical="center"/>
    </xf>
    <xf numFmtId="0" fontId="9" fillId="2" borderId="0" xfId="0" applyFont="1" applyFill="1"/>
    <xf numFmtId="0" fontId="10" fillId="3" borderId="0" xfId="0" applyFont="1" applyFill="1"/>
    <xf numFmtId="0" fontId="11" fillId="3" borderId="0" xfId="0" applyFont="1" applyFill="1"/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6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7" fillId="3" borderId="0" xfId="0" applyFont="1" applyFill="1" applyAlignment="1">
      <alignment horizontal="center" vertical="center"/>
    </xf>
    <xf numFmtId="165" fontId="7" fillId="3" borderId="0" xfId="0" applyNumberFormat="1" applyFont="1" applyFill="1" applyAlignment="1">
      <alignment horizontal="center" vertical="center"/>
    </xf>
    <xf numFmtId="44" fontId="2" fillId="2" borderId="3" xfId="1" applyFont="1" applyFill="1" applyBorder="1" applyAlignment="1">
      <alignment horizontal="center"/>
    </xf>
    <xf numFmtId="44" fontId="2" fillId="2" borderId="0" xfId="1" applyFont="1" applyFill="1" applyBorder="1" applyAlignment="1">
      <alignment horizontal="center"/>
    </xf>
    <xf numFmtId="0" fontId="6" fillId="0" borderId="0" xfId="0" applyFont="1" applyAlignment="1">
      <alignment horizontal="left"/>
    </xf>
    <xf numFmtId="164" fontId="0" fillId="3" borderId="0" xfId="0" applyNumberFormat="1" applyFill="1" applyAlignment="1">
      <alignment horizontal="right"/>
    </xf>
    <xf numFmtId="44" fontId="4" fillId="0" borderId="0" xfId="1" applyFont="1" applyAlignment="1">
      <alignment horizontal="center"/>
    </xf>
    <xf numFmtId="0" fontId="0" fillId="3" borderId="0" xfId="0" applyFill="1" applyAlignment="1">
      <alignment horizontal="right"/>
    </xf>
    <xf numFmtId="0" fontId="0" fillId="0" borderId="0" xfId="0" applyAlignment="1">
      <alignment horizontal="right"/>
    </xf>
    <xf numFmtId="164" fontId="0" fillId="0" borderId="0" xfId="0" applyNumberFormat="1" applyAlignment="1">
      <alignment horizontal="right"/>
    </xf>
    <xf numFmtId="0" fontId="0" fillId="0" borderId="1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" xfId="0" applyBorder="1" applyAlignment="1">
      <alignment horizontal="center"/>
    </xf>
  </cellXfs>
  <cellStyles count="3">
    <cellStyle name="Hiperlink" xfId="2" builtinId="8"/>
    <cellStyle name="Moeda" xfId="1" builtinId="4"/>
    <cellStyle name="Normal" xfId="0" builtinId="0"/>
  </cellStyles>
  <dxfs count="7">
    <dxf>
      <numFmt numFmtId="164" formatCode="\(00\)\ 00000\-0000"/>
    </dxf>
    <dxf>
      <numFmt numFmtId="165" formatCode="&quot;R$&quot;\ #,##0.00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381000</xdr:colOff>
      <xdr:row>0</xdr:row>
      <xdr:rowOff>259080</xdr:rowOff>
    </xdr:from>
    <xdr:to>
      <xdr:col>10</xdr:col>
      <xdr:colOff>586740</xdr:colOff>
      <xdr:row>4</xdr:row>
      <xdr:rowOff>121920</xdr:rowOff>
    </xdr:to>
    <xdr:sp macro="[0]!NovaPropos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34DD066-56AB-8967-9B74-41939C3EEAD0}"/>
            </a:ext>
          </a:extLst>
        </xdr:cNvPr>
        <xdr:cNvSpPr/>
      </xdr:nvSpPr>
      <xdr:spPr>
        <a:xfrm>
          <a:off x="12016740" y="259080"/>
          <a:ext cx="1424940" cy="800100"/>
        </a:xfrm>
        <a:prstGeom prst="roundRect">
          <a:avLst/>
        </a:prstGeom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atin typeface="Montserrat" panose="00000500000000000000" pitchFamily="2" charset="0"/>
            </a:rPr>
            <a:t>Nova Proposta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</xdr:colOff>
      <xdr:row>4</xdr:row>
      <xdr:rowOff>114300</xdr:rowOff>
    </xdr:from>
    <xdr:to>
      <xdr:col>10</xdr:col>
      <xdr:colOff>7620</xdr:colOff>
      <xdr:row>4</xdr:row>
      <xdr:rowOff>121920</xdr:rowOff>
    </xdr:to>
    <xdr:cxnSp macro="">
      <xdr:nvCxnSpPr>
        <xdr:cNvPr id="3" name="Conector reto 2">
          <a:extLst>
            <a:ext uri="{FF2B5EF4-FFF2-40B4-BE49-F238E27FC236}">
              <a16:creationId xmlns:a16="http://schemas.microsoft.com/office/drawing/2014/main" id="{78F41E4D-AE9D-C699-2977-ED337B9E804D}"/>
            </a:ext>
          </a:extLst>
        </xdr:cNvPr>
        <xdr:cNvCxnSpPr/>
      </xdr:nvCxnSpPr>
      <xdr:spPr>
        <a:xfrm>
          <a:off x="419100" y="1173480"/>
          <a:ext cx="5501640" cy="7620"/>
        </a:xfrm>
        <a:prstGeom prst="line">
          <a:avLst/>
        </a:prstGeom>
        <a:ln w="22225"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30480</xdr:colOff>
      <xdr:row>13</xdr:row>
      <xdr:rowOff>114300</xdr:rowOff>
    </xdr:from>
    <xdr:to>
      <xdr:col>10</xdr:col>
      <xdr:colOff>15240</xdr:colOff>
      <xdr:row>13</xdr:row>
      <xdr:rowOff>121920</xdr:rowOff>
    </xdr:to>
    <xdr:cxnSp macro="">
      <xdr:nvCxnSpPr>
        <xdr:cNvPr id="2" name="Conector reto 1">
          <a:extLst>
            <a:ext uri="{FF2B5EF4-FFF2-40B4-BE49-F238E27FC236}">
              <a16:creationId xmlns:a16="http://schemas.microsoft.com/office/drawing/2014/main" id="{28E069D9-680A-483F-A34E-57FBEC7EAFBD}"/>
            </a:ext>
          </a:extLst>
        </xdr:cNvPr>
        <xdr:cNvCxnSpPr/>
      </xdr:nvCxnSpPr>
      <xdr:spPr>
        <a:xfrm>
          <a:off x="426720" y="2948940"/>
          <a:ext cx="5501640" cy="7620"/>
        </a:xfrm>
        <a:prstGeom prst="line">
          <a:avLst/>
        </a:prstGeom>
        <a:ln w="22225"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30480</xdr:colOff>
      <xdr:row>38</xdr:row>
      <xdr:rowOff>129540</xdr:rowOff>
    </xdr:from>
    <xdr:to>
      <xdr:col>8</xdr:col>
      <xdr:colOff>419100</xdr:colOff>
      <xdr:row>38</xdr:row>
      <xdr:rowOff>129540</xdr:rowOff>
    </xdr:to>
    <xdr:cxnSp macro="">
      <xdr:nvCxnSpPr>
        <xdr:cNvPr id="4" name="Conector reto 3">
          <a:extLst>
            <a:ext uri="{FF2B5EF4-FFF2-40B4-BE49-F238E27FC236}">
              <a16:creationId xmlns:a16="http://schemas.microsoft.com/office/drawing/2014/main" id="{F2BE5674-B827-4A56-8B06-73C9787B6782}"/>
            </a:ext>
          </a:extLst>
        </xdr:cNvPr>
        <xdr:cNvCxnSpPr/>
      </xdr:nvCxnSpPr>
      <xdr:spPr>
        <a:xfrm>
          <a:off x="1127760" y="7741920"/>
          <a:ext cx="3985260" cy="0"/>
        </a:xfrm>
        <a:prstGeom prst="line">
          <a:avLst/>
        </a:prstGeom>
        <a:ln w="22225"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FECCD95-2E67-4080-9ED7-06ECE4F4FE3A}" name="Tabela3" displayName="Tabela3" ref="B12:C17" totalsRowShown="0">
  <tableColumns count="2">
    <tableColumn id="1" xr3:uid="{D851D219-AB78-46D9-B22B-C717097BA8CE}" name="Responsáveis Técnicos"/>
    <tableColumn id="2" xr3:uid="{6FBE3943-39A8-4D0E-93B9-B126C63605DE}" name="Área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C9D4B73-594E-43E2-A50E-CFF5E3642DE5}" name="Tabela1" displayName="Tabela1" ref="E4:I10" totalsRowShown="0" dataDxfId="6">
  <autoFilter ref="E4:I10" xr:uid="{DC9D4B73-594E-43E2-A50E-CFF5E3642DE5}"/>
  <tableColumns count="5">
    <tableColumn id="1" xr3:uid="{B7FB677D-392E-4482-8458-85B63D50D6DE}" name="Nome do Serviço" dataDxfId="5"/>
    <tableColumn id="2" xr3:uid="{FDFC69E2-11B9-49DD-BD58-B86402050CF9}" name="Área" dataDxfId="4"/>
    <tableColumn id="3" xr3:uid="{914E953A-B4CE-483C-90AC-2A39B19788A5}" name="Prazo Mínimo (meses)" dataDxfId="3"/>
    <tableColumn id="4" xr3:uid="{EE7163CB-CB76-4CD5-B9F4-9C27C40A1A86}" name="Equipe Mínima" dataDxfId="2"/>
    <tableColumn id="6" xr3:uid="{90CE5984-E02E-4A56-9562-E8CBCE8BDC41}" name="Custo Mínimo" dataDxfId="1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535D7E-CDF7-416A-9FFC-FBEDBD3085E0}" name="Tabela2" displayName="Tabela2" ref="B4:H7" totalsRowShown="0">
  <autoFilter ref="B4:H7" xr:uid="{12535D7E-CDF7-416A-9FFC-FBEDBD3085E0}"/>
  <tableColumns count="7">
    <tableColumn id="1" xr3:uid="{E85A8048-373A-45A4-88D7-39C578173A84}" name="Nome da Empresa"/>
    <tableColumn id="2" xr3:uid="{860888EF-ED7F-4B3F-A1B5-AB4382C6BE6A}" name="Endereço"/>
    <tableColumn id="8" xr3:uid="{B43CEB2B-5F4C-4ABE-B02F-AC8C3EFF82D7}" name="Bairro"/>
    <tableColumn id="3" xr3:uid="{CAFD8E48-3777-4246-AA29-8DD549BC8015}" name="Cidade, UF"/>
    <tableColumn id="4" xr3:uid="{E1971455-856A-47E9-9EBC-553534CFFEB8}" name="Responsável"/>
    <tableColumn id="5" xr3:uid="{E5F0C862-0BD8-4E66-BF79-6E4FD1A3E559}" name="Telefone" dataDxfId="0"/>
    <tableColumn id="6" xr3:uid="{A749C400-8DAF-4B3C-B129-96EEB5B43BEF}" name="E-mail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mailto:marcus@dados.com" TargetMode="External"/><Relationship Id="rId1" Type="http://schemas.openxmlformats.org/officeDocument/2006/relationships/hyperlink" Target="mailto:financas@financas.com" TargetMode="Externa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FE31A-BDCE-47B8-B330-42140C0FC39F}">
  <dimension ref="B1:I17"/>
  <sheetViews>
    <sheetView showGridLines="0" tabSelected="1" workbookViewId="0">
      <selection activeCell="G6" sqref="G6"/>
    </sheetView>
  </sheetViews>
  <sheetFormatPr defaultRowHeight="14.4" x14ac:dyDescent="0.3"/>
  <cols>
    <col min="1" max="1" width="5.77734375" customWidth="1"/>
    <col min="2" max="2" width="24.109375" customWidth="1"/>
    <col min="3" max="3" width="34.5546875" customWidth="1"/>
    <col min="5" max="5" width="21.44140625" bestFit="1" customWidth="1"/>
    <col min="6" max="6" width="20.77734375" bestFit="1" customWidth="1"/>
    <col min="7" max="7" width="22.109375" bestFit="1" customWidth="1"/>
    <col min="8" max="8" width="16" bestFit="1" customWidth="1"/>
    <col min="9" max="9" width="15" bestFit="1" customWidth="1"/>
  </cols>
  <sheetData>
    <row r="1" spans="2:9" ht="30" customHeight="1" x14ac:dyDescent="0.6">
      <c r="B1" s="17" t="s">
        <v>69</v>
      </c>
      <c r="C1" s="14"/>
      <c r="D1" s="14"/>
      <c r="E1" s="14"/>
      <c r="F1" s="14"/>
      <c r="G1" s="14"/>
      <c r="H1" s="14"/>
      <c r="I1" s="14"/>
    </row>
    <row r="2" spans="2:9" ht="15" customHeight="1" x14ac:dyDescent="0.35">
      <c r="B2" s="19" t="s">
        <v>70</v>
      </c>
      <c r="C2" s="18"/>
      <c r="D2" s="18"/>
      <c r="E2" s="18"/>
      <c r="F2" s="18"/>
      <c r="G2" s="18"/>
      <c r="H2" s="18"/>
      <c r="I2" s="18"/>
    </row>
    <row r="4" spans="2:9" ht="30" customHeight="1" x14ac:dyDescent="0.3">
      <c r="B4" s="8" t="s">
        <v>51</v>
      </c>
      <c r="C4" s="4" t="s">
        <v>22</v>
      </c>
      <c r="E4" t="s">
        <v>19</v>
      </c>
      <c r="F4" t="s">
        <v>6</v>
      </c>
      <c r="G4" t="s">
        <v>35</v>
      </c>
      <c r="H4" t="s">
        <v>20</v>
      </c>
      <c r="I4" t="s">
        <v>21</v>
      </c>
    </row>
    <row r="5" spans="2:9" ht="30" customHeight="1" x14ac:dyDescent="0.3">
      <c r="B5" s="9" t="s">
        <v>42</v>
      </c>
      <c r="C5" s="5" t="s">
        <v>23</v>
      </c>
      <c r="E5" s="15" t="s">
        <v>29</v>
      </c>
      <c r="F5" s="15" t="s">
        <v>7</v>
      </c>
      <c r="G5" s="15">
        <v>12</v>
      </c>
      <c r="H5" s="15">
        <v>3</v>
      </c>
      <c r="I5" s="16">
        <v>100000</v>
      </c>
    </row>
    <row r="6" spans="2:9" ht="30" customHeight="1" x14ac:dyDescent="0.3">
      <c r="B6" s="9" t="s">
        <v>43</v>
      </c>
      <c r="C6" s="5" t="s">
        <v>25</v>
      </c>
      <c r="E6" s="15" t="s">
        <v>30</v>
      </c>
      <c r="F6" s="15" t="s">
        <v>10</v>
      </c>
      <c r="G6" s="15">
        <v>4</v>
      </c>
      <c r="H6" s="15">
        <v>2</v>
      </c>
      <c r="I6" s="16">
        <v>20000</v>
      </c>
    </row>
    <row r="7" spans="2:9" ht="30" customHeight="1" x14ac:dyDescent="0.3">
      <c r="B7" s="9" t="s">
        <v>52</v>
      </c>
      <c r="C7" s="5" t="s">
        <v>26</v>
      </c>
      <c r="E7" s="15" t="s">
        <v>31</v>
      </c>
      <c r="F7" s="15" t="s">
        <v>12</v>
      </c>
      <c r="G7" s="15">
        <v>2</v>
      </c>
      <c r="H7" s="15">
        <v>1</v>
      </c>
      <c r="I7" s="16">
        <v>30000</v>
      </c>
    </row>
    <row r="8" spans="2:9" ht="30" customHeight="1" x14ac:dyDescent="0.3">
      <c r="B8" s="9" t="s">
        <v>53</v>
      </c>
      <c r="C8" s="5" t="s">
        <v>27</v>
      </c>
      <c r="E8" s="15" t="s">
        <v>32</v>
      </c>
      <c r="F8" s="15" t="s">
        <v>12</v>
      </c>
      <c r="G8" s="15">
        <v>6</v>
      </c>
      <c r="H8" s="15">
        <v>2</v>
      </c>
      <c r="I8" s="16">
        <v>50000</v>
      </c>
    </row>
    <row r="9" spans="2:9" ht="30" customHeight="1" x14ac:dyDescent="0.3">
      <c r="B9" s="9" t="s">
        <v>45</v>
      </c>
      <c r="C9" s="6">
        <v>21912345678</v>
      </c>
      <c r="E9" s="15" t="s">
        <v>33</v>
      </c>
      <c r="F9" s="15" t="s">
        <v>16</v>
      </c>
      <c r="G9" s="15">
        <v>3</v>
      </c>
      <c r="H9" s="15">
        <v>2</v>
      </c>
      <c r="I9" s="16">
        <v>75000</v>
      </c>
    </row>
    <row r="10" spans="2:9" ht="30" customHeight="1" x14ac:dyDescent="0.3">
      <c r="B10" s="10" t="s">
        <v>54</v>
      </c>
      <c r="C10" s="7" t="s">
        <v>28</v>
      </c>
      <c r="E10" s="15" t="s">
        <v>34</v>
      </c>
      <c r="F10" s="15" t="s">
        <v>10</v>
      </c>
      <c r="G10" s="15">
        <v>2</v>
      </c>
      <c r="H10" s="15">
        <v>1</v>
      </c>
      <c r="I10" s="16">
        <v>25000</v>
      </c>
    </row>
    <row r="11" spans="2:9" ht="24" customHeight="1" x14ac:dyDescent="0.3"/>
    <row r="12" spans="2:9" x14ac:dyDescent="0.3">
      <c r="B12" t="s">
        <v>5</v>
      </c>
      <c r="C12" t="s">
        <v>6</v>
      </c>
    </row>
    <row r="13" spans="2:9" x14ac:dyDescent="0.3">
      <c r="B13" t="s">
        <v>8</v>
      </c>
      <c r="C13" t="s">
        <v>7</v>
      </c>
    </row>
    <row r="14" spans="2:9" x14ac:dyDescent="0.3">
      <c r="B14" t="s">
        <v>9</v>
      </c>
      <c r="C14" t="s">
        <v>10</v>
      </c>
    </row>
    <row r="15" spans="2:9" x14ac:dyDescent="0.3">
      <c r="B15" t="s">
        <v>11</v>
      </c>
      <c r="C15" t="s">
        <v>12</v>
      </c>
    </row>
    <row r="16" spans="2:9" x14ac:dyDescent="0.3">
      <c r="B16" t="s">
        <v>13</v>
      </c>
      <c r="C16" t="s">
        <v>14</v>
      </c>
    </row>
    <row r="17" spans="2:3" x14ac:dyDescent="0.3">
      <c r="B17" t="s">
        <v>15</v>
      </c>
      <c r="C17" t="s">
        <v>16</v>
      </c>
    </row>
  </sheetData>
  <dataValidations count="1">
    <dataValidation type="list" allowBlank="1" showInputMessage="1" showErrorMessage="1" sqref="F5:F10" xr:uid="{30B1BDB3-90D0-4FA3-B832-5A11E511BB7C}">
      <formula1>$C$13:$C$17</formula1>
    </dataValidation>
  </dataValidations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986BC-8591-43DC-8D38-B7CDF4012C1E}">
  <dimension ref="B1:H7"/>
  <sheetViews>
    <sheetView showGridLines="0" workbookViewId="0">
      <selection activeCell="B1" sqref="B1"/>
    </sheetView>
  </sheetViews>
  <sheetFormatPr defaultRowHeight="14.4" x14ac:dyDescent="0.3"/>
  <cols>
    <col min="1" max="1" width="5.77734375" customWidth="1"/>
    <col min="2" max="2" width="18.21875" customWidth="1"/>
    <col min="3" max="3" width="41" customWidth="1"/>
    <col min="4" max="4" width="20.44140625" customWidth="1"/>
    <col min="5" max="6" width="19.109375" customWidth="1"/>
    <col min="7" max="7" width="15" customWidth="1"/>
    <col min="8" max="8" width="31" customWidth="1"/>
  </cols>
  <sheetData>
    <row r="1" spans="2:8" ht="30" customHeight="1" x14ac:dyDescent="0.6">
      <c r="B1" s="17" t="s">
        <v>69</v>
      </c>
      <c r="C1" s="14"/>
      <c r="D1" s="14"/>
      <c r="E1" s="14"/>
      <c r="F1" s="14"/>
      <c r="G1" s="14"/>
      <c r="H1" s="14"/>
    </row>
    <row r="2" spans="2:8" ht="15" customHeight="1" x14ac:dyDescent="0.35">
      <c r="B2" s="19" t="s">
        <v>71</v>
      </c>
      <c r="C2" s="18"/>
      <c r="D2" s="18"/>
      <c r="E2" s="18"/>
      <c r="F2" s="18"/>
      <c r="G2" s="18"/>
      <c r="H2" s="18"/>
    </row>
    <row r="4" spans="2:8" x14ac:dyDescent="0.3">
      <c r="B4" t="s">
        <v>0</v>
      </c>
      <c r="C4" t="s">
        <v>1</v>
      </c>
      <c r="D4" t="s">
        <v>24</v>
      </c>
      <c r="E4" t="s">
        <v>2</v>
      </c>
      <c r="F4" t="s">
        <v>17</v>
      </c>
      <c r="G4" t="s">
        <v>3</v>
      </c>
      <c r="H4" t="s">
        <v>4</v>
      </c>
    </row>
    <row r="5" spans="2:8" x14ac:dyDescent="0.3">
      <c r="B5" t="s">
        <v>18</v>
      </c>
      <c r="C5" t="s">
        <v>36</v>
      </c>
      <c r="D5" t="s">
        <v>55</v>
      </c>
      <c r="E5" t="s">
        <v>57</v>
      </c>
      <c r="F5" t="s">
        <v>46</v>
      </c>
      <c r="G5" s="1">
        <v>11912341234</v>
      </c>
      <c r="H5" s="3" t="s">
        <v>47</v>
      </c>
    </row>
    <row r="6" spans="2:8" x14ac:dyDescent="0.3">
      <c r="B6" t="s">
        <v>37</v>
      </c>
      <c r="C6" t="s">
        <v>50</v>
      </c>
      <c r="D6" t="s">
        <v>56</v>
      </c>
      <c r="E6" t="s">
        <v>58</v>
      </c>
      <c r="F6" t="s">
        <v>49</v>
      </c>
      <c r="G6" s="1">
        <v>21987654567</v>
      </c>
      <c r="H6" s="3" t="s">
        <v>48</v>
      </c>
    </row>
    <row r="7" spans="2:8" x14ac:dyDescent="0.3">
      <c r="B7" t="s">
        <v>72</v>
      </c>
      <c r="C7" t="s">
        <v>73</v>
      </c>
      <c r="G7" s="1"/>
    </row>
  </sheetData>
  <hyperlinks>
    <hyperlink ref="H5" r:id="rId1" xr:uid="{4F8AAF19-1C65-4C5C-8918-1FAD714B5C33}"/>
    <hyperlink ref="H6" r:id="rId2" xr:uid="{543E1545-00EC-431F-9D0F-4D3241FCC91D}"/>
  </hyperlinks>
  <pageMargins left="0.511811024" right="0.511811024" top="0.78740157499999996" bottom="0.78740157499999996" header="0.31496062000000002" footer="0.31496062000000002"/>
  <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C2DE82-DAD1-4299-8F27-5DC761C27991}">
  <dimension ref="B1:J44"/>
  <sheetViews>
    <sheetView showGridLines="0" workbookViewId="0">
      <selection activeCell="C47" sqref="C47"/>
    </sheetView>
  </sheetViews>
  <sheetFormatPr defaultRowHeight="14.4" x14ac:dyDescent="0.3"/>
  <cols>
    <col min="1" max="1" width="5.77734375" customWidth="1"/>
    <col min="2" max="2" width="10.21875" bestFit="1" customWidth="1"/>
    <col min="3" max="3" width="8.109375" customWidth="1"/>
    <col min="4" max="4" width="8.88671875" customWidth="1"/>
    <col min="6" max="6" width="6.44140625" customWidth="1"/>
    <col min="7" max="7" width="11.21875" customWidth="1"/>
    <col min="10" max="10" width="8.88671875" customWidth="1"/>
    <col min="11" max="11" width="5.77734375" customWidth="1"/>
  </cols>
  <sheetData>
    <row r="1" spans="2:10" ht="21.6" customHeight="1" x14ac:dyDescent="0.3"/>
    <row r="2" spans="2:10" ht="22.8" x14ac:dyDescent="0.4">
      <c r="B2" s="30" t="s">
        <v>38</v>
      </c>
      <c r="C2" s="30"/>
      <c r="D2" s="30"/>
      <c r="E2" s="30"/>
      <c r="F2" s="30"/>
      <c r="G2" s="30"/>
      <c r="H2" s="30"/>
      <c r="I2" s="30"/>
      <c r="J2" s="30"/>
    </row>
    <row r="3" spans="2:10" ht="54.6" customHeight="1" x14ac:dyDescent="0.3">
      <c r="B3" s="11"/>
      <c r="C3" s="11"/>
      <c r="D3" s="11"/>
      <c r="E3" s="11"/>
      <c r="F3" s="11"/>
      <c r="G3" s="11"/>
      <c r="H3" s="11"/>
      <c r="I3" s="11"/>
      <c r="J3" s="11"/>
    </row>
    <row r="4" spans="2:10" ht="17.399999999999999" x14ac:dyDescent="0.3">
      <c r="B4" s="28" t="s">
        <v>39</v>
      </c>
      <c r="C4" s="28"/>
      <c r="D4" s="28"/>
      <c r="E4" s="28"/>
      <c r="F4" s="11"/>
      <c r="G4" s="28" t="s">
        <v>40</v>
      </c>
      <c r="H4" s="28"/>
      <c r="I4" s="28"/>
      <c r="J4" s="28"/>
    </row>
    <row r="5" spans="2:10" ht="17.399999999999999" x14ac:dyDescent="0.3">
      <c r="B5" s="12"/>
      <c r="C5" s="12"/>
      <c r="D5" s="12"/>
      <c r="E5" s="12"/>
      <c r="F5" s="11"/>
      <c r="G5" s="12"/>
      <c r="H5" s="12"/>
      <c r="I5" s="12"/>
      <c r="J5" s="12"/>
    </row>
    <row r="6" spans="2:10" x14ac:dyDescent="0.3">
      <c r="B6" t="s">
        <v>41</v>
      </c>
      <c r="C6" s="32" t="str">
        <f>Empresa!C4</f>
        <v>Hashtag Consultoria</v>
      </c>
      <c r="D6" s="32"/>
      <c r="E6" s="32"/>
      <c r="G6" t="s">
        <v>41</v>
      </c>
      <c r="H6" s="31" t="s">
        <v>18</v>
      </c>
      <c r="I6" s="31"/>
      <c r="J6" s="31"/>
    </row>
    <row r="7" spans="2:10" x14ac:dyDescent="0.3">
      <c r="B7" t="s">
        <v>42</v>
      </c>
      <c r="C7" s="32" t="str">
        <f>Empresa!C5</f>
        <v>Av. Macário Pinto Lopes, 186</v>
      </c>
      <c r="D7" s="32"/>
      <c r="E7" s="32"/>
      <c r="G7" t="s">
        <v>42</v>
      </c>
      <c r="H7" s="32" t="str">
        <f>VLOOKUP(H6,Clientes!B:H,2,0)</f>
        <v>Endereço 1, 75</v>
      </c>
      <c r="I7" s="32"/>
      <c r="J7" s="32"/>
    </row>
    <row r="8" spans="2:10" x14ac:dyDescent="0.3">
      <c r="B8" t="s">
        <v>43</v>
      </c>
      <c r="C8" s="32" t="str">
        <f>Empresa!C6</f>
        <v>Vila Nova</v>
      </c>
      <c r="D8" s="32"/>
      <c r="E8" s="32"/>
      <c r="G8" t="s">
        <v>43</v>
      </c>
      <c r="H8" s="32" t="str">
        <f>VLOOKUP(H6,Clientes!B:H,3,0)</f>
        <v>Centro</v>
      </c>
      <c r="I8" s="32"/>
      <c r="J8" s="32"/>
    </row>
    <row r="9" spans="2:10" x14ac:dyDescent="0.3">
      <c r="B9" t="s">
        <v>44</v>
      </c>
      <c r="C9" s="32" t="str">
        <f>Empresa!C7&amp;", "&amp;Empresa!C8</f>
        <v>Cabo Frio, RJ</v>
      </c>
      <c r="D9" s="32"/>
      <c r="E9" s="32"/>
      <c r="G9" t="s">
        <v>44</v>
      </c>
      <c r="H9" s="32" t="str">
        <f>VLOOKUP(H6,Clientes!B:H,4,0)</f>
        <v>Cidade 1, SC</v>
      </c>
      <c r="I9" s="32"/>
      <c r="J9" s="32"/>
    </row>
    <row r="10" spans="2:10" x14ac:dyDescent="0.3">
      <c r="B10" t="s">
        <v>45</v>
      </c>
      <c r="C10" s="33">
        <f>Empresa!C9</f>
        <v>21912345678</v>
      </c>
      <c r="D10" s="33"/>
      <c r="E10" s="33"/>
      <c r="G10" t="s">
        <v>45</v>
      </c>
      <c r="H10" s="33">
        <f>VLOOKUP(H6,Clientes!B:H,6,0)</f>
        <v>11912341234</v>
      </c>
      <c r="I10" s="33"/>
      <c r="J10" s="33"/>
    </row>
    <row r="11" spans="2:10" x14ac:dyDescent="0.3">
      <c r="G11" t="s">
        <v>59</v>
      </c>
      <c r="H11" s="33" t="str">
        <f>VLOOKUP(H6,Clientes!B:H,5,0)</f>
        <v>Alfredo Silva</v>
      </c>
      <c r="I11" s="33"/>
      <c r="J11" s="33"/>
    </row>
    <row r="12" spans="2:10" x14ac:dyDescent="0.3">
      <c r="H12" s="2"/>
      <c r="I12" s="2"/>
      <c r="J12" s="2"/>
    </row>
    <row r="13" spans="2:10" ht="21.6" customHeight="1" x14ac:dyDescent="0.3">
      <c r="B13" s="28" t="s">
        <v>62</v>
      </c>
      <c r="C13" s="28"/>
      <c r="D13" s="28"/>
      <c r="E13" s="28"/>
    </row>
    <row r="14" spans="2:10" ht="17.399999999999999" customHeight="1" x14ac:dyDescent="0.3">
      <c r="B14" s="12"/>
      <c r="C14" s="12"/>
      <c r="D14" s="12"/>
      <c r="E14" s="12"/>
    </row>
    <row r="15" spans="2:10" ht="14.4" customHeight="1" x14ac:dyDescent="0.3">
      <c r="B15" t="s">
        <v>61</v>
      </c>
      <c r="C15" s="29" t="s">
        <v>7</v>
      </c>
      <c r="D15" s="29"/>
      <c r="E15" s="29"/>
      <c r="G15" t="s">
        <v>63</v>
      </c>
      <c r="H15" s="29" t="s">
        <v>29</v>
      </c>
      <c r="I15" s="29"/>
      <c r="J15" s="29"/>
    </row>
    <row r="16" spans="2:10" ht="19.95" customHeight="1" x14ac:dyDescent="0.3">
      <c r="B16" s="13"/>
      <c r="C16" s="13"/>
    </row>
    <row r="17" spans="2:10" x14ac:dyDescent="0.3">
      <c r="B17" t="s">
        <v>60</v>
      </c>
    </row>
    <row r="18" spans="2:10" ht="7.95" customHeight="1" x14ac:dyDescent="0.3"/>
    <row r="19" spans="2:10" x14ac:dyDescent="0.3">
      <c r="B19" s="34"/>
      <c r="C19" s="35"/>
      <c r="D19" s="35"/>
      <c r="E19" s="35"/>
      <c r="F19" s="35"/>
      <c r="G19" s="35"/>
      <c r="H19" s="35"/>
      <c r="I19" s="35"/>
      <c r="J19" s="36"/>
    </row>
    <row r="20" spans="2:10" x14ac:dyDescent="0.3">
      <c r="B20" s="37"/>
      <c r="C20" s="38"/>
      <c r="D20" s="38"/>
      <c r="E20" s="38"/>
      <c r="F20" s="38"/>
      <c r="G20" s="38"/>
      <c r="H20" s="38"/>
      <c r="I20" s="38"/>
      <c r="J20" s="39"/>
    </row>
    <row r="21" spans="2:10" x14ac:dyDescent="0.3">
      <c r="B21" s="37"/>
      <c r="C21" s="38"/>
      <c r="D21" s="38"/>
      <c r="E21" s="38"/>
      <c r="F21" s="38"/>
      <c r="G21" s="38"/>
      <c r="H21" s="38"/>
      <c r="I21" s="38"/>
      <c r="J21" s="39"/>
    </row>
    <row r="22" spans="2:10" x14ac:dyDescent="0.3">
      <c r="B22" s="37"/>
      <c r="C22" s="38"/>
      <c r="D22" s="38"/>
      <c r="E22" s="38"/>
      <c r="F22" s="38"/>
      <c r="G22" s="38"/>
      <c r="H22" s="38"/>
      <c r="I22" s="38"/>
      <c r="J22" s="39"/>
    </row>
    <row r="23" spans="2:10" x14ac:dyDescent="0.3">
      <c r="B23" s="37"/>
      <c r="C23" s="38"/>
      <c r="D23" s="38"/>
      <c r="E23" s="38"/>
      <c r="F23" s="38"/>
      <c r="G23" s="38"/>
      <c r="H23" s="38"/>
      <c r="I23" s="38"/>
      <c r="J23" s="39"/>
    </row>
    <row r="24" spans="2:10" x14ac:dyDescent="0.3">
      <c r="B24" s="37"/>
      <c r="C24" s="38"/>
      <c r="D24" s="38"/>
      <c r="E24" s="38"/>
      <c r="F24" s="38"/>
      <c r="G24" s="38"/>
      <c r="H24" s="38"/>
      <c r="I24" s="38"/>
      <c r="J24" s="39"/>
    </row>
    <row r="25" spans="2:10" x14ac:dyDescent="0.3">
      <c r="B25" s="37"/>
      <c r="C25" s="38"/>
      <c r="D25" s="38"/>
      <c r="E25" s="38"/>
      <c r="F25" s="38"/>
      <c r="G25" s="38"/>
      <c r="H25" s="38"/>
      <c r="I25" s="38"/>
      <c r="J25" s="39"/>
    </row>
    <row r="26" spans="2:10" x14ac:dyDescent="0.3">
      <c r="B26" s="37"/>
      <c r="C26" s="38"/>
      <c r="D26" s="38"/>
      <c r="E26" s="38"/>
      <c r="F26" s="38"/>
      <c r="G26" s="38"/>
      <c r="H26" s="38"/>
      <c r="I26" s="38"/>
      <c r="J26" s="39"/>
    </row>
    <row r="27" spans="2:10" x14ac:dyDescent="0.3">
      <c r="B27" s="37"/>
      <c r="C27" s="38"/>
      <c r="D27" s="38"/>
      <c r="E27" s="38"/>
      <c r="F27" s="38"/>
      <c r="G27" s="38"/>
      <c r="H27" s="38"/>
      <c r="I27" s="38"/>
      <c r="J27" s="39"/>
    </row>
    <row r="28" spans="2:10" x14ac:dyDescent="0.3">
      <c r="B28" s="37"/>
      <c r="C28" s="38"/>
      <c r="D28" s="38"/>
      <c r="E28" s="38"/>
      <c r="F28" s="38"/>
      <c r="G28" s="38"/>
      <c r="H28" s="38"/>
      <c r="I28" s="38"/>
      <c r="J28" s="39"/>
    </row>
    <row r="29" spans="2:10" x14ac:dyDescent="0.3">
      <c r="B29" s="40"/>
      <c r="C29" s="41"/>
      <c r="D29" s="41"/>
      <c r="E29" s="41"/>
      <c r="F29" s="41"/>
      <c r="G29" s="41"/>
      <c r="H29" s="41"/>
      <c r="I29" s="41"/>
      <c r="J29" s="42"/>
    </row>
    <row r="31" spans="2:10" x14ac:dyDescent="0.3">
      <c r="B31" s="26" t="s">
        <v>64</v>
      </c>
      <c r="C31" s="27"/>
      <c r="E31" s="26" t="s">
        <v>65</v>
      </c>
      <c r="F31" s="27"/>
      <c r="G31" s="27"/>
      <c r="I31" s="26" t="s">
        <v>66</v>
      </c>
      <c r="J31" s="27"/>
    </row>
    <row r="32" spans="2:10" x14ac:dyDescent="0.3">
      <c r="B32" s="24" t="str">
        <f>IF(VLOOKUP(H15,Empresa!E:I,4,0)=1,VLOOKUP(H15,Empresa!E:I,4,0)&amp;" pessoa",VLOOKUP(H15,Empresa!E:I,4,0)&amp;" pessoas")</f>
        <v>3 pessoas</v>
      </c>
      <c r="C32" s="24"/>
      <c r="E32" s="24" t="str">
        <f>VLOOKUP(H15,Empresa!E:I,3,0)&amp;" meses"</f>
        <v>12 meses</v>
      </c>
      <c r="F32" s="24"/>
      <c r="G32" s="24"/>
      <c r="I32" s="25">
        <f>VLOOKUP(H15,Empresa!E:I,5,0)</f>
        <v>100000</v>
      </c>
      <c r="J32" s="25"/>
    </row>
    <row r="33" spans="2:10" x14ac:dyDescent="0.3">
      <c r="B33" s="24"/>
      <c r="C33" s="24"/>
      <c r="E33" s="24"/>
      <c r="F33" s="24"/>
      <c r="G33" s="24"/>
      <c r="I33" s="25"/>
      <c r="J33" s="25"/>
    </row>
    <row r="40" spans="2:10" ht="17.399999999999999" x14ac:dyDescent="0.3">
      <c r="B40" s="22" t="str">
        <f>Empresa!C4</f>
        <v>Hashtag Consultoria</v>
      </c>
      <c r="C40" s="22"/>
      <c r="D40" s="22"/>
      <c r="E40" s="22"/>
      <c r="F40" s="22"/>
      <c r="G40" s="22"/>
      <c r="H40" s="22"/>
      <c r="I40" s="22"/>
      <c r="J40" s="22"/>
    </row>
    <row r="41" spans="2:10" x14ac:dyDescent="0.3">
      <c r="B41" s="23" t="str">
        <f>INDEX(Empresa!B13:B17,MATCH(C15,Empresa!C13:C22,0))&amp;" - Responsável Técnico"</f>
        <v>André Cavalcanti - Responsável Técnico</v>
      </c>
      <c r="C41" s="23"/>
      <c r="D41" s="23"/>
      <c r="E41" s="23"/>
      <c r="F41" s="23"/>
      <c r="G41" s="23"/>
      <c r="H41" s="23"/>
      <c r="I41" s="23"/>
      <c r="J41" s="23"/>
    </row>
    <row r="44" spans="2:10" x14ac:dyDescent="0.3">
      <c r="B44" t="s">
        <v>67</v>
      </c>
      <c r="C44" s="20">
        <f ca="1">TODAY()</f>
        <v>45036</v>
      </c>
      <c r="D44" s="21"/>
      <c r="E44" s="21"/>
      <c r="G44" t="s">
        <v>68</v>
      </c>
      <c r="H44" s="20">
        <f ca="1">C44+15</f>
        <v>45051</v>
      </c>
      <c r="I44" s="21"/>
      <c r="J44" s="21"/>
    </row>
  </sheetData>
  <mergeCells count="28">
    <mergeCell ref="H11:J11"/>
    <mergeCell ref="B19:J29"/>
    <mergeCell ref="C15:E15"/>
    <mergeCell ref="C8:E8"/>
    <mergeCell ref="C9:E9"/>
    <mergeCell ref="C10:E10"/>
    <mergeCell ref="H8:J8"/>
    <mergeCell ref="H9:J9"/>
    <mergeCell ref="H10:J10"/>
    <mergeCell ref="B2:J2"/>
    <mergeCell ref="B4:E4"/>
    <mergeCell ref="G4:J4"/>
    <mergeCell ref="H6:J6"/>
    <mergeCell ref="H7:J7"/>
    <mergeCell ref="C6:E6"/>
    <mergeCell ref="C7:E7"/>
    <mergeCell ref="I31:J31"/>
    <mergeCell ref="B13:E13"/>
    <mergeCell ref="H15:J15"/>
    <mergeCell ref="B31:C31"/>
    <mergeCell ref="E31:G31"/>
    <mergeCell ref="C44:E44"/>
    <mergeCell ref="H44:J44"/>
    <mergeCell ref="B40:J40"/>
    <mergeCell ref="B41:J41"/>
    <mergeCell ref="B32:C33"/>
    <mergeCell ref="E32:G33"/>
    <mergeCell ref="I32:J3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58C5568-4D56-435C-BC24-421A63246B8D}">
          <x14:formula1>
            <xm:f>Clientes!$B$5:$B$17</xm:f>
          </x14:formula1>
          <xm:sqref>H6:J6</xm:sqref>
        </x14:dataValidation>
        <x14:dataValidation type="list" allowBlank="1" showInputMessage="1" showErrorMessage="1" xr:uid="{1F6FC9FE-A4A3-4359-B23E-BA0DB8A82CA5}">
          <x14:formula1>
            <xm:f>Empresa!$C$13:$C$22</xm:f>
          </x14:formula1>
          <xm:sqref>C15:E15</xm:sqref>
        </x14:dataValidation>
        <x14:dataValidation type="list" allowBlank="1" showInputMessage="1" showErrorMessage="1" xr:uid="{2139C0B6-9B7A-4739-9E2A-1FD6E20EA1E0}">
          <x14:formula1>
            <xm:f>Empresa!$E$5:$E$19</xm:f>
          </x14:formula1>
          <xm:sqref>H15:J15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Empresa</vt:lpstr>
      <vt:lpstr>Clientes</vt:lpstr>
      <vt:lpstr>Proposta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Alfredo Araujo</dc:creator>
  <cp:lastModifiedBy>Alfredo Araujo</cp:lastModifiedBy>
  <cp:lastPrinted>2023-04-20T19:46:31Z</cp:lastPrinted>
  <dcterms:created xsi:type="dcterms:W3CDTF">2023-04-18T12:02:48Z</dcterms:created>
  <dcterms:modified xsi:type="dcterms:W3CDTF">2023-04-20T19:56:12Z</dcterms:modified>
</cp:coreProperties>
</file>