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e Quinta/Modelos de Planilha/Gestão de Frotas/"/>
    </mc:Choice>
  </mc:AlternateContent>
  <xr:revisionPtr revIDLastSave="1192" documentId="8_{82A8D11E-18D6-4709-B3B7-9EE35D8F5697}" xr6:coauthVersionLast="47" xr6:coauthVersionMax="47" xr10:uidLastSave="{459E3620-30A9-4CCC-A853-8C48F143BCAF}"/>
  <bookViews>
    <workbookView xWindow="-108" yWindow="-108" windowWidth="23256" windowHeight="13176" tabRatio="0" firstSheet="5" activeTab="5" xr2:uid="{98F25493-CD0A-417A-B7ED-CD168D6DC6CF}"/>
  </bookViews>
  <sheets>
    <sheet name="Análises" sheetId="8" state="hidden" r:id="rId1"/>
    <sheet name="Cadastro" sheetId="1" r:id="rId2"/>
    <sheet name="Veículos" sheetId="4" r:id="rId3"/>
    <sheet name="Rotas" sheetId="5" r:id="rId4"/>
    <sheet name="Manutenção" sheetId="6" r:id="rId5"/>
    <sheet name="Dashboard" sheetId="7" r:id="rId6"/>
  </sheets>
  <definedNames>
    <definedName name="NativeTimeline_Data">#N/A</definedName>
  </definedNames>
  <calcPr calcId="191028"/>
  <pivotCaches>
    <pivotCache cacheId="12" r:id="rId7"/>
    <pivotCache cacheId="17" r:id="rId8"/>
    <pivotCache cacheId="23" r:id="rId9"/>
    <pivotCache cacheId="29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8" l="1"/>
  <c r="K13" i="4"/>
  <c r="M13" i="4"/>
  <c r="K12" i="4"/>
  <c r="M12" i="4"/>
  <c r="K11" i="4"/>
  <c r="M11" i="4"/>
  <c r="K10" i="4"/>
  <c r="M10" i="4"/>
  <c r="K9" i="4"/>
  <c r="M9" i="4"/>
  <c r="K8" i="4"/>
  <c r="M8" i="4"/>
  <c r="K7" i="4"/>
  <c r="M7" i="4"/>
  <c r="K6" i="4"/>
  <c r="M6" i="4"/>
  <c r="M4" i="4"/>
  <c r="M5" i="4"/>
  <c r="K4" i="4"/>
  <c r="K5" i="4"/>
</calcChain>
</file>

<file path=xl/sharedStrings.xml><?xml version="1.0" encoding="utf-8"?>
<sst xmlns="http://schemas.openxmlformats.org/spreadsheetml/2006/main" count="223" uniqueCount="79">
  <si>
    <t>Data</t>
  </si>
  <si>
    <t>Veículo</t>
  </si>
  <si>
    <t>Origem</t>
  </si>
  <si>
    <t>Destino</t>
  </si>
  <si>
    <t>Receitas</t>
  </si>
  <si>
    <t>Combustível</t>
  </si>
  <si>
    <t>Pedágio</t>
  </si>
  <si>
    <t>Outros</t>
  </si>
  <si>
    <t>Motorista</t>
  </si>
  <si>
    <t>No Prazo?</t>
  </si>
  <si>
    <t>Tipo</t>
  </si>
  <si>
    <t>Placa</t>
  </si>
  <si>
    <t>Ano Fabricação</t>
  </si>
  <si>
    <t>Cor</t>
  </si>
  <si>
    <t>Total Manutenção</t>
  </si>
  <si>
    <t>Iluminação</t>
  </si>
  <si>
    <t>Elétrica</t>
  </si>
  <si>
    <t>Motor</t>
  </si>
  <si>
    <t>Embreagem</t>
  </si>
  <si>
    <t>Freios</t>
  </si>
  <si>
    <t>Lataria</t>
  </si>
  <si>
    <t>Vidros</t>
  </si>
  <si>
    <t>Pneus</t>
  </si>
  <si>
    <t>Orçamento</t>
  </si>
  <si>
    <t>Obs</t>
  </si>
  <si>
    <t>CNH vence em</t>
  </si>
  <si>
    <t>Celular</t>
  </si>
  <si>
    <t>Motivo defeito</t>
  </si>
  <si>
    <t>Roberto</t>
  </si>
  <si>
    <t>Eduardo</t>
  </si>
  <si>
    <t>Eliza</t>
  </si>
  <si>
    <t>Diego</t>
  </si>
  <si>
    <t>Nº</t>
  </si>
  <si>
    <t>Motivo Defeito</t>
  </si>
  <si>
    <t>Falta de manutenção</t>
  </si>
  <si>
    <t>Batida</t>
  </si>
  <si>
    <t>Imprudência motorista</t>
  </si>
  <si>
    <t>Problema na manutenção</t>
  </si>
  <si>
    <t>Ação da natureza</t>
  </si>
  <si>
    <t>Problema na instalação</t>
  </si>
  <si>
    <t>Tipo Veículo</t>
  </si>
  <si>
    <t>Caminhão</t>
  </si>
  <si>
    <t>Van</t>
  </si>
  <si>
    <t>ABC1D34</t>
  </si>
  <si>
    <t>Branco</t>
  </si>
  <si>
    <t>Carga Máxima (Kg)</t>
  </si>
  <si>
    <t>Rodagem Aquisição (Km)</t>
  </si>
  <si>
    <t>Rodagem Atual (Km)</t>
  </si>
  <si>
    <t>Veículo Passeio</t>
  </si>
  <si>
    <t>Nova Iguaçu - RJ</t>
  </si>
  <si>
    <t>Itaboraí - RJ</t>
  </si>
  <si>
    <t>Distância (Km)</t>
  </si>
  <si>
    <t>Peso Carga (Kg)</t>
  </si>
  <si>
    <t>Sim</t>
  </si>
  <si>
    <t>CDE1F23</t>
  </si>
  <si>
    <t>Prata</t>
  </si>
  <si>
    <t>Aprovado</t>
  </si>
  <si>
    <t>Reprovado</t>
  </si>
  <si>
    <t>Parachoque</t>
  </si>
  <si>
    <t>DDD1D11</t>
  </si>
  <si>
    <t>Não</t>
  </si>
  <si>
    <t>Cadastros</t>
  </si>
  <si>
    <t>Veículos</t>
  </si>
  <si>
    <t>Rotas</t>
  </si>
  <si>
    <t>Manutenção</t>
  </si>
  <si>
    <t>Dashboard</t>
  </si>
  <si>
    <t>Trocar freios</t>
  </si>
  <si>
    <t>Enchente</t>
  </si>
  <si>
    <t>Fixar setas</t>
  </si>
  <si>
    <t>Rótulos de Linha</t>
  </si>
  <si>
    <t>Total Geral</t>
  </si>
  <si>
    <t>Soma de Total Manutenção</t>
  </si>
  <si>
    <t>Soma de Distância (Km)</t>
  </si>
  <si>
    <t>Contagem de Motivo defeito</t>
  </si>
  <si>
    <t>Soma de Combustível</t>
  </si>
  <si>
    <t>Soma de Orçamento</t>
  </si>
  <si>
    <t>Contagem de No Prazo?</t>
  </si>
  <si>
    <t>Desgaste prematuro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</si>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</sst>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(00\)\ 00000\-0000"/>
    <numFmt numFmtId="165" formatCode="&quot;R$&quot;\ #,##0.00"/>
    <numFmt numFmtId="166" formatCode="_-* #,##0_-;\-* #,##0_-;_-* &quot;-&quot;??_-;_-@_-"/>
    <numFmt numFmtId="167" formatCode="&quot;R$&quot;\ #,##0"/>
    <numFmt numFmtId="168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20"/>
      <color theme="0"/>
      <name val="Montserrat"/>
    </font>
    <font>
      <sz val="9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2" fillId="0" borderId="0" xfId="0" applyFont="1"/>
    <xf numFmtId="0" fontId="4" fillId="0" borderId="0" xfId="0" applyFont="1"/>
    <xf numFmtId="14" fontId="4" fillId="0" borderId="0" xfId="0" applyNumberFormat="1" applyFont="1"/>
    <xf numFmtId="44" fontId="4" fillId="0" borderId="0" xfId="1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1" applyNumberFormat="1" applyFont="1" applyAlignment="1">
      <alignment wrapText="1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166" fontId="4" fillId="0" borderId="0" xfId="2" applyNumberFormat="1" applyFont="1" applyAlignment="1">
      <alignment wrapText="1"/>
    </xf>
    <xf numFmtId="166" fontId="4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4" borderId="0" xfId="0" applyFill="1"/>
  </cellXfs>
  <cellStyles count="3">
    <cellStyle name="Moeda" xfId="1" builtinId="4"/>
    <cellStyle name="Normal" xfId="0" builtinId="0"/>
    <cellStyle name="Vírgula" xfId="2" builtinId="3"/>
  </cellStyles>
  <dxfs count="56"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6" formatCode="_-* #,##0_-;\-* #,##0_-;_-* &quot;-&quot;??_-;_-@_-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5" formatCode="&quot;R$&quot;\ #,##0.0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6" formatCode="_-* #,##0_-;\-* #,##0_-;_-* &quot;-&quot;??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6" formatCode="_-* #,##0_-;\-* #,##0_-;_-* &quot;-&quot;??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6" formatCode="_-* #,##0_-;\-* #,##0_-;_-* &quot;-&quot;??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4" formatCode="\(00\)\ 00000\-000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b/>
        <sz val="11"/>
        <color theme="1"/>
      </font>
    </dxf>
    <dxf>
      <font>
        <color theme="0"/>
        <name val="Montserrat"/>
      </font>
      <fill>
        <patternFill patternType="solid">
          <fgColor theme="0"/>
          <bgColor rgb="FF28323B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Linha do Tempo 1" pivot="0" table="0" count="8" xr9:uid="{0F6CC294-3C2F-4B90-B294-20440B090EE1}">
      <tableStyleElement type="wholeTable" dxfId="55"/>
      <tableStyleElement type="headerRow" dxfId="54"/>
    </tableStyle>
  </tableStyles>
  <colors>
    <mruColors>
      <color rgb="FF28323B"/>
      <color rgb="FFED8137"/>
      <color rgb="FFC55A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5" tint="-0.24994659260841701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Frotas.xlsx]Análises!Tabela dinâmica8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ED8137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8137"/>
          </a:solidFill>
          <a:ln w="19050">
            <a:noFill/>
          </a:ln>
          <a:effectLst/>
        </c:spPr>
      </c:pivotFmt>
      <c:pivotFmt>
        <c:idx val="6"/>
        <c:spPr>
          <a:noFill/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Análises!$T$1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8137"/>
            </a:solidFill>
            <a:ln>
              <a:noFill/>
            </a:ln>
          </c:spPr>
          <c:dPt>
            <c:idx val="0"/>
            <c:bubble3D val="0"/>
            <c:spPr>
              <a:solidFill>
                <a:srgbClr val="ED813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FD-4334-ACE3-50BF6A38050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FD-4334-ACE3-50BF6A38050D}"/>
              </c:ext>
            </c:extLst>
          </c:dPt>
          <c:cat>
            <c:strRef>
              <c:f>Análises!$S$2:$S$3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Análises!$T$2:$T$3</c:f>
              <c:numCache>
                <c:formatCode>0.0%</c:formatCode>
                <c:ptCount val="2"/>
                <c:pt idx="0">
                  <c:v>0.66666666666666663</c:v>
                </c:pt>
                <c:pt idx="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FD-4334-ACE3-50BF6A380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Frotas.xlsx]Análises!Tabela dinâmica5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81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81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Análises!$I$2:$I$6</c:f>
              <c:strCache>
                <c:ptCount val="4"/>
                <c:pt idx="0">
                  <c:v>Batida</c:v>
                </c:pt>
                <c:pt idx="1">
                  <c:v>Problema na instalação</c:v>
                </c:pt>
                <c:pt idx="2">
                  <c:v>Ação da natureza</c:v>
                </c:pt>
                <c:pt idx="3">
                  <c:v>Desgaste prematuro</c:v>
                </c:pt>
              </c:strCache>
            </c:strRef>
          </c:cat>
          <c:val>
            <c:numRef>
              <c:f>Análises!$J$2:$J$6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C-47EC-AEED-A990CCCFF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4528367"/>
        <c:axId val="332019151"/>
      </c:barChart>
      <c:catAx>
        <c:axId val="162452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332019151"/>
        <c:crosses val="autoZero"/>
        <c:auto val="1"/>
        <c:lblAlgn val="l"/>
        <c:lblOffset val="100"/>
        <c:noMultiLvlLbl val="0"/>
      </c:catAx>
      <c:valAx>
        <c:axId val="332019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452836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Frotas.xlsx]Análises!Tabela dinâmica4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81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81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Análises!$E$2:$E$6</c:f>
              <c:strCache>
                <c:ptCount val="4"/>
                <c:pt idx="0">
                  <c:v>Eduardo</c:v>
                </c:pt>
                <c:pt idx="1">
                  <c:v>Eliza</c:v>
                </c:pt>
                <c:pt idx="2">
                  <c:v>Diego</c:v>
                </c:pt>
                <c:pt idx="3">
                  <c:v>Roberto</c:v>
                </c:pt>
              </c:strCache>
            </c:strRef>
          </c:cat>
          <c:val>
            <c:numRef>
              <c:f>Análises!$F$2:$F$6</c:f>
              <c:numCache>
                <c:formatCode>General</c:formatCode>
                <c:ptCount val="4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2-44D4-8242-B3022C5A5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4529807"/>
        <c:axId val="1624530287"/>
      </c:barChart>
      <c:catAx>
        <c:axId val="1624529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24530287"/>
        <c:crosses val="autoZero"/>
        <c:auto val="1"/>
        <c:lblAlgn val="ctr"/>
        <c:lblOffset val="100"/>
        <c:noMultiLvlLbl val="0"/>
      </c:catAx>
      <c:valAx>
        <c:axId val="1624530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452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Frotas.xlsx]Análises!Tabela dinâmica3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81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81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Análises!$A$2:$A$5</c:f>
              <c:strCache>
                <c:ptCount val="3"/>
                <c:pt idx="0">
                  <c:v>ABC1D34</c:v>
                </c:pt>
                <c:pt idx="1">
                  <c:v>CDE1F23</c:v>
                </c:pt>
                <c:pt idx="2">
                  <c:v>DDD1D11</c:v>
                </c:pt>
              </c:strCache>
            </c:strRef>
          </c:cat>
          <c:val>
            <c:numRef>
              <c:f>Análises!$B$2:$B$5</c:f>
              <c:numCache>
                <c:formatCode>"R$"\ #,##0</c:formatCode>
                <c:ptCount val="3"/>
                <c:pt idx="0">
                  <c:v>10200</c:v>
                </c:pt>
                <c:pt idx="1">
                  <c:v>8400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6-4093-90E9-5C20ADEB9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582991"/>
        <c:axId val="327583471"/>
      </c:barChart>
      <c:catAx>
        <c:axId val="32758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327583471"/>
        <c:crosses val="autoZero"/>
        <c:auto val="1"/>
        <c:lblAlgn val="ctr"/>
        <c:lblOffset val="100"/>
        <c:noMultiLvlLbl val="0"/>
      </c:catAx>
      <c:valAx>
        <c:axId val="32758347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32758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bg1"/>
          </a:solidFill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Manuten&#231;&#227;o!A1"/><Relationship Id="rId13" Type="http://schemas.openxmlformats.org/officeDocument/2006/relationships/image" Target="../media/image8.svg"/><Relationship Id="rId3" Type="http://schemas.openxmlformats.org/officeDocument/2006/relationships/hyperlink" Target="#Dashboard!A1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2" Type="http://schemas.openxmlformats.org/officeDocument/2006/relationships/hyperlink" Target="#Rotas!A1"/><Relationship Id="rId1" Type="http://schemas.openxmlformats.org/officeDocument/2006/relationships/hyperlink" Target="#Cadastro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hyperlink" Target="#Ve&#237;culos!A1"/><Relationship Id="rId14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Manuten&#231;&#227;o!A1"/><Relationship Id="rId13" Type="http://schemas.openxmlformats.org/officeDocument/2006/relationships/image" Target="../media/image8.svg"/><Relationship Id="rId3" Type="http://schemas.openxmlformats.org/officeDocument/2006/relationships/hyperlink" Target="#Dashboard!A1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2" Type="http://schemas.openxmlformats.org/officeDocument/2006/relationships/hyperlink" Target="#Rotas!A1"/><Relationship Id="rId1" Type="http://schemas.openxmlformats.org/officeDocument/2006/relationships/hyperlink" Target="#Cadastro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hyperlink" Target="#Ve&#237;culos!A1"/><Relationship Id="rId1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Manuten&#231;&#227;o!A1"/><Relationship Id="rId13" Type="http://schemas.openxmlformats.org/officeDocument/2006/relationships/image" Target="../media/image8.svg"/><Relationship Id="rId3" Type="http://schemas.openxmlformats.org/officeDocument/2006/relationships/hyperlink" Target="#Dashboard!A1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2" Type="http://schemas.openxmlformats.org/officeDocument/2006/relationships/hyperlink" Target="#Rotas!A1"/><Relationship Id="rId1" Type="http://schemas.openxmlformats.org/officeDocument/2006/relationships/hyperlink" Target="#Cadastro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hyperlink" Target="#Ve&#237;culos!A1"/><Relationship Id="rId1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Manuten&#231;&#227;o!A1"/><Relationship Id="rId13" Type="http://schemas.openxmlformats.org/officeDocument/2006/relationships/image" Target="../media/image8.svg"/><Relationship Id="rId3" Type="http://schemas.openxmlformats.org/officeDocument/2006/relationships/hyperlink" Target="#Dashboard!A1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2" Type="http://schemas.openxmlformats.org/officeDocument/2006/relationships/hyperlink" Target="#Rotas!A1"/><Relationship Id="rId1" Type="http://schemas.openxmlformats.org/officeDocument/2006/relationships/hyperlink" Target="#Cadastro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hyperlink" Target="#Ve&#237;culos!A1"/><Relationship Id="rId1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Manuten&#231;&#227;o!A1"/><Relationship Id="rId13" Type="http://schemas.openxmlformats.org/officeDocument/2006/relationships/image" Target="../media/image8.svg"/><Relationship Id="rId18" Type="http://schemas.openxmlformats.org/officeDocument/2006/relationships/chart" Target="../charts/chart3.xml"/><Relationship Id="rId3" Type="http://schemas.openxmlformats.org/officeDocument/2006/relationships/hyperlink" Target="#Dashboard!A1"/><Relationship Id="rId7" Type="http://schemas.openxmlformats.org/officeDocument/2006/relationships/image" Target="../media/image4.svg"/><Relationship Id="rId12" Type="http://schemas.openxmlformats.org/officeDocument/2006/relationships/image" Target="../media/image7.png"/><Relationship Id="rId17" Type="http://schemas.openxmlformats.org/officeDocument/2006/relationships/chart" Target="../charts/chart2.xml"/><Relationship Id="rId2" Type="http://schemas.openxmlformats.org/officeDocument/2006/relationships/hyperlink" Target="#Rotas!A1"/><Relationship Id="rId16" Type="http://schemas.openxmlformats.org/officeDocument/2006/relationships/chart" Target="../charts/chart1.xml"/><Relationship Id="rId1" Type="http://schemas.openxmlformats.org/officeDocument/2006/relationships/hyperlink" Target="#Cadastro!A1"/><Relationship Id="rId6" Type="http://schemas.openxmlformats.org/officeDocument/2006/relationships/image" Target="../media/image3.png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19" Type="http://schemas.openxmlformats.org/officeDocument/2006/relationships/chart" Target="../charts/chart4.xml"/><Relationship Id="rId4" Type="http://schemas.openxmlformats.org/officeDocument/2006/relationships/image" Target="../media/image1.png"/><Relationship Id="rId9" Type="http://schemas.openxmlformats.org/officeDocument/2006/relationships/hyperlink" Target="#Ve&#237;culos!A1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2</xdr:row>
      <xdr:rowOff>29927</xdr:rowOff>
    </xdr:from>
    <xdr:to>
      <xdr:col>2</xdr:col>
      <xdr:colOff>562804</xdr:colOff>
      <xdr:row>3</xdr:row>
      <xdr:rowOff>113387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DA1738A-0F1F-3ACB-049E-DE0981EB83EC}"/>
            </a:ext>
          </a:extLst>
        </xdr:cNvPr>
        <xdr:cNvSpPr/>
      </xdr:nvSpPr>
      <xdr:spPr>
        <a:xfrm>
          <a:off x="3751" y="717904"/>
          <a:ext cx="1778253" cy="266340"/>
        </a:xfrm>
        <a:prstGeom prst="rect">
          <a:avLst/>
        </a:prstGeom>
        <a:gradFill flip="none" rotWithShape="1">
          <a:gsLst>
            <a:gs pos="0">
              <a:schemeClr val="accent2">
                <a:lumMod val="75000"/>
              </a:schemeClr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6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0A0A5A-A457-CD48-86E2-E9A0112E1439}"/>
            </a:ext>
          </a:extLst>
        </xdr:cNvPr>
        <xdr:cNvSpPr txBox="1"/>
      </xdr:nvSpPr>
      <xdr:spPr>
        <a:xfrm>
          <a:off x="340583" y="714094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Cadastro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68F9B0-BA45-4437-90EC-2799EC83C5FF}"/>
            </a:ext>
          </a:extLst>
        </xdr:cNvPr>
        <xdr:cNvSpPr txBox="1"/>
      </xdr:nvSpPr>
      <xdr:spPr>
        <a:xfrm>
          <a:off x="340582" y="1439987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Rotas</a:t>
          </a:r>
        </a:p>
      </xdr:txBody>
    </xdr:sp>
    <xdr:clientData/>
  </xdr:twoCellAnchor>
  <xdr:twoCellAnchor>
    <xdr:from>
      <xdr:col>0</xdr:col>
      <xdr:colOff>340582</xdr:colOff>
      <xdr:row>10</xdr:row>
      <xdr:rowOff>59248</xdr:rowOff>
    </xdr:from>
    <xdr:to>
      <xdr:col>3</xdr:col>
      <xdr:colOff>72887</xdr:colOff>
      <xdr:row>11</xdr:row>
      <xdr:rowOff>153362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9E78F5-B832-4F7A-8DB6-A5EA8FD0607D}"/>
            </a:ext>
          </a:extLst>
        </xdr:cNvPr>
        <xdr:cNvSpPr txBox="1"/>
      </xdr:nvSpPr>
      <xdr:spPr>
        <a:xfrm>
          <a:off x="340582" y="2210265"/>
          <a:ext cx="1561105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Dashboard</a:t>
          </a:r>
        </a:p>
      </xdr:txBody>
    </xdr:sp>
    <xdr:clientData/>
  </xdr:twoCellAnchor>
  <xdr:twoCellAnchor editAs="oneCell">
    <xdr:from>
      <xdr:col>0</xdr:col>
      <xdr:colOff>85972</xdr:colOff>
      <xdr:row>10</xdr:row>
      <xdr:rowOff>93872</xdr:rowOff>
    </xdr:from>
    <xdr:to>
      <xdr:col>0</xdr:col>
      <xdr:colOff>290309</xdr:colOff>
      <xdr:row>11</xdr:row>
      <xdr:rowOff>92234</xdr:rowOff>
    </xdr:to>
    <xdr:pic>
      <xdr:nvPicPr>
        <xdr:cNvPr id="7" name="Gráfico 6" descr="Gráfico de barras com tendência ascendente com preenchimento sólido">
          <a:extLst>
            <a:ext uri="{FF2B5EF4-FFF2-40B4-BE49-F238E27FC236}">
              <a16:creationId xmlns:a16="http://schemas.microsoft.com/office/drawing/2014/main" id="{3807E00D-292E-B9D3-5E2E-A3E7AD393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972" y="2244889"/>
          <a:ext cx="204337" cy="207747"/>
        </a:xfrm>
        <a:prstGeom prst="rect">
          <a:avLst/>
        </a:prstGeom>
      </xdr:spPr>
    </xdr:pic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11" name="Gráfico 10" descr="Documento com preenchimento sólido">
          <a:extLst>
            <a:ext uri="{FF2B5EF4-FFF2-40B4-BE49-F238E27FC236}">
              <a16:creationId xmlns:a16="http://schemas.microsoft.com/office/drawing/2014/main" id="{BFDC72E0-795A-8656-67BD-AF9A3CDCA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972" y="748718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8</xdr:row>
      <xdr:rowOff>20489</xdr:rowOff>
    </xdr:from>
    <xdr:to>
      <xdr:col>3</xdr:col>
      <xdr:colOff>72887</xdr:colOff>
      <xdr:row>9</xdr:row>
      <xdr:rowOff>117253</xdr:rowOff>
    </xdr:to>
    <xdr:sp macro="" textlink="">
      <xdr:nvSpPr>
        <xdr:cNvPr id="13" name="CaixaDeTexto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14C70A0-2777-42A9-8B7B-62C3A4B361F9}"/>
            </a:ext>
          </a:extLst>
        </xdr:cNvPr>
        <xdr:cNvSpPr txBox="1"/>
      </xdr:nvSpPr>
      <xdr:spPr>
        <a:xfrm>
          <a:off x="340582" y="1805746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Manutenção</a:t>
          </a:r>
        </a:p>
      </xdr:txBody>
    </xdr:sp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15" name="CaixaDeText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D83823C-816C-4B5F-901A-457B9F5D4380}"/>
            </a:ext>
          </a:extLst>
        </xdr:cNvPr>
        <xdr:cNvSpPr txBox="1"/>
      </xdr:nvSpPr>
      <xdr:spPr>
        <a:xfrm>
          <a:off x="340582" y="106097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Veículos</a:t>
          </a:r>
        </a:p>
      </xdr:txBody>
    </xdr:sp>
    <xdr:clientData/>
  </xdr:twoCellAnchor>
  <xdr:twoCellAnchor editAs="oneCell">
    <xdr:from>
      <xdr:col>0</xdr:col>
      <xdr:colOff>83740</xdr:colOff>
      <xdr:row>6</xdr:row>
      <xdr:rowOff>57238</xdr:rowOff>
    </xdr:from>
    <xdr:to>
      <xdr:col>0</xdr:col>
      <xdr:colOff>292540</xdr:colOff>
      <xdr:row>7</xdr:row>
      <xdr:rowOff>54002</xdr:rowOff>
    </xdr:to>
    <xdr:pic>
      <xdr:nvPicPr>
        <xdr:cNvPr id="18" name="Gráfico 17" descr="Rota (dois pinos em um caminho) com preenchimento sólido">
          <a:extLst>
            <a:ext uri="{FF2B5EF4-FFF2-40B4-BE49-F238E27FC236}">
              <a16:creationId xmlns:a16="http://schemas.microsoft.com/office/drawing/2014/main" id="{F67DE73E-3C8A-D86E-BFB1-A9F49567D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3740" y="1476735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8</xdr:row>
      <xdr:rowOff>57237</xdr:rowOff>
    </xdr:from>
    <xdr:to>
      <xdr:col>0</xdr:col>
      <xdr:colOff>292540</xdr:colOff>
      <xdr:row>9</xdr:row>
      <xdr:rowOff>54001</xdr:rowOff>
    </xdr:to>
    <xdr:pic>
      <xdr:nvPicPr>
        <xdr:cNvPr id="20" name="Gráfico 19" descr="Ferramentas com preenchimento sólido">
          <a:extLst>
            <a:ext uri="{FF2B5EF4-FFF2-40B4-BE49-F238E27FC236}">
              <a16:creationId xmlns:a16="http://schemas.microsoft.com/office/drawing/2014/main" id="{5469E269-4D80-7E46-B8A2-4E0A6FE3C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740" y="1842494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4</xdr:row>
      <xdr:rowOff>43981</xdr:rowOff>
    </xdr:from>
    <xdr:to>
      <xdr:col>0</xdr:col>
      <xdr:colOff>292540</xdr:colOff>
      <xdr:row>5</xdr:row>
      <xdr:rowOff>40746</xdr:rowOff>
    </xdr:to>
    <xdr:pic>
      <xdr:nvPicPr>
        <xdr:cNvPr id="22" name="Gráfico 21" descr="Caminhão de lixo com preenchimento sólido">
          <a:extLst>
            <a:ext uri="{FF2B5EF4-FFF2-40B4-BE49-F238E27FC236}">
              <a16:creationId xmlns:a16="http://schemas.microsoft.com/office/drawing/2014/main" id="{A950B8D4-0781-F14F-0C33-0134E4ACD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3740" y="1097718"/>
          <a:ext cx="208800" cy="206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4</xdr:row>
      <xdr:rowOff>17905</xdr:rowOff>
    </xdr:from>
    <xdr:to>
      <xdr:col>2</xdr:col>
      <xdr:colOff>562804</xdr:colOff>
      <xdr:row>5</xdr:row>
      <xdr:rowOff>101364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47D210B-7A18-4EE4-9848-A127F92F8FE6}"/>
            </a:ext>
          </a:extLst>
        </xdr:cNvPr>
        <xdr:cNvSpPr/>
      </xdr:nvSpPr>
      <xdr:spPr>
        <a:xfrm>
          <a:off x="3751" y="1072673"/>
          <a:ext cx="1778253" cy="267944"/>
        </a:xfrm>
        <a:prstGeom prst="rect">
          <a:avLst/>
        </a:prstGeom>
        <a:gradFill flip="none" rotWithShape="1">
          <a:gsLst>
            <a:gs pos="0">
              <a:schemeClr val="accent2">
                <a:lumMod val="75000"/>
              </a:schemeClr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6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115E40-46D7-4845-9377-4AF664164E0D}"/>
            </a:ext>
          </a:extLst>
        </xdr:cNvPr>
        <xdr:cNvSpPr txBox="1"/>
      </xdr:nvSpPr>
      <xdr:spPr>
        <a:xfrm>
          <a:off x="340583" y="711917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Cadastro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4476DC-B207-447F-AB59-D9900409377A}"/>
            </a:ext>
          </a:extLst>
        </xdr:cNvPr>
        <xdr:cNvSpPr txBox="1"/>
      </xdr:nvSpPr>
      <xdr:spPr>
        <a:xfrm>
          <a:off x="340582" y="143781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Rotas</a:t>
          </a:r>
        </a:p>
      </xdr:txBody>
    </xdr:sp>
    <xdr:clientData/>
  </xdr:twoCellAnchor>
  <xdr:twoCellAnchor>
    <xdr:from>
      <xdr:col>0</xdr:col>
      <xdr:colOff>340582</xdr:colOff>
      <xdr:row>10</xdr:row>
      <xdr:rowOff>59248</xdr:rowOff>
    </xdr:from>
    <xdr:to>
      <xdr:col>3</xdr:col>
      <xdr:colOff>72887</xdr:colOff>
      <xdr:row>11</xdr:row>
      <xdr:rowOff>153362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3A0DAE-2516-48A7-89F0-54B642F7BB21}"/>
            </a:ext>
          </a:extLst>
        </xdr:cNvPr>
        <xdr:cNvSpPr txBox="1"/>
      </xdr:nvSpPr>
      <xdr:spPr>
        <a:xfrm>
          <a:off x="340582" y="2208088"/>
          <a:ext cx="1561105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Dashboard</a:t>
          </a:r>
        </a:p>
      </xdr:txBody>
    </xdr:sp>
    <xdr:clientData/>
  </xdr:twoCellAnchor>
  <xdr:twoCellAnchor editAs="oneCell">
    <xdr:from>
      <xdr:col>0</xdr:col>
      <xdr:colOff>85972</xdr:colOff>
      <xdr:row>10</xdr:row>
      <xdr:rowOff>93872</xdr:rowOff>
    </xdr:from>
    <xdr:to>
      <xdr:col>0</xdr:col>
      <xdr:colOff>290309</xdr:colOff>
      <xdr:row>11</xdr:row>
      <xdr:rowOff>92234</xdr:rowOff>
    </xdr:to>
    <xdr:pic>
      <xdr:nvPicPr>
        <xdr:cNvPr id="6" name="Gráfico 5" descr="Gráfico de barras com tendência ascendente com preenchimento sólido">
          <a:extLst>
            <a:ext uri="{FF2B5EF4-FFF2-40B4-BE49-F238E27FC236}">
              <a16:creationId xmlns:a16="http://schemas.microsoft.com/office/drawing/2014/main" id="{69945306-D10C-43AD-A778-A8945CF2C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972" y="2242712"/>
          <a:ext cx="204337" cy="207747"/>
        </a:xfrm>
        <a:prstGeom prst="rect">
          <a:avLst/>
        </a:prstGeom>
      </xdr:spPr>
    </xdr:pic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7" name="Gráfico 6" descr="Documento com preenchimento sólido">
          <a:extLst>
            <a:ext uri="{FF2B5EF4-FFF2-40B4-BE49-F238E27FC236}">
              <a16:creationId xmlns:a16="http://schemas.microsoft.com/office/drawing/2014/main" id="{881CFFBD-9B2D-4F8A-9AB8-FBED64D61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972" y="746541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8</xdr:row>
      <xdr:rowOff>20489</xdr:rowOff>
    </xdr:from>
    <xdr:to>
      <xdr:col>3</xdr:col>
      <xdr:colOff>72887</xdr:colOff>
      <xdr:row>9</xdr:row>
      <xdr:rowOff>117253</xdr:rowOff>
    </xdr:to>
    <xdr:sp macro="" textlink="">
      <xdr:nvSpPr>
        <xdr:cNvPr id="8" name="CaixaDeTex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7CC1EE-CB21-498D-8109-5435CFE22F86}"/>
            </a:ext>
          </a:extLst>
        </xdr:cNvPr>
        <xdr:cNvSpPr txBox="1"/>
      </xdr:nvSpPr>
      <xdr:spPr>
        <a:xfrm>
          <a:off x="340582" y="1803569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Manutenção</a:t>
          </a:r>
        </a:p>
      </xdr:txBody>
    </xdr:sp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9" name="CaixaDeTex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93B8DFB-DC5B-4EFD-BD4C-0839796B2F76}"/>
            </a:ext>
          </a:extLst>
        </xdr:cNvPr>
        <xdr:cNvSpPr txBox="1"/>
      </xdr:nvSpPr>
      <xdr:spPr>
        <a:xfrm>
          <a:off x="340582" y="1058793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Veículos</a:t>
          </a:r>
        </a:p>
      </xdr:txBody>
    </xdr:sp>
    <xdr:clientData/>
  </xdr:twoCellAnchor>
  <xdr:twoCellAnchor editAs="oneCell">
    <xdr:from>
      <xdr:col>0</xdr:col>
      <xdr:colOff>83740</xdr:colOff>
      <xdr:row>6</xdr:row>
      <xdr:rowOff>57238</xdr:rowOff>
    </xdr:from>
    <xdr:to>
      <xdr:col>0</xdr:col>
      <xdr:colOff>292540</xdr:colOff>
      <xdr:row>7</xdr:row>
      <xdr:rowOff>54002</xdr:rowOff>
    </xdr:to>
    <xdr:pic>
      <xdr:nvPicPr>
        <xdr:cNvPr id="10" name="Gráfico 9" descr="Rota (dois pinos em um caminho) com preenchimento sólido">
          <a:extLst>
            <a:ext uri="{FF2B5EF4-FFF2-40B4-BE49-F238E27FC236}">
              <a16:creationId xmlns:a16="http://schemas.microsoft.com/office/drawing/2014/main" id="{6311A837-FC8A-4084-9E76-7D11C2C88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3740" y="1474558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8</xdr:row>
      <xdr:rowOff>57237</xdr:rowOff>
    </xdr:from>
    <xdr:to>
      <xdr:col>0</xdr:col>
      <xdr:colOff>292540</xdr:colOff>
      <xdr:row>9</xdr:row>
      <xdr:rowOff>54001</xdr:rowOff>
    </xdr:to>
    <xdr:pic>
      <xdr:nvPicPr>
        <xdr:cNvPr id="11" name="Gráfico 10" descr="Ferramentas com preenchimento sólido">
          <a:extLst>
            <a:ext uri="{FF2B5EF4-FFF2-40B4-BE49-F238E27FC236}">
              <a16:creationId xmlns:a16="http://schemas.microsoft.com/office/drawing/2014/main" id="{1FC4009F-FE49-411F-BD9C-A3DDC22F3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740" y="1840317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4</xdr:row>
      <xdr:rowOff>43981</xdr:rowOff>
    </xdr:from>
    <xdr:to>
      <xdr:col>0</xdr:col>
      <xdr:colOff>292540</xdr:colOff>
      <xdr:row>5</xdr:row>
      <xdr:rowOff>40746</xdr:rowOff>
    </xdr:to>
    <xdr:pic>
      <xdr:nvPicPr>
        <xdr:cNvPr id="12" name="Gráfico 11" descr="Caminhão de lixo com preenchimento sólido">
          <a:extLst>
            <a:ext uri="{FF2B5EF4-FFF2-40B4-BE49-F238E27FC236}">
              <a16:creationId xmlns:a16="http://schemas.microsoft.com/office/drawing/2014/main" id="{756E5E5A-6294-4E48-BD72-20B832323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3740" y="1095541"/>
          <a:ext cx="208800" cy="2061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6</xdr:row>
      <xdr:rowOff>26208</xdr:rowOff>
    </xdr:from>
    <xdr:to>
      <xdr:col>2</xdr:col>
      <xdr:colOff>562804</xdr:colOff>
      <xdr:row>7</xdr:row>
      <xdr:rowOff>109669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486D18E-E4AE-4B1C-AD87-3FBB53891831}"/>
            </a:ext>
          </a:extLst>
        </xdr:cNvPr>
        <xdr:cNvSpPr/>
      </xdr:nvSpPr>
      <xdr:spPr>
        <a:xfrm>
          <a:off x="3751" y="1438696"/>
          <a:ext cx="1778253" cy="265597"/>
        </a:xfrm>
        <a:prstGeom prst="rect">
          <a:avLst/>
        </a:prstGeom>
        <a:gradFill flip="none" rotWithShape="1">
          <a:gsLst>
            <a:gs pos="0">
              <a:schemeClr val="accent2">
                <a:lumMod val="75000"/>
              </a:schemeClr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6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9F997F-AD50-4EAC-98AD-076AE0FE6008}"/>
            </a:ext>
          </a:extLst>
        </xdr:cNvPr>
        <xdr:cNvSpPr txBox="1"/>
      </xdr:nvSpPr>
      <xdr:spPr>
        <a:xfrm>
          <a:off x="340583" y="711917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Cadastro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673966-1C51-4510-B0ED-276E43E57EF7}"/>
            </a:ext>
          </a:extLst>
        </xdr:cNvPr>
        <xdr:cNvSpPr txBox="1"/>
      </xdr:nvSpPr>
      <xdr:spPr>
        <a:xfrm>
          <a:off x="340582" y="143781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Rotas</a:t>
          </a:r>
        </a:p>
      </xdr:txBody>
    </xdr:sp>
    <xdr:clientData/>
  </xdr:twoCellAnchor>
  <xdr:twoCellAnchor>
    <xdr:from>
      <xdr:col>0</xdr:col>
      <xdr:colOff>340582</xdr:colOff>
      <xdr:row>10</xdr:row>
      <xdr:rowOff>59248</xdr:rowOff>
    </xdr:from>
    <xdr:to>
      <xdr:col>3</xdr:col>
      <xdr:colOff>72887</xdr:colOff>
      <xdr:row>11</xdr:row>
      <xdr:rowOff>153362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A6EBFD-85E8-4BE1-BBAE-DEA91F9DB362}"/>
            </a:ext>
          </a:extLst>
        </xdr:cNvPr>
        <xdr:cNvSpPr txBox="1"/>
      </xdr:nvSpPr>
      <xdr:spPr>
        <a:xfrm>
          <a:off x="340582" y="2208088"/>
          <a:ext cx="1561105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Dashboard</a:t>
          </a:r>
        </a:p>
      </xdr:txBody>
    </xdr:sp>
    <xdr:clientData/>
  </xdr:twoCellAnchor>
  <xdr:twoCellAnchor editAs="oneCell">
    <xdr:from>
      <xdr:col>0</xdr:col>
      <xdr:colOff>85972</xdr:colOff>
      <xdr:row>10</xdr:row>
      <xdr:rowOff>93872</xdr:rowOff>
    </xdr:from>
    <xdr:to>
      <xdr:col>0</xdr:col>
      <xdr:colOff>290309</xdr:colOff>
      <xdr:row>11</xdr:row>
      <xdr:rowOff>92234</xdr:rowOff>
    </xdr:to>
    <xdr:pic>
      <xdr:nvPicPr>
        <xdr:cNvPr id="6" name="Gráfico 5" descr="Gráfico de barras com tendência ascendente com preenchimento sólido">
          <a:extLst>
            <a:ext uri="{FF2B5EF4-FFF2-40B4-BE49-F238E27FC236}">
              <a16:creationId xmlns:a16="http://schemas.microsoft.com/office/drawing/2014/main" id="{00C279A9-6CF7-4DED-B936-5E23AAC2D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972" y="2242712"/>
          <a:ext cx="204337" cy="207747"/>
        </a:xfrm>
        <a:prstGeom prst="rect">
          <a:avLst/>
        </a:prstGeom>
      </xdr:spPr>
    </xdr:pic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7" name="Gráfico 6" descr="Documento com preenchimento sólido">
          <a:extLst>
            <a:ext uri="{FF2B5EF4-FFF2-40B4-BE49-F238E27FC236}">
              <a16:creationId xmlns:a16="http://schemas.microsoft.com/office/drawing/2014/main" id="{C4651917-3AF0-43AA-ACF1-5EA880C11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972" y="746541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8</xdr:row>
      <xdr:rowOff>20489</xdr:rowOff>
    </xdr:from>
    <xdr:to>
      <xdr:col>3</xdr:col>
      <xdr:colOff>72887</xdr:colOff>
      <xdr:row>9</xdr:row>
      <xdr:rowOff>117253</xdr:rowOff>
    </xdr:to>
    <xdr:sp macro="" textlink="">
      <xdr:nvSpPr>
        <xdr:cNvPr id="8" name="CaixaDeTex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FAEB223-9385-444B-BFA2-FB15644A3C47}"/>
            </a:ext>
          </a:extLst>
        </xdr:cNvPr>
        <xdr:cNvSpPr txBox="1"/>
      </xdr:nvSpPr>
      <xdr:spPr>
        <a:xfrm>
          <a:off x="340582" y="1803569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Manutenção</a:t>
          </a:r>
        </a:p>
      </xdr:txBody>
    </xdr:sp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9" name="CaixaDeTex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BCF6F38-8DDD-4365-AD1D-121187A97434}"/>
            </a:ext>
          </a:extLst>
        </xdr:cNvPr>
        <xdr:cNvSpPr txBox="1"/>
      </xdr:nvSpPr>
      <xdr:spPr>
        <a:xfrm>
          <a:off x="340582" y="1058793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Veículos</a:t>
          </a:r>
        </a:p>
      </xdr:txBody>
    </xdr:sp>
    <xdr:clientData/>
  </xdr:twoCellAnchor>
  <xdr:twoCellAnchor editAs="oneCell">
    <xdr:from>
      <xdr:col>0</xdr:col>
      <xdr:colOff>83740</xdr:colOff>
      <xdr:row>6</xdr:row>
      <xdr:rowOff>57238</xdr:rowOff>
    </xdr:from>
    <xdr:to>
      <xdr:col>0</xdr:col>
      <xdr:colOff>292540</xdr:colOff>
      <xdr:row>7</xdr:row>
      <xdr:rowOff>54002</xdr:rowOff>
    </xdr:to>
    <xdr:pic>
      <xdr:nvPicPr>
        <xdr:cNvPr id="10" name="Gráfico 9" descr="Rota (dois pinos em um caminho) com preenchimento sólido">
          <a:extLst>
            <a:ext uri="{FF2B5EF4-FFF2-40B4-BE49-F238E27FC236}">
              <a16:creationId xmlns:a16="http://schemas.microsoft.com/office/drawing/2014/main" id="{EB2AA9B0-6038-4494-ADDD-7B0660B4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3740" y="1474558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8</xdr:row>
      <xdr:rowOff>57237</xdr:rowOff>
    </xdr:from>
    <xdr:to>
      <xdr:col>0</xdr:col>
      <xdr:colOff>292540</xdr:colOff>
      <xdr:row>9</xdr:row>
      <xdr:rowOff>54001</xdr:rowOff>
    </xdr:to>
    <xdr:pic>
      <xdr:nvPicPr>
        <xdr:cNvPr id="11" name="Gráfico 10" descr="Ferramentas com preenchimento sólido">
          <a:extLst>
            <a:ext uri="{FF2B5EF4-FFF2-40B4-BE49-F238E27FC236}">
              <a16:creationId xmlns:a16="http://schemas.microsoft.com/office/drawing/2014/main" id="{82A4E21A-A3E4-447D-ABD3-D28BF9E4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740" y="1840317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4</xdr:row>
      <xdr:rowOff>43981</xdr:rowOff>
    </xdr:from>
    <xdr:to>
      <xdr:col>0</xdr:col>
      <xdr:colOff>292540</xdr:colOff>
      <xdr:row>5</xdr:row>
      <xdr:rowOff>40746</xdr:rowOff>
    </xdr:to>
    <xdr:pic>
      <xdr:nvPicPr>
        <xdr:cNvPr id="12" name="Gráfico 11" descr="Caminhão de lixo com preenchimento sólido">
          <a:extLst>
            <a:ext uri="{FF2B5EF4-FFF2-40B4-BE49-F238E27FC236}">
              <a16:creationId xmlns:a16="http://schemas.microsoft.com/office/drawing/2014/main" id="{DA655DF1-7F31-4237-B98E-B97C2E148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3740" y="1095541"/>
          <a:ext cx="208800" cy="2061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8</xdr:row>
      <xdr:rowOff>26879</xdr:rowOff>
    </xdr:from>
    <xdr:to>
      <xdr:col>2</xdr:col>
      <xdr:colOff>562804</xdr:colOff>
      <xdr:row>9</xdr:row>
      <xdr:rowOff>110339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D10C72D-C95D-4496-9F51-CA3A4DB9E6A4}"/>
            </a:ext>
          </a:extLst>
        </xdr:cNvPr>
        <xdr:cNvSpPr/>
      </xdr:nvSpPr>
      <xdr:spPr>
        <a:xfrm>
          <a:off x="3751" y="1809959"/>
          <a:ext cx="1778253" cy="266340"/>
        </a:xfrm>
        <a:prstGeom prst="rect">
          <a:avLst/>
        </a:prstGeom>
        <a:gradFill flip="none" rotWithShape="1">
          <a:gsLst>
            <a:gs pos="0">
              <a:schemeClr val="accent2">
                <a:lumMod val="75000"/>
              </a:schemeClr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6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FAC1C8-6460-4F75-A26B-FC8E3236D08B}"/>
            </a:ext>
          </a:extLst>
        </xdr:cNvPr>
        <xdr:cNvSpPr txBox="1"/>
      </xdr:nvSpPr>
      <xdr:spPr>
        <a:xfrm>
          <a:off x="340583" y="711917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Cadastro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C7A77E-319E-4697-A73E-6C0144E947AB}"/>
            </a:ext>
          </a:extLst>
        </xdr:cNvPr>
        <xdr:cNvSpPr txBox="1"/>
      </xdr:nvSpPr>
      <xdr:spPr>
        <a:xfrm>
          <a:off x="340582" y="143781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Rotas</a:t>
          </a:r>
        </a:p>
      </xdr:txBody>
    </xdr:sp>
    <xdr:clientData/>
  </xdr:twoCellAnchor>
  <xdr:twoCellAnchor>
    <xdr:from>
      <xdr:col>0</xdr:col>
      <xdr:colOff>340582</xdr:colOff>
      <xdr:row>10</xdr:row>
      <xdr:rowOff>59248</xdr:rowOff>
    </xdr:from>
    <xdr:to>
      <xdr:col>3</xdr:col>
      <xdr:colOff>72887</xdr:colOff>
      <xdr:row>11</xdr:row>
      <xdr:rowOff>153362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A7F5FB-57A6-42E9-8EE5-5E3E917A4893}"/>
            </a:ext>
          </a:extLst>
        </xdr:cNvPr>
        <xdr:cNvSpPr txBox="1"/>
      </xdr:nvSpPr>
      <xdr:spPr>
        <a:xfrm>
          <a:off x="340582" y="2208088"/>
          <a:ext cx="1561105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Dashboard</a:t>
          </a:r>
        </a:p>
      </xdr:txBody>
    </xdr:sp>
    <xdr:clientData/>
  </xdr:twoCellAnchor>
  <xdr:twoCellAnchor editAs="oneCell">
    <xdr:from>
      <xdr:col>0</xdr:col>
      <xdr:colOff>85972</xdr:colOff>
      <xdr:row>10</xdr:row>
      <xdr:rowOff>93872</xdr:rowOff>
    </xdr:from>
    <xdr:to>
      <xdr:col>0</xdr:col>
      <xdr:colOff>290309</xdr:colOff>
      <xdr:row>11</xdr:row>
      <xdr:rowOff>92234</xdr:rowOff>
    </xdr:to>
    <xdr:pic>
      <xdr:nvPicPr>
        <xdr:cNvPr id="6" name="Gráfico 5" descr="Gráfico de barras com tendência ascendente com preenchimento sólido">
          <a:extLst>
            <a:ext uri="{FF2B5EF4-FFF2-40B4-BE49-F238E27FC236}">
              <a16:creationId xmlns:a16="http://schemas.microsoft.com/office/drawing/2014/main" id="{B4B6374B-67A5-469B-803B-625EDB60C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972" y="2242712"/>
          <a:ext cx="204337" cy="207747"/>
        </a:xfrm>
        <a:prstGeom prst="rect">
          <a:avLst/>
        </a:prstGeom>
      </xdr:spPr>
    </xdr:pic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7" name="Gráfico 6" descr="Documento com preenchimento sólido">
          <a:extLst>
            <a:ext uri="{FF2B5EF4-FFF2-40B4-BE49-F238E27FC236}">
              <a16:creationId xmlns:a16="http://schemas.microsoft.com/office/drawing/2014/main" id="{521D8B4E-F652-4179-B22A-0489367D6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972" y="746541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8</xdr:row>
      <xdr:rowOff>20489</xdr:rowOff>
    </xdr:from>
    <xdr:to>
      <xdr:col>3</xdr:col>
      <xdr:colOff>72887</xdr:colOff>
      <xdr:row>9</xdr:row>
      <xdr:rowOff>117253</xdr:rowOff>
    </xdr:to>
    <xdr:sp macro="" textlink="">
      <xdr:nvSpPr>
        <xdr:cNvPr id="8" name="CaixaDeTex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3F3126F-1A1C-4B1A-8728-C6F4E5D1C0A9}"/>
            </a:ext>
          </a:extLst>
        </xdr:cNvPr>
        <xdr:cNvSpPr txBox="1"/>
      </xdr:nvSpPr>
      <xdr:spPr>
        <a:xfrm>
          <a:off x="340582" y="1803569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Manutenção</a:t>
          </a:r>
        </a:p>
      </xdr:txBody>
    </xdr:sp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9" name="CaixaDeTex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52CB950-CC7A-45BD-A2A4-B5ED4036CA4B}"/>
            </a:ext>
          </a:extLst>
        </xdr:cNvPr>
        <xdr:cNvSpPr txBox="1"/>
      </xdr:nvSpPr>
      <xdr:spPr>
        <a:xfrm>
          <a:off x="340582" y="1058793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Veículos</a:t>
          </a:r>
        </a:p>
      </xdr:txBody>
    </xdr:sp>
    <xdr:clientData/>
  </xdr:twoCellAnchor>
  <xdr:twoCellAnchor editAs="oneCell">
    <xdr:from>
      <xdr:col>0</xdr:col>
      <xdr:colOff>83740</xdr:colOff>
      <xdr:row>6</xdr:row>
      <xdr:rowOff>57238</xdr:rowOff>
    </xdr:from>
    <xdr:to>
      <xdr:col>0</xdr:col>
      <xdr:colOff>292540</xdr:colOff>
      <xdr:row>7</xdr:row>
      <xdr:rowOff>54002</xdr:rowOff>
    </xdr:to>
    <xdr:pic>
      <xdr:nvPicPr>
        <xdr:cNvPr id="10" name="Gráfico 9" descr="Rota (dois pinos em um caminho) com preenchimento sólido">
          <a:extLst>
            <a:ext uri="{FF2B5EF4-FFF2-40B4-BE49-F238E27FC236}">
              <a16:creationId xmlns:a16="http://schemas.microsoft.com/office/drawing/2014/main" id="{32BE060D-E661-438B-9774-966ABCE4B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3740" y="1474558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8</xdr:row>
      <xdr:rowOff>57237</xdr:rowOff>
    </xdr:from>
    <xdr:to>
      <xdr:col>0</xdr:col>
      <xdr:colOff>292540</xdr:colOff>
      <xdr:row>9</xdr:row>
      <xdr:rowOff>54001</xdr:rowOff>
    </xdr:to>
    <xdr:pic>
      <xdr:nvPicPr>
        <xdr:cNvPr id="11" name="Gráfico 10" descr="Ferramentas com preenchimento sólido">
          <a:extLst>
            <a:ext uri="{FF2B5EF4-FFF2-40B4-BE49-F238E27FC236}">
              <a16:creationId xmlns:a16="http://schemas.microsoft.com/office/drawing/2014/main" id="{4EB9B9BA-B407-402A-A0FE-C7BD2C4B3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740" y="1840317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4</xdr:row>
      <xdr:rowOff>43981</xdr:rowOff>
    </xdr:from>
    <xdr:to>
      <xdr:col>0</xdr:col>
      <xdr:colOff>292540</xdr:colOff>
      <xdr:row>5</xdr:row>
      <xdr:rowOff>40746</xdr:rowOff>
    </xdr:to>
    <xdr:pic>
      <xdr:nvPicPr>
        <xdr:cNvPr id="12" name="Gráfico 11" descr="Caminhão de lixo com preenchimento sólido">
          <a:extLst>
            <a:ext uri="{FF2B5EF4-FFF2-40B4-BE49-F238E27FC236}">
              <a16:creationId xmlns:a16="http://schemas.microsoft.com/office/drawing/2014/main" id="{86104D16-9F82-48BC-AA01-960878C99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3740" y="1095541"/>
          <a:ext cx="208800" cy="2061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10</xdr:row>
      <xdr:rowOff>61085</xdr:rowOff>
    </xdr:from>
    <xdr:to>
      <xdr:col>2</xdr:col>
      <xdr:colOff>562804</xdr:colOff>
      <xdr:row>11</xdr:row>
      <xdr:rowOff>144545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D6C4770-B94C-4517-9548-F24B13BC435E}"/>
            </a:ext>
          </a:extLst>
        </xdr:cNvPr>
        <xdr:cNvSpPr/>
      </xdr:nvSpPr>
      <xdr:spPr>
        <a:xfrm>
          <a:off x="3751" y="2215467"/>
          <a:ext cx="1778253" cy="267033"/>
        </a:xfrm>
        <a:prstGeom prst="rect">
          <a:avLst/>
        </a:prstGeom>
        <a:gradFill flip="none" rotWithShape="1">
          <a:gsLst>
            <a:gs pos="0">
              <a:srgbClr val="C55A11"/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6">
                <a:lumMod val="75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7DA86A-76A3-416B-945F-CE0B141534FD}"/>
            </a:ext>
          </a:extLst>
        </xdr:cNvPr>
        <xdr:cNvSpPr txBox="1"/>
      </xdr:nvSpPr>
      <xdr:spPr>
        <a:xfrm>
          <a:off x="340583" y="711917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Cadastro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498661-D660-438E-B872-770AFFDA0C06}"/>
            </a:ext>
          </a:extLst>
        </xdr:cNvPr>
        <xdr:cNvSpPr txBox="1"/>
      </xdr:nvSpPr>
      <xdr:spPr>
        <a:xfrm>
          <a:off x="340582" y="143781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Rotas</a:t>
          </a:r>
        </a:p>
      </xdr:txBody>
    </xdr:sp>
    <xdr:clientData/>
  </xdr:twoCellAnchor>
  <xdr:twoCellAnchor>
    <xdr:from>
      <xdr:col>0</xdr:col>
      <xdr:colOff>340582</xdr:colOff>
      <xdr:row>10</xdr:row>
      <xdr:rowOff>59248</xdr:rowOff>
    </xdr:from>
    <xdr:to>
      <xdr:col>3</xdr:col>
      <xdr:colOff>72887</xdr:colOff>
      <xdr:row>11</xdr:row>
      <xdr:rowOff>153362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79E581-D997-4534-A4DB-69D8F3A7D94C}"/>
            </a:ext>
          </a:extLst>
        </xdr:cNvPr>
        <xdr:cNvSpPr txBox="1"/>
      </xdr:nvSpPr>
      <xdr:spPr>
        <a:xfrm>
          <a:off x="340582" y="2208088"/>
          <a:ext cx="1561105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Dashboard</a:t>
          </a:r>
        </a:p>
      </xdr:txBody>
    </xdr:sp>
    <xdr:clientData/>
  </xdr:twoCellAnchor>
  <xdr:twoCellAnchor editAs="oneCell">
    <xdr:from>
      <xdr:col>0</xdr:col>
      <xdr:colOff>85972</xdr:colOff>
      <xdr:row>10</xdr:row>
      <xdr:rowOff>93872</xdr:rowOff>
    </xdr:from>
    <xdr:to>
      <xdr:col>0</xdr:col>
      <xdr:colOff>290309</xdr:colOff>
      <xdr:row>11</xdr:row>
      <xdr:rowOff>92234</xdr:rowOff>
    </xdr:to>
    <xdr:pic>
      <xdr:nvPicPr>
        <xdr:cNvPr id="6" name="Gráfico 5" descr="Gráfico de barras com tendência ascendente com preenchimento sólido">
          <a:extLst>
            <a:ext uri="{FF2B5EF4-FFF2-40B4-BE49-F238E27FC236}">
              <a16:creationId xmlns:a16="http://schemas.microsoft.com/office/drawing/2014/main" id="{C302DD10-FBAC-442C-8974-A99911813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972" y="2242712"/>
          <a:ext cx="204337" cy="207747"/>
        </a:xfrm>
        <a:prstGeom prst="rect">
          <a:avLst/>
        </a:prstGeom>
      </xdr:spPr>
    </xdr:pic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7" name="Gráfico 6" descr="Documento com preenchimento sólido">
          <a:extLst>
            <a:ext uri="{FF2B5EF4-FFF2-40B4-BE49-F238E27FC236}">
              <a16:creationId xmlns:a16="http://schemas.microsoft.com/office/drawing/2014/main" id="{E6AB8ECF-BD7C-45BF-98F1-847A64B27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972" y="746541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8</xdr:row>
      <xdr:rowOff>20489</xdr:rowOff>
    </xdr:from>
    <xdr:to>
      <xdr:col>3</xdr:col>
      <xdr:colOff>72887</xdr:colOff>
      <xdr:row>9</xdr:row>
      <xdr:rowOff>117253</xdr:rowOff>
    </xdr:to>
    <xdr:sp macro="" textlink="">
      <xdr:nvSpPr>
        <xdr:cNvPr id="8" name="CaixaDeTex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1B60907-0C15-49C1-A800-F21CB3C831AA}"/>
            </a:ext>
          </a:extLst>
        </xdr:cNvPr>
        <xdr:cNvSpPr txBox="1"/>
      </xdr:nvSpPr>
      <xdr:spPr>
        <a:xfrm>
          <a:off x="340582" y="1803569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Manutenção</a:t>
          </a:r>
        </a:p>
      </xdr:txBody>
    </xdr:sp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9" name="CaixaDeTexto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276095B-1E02-4F2C-BE9A-12FC58737E02}"/>
            </a:ext>
          </a:extLst>
        </xdr:cNvPr>
        <xdr:cNvSpPr txBox="1"/>
      </xdr:nvSpPr>
      <xdr:spPr>
        <a:xfrm>
          <a:off x="340582" y="1058793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Veículos</a:t>
          </a:r>
        </a:p>
      </xdr:txBody>
    </xdr:sp>
    <xdr:clientData/>
  </xdr:twoCellAnchor>
  <xdr:twoCellAnchor editAs="oneCell">
    <xdr:from>
      <xdr:col>0</xdr:col>
      <xdr:colOff>83740</xdr:colOff>
      <xdr:row>6</xdr:row>
      <xdr:rowOff>57238</xdr:rowOff>
    </xdr:from>
    <xdr:to>
      <xdr:col>0</xdr:col>
      <xdr:colOff>292540</xdr:colOff>
      <xdr:row>7</xdr:row>
      <xdr:rowOff>54002</xdr:rowOff>
    </xdr:to>
    <xdr:pic>
      <xdr:nvPicPr>
        <xdr:cNvPr id="10" name="Gráfico 9" descr="Rota (dois pinos em um caminho) com preenchimento sólido">
          <a:extLst>
            <a:ext uri="{FF2B5EF4-FFF2-40B4-BE49-F238E27FC236}">
              <a16:creationId xmlns:a16="http://schemas.microsoft.com/office/drawing/2014/main" id="{940F5C2B-C772-4690-9647-C5068B0F7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3740" y="1474558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8</xdr:row>
      <xdr:rowOff>57237</xdr:rowOff>
    </xdr:from>
    <xdr:to>
      <xdr:col>0</xdr:col>
      <xdr:colOff>292540</xdr:colOff>
      <xdr:row>9</xdr:row>
      <xdr:rowOff>54001</xdr:rowOff>
    </xdr:to>
    <xdr:pic>
      <xdr:nvPicPr>
        <xdr:cNvPr id="11" name="Gráfico 10" descr="Ferramentas com preenchimento sólido">
          <a:extLst>
            <a:ext uri="{FF2B5EF4-FFF2-40B4-BE49-F238E27FC236}">
              <a16:creationId xmlns:a16="http://schemas.microsoft.com/office/drawing/2014/main" id="{1CB2CE9E-FCDE-4474-A11C-BBCB04432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740" y="1840317"/>
          <a:ext cx="208800" cy="206149"/>
        </a:xfrm>
        <a:prstGeom prst="rect">
          <a:avLst/>
        </a:prstGeom>
      </xdr:spPr>
    </xdr:pic>
    <xdr:clientData/>
  </xdr:twoCellAnchor>
  <xdr:twoCellAnchor editAs="oneCell">
    <xdr:from>
      <xdr:col>0</xdr:col>
      <xdr:colOff>83740</xdr:colOff>
      <xdr:row>4</xdr:row>
      <xdr:rowOff>43981</xdr:rowOff>
    </xdr:from>
    <xdr:to>
      <xdr:col>0</xdr:col>
      <xdr:colOff>292540</xdr:colOff>
      <xdr:row>5</xdr:row>
      <xdr:rowOff>40746</xdr:rowOff>
    </xdr:to>
    <xdr:pic>
      <xdr:nvPicPr>
        <xdr:cNvPr id="12" name="Gráfico 11" descr="Caminhão de lixo com preenchimento sólido">
          <a:extLst>
            <a:ext uri="{FF2B5EF4-FFF2-40B4-BE49-F238E27FC236}">
              <a16:creationId xmlns:a16="http://schemas.microsoft.com/office/drawing/2014/main" id="{9B81D5E2-50C7-48F9-A778-9B0AF70A0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3740" y="1095541"/>
          <a:ext cx="208800" cy="206149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20</xdr:col>
      <xdr:colOff>0</xdr:colOff>
      <xdr:row>24</xdr:row>
      <xdr:rowOff>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4BDADF21-A9C7-437A-BC43-32487BA810E1}"/>
            </a:ext>
          </a:extLst>
        </xdr:cNvPr>
        <xdr:cNvSpPr/>
      </xdr:nvSpPr>
      <xdr:spPr>
        <a:xfrm>
          <a:off x="1828800" y="503583"/>
          <a:ext cx="9945757" cy="4770782"/>
        </a:xfrm>
        <a:prstGeom prst="rect">
          <a:avLst/>
        </a:prstGeom>
        <a:solidFill>
          <a:srgbClr val="181E1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109940</xdr:colOff>
      <xdr:row>11</xdr:row>
      <xdr:rowOff>112644</xdr:rowOff>
    </xdr:from>
    <xdr:to>
      <xdr:col>6</xdr:col>
      <xdr:colOff>607874</xdr:colOff>
      <xdr:row>15</xdr:row>
      <xdr:rowOff>91622</xdr:rowOff>
    </xdr:to>
    <xdr:sp macro="" textlink="">
      <xdr:nvSpPr>
        <xdr:cNvPr id="15" name="Rectangle: Rounded Corners 41">
          <a:extLst>
            <a:ext uri="{FF2B5EF4-FFF2-40B4-BE49-F238E27FC236}">
              <a16:creationId xmlns:a16="http://schemas.microsoft.com/office/drawing/2014/main" id="{C932C1F7-7B1E-465A-855E-DB24C22EA804}"/>
            </a:ext>
          </a:extLst>
        </xdr:cNvPr>
        <xdr:cNvSpPr/>
      </xdr:nvSpPr>
      <xdr:spPr>
        <a:xfrm>
          <a:off x="1938740" y="2710070"/>
          <a:ext cx="1909291" cy="827117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109940</xdr:colOff>
      <xdr:row>6</xdr:row>
      <xdr:rowOff>165652</xdr:rowOff>
    </xdr:from>
    <xdr:to>
      <xdr:col>6</xdr:col>
      <xdr:colOff>607873</xdr:colOff>
      <xdr:row>10</xdr:row>
      <xdr:rowOff>144630</xdr:rowOff>
    </xdr:to>
    <xdr:sp macro="" textlink="">
      <xdr:nvSpPr>
        <xdr:cNvPr id="16" name="Rectangle: Rounded Corners 42">
          <a:extLst>
            <a:ext uri="{FF2B5EF4-FFF2-40B4-BE49-F238E27FC236}">
              <a16:creationId xmlns:a16="http://schemas.microsoft.com/office/drawing/2014/main" id="{EF1C760C-077C-4948-BD4F-70C8C143685D}"/>
            </a:ext>
          </a:extLst>
        </xdr:cNvPr>
        <xdr:cNvSpPr/>
      </xdr:nvSpPr>
      <xdr:spPr>
        <a:xfrm>
          <a:off x="1938740" y="1702904"/>
          <a:ext cx="1909290" cy="827117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109940</xdr:colOff>
      <xdr:row>2</xdr:row>
      <xdr:rowOff>0</xdr:rowOff>
    </xdr:from>
    <xdr:to>
      <xdr:col>6</xdr:col>
      <xdr:colOff>607873</xdr:colOff>
      <xdr:row>5</xdr:row>
      <xdr:rowOff>191013</xdr:rowOff>
    </xdr:to>
    <xdr:sp macro="" textlink="">
      <xdr:nvSpPr>
        <xdr:cNvPr id="17" name="Rectangle: Rounded Corners 43">
          <a:extLst>
            <a:ext uri="{FF2B5EF4-FFF2-40B4-BE49-F238E27FC236}">
              <a16:creationId xmlns:a16="http://schemas.microsoft.com/office/drawing/2014/main" id="{D8E1266D-248F-4878-81E3-5A1B2DFEC186}"/>
            </a:ext>
          </a:extLst>
        </xdr:cNvPr>
        <xdr:cNvSpPr/>
      </xdr:nvSpPr>
      <xdr:spPr>
        <a:xfrm>
          <a:off x="1938740" y="689113"/>
          <a:ext cx="1909290" cy="827117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109941</xdr:colOff>
      <xdr:row>2</xdr:row>
      <xdr:rowOff>0</xdr:rowOff>
    </xdr:from>
    <xdr:to>
      <xdr:col>6</xdr:col>
      <xdr:colOff>602974</xdr:colOff>
      <xdr:row>3</xdr:row>
      <xdr:rowOff>102266</xdr:rowOff>
    </xdr:to>
    <xdr:sp macro="" textlink="">
      <xdr:nvSpPr>
        <xdr:cNvPr id="19" name="TextBox 24">
          <a:extLst>
            <a:ext uri="{FF2B5EF4-FFF2-40B4-BE49-F238E27FC236}">
              <a16:creationId xmlns:a16="http://schemas.microsoft.com/office/drawing/2014/main" id="{A1EDFB08-F245-41C1-B134-A110AFC4C370}"/>
            </a:ext>
          </a:extLst>
        </xdr:cNvPr>
        <xdr:cNvSpPr txBox="1"/>
      </xdr:nvSpPr>
      <xdr:spPr>
        <a:xfrm>
          <a:off x="1938741" y="689113"/>
          <a:ext cx="1904390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CNHs Vencidas</a:t>
          </a:r>
        </a:p>
      </xdr:txBody>
    </xdr:sp>
    <xdr:clientData/>
  </xdr:twoCellAnchor>
  <xdr:twoCellAnchor>
    <xdr:from>
      <xdr:col>3</xdr:col>
      <xdr:colOff>129820</xdr:colOff>
      <xdr:row>6</xdr:row>
      <xdr:rowOff>172278</xdr:rowOff>
    </xdr:from>
    <xdr:to>
      <xdr:col>7</xdr:col>
      <xdr:colOff>13253</xdr:colOff>
      <xdr:row>8</xdr:row>
      <xdr:rowOff>62509</xdr:rowOff>
    </xdr:to>
    <xdr:sp macro="" textlink="">
      <xdr:nvSpPr>
        <xdr:cNvPr id="20" name="TextBox 24">
          <a:extLst>
            <a:ext uri="{FF2B5EF4-FFF2-40B4-BE49-F238E27FC236}">
              <a16:creationId xmlns:a16="http://schemas.microsoft.com/office/drawing/2014/main" id="{DADFDF12-0D74-4DE8-8F68-765DF4EAC7A4}"/>
            </a:ext>
          </a:extLst>
        </xdr:cNvPr>
        <xdr:cNvSpPr txBox="1"/>
      </xdr:nvSpPr>
      <xdr:spPr>
        <a:xfrm>
          <a:off x="1958620" y="1709530"/>
          <a:ext cx="1904390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Total</a:t>
          </a:r>
          <a:r>
            <a:rPr lang="en-US" sz="1100" b="0" baseline="0">
              <a:solidFill>
                <a:schemeClr val="bg1"/>
              </a:solidFill>
              <a:latin typeface="Montserrat" panose="00000500000000000000" pitchFamily="2" charset="0"/>
            </a:rPr>
            <a:t> Combustível</a:t>
          </a:r>
          <a:endParaRPr lang="en-US" sz="11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</xdr:col>
      <xdr:colOff>109940</xdr:colOff>
      <xdr:row>11</xdr:row>
      <xdr:rowOff>112644</xdr:rowOff>
    </xdr:from>
    <xdr:to>
      <xdr:col>6</xdr:col>
      <xdr:colOff>602973</xdr:colOff>
      <xdr:row>13</xdr:row>
      <xdr:rowOff>2875</xdr:rowOff>
    </xdr:to>
    <xdr:sp macro="" textlink="">
      <xdr:nvSpPr>
        <xdr:cNvPr id="21" name="TextBox 24">
          <a:extLst>
            <a:ext uri="{FF2B5EF4-FFF2-40B4-BE49-F238E27FC236}">
              <a16:creationId xmlns:a16="http://schemas.microsoft.com/office/drawing/2014/main" id="{071DE4B5-D783-4164-8830-B75622BA58FC}"/>
            </a:ext>
          </a:extLst>
        </xdr:cNvPr>
        <xdr:cNvSpPr txBox="1"/>
      </xdr:nvSpPr>
      <xdr:spPr>
        <a:xfrm>
          <a:off x="1938740" y="2710070"/>
          <a:ext cx="1904390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Total Manutenção</a:t>
          </a:r>
        </a:p>
      </xdr:txBody>
    </xdr:sp>
    <xdr:clientData/>
  </xdr:twoCellAnchor>
  <xdr:twoCellAnchor>
    <xdr:from>
      <xdr:col>3</xdr:col>
      <xdr:colOff>109940</xdr:colOff>
      <xdr:row>3</xdr:row>
      <xdr:rowOff>19879</xdr:rowOff>
    </xdr:from>
    <xdr:to>
      <xdr:col>6</xdr:col>
      <xdr:colOff>602973</xdr:colOff>
      <xdr:row>5</xdr:row>
      <xdr:rowOff>125897</xdr:rowOff>
    </xdr:to>
    <xdr:sp macro="" textlink="Análises!Y2">
      <xdr:nvSpPr>
        <xdr:cNvPr id="23" name="TextBox 24">
          <a:extLst>
            <a:ext uri="{FF2B5EF4-FFF2-40B4-BE49-F238E27FC236}">
              <a16:creationId xmlns:a16="http://schemas.microsoft.com/office/drawing/2014/main" id="{7C0FD30C-A586-491F-9BAE-019E578E2621}"/>
            </a:ext>
          </a:extLst>
        </xdr:cNvPr>
        <xdr:cNvSpPr txBox="1"/>
      </xdr:nvSpPr>
      <xdr:spPr>
        <a:xfrm>
          <a:off x="1938740" y="921027"/>
          <a:ext cx="1904390" cy="530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BAE7242-9551-46CC-B7A0-954E3CCEB90B}" type="TxLink">
            <a:rPr lang="en-US" sz="2400" b="0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t>0</a:t>
          </a:fld>
          <a:endParaRPr lang="en-US" sz="2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</xdr:col>
      <xdr:colOff>109940</xdr:colOff>
      <xdr:row>7</xdr:row>
      <xdr:rowOff>178902</xdr:rowOff>
    </xdr:from>
    <xdr:to>
      <xdr:col>6</xdr:col>
      <xdr:colOff>602973</xdr:colOff>
      <xdr:row>10</xdr:row>
      <xdr:rowOff>72885</xdr:rowOff>
    </xdr:to>
    <xdr:sp macro="" textlink="Análises!M2">
      <xdr:nvSpPr>
        <xdr:cNvPr id="24" name="TextBox 24">
          <a:extLst>
            <a:ext uri="{FF2B5EF4-FFF2-40B4-BE49-F238E27FC236}">
              <a16:creationId xmlns:a16="http://schemas.microsoft.com/office/drawing/2014/main" id="{CC093CDD-574C-45E2-872B-26BB2CD264BE}"/>
            </a:ext>
          </a:extLst>
        </xdr:cNvPr>
        <xdr:cNvSpPr txBox="1"/>
      </xdr:nvSpPr>
      <xdr:spPr>
        <a:xfrm>
          <a:off x="1938740" y="1928189"/>
          <a:ext cx="1904390" cy="530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F12415C-F994-4D5E-858F-3425E6ECF30A}" type="TxLink">
            <a:rPr lang="en-US" sz="2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ctr"/>
            <a:t>R$ 3.000</a:t>
          </a:fld>
          <a:endParaRPr lang="en-US" sz="2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109940</xdr:colOff>
      <xdr:row>12</xdr:row>
      <xdr:rowOff>99389</xdr:rowOff>
    </xdr:from>
    <xdr:to>
      <xdr:col>6</xdr:col>
      <xdr:colOff>602973</xdr:colOff>
      <xdr:row>14</xdr:row>
      <xdr:rowOff>205407</xdr:rowOff>
    </xdr:to>
    <xdr:sp macro="" textlink="Análises!P2">
      <xdr:nvSpPr>
        <xdr:cNvPr id="25" name="TextBox 24">
          <a:extLst>
            <a:ext uri="{FF2B5EF4-FFF2-40B4-BE49-F238E27FC236}">
              <a16:creationId xmlns:a16="http://schemas.microsoft.com/office/drawing/2014/main" id="{477B61DA-4452-4E0B-BF88-4C716408CBBC}"/>
            </a:ext>
          </a:extLst>
        </xdr:cNvPr>
        <xdr:cNvSpPr txBox="1"/>
      </xdr:nvSpPr>
      <xdr:spPr>
        <a:xfrm>
          <a:off x="1938740" y="2908850"/>
          <a:ext cx="1904390" cy="530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36A78D5-B29D-4738-BAEE-B2547CF0D935}" type="TxLink">
            <a:rPr lang="en-US" sz="2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ctr"/>
            <a:t>R$ 19.000</a:t>
          </a:fld>
          <a:endParaRPr lang="en-US" sz="2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152400</xdr:colOff>
      <xdr:row>2</xdr:row>
      <xdr:rowOff>1</xdr:rowOff>
    </xdr:from>
    <xdr:to>
      <xdr:col>19</xdr:col>
      <xdr:colOff>461489</xdr:colOff>
      <xdr:row>10</xdr:row>
      <xdr:rowOff>165653</xdr:rowOff>
    </xdr:to>
    <xdr:sp macro="" textlink="">
      <xdr:nvSpPr>
        <xdr:cNvPr id="27" name="Rectangle: Rounded Corners 9">
          <a:extLst>
            <a:ext uri="{FF2B5EF4-FFF2-40B4-BE49-F238E27FC236}">
              <a16:creationId xmlns:a16="http://schemas.microsoft.com/office/drawing/2014/main" id="{0BDD89AA-E464-4033-AF37-536F12E304A3}"/>
            </a:ext>
          </a:extLst>
        </xdr:cNvPr>
        <xdr:cNvSpPr/>
      </xdr:nvSpPr>
      <xdr:spPr>
        <a:xfrm>
          <a:off x="4002157" y="689114"/>
          <a:ext cx="7624289" cy="1861930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152400</xdr:colOff>
      <xdr:row>11</xdr:row>
      <xdr:rowOff>110010</xdr:rowOff>
    </xdr:from>
    <xdr:to>
      <xdr:col>11</xdr:col>
      <xdr:colOff>126000</xdr:colOff>
      <xdr:row>20</xdr:row>
      <xdr:rowOff>63627</xdr:rowOff>
    </xdr:to>
    <xdr:sp macro="" textlink="">
      <xdr:nvSpPr>
        <xdr:cNvPr id="28" name="Rectangle: Rounded Corners 9">
          <a:extLst>
            <a:ext uri="{FF2B5EF4-FFF2-40B4-BE49-F238E27FC236}">
              <a16:creationId xmlns:a16="http://schemas.microsoft.com/office/drawing/2014/main" id="{2A50E858-F701-4525-8CDE-95509C70CEAB}"/>
            </a:ext>
          </a:extLst>
        </xdr:cNvPr>
        <xdr:cNvSpPr/>
      </xdr:nvSpPr>
      <xdr:spPr>
        <a:xfrm>
          <a:off x="4000500" y="2724623"/>
          <a:ext cx="2412000" cy="1882429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486357</xdr:colOff>
      <xdr:row>11</xdr:row>
      <xdr:rowOff>110010</xdr:rowOff>
    </xdr:from>
    <xdr:to>
      <xdr:col>19</xdr:col>
      <xdr:colOff>459957</xdr:colOff>
      <xdr:row>20</xdr:row>
      <xdr:rowOff>63627</xdr:rowOff>
    </xdr:to>
    <xdr:sp macro="" textlink="">
      <xdr:nvSpPr>
        <xdr:cNvPr id="29" name="Rectangle: Rounded Corners 9">
          <a:extLst>
            <a:ext uri="{FF2B5EF4-FFF2-40B4-BE49-F238E27FC236}">
              <a16:creationId xmlns:a16="http://schemas.microsoft.com/office/drawing/2014/main" id="{B144A9A5-4C3F-48A8-9F32-EB70F42E8491}"/>
            </a:ext>
          </a:extLst>
        </xdr:cNvPr>
        <xdr:cNvSpPr/>
      </xdr:nvSpPr>
      <xdr:spPr>
        <a:xfrm>
          <a:off x="9212914" y="2707436"/>
          <a:ext cx="2412000" cy="1861930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317901</xdr:colOff>
      <xdr:row>11</xdr:row>
      <xdr:rowOff>110010</xdr:rowOff>
    </xdr:from>
    <xdr:to>
      <xdr:col>15</xdr:col>
      <xdr:colOff>291501</xdr:colOff>
      <xdr:row>20</xdr:row>
      <xdr:rowOff>63627</xdr:rowOff>
    </xdr:to>
    <xdr:sp macro="" textlink="">
      <xdr:nvSpPr>
        <xdr:cNvPr id="31" name="Rectangle: Rounded Corners 9">
          <a:extLst>
            <a:ext uri="{FF2B5EF4-FFF2-40B4-BE49-F238E27FC236}">
              <a16:creationId xmlns:a16="http://schemas.microsoft.com/office/drawing/2014/main" id="{4ECB95DB-B431-4BD3-8E19-5A60B851B94F}"/>
            </a:ext>
          </a:extLst>
        </xdr:cNvPr>
        <xdr:cNvSpPr/>
      </xdr:nvSpPr>
      <xdr:spPr>
        <a:xfrm>
          <a:off x="6604401" y="2724623"/>
          <a:ext cx="2412000" cy="1882429"/>
        </a:xfrm>
        <a:prstGeom prst="roundRect">
          <a:avLst>
            <a:gd name="adj" fmla="val 2165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316244</xdr:colOff>
      <xdr:row>12</xdr:row>
      <xdr:rowOff>119269</xdr:rowOff>
    </xdr:from>
    <xdr:to>
      <xdr:col>15</xdr:col>
      <xdr:colOff>291547</xdr:colOff>
      <xdr:row>20</xdr:row>
      <xdr:rowOff>59635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B1613591-71E7-4F91-9ADF-1736FD190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335225</xdr:colOff>
      <xdr:row>11</xdr:row>
      <xdr:rowOff>132523</xdr:rowOff>
    </xdr:from>
    <xdr:to>
      <xdr:col>14</xdr:col>
      <xdr:colOff>410815</xdr:colOff>
      <xdr:row>13</xdr:row>
      <xdr:rowOff>22754</xdr:rowOff>
    </xdr:to>
    <xdr:sp macro="" textlink="">
      <xdr:nvSpPr>
        <xdr:cNvPr id="33" name="TextBox 24">
          <a:extLst>
            <a:ext uri="{FF2B5EF4-FFF2-40B4-BE49-F238E27FC236}">
              <a16:creationId xmlns:a16="http://schemas.microsoft.com/office/drawing/2014/main" id="{DCACBFF8-AA46-4BFD-98BF-DA160371361C}"/>
            </a:ext>
          </a:extLst>
        </xdr:cNvPr>
        <xdr:cNvSpPr txBox="1"/>
      </xdr:nvSpPr>
      <xdr:spPr>
        <a:xfrm>
          <a:off x="6623382" y="2729949"/>
          <a:ext cx="1904390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% Viagens</a:t>
          </a:r>
          <a:r>
            <a:rPr lang="en-US" sz="1100" b="0" baseline="0">
              <a:solidFill>
                <a:schemeClr val="bg1"/>
              </a:solidFill>
              <a:latin typeface="Montserrat" panose="00000500000000000000" pitchFamily="2" charset="0"/>
            </a:rPr>
            <a:t> no Prazo</a:t>
          </a:r>
          <a:endParaRPr lang="en-US" sz="11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7</xdr:col>
      <xdr:colOff>157369</xdr:colOff>
      <xdr:row>12</xdr:row>
      <xdr:rowOff>119269</xdr:rowOff>
    </xdr:from>
    <xdr:to>
      <xdr:col>11</xdr:col>
      <xdr:colOff>125895</xdr:colOff>
      <xdr:row>20</xdr:row>
      <xdr:rowOff>46383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BE6E8D44-934B-46DB-BBAB-B0E3E01D2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150742</xdr:colOff>
      <xdr:row>11</xdr:row>
      <xdr:rowOff>127197</xdr:rowOff>
    </xdr:from>
    <xdr:to>
      <xdr:col>11</xdr:col>
      <xdr:colOff>159025</xdr:colOff>
      <xdr:row>13</xdr:row>
      <xdr:rowOff>17428</xdr:rowOff>
    </xdr:to>
    <xdr:sp macro="" textlink="">
      <xdr:nvSpPr>
        <xdr:cNvPr id="36" name="TextBox 24">
          <a:extLst>
            <a:ext uri="{FF2B5EF4-FFF2-40B4-BE49-F238E27FC236}">
              <a16:creationId xmlns:a16="http://schemas.microsoft.com/office/drawing/2014/main" id="{78D58617-B0C1-4019-9E74-08CAAA39408A}"/>
            </a:ext>
          </a:extLst>
        </xdr:cNvPr>
        <xdr:cNvSpPr txBox="1"/>
      </xdr:nvSpPr>
      <xdr:spPr>
        <a:xfrm>
          <a:off x="4000499" y="2724623"/>
          <a:ext cx="2446683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Maiores</a:t>
          </a:r>
          <a:r>
            <a:rPr lang="en-US" sz="1100" b="0" baseline="0">
              <a:solidFill>
                <a:schemeClr val="bg1"/>
              </a:solidFill>
              <a:latin typeface="Montserrat" panose="00000500000000000000" pitchFamily="2" charset="0"/>
            </a:rPr>
            <a:t> Causas Manutenção</a:t>
          </a:r>
          <a:endParaRPr lang="en-US" sz="11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493986</xdr:colOff>
      <xdr:row>12</xdr:row>
      <xdr:rowOff>195943</xdr:rowOff>
    </xdr:from>
    <xdr:to>
      <xdr:col>19</xdr:col>
      <xdr:colOff>451945</xdr:colOff>
      <xdr:row>20</xdr:row>
      <xdr:rowOff>45643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45342CD7-3DB0-401E-98A4-9EE73985F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486356</xdr:colOff>
      <xdr:row>11</xdr:row>
      <xdr:rowOff>110010</xdr:rowOff>
    </xdr:from>
    <xdr:to>
      <xdr:col>19</xdr:col>
      <xdr:colOff>351181</xdr:colOff>
      <xdr:row>13</xdr:row>
      <xdr:rowOff>241</xdr:rowOff>
    </xdr:to>
    <xdr:sp macro="" textlink="">
      <xdr:nvSpPr>
        <xdr:cNvPr id="38" name="TextBox 24">
          <a:extLst>
            <a:ext uri="{FF2B5EF4-FFF2-40B4-BE49-F238E27FC236}">
              <a16:creationId xmlns:a16="http://schemas.microsoft.com/office/drawing/2014/main" id="{706CDE78-16CC-4EF6-B1DE-59AAE75840CA}"/>
            </a:ext>
          </a:extLst>
        </xdr:cNvPr>
        <xdr:cNvSpPr txBox="1"/>
      </xdr:nvSpPr>
      <xdr:spPr>
        <a:xfrm>
          <a:off x="9212913" y="2707436"/>
          <a:ext cx="2303225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Distância percorrida (Km)</a:t>
          </a:r>
        </a:p>
      </xdr:txBody>
    </xdr:sp>
    <xdr:clientData/>
  </xdr:twoCellAnchor>
  <xdr:twoCellAnchor>
    <xdr:from>
      <xdr:col>7</xdr:col>
      <xdr:colOff>152399</xdr:colOff>
      <xdr:row>3</xdr:row>
      <xdr:rowOff>145774</xdr:rowOff>
    </xdr:from>
    <xdr:to>
      <xdr:col>19</xdr:col>
      <xdr:colOff>450572</xdr:colOff>
      <xdr:row>10</xdr:row>
      <xdr:rowOff>145773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ED945192-A83D-45E4-952B-A75CE300A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152400</xdr:colOff>
      <xdr:row>2</xdr:row>
      <xdr:rowOff>1</xdr:rowOff>
    </xdr:from>
    <xdr:to>
      <xdr:col>16</xdr:col>
      <xdr:colOff>145773</xdr:colOff>
      <xdr:row>3</xdr:row>
      <xdr:rowOff>102267</xdr:rowOff>
    </xdr:to>
    <xdr:sp macro="" textlink="">
      <xdr:nvSpPr>
        <xdr:cNvPr id="40" name="TextBox 24">
          <a:extLst>
            <a:ext uri="{FF2B5EF4-FFF2-40B4-BE49-F238E27FC236}">
              <a16:creationId xmlns:a16="http://schemas.microsoft.com/office/drawing/2014/main" id="{B98C374F-13DE-4769-8C38-A43652559AE7}"/>
            </a:ext>
          </a:extLst>
        </xdr:cNvPr>
        <xdr:cNvSpPr txBox="1"/>
      </xdr:nvSpPr>
      <xdr:spPr>
        <a:xfrm>
          <a:off x="4002157" y="689114"/>
          <a:ext cx="5479773" cy="314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solidFill>
                <a:schemeClr val="bg1"/>
              </a:solidFill>
              <a:latin typeface="Montserrat" panose="00000500000000000000" pitchFamily="2" charset="0"/>
            </a:rPr>
            <a:t>Manutenção por Veículo</a:t>
          </a:r>
        </a:p>
      </xdr:txBody>
    </xdr:sp>
    <xdr:clientData/>
  </xdr:twoCellAnchor>
  <xdr:twoCellAnchor>
    <xdr:from>
      <xdr:col>3</xdr:col>
      <xdr:colOff>112643</xdr:colOff>
      <xdr:row>16</xdr:row>
      <xdr:rowOff>86134</xdr:rowOff>
    </xdr:from>
    <xdr:to>
      <xdr:col>7</xdr:col>
      <xdr:colOff>977</xdr:colOff>
      <xdr:row>20</xdr:row>
      <xdr:rowOff>65112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A1DC080-2ECA-4BEF-BDE4-CC0761165A47}"/>
            </a:ext>
          </a:extLst>
        </xdr:cNvPr>
        <xdr:cNvSpPr/>
      </xdr:nvSpPr>
      <xdr:spPr>
        <a:xfrm>
          <a:off x="1941443" y="3743734"/>
          <a:ext cx="1909291" cy="827117"/>
        </a:xfrm>
        <a:prstGeom prst="roundRect">
          <a:avLst>
            <a:gd name="adj" fmla="val 11614"/>
          </a:avLst>
        </a:prstGeom>
        <a:solidFill>
          <a:srgbClr val="2832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39756</xdr:colOff>
      <xdr:row>16</xdr:row>
      <xdr:rowOff>106017</xdr:rowOff>
    </xdr:from>
    <xdr:to>
      <xdr:col>6</xdr:col>
      <xdr:colOff>430695</xdr:colOff>
      <xdr:row>20</xdr:row>
      <xdr:rowOff>53007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1" name="Data">
              <a:extLst>
                <a:ext uri="{FF2B5EF4-FFF2-40B4-BE49-F238E27FC236}">
                  <a16:creationId xmlns:a16="http://schemas.microsoft.com/office/drawing/2014/main" id="{0599CF61-28E3-41B2-A55A-77ABADBB1F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0713" y="3763617"/>
              <a:ext cx="1610139" cy="7951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0.22311</cdr:x>
      <cdr:y>0.23077</cdr:y>
    </cdr:from>
    <cdr:to>
      <cdr:x>0.78588</cdr:x>
      <cdr:y>0.72874</cdr:y>
    </cdr:to>
    <cdr:sp macro="" textlink="Análises!$T$2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870A236-565C-148D-4A73-A32126BAE36F}"/>
            </a:ext>
          </a:extLst>
        </cdr:cNvPr>
        <cdr:cNvSpPr txBox="1"/>
      </cdr:nvSpPr>
      <cdr:spPr>
        <a:xfrm xmlns:a="http://schemas.openxmlformats.org/drawingml/2006/main">
          <a:off x="538521" y="377688"/>
          <a:ext cx="1358348" cy="8150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DC39B8FD-E4CB-47A5-B13E-70B8D11AE26D}" type="TxLink">
            <a:rPr lang="en-US" sz="2000" b="1" i="0" u="none" strike="noStrike">
              <a:solidFill>
                <a:schemeClr val="bg1"/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66,7%</a:t>
          </a:fld>
          <a:endParaRPr lang="pt-BR" sz="2000" b="1">
            <a:solidFill>
              <a:schemeClr val="bg1"/>
            </a:solidFill>
            <a:latin typeface="Montserrat" panose="00000500000000000000" pitchFamily="2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099.756968287038" createdVersion="8" refreshedVersion="8" minRefreshableVersion="3" recordCount="5" xr:uid="{CE19CFA0-07CF-418E-B20D-DA7839978FCC}">
  <cacheSource type="worksheet">
    <worksheetSource name="Tabela1"/>
  </cacheSource>
  <cacheFields count="7">
    <cacheField name="Nº" numFmtId="0">
      <sharedItems containsString="0" containsBlank="1" containsNumber="1" containsInteger="1" minValue="1" maxValue="4"/>
    </cacheField>
    <cacheField name="Motorista" numFmtId="0">
      <sharedItems containsBlank="1"/>
    </cacheField>
    <cacheField name="CNH vence em" numFmtId="14">
      <sharedItems containsNonDate="0" containsDate="1" containsString="0" containsBlank="1" minDate="2025-01-09T00:00:00" maxDate="2032-07-04T00:00:00" count="5">
        <d v="2026-07-24T00:00:00"/>
        <d v="2029-12-14T00:00:00"/>
        <d v="2032-07-03T00:00:00"/>
        <d v="2025-01-09T00:00:00"/>
        <m/>
      </sharedItems>
      <fieldGroup par="6"/>
    </cacheField>
    <cacheField name="Celular" numFmtId="164">
      <sharedItems containsString="0" containsBlank="1" containsNumber="1" containsInteger="1" minValue="11222222222" maxValue="41444444444"/>
    </cacheField>
    <cacheField name="Meses (CNH vence em)" numFmtId="0" databaseField="0">
      <fieldGroup base="2">
        <rangePr groupBy="months" startDate="2025-01-09T00:00:00" endDate="2032-07-04T00:00:00"/>
        <groupItems count="14">
          <s v="&lt;09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4/07/2032"/>
        </groupItems>
      </fieldGroup>
    </cacheField>
    <cacheField name="Trimestres (CNH vence em)" numFmtId="0" databaseField="0">
      <fieldGroup base="2">
        <rangePr groupBy="quarters" startDate="2025-01-09T00:00:00" endDate="2032-07-04T00:00:00"/>
        <groupItems count="6">
          <s v="&lt;09/01/2025"/>
          <s v="Trim1"/>
          <s v="Trim2"/>
          <s v="Trim3"/>
          <s v="Trim4"/>
          <s v="&gt;04/07/2032"/>
        </groupItems>
      </fieldGroup>
    </cacheField>
    <cacheField name="Anos (CNH vence em)" numFmtId="0" databaseField="0">
      <fieldGroup base="2">
        <rangePr groupBy="years" startDate="2025-01-09T00:00:00" endDate="2032-07-04T00:00:00"/>
        <groupItems count="10">
          <s v="&lt;09/01/2025"/>
          <s v="2025"/>
          <s v="2026"/>
          <s v="2027"/>
          <s v="2028"/>
          <s v="2029"/>
          <s v="2030"/>
          <s v="2031"/>
          <s v="2032"/>
          <s v="&gt;04/07/203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099.756969328701" createdVersion="8" refreshedVersion="8" minRefreshableVersion="3" recordCount="10" xr:uid="{C6DC5150-8FF7-47CE-80EA-0E1C02918428}">
  <cacheSource type="worksheet">
    <worksheetSource name="Tabela4"/>
  </cacheSource>
  <cacheFields count="9">
    <cacheField name="Nº" numFmtId="0">
      <sharedItems containsSemiMixedTypes="0" containsString="0" containsNumber="1" containsInteger="1" minValue="1" maxValue="10"/>
    </cacheField>
    <cacheField name="Tipo" numFmtId="0">
      <sharedItems containsBlank="1"/>
    </cacheField>
    <cacheField name="Placa" numFmtId="0">
      <sharedItems containsBlank="1" count="4">
        <s v="ABC1D34"/>
        <s v="CDE1F23"/>
        <s v="DDD1D11"/>
        <m/>
      </sharedItems>
    </cacheField>
    <cacheField name="Ano Fabricação" numFmtId="0">
      <sharedItems containsString="0" containsBlank="1" containsNumber="1" containsInteger="1" minValue="2020" maxValue="2021"/>
    </cacheField>
    <cacheField name="Cor" numFmtId="0">
      <sharedItems containsBlank="1"/>
    </cacheField>
    <cacheField name="Rodagem Aquisição (Km)" numFmtId="166">
      <sharedItems containsString="0" containsBlank="1" containsNumber="1" containsInteger="1" minValue="40000" maxValue="50500"/>
    </cacheField>
    <cacheField name="Rodagem Atual (Km)" numFmtId="166">
      <sharedItems containsSemiMixedTypes="0" containsString="0" containsNumber="1" containsInteger="1" minValue="0" maxValue="50660"/>
    </cacheField>
    <cacheField name="Carga Máxima (Kg)" numFmtId="166">
      <sharedItems containsString="0" containsBlank="1" containsNumber="1" containsInteger="1" minValue="4000" maxValue="12000"/>
    </cacheField>
    <cacheField name="Total Manutenção" numFmtId="165">
      <sharedItems containsSemiMixedTypes="0" containsString="0" containsNumber="1" containsInteger="1" minValue="0" maxValue="10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099.756969675924" createdVersion="8" refreshedVersion="8" minRefreshableVersion="3" recordCount="9" xr:uid="{2BD66B19-9189-42F0-84C8-B6264F81D823}">
  <cacheSource type="worksheet">
    <worksheetSource name="Tabela5"/>
  </cacheSource>
  <cacheFields count="12">
    <cacheField name="Data" numFmtId="14">
      <sharedItems containsSemiMixedTypes="0" containsNonDate="0" containsDate="1" containsString="0" minDate="2023-06-09T00:00:00" maxDate="2026-06-18T00:00:00"/>
    </cacheField>
    <cacheField name="Veículo" numFmtId="0">
      <sharedItems/>
    </cacheField>
    <cacheField name="Motorista" numFmtId="0">
      <sharedItems count="4">
        <s v="Roberto"/>
        <s v="Eduardo"/>
        <s v="Eliza"/>
        <s v="Diego"/>
      </sharedItems>
    </cacheField>
    <cacheField name="Origem" numFmtId="0">
      <sharedItems/>
    </cacheField>
    <cacheField name="Destino" numFmtId="0">
      <sharedItems/>
    </cacheField>
    <cacheField name="Distância (Km)" numFmtId="0">
      <sharedItems containsSemiMixedTypes="0" containsString="0" containsNumber="1" containsInteger="1" minValue="80" maxValue="80"/>
    </cacheField>
    <cacheField name="Peso Carga (Kg)" numFmtId="166">
      <sharedItems containsSemiMixedTypes="0" containsString="0" containsNumber="1" containsInteger="1" minValue="4000" maxValue="10000"/>
    </cacheField>
    <cacheField name="Receitas" numFmtId="44">
      <sharedItems containsSemiMixedTypes="0" containsString="0" containsNumber="1" containsInteger="1" minValue="500" maxValue="3500"/>
    </cacheField>
    <cacheField name="Combustível" numFmtId="44">
      <sharedItems containsSemiMixedTypes="0" containsString="0" containsNumber="1" containsInteger="1" minValue="300" maxValue="400"/>
    </cacheField>
    <cacheField name="Pedágio" numFmtId="44">
      <sharedItems containsSemiMixedTypes="0" containsString="0" containsNumber="1" containsInteger="1" minValue="6" maxValue="6"/>
    </cacheField>
    <cacheField name="Outros" numFmtId="44">
      <sharedItems containsSemiMixedTypes="0" containsString="0" containsNumber="1" containsInteger="1" minValue="50" maxValue="100"/>
    </cacheField>
    <cacheField name="No Prazo?" numFmtId="0">
      <sharedItems count="2">
        <s v="Sim"/>
        <s v="Não"/>
      </sharedItems>
    </cacheField>
  </cacheFields>
  <extLst>
    <ext xmlns:x14="http://schemas.microsoft.com/office/spreadsheetml/2009/9/main" uri="{725AE2AE-9491-48be-B2B4-4EB974FC3084}">
      <x14:pivotCacheDefinition pivotCacheId="273199563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099.756970717594" createdVersion="8" refreshedVersion="8" minRefreshableVersion="3" recordCount="8" xr:uid="{430A31B2-4C5E-481E-B8DB-E24395CA137A}">
  <cacheSource type="worksheet">
    <worksheetSource name="Tabela6"/>
  </cacheSource>
  <cacheFields count="13">
    <cacheField name="Data" numFmtId="14">
      <sharedItems containsSemiMixedTypes="0" containsNonDate="0" containsDate="1" containsString="0" minDate="2023-02-05T00:00:00" maxDate="2023-06-23T00:00:00" count="8">
        <d v="2023-06-09T00:00:00"/>
        <d v="2023-06-11T00:00:00"/>
        <d v="2023-02-05T00:00:00"/>
        <d v="2023-02-10T00:00:00"/>
        <d v="2023-06-20T00:00:00"/>
        <d v="2023-06-22T00:00:00"/>
        <d v="2023-03-30T00:00:00"/>
        <d v="2023-05-04T00:00:00"/>
      </sharedItems>
    </cacheField>
    <cacheField name="Veículo" numFmtId="0">
      <sharedItems/>
    </cacheField>
    <cacheField name="Iluminação" numFmtId="0">
      <sharedItems/>
    </cacheField>
    <cacheField name="Elétrica" numFmtId="0">
      <sharedItems/>
    </cacheField>
    <cacheField name="Motor" numFmtId="0">
      <sharedItems/>
    </cacheField>
    <cacheField name="Embreagem" numFmtId="0">
      <sharedItems/>
    </cacheField>
    <cacheField name="Freios" numFmtId="0">
      <sharedItems/>
    </cacheField>
    <cacheField name="Lataria" numFmtId="0">
      <sharedItems/>
    </cacheField>
    <cacheField name="Vidros" numFmtId="0">
      <sharedItems/>
    </cacheField>
    <cacheField name="Pneus" numFmtId="0">
      <sharedItems/>
    </cacheField>
    <cacheField name="Orçamento" numFmtId="44">
      <sharedItems containsSemiMixedTypes="0" containsString="0" containsNumber="1" containsInteger="1" minValue="100" maxValue="10000"/>
    </cacheField>
    <cacheField name="Motivo defeito" numFmtId="0">
      <sharedItems containsBlank="1" count="6">
        <s v="Batida"/>
        <m/>
        <s v="Desgaste prematuro"/>
        <s v="Ação da natureza"/>
        <s v="Problema na instalação"/>
        <s v="Desgaste prematuro de peça" u="1"/>
      </sharedItems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 pivotCacheId="18709597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s v="Roberto"/>
    <x v="0"/>
    <n v="21111111111"/>
  </r>
  <r>
    <n v="2"/>
    <s v="Eduardo"/>
    <x v="1"/>
    <n v="11222222222"/>
  </r>
  <r>
    <n v="3"/>
    <s v="Eliza"/>
    <x v="2"/>
    <n v="31333333333"/>
  </r>
  <r>
    <n v="4"/>
    <s v="Diego"/>
    <x v="3"/>
    <n v="41444444444"/>
  </r>
  <r>
    <m/>
    <m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Caminhão"/>
    <x v="0"/>
    <n v="2020"/>
    <s v="Branco"/>
    <n v="40000"/>
    <n v="40400"/>
    <n v="12000"/>
    <n v="10200"/>
  </r>
  <r>
    <n v="2"/>
    <s v="Van"/>
    <x v="1"/>
    <n v="2021"/>
    <s v="Prata"/>
    <n v="50500"/>
    <n v="50660"/>
    <n v="4000"/>
    <n v="8400"/>
  </r>
  <r>
    <n v="3"/>
    <s v="Caminhão"/>
    <x v="2"/>
    <n v="2021"/>
    <s v="Prata"/>
    <n v="50500"/>
    <n v="50660"/>
    <n v="10000"/>
    <n v="400"/>
  </r>
  <r>
    <n v="4"/>
    <m/>
    <x v="3"/>
    <m/>
    <m/>
    <m/>
    <n v="0"/>
    <m/>
    <n v="0"/>
  </r>
  <r>
    <n v="5"/>
    <m/>
    <x v="3"/>
    <m/>
    <m/>
    <m/>
    <n v="0"/>
    <m/>
    <n v="0"/>
  </r>
  <r>
    <n v="6"/>
    <m/>
    <x v="3"/>
    <m/>
    <m/>
    <m/>
    <n v="0"/>
    <m/>
    <n v="0"/>
  </r>
  <r>
    <n v="7"/>
    <m/>
    <x v="3"/>
    <m/>
    <m/>
    <m/>
    <n v="0"/>
    <m/>
    <n v="0"/>
  </r>
  <r>
    <n v="8"/>
    <m/>
    <x v="3"/>
    <m/>
    <m/>
    <m/>
    <n v="0"/>
    <m/>
    <n v="0"/>
  </r>
  <r>
    <n v="9"/>
    <m/>
    <x v="3"/>
    <m/>
    <m/>
    <m/>
    <n v="0"/>
    <m/>
    <n v="0"/>
  </r>
  <r>
    <n v="10"/>
    <m/>
    <x v="3"/>
    <m/>
    <m/>
    <m/>
    <n v="0"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3-06-09T00:00:00"/>
    <s v="ABC1D34"/>
    <x v="0"/>
    <s v="Nova Iguaçu - RJ"/>
    <s v="Itaboraí - RJ"/>
    <n v="80"/>
    <n v="7000"/>
    <n v="2000"/>
    <n v="300"/>
    <n v="6"/>
    <n v="50"/>
    <x v="0"/>
  </r>
  <r>
    <d v="2026-06-10T00:00:00"/>
    <s v="ABC1D34"/>
    <x v="0"/>
    <s v="Nova Iguaçu - RJ"/>
    <s v="Itaboraí - RJ"/>
    <n v="80"/>
    <n v="8000"/>
    <n v="2500"/>
    <n v="320"/>
    <n v="6"/>
    <n v="60"/>
    <x v="0"/>
  </r>
  <r>
    <d v="2026-06-11T00:00:00"/>
    <s v="ABC1D34"/>
    <x v="1"/>
    <s v="Nova Iguaçu - RJ"/>
    <s v="Itaboraí - RJ"/>
    <n v="80"/>
    <n v="7000"/>
    <n v="2000"/>
    <n v="300"/>
    <n v="6"/>
    <n v="60"/>
    <x v="0"/>
  </r>
  <r>
    <d v="2026-06-12T00:00:00"/>
    <s v="ABC1D34"/>
    <x v="2"/>
    <s v="Nova Iguaçu - RJ"/>
    <s v="Itaboraí - RJ"/>
    <n v="80"/>
    <n v="7000"/>
    <n v="1500"/>
    <n v="300"/>
    <n v="6"/>
    <n v="70"/>
    <x v="1"/>
  </r>
  <r>
    <d v="2026-06-13T00:00:00"/>
    <s v="ABC1D34"/>
    <x v="3"/>
    <s v="Nova Iguaçu - RJ"/>
    <s v="Itaboraí - RJ"/>
    <n v="80"/>
    <n v="6000"/>
    <n v="1000"/>
    <n v="300"/>
    <n v="6"/>
    <n v="60"/>
    <x v="1"/>
  </r>
  <r>
    <d v="2026-06-14T00:00:00"/>
    <s v="CDE1F23"/>
    <x v="0"/>
    <s v="Nova Iguaçu - RJ"/>
    <s v="Itaboraí - RJ"/>
    <n v="80"/>
    <n v="10000"/>
    <n v="3000"/>
    <n v="400"/>
    <n v="6"/>
    <n v="50"/>
    <x v="0"/>
  </r>
  <r>
    <d v="2026-06-15T00:00:00"/>
    <s v="CDE1F23"/>
    <x v="3"/>
    <s v="Nova Iguaçu - RJ"/>
    <s v="Itaboraí - RJ"/>
    <n v="80"/>
    <n v="9000"/>
    <n v="2900"/>
    <n v="380"/>
    <n v="6"/>
    <n v="100"/>
    <x v="0"/>
  </r>
  <r>
    <d v="2026-06-16T00:00:00"/>
    <s v="DDD1D11"/>
    <x v="2"/>
    <s v="Nova Iguaçu - RJ"/>
    <s v="Itaboraí - RJ"/>
    <n v="80"/>
    <n v="10000"/>
    <n v="3500"/>
    <n v="400"/>
    <n v="6"/>
    <n v="50"/>
    <x v="1"/>
  </r>
  <r>
    <d v="2026-06-17T00:00:00"/>
    <s v="DDD1D11"/>
    <x v="1"/>
    <s v="Nova Iguaçu - RJ"/>
    <s v="Itaboraí - RJ"/>
    <n v="80"/>
    <n v="4000"/>
    <n v="500"/>
    <n v="300"/>
    <n v="6"/>
    <n v="5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CDE1F23"/>
    <s v="Aprovado"/>
    <s v="Aprovado"/>
    <s v="Aprovado"/>
    <s v="Aprovado"/>
    <s v="Aprovado"/>
    <s v="Reprovado"/>
    <s v="Aprovado"/>
    <s v="Aprovado"/>
    <n v="5000"/>
    <x v="0"/>
    <s v="Parachoque"/>
  </r>
  <r>
    <x v="1"/>
    <s v="CDE1F23"/>
    <s v="Aprovado"/>
    <s v="Aprovado"/>
    <s v="Aprovado"/>
    <s v="Aprovado"/>
    <s v="Aprovado"/>
    <s v="Aprovado"/>
    <s v="Aprovado"/>
    <s v="Aprovado"/>
    <n v="200"/>
    <x v="1"/>
    <m/>
  </r>
  <r>
    <x v="2"/>
    <s v="CDE1F23"/>
    <s v="Aprovado"/>
    <s v="Aprovado"/>
    <s v="Aprovado"/>
    <s v="Aprovado"/>
    <s v="Reprovado"/>
    <s v="Aprovado"/>
    <s v="Aprovado"/>
    <s v="Aprovado"/>
    <n v="3000"/>
    <x v="2"/>
    <s v="Trocar freios"/>
  </r>
  <r>
    <x v="3"/>
    <s v="CDE1F23"/>
    <s v="Aprovado"/>
    <s v="Aprovado"/>
    <s v="Aprovado"/>
    <s v="Aprovado"/>
    <s v="Aprovado"/>
    <s v="Aprovado"/>
    <s v="Aprovado"/>
    <s v="Aprovado"/>
    <n v="200"/>
    <x v="1"/>
    <m/>
  </r>
  <r>
    <x v="4"/>
    <s v="ABC1D34"/>
    <s v="Aprovado"/>
    <s v="Aprovado"/>
    <s v="Reprovado"/>
    <s v="Aprovado"/>
    <s v="Aprovado"/>
    <s v="Aprovado"/>
    <s v="Aprovado"/>
    <s v="Aprovado"/>
    <n v="10000"/>
    <x v="3"/>
    <s v="Enchente"/>
  </r>
  <r>
    <x v="5"/>
    <s v="ABC1D34"/>
    <s v="Aprovado"/>
    <s v="Aprovado"/>
    <s v="Aprovado"/>
    <s v="Aprovado"/>
    <s v="Aprovado"/>
    <s v="Aprovado"/>
    <s v="Aprovado"/>
    <s v="Aprovado"/>
    <n v="200"/>
    <x v="1"/>
    <m/>
  </r>
  <r>
    <x v="6"/>
    <s v="DDD1D11"/>
    <s v="Reprovado"/>
    <s v="Aprovado"/>
    <s v="Aprovado"/>
    <s v="Aprovado"/>
    <s v="Aprovado"/>
    <s v="Aprovado"/>
    <s v="Aprovado"/>
    <s v="Aprovado"/>
    <n v="300"/>
    <x v="4"/>
    <s v="Fixar setas"/>
  </r>
  <r>
    <x v="7"/>
    <s v="DDD1D11"/>
    <s v="Aprovado"/>
    <s v="Aprovado"/>
    <s v="Aprovado"/>
    <s v="Aprovado"/>
    <s v="Aprovado"/>
    <s v="Aprovado"/>
    <s v="Aprovado"/>
    <s v="Aprovado"/>
    <n v="10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84F75-F567-4C81-8552-03F02C13E24B}" name="Tabela dinâmica1" cacheId="1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W1:W6" firstHeaderRow="1" firstDataRow="1" firstDataCol="1"/>
  <pivotFields count="7"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D1219-4C07-4997-BA1E-B88DF6E9DF82}" name="Tabela dinâmica4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1:F6" firstHeaderRow="1" firstDataRow="1" firstDataCol="1"/>
  <pivotFields count="12">
    <pivotField numFmtId="14" showAll="0"/>
    <pivotField showAll="0"/>
    <pivotField axis="axisRow" showAll="0" sortType="a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66" showAll="0"/>
    <pivotField numFmtId="44" showAll="0"/>
    <pivotField numFmtId="44" showAll="0"/>
    <pivotField numFmtId="44" showAll="0"/>
    <pivotField numFmtId="44" showAll="0"/>
    <pivotField showAll="0"/>
  </pivotFields>
  <rowFields count="1">
    <field x="2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oma de Distância (Km)" fld="5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D3609-0E49-414A-BDFB-A2D931CF02B3}" name="Tabela dinâ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9"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numFmtId="166" showAll="0"/>
    <pivotField showAll="0"/>
    <pivotField dataField="1" numFmtId="165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Manutenção" fld="8" baseField="2" baseItem="1" numFmtId="167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04A7B-BB5D-46BA-ACC2-3815E45913FE}" name="Tabela dinâmica8" cacheId="2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">
  <location ref="S1:T3" firstHeaderRow="1" firstDataRow="1" firstDataCol="1"/>
  <pivotFields count="12">
    <pivotField numFmtId="14" showAll="0"/>
    <pivotField showAll="0"/>
    <pivotField showAll="0"/>
    <pivotField showAll="0"/>
    <pivotField showAll="0"/>
    <pivotField showAll="0"/>
    <pivotField numFmtId="166" showAll="0"/>
    <pivotField numFmtId="44" showAll="0"/>
    <pivotField numFmtId="44" showAll="0"/>
    <pivotField numFmtId="44" showAll="0"/>
    <pivotField numFmtId="44" showAll="0"/>
    <pivotField axis="axisRow" dataField="1" showAll="0" sortType="descending">
      <items count="3">
        <item x="0"/>
        <item x="1"/>
        <item t="default"/>
      </items>
    </pivotField>
  </pivotFields>
  <rowFields count="1">
    <field x="11"/>
  </rowFields>
  <rowItems count="2">
    <i>
      <x/>
    </i>
    <i>
      <x v="1"/>
    </i>
  </rowItems>
  <colItems count="1">
    <i/>
  </colItems>
  <dataFields count="1">
    <dataField name="Contagem de No Prazo?" fld="11" subtotal="count" showDataAs="percentOfTotal" baseField="11" baseItem="0" numFmtId="168"/>
  </dataField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ACE98-68C9-4B95-9565-068B80BDBC51}" name="Tabela dinâmica7" cacheId="2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P1:P2" firstHeaderRow="1" firstDataRow="1" firstDataCol="0"/>
  <pivotFields count="13">
    <pivotField numFmtId="14" showAll="0">
      <items count="9">
        <item x="2"/>
        <item x="3"/>
        <item x="6"/>
        <item x="7"/>
        <item x="0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showAll="0"/>
  </pivotFields>
  <rowItems count="1">
    <i/>
  </rowItems>
  <colItems count="1">
    <i/>
  </colItems>
  <dataFields count="1">
    <dataField name="Soma de Orçamento" fld="10" baseField="0" baseItem="0" numFmtId="167"/>
  </dataFields>
  <pivotTableStyleInfo name="PivotStyleLight16" showRowHeaders="1" showColHeaders="1" showRowStripes="0" showColStripes="0" showLastColumn="1"/>
  <filters count="1">
    <filter fld="0" type="dateBetween" evalOrder="-1" id="41" name="Data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9C452-A8B2-4D6E-9C7F-648139F242A0}" name="Tabela dinâmica6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:M2" firstHeaderRow="1" firstDataRow="1" firstDataCol="0"/>
  <pivotFields count="12">
    <pivotField numFmtId="14" showAll="0"/>
    <pivotField showAll="0"/>
    <pivotField showAll="0"/>
    <pivotField showAll="0"/>
    <pivotField showAll="0"/>
    <pivotField showAll="0"/>
    <pivotField numFmtId="166" showAll="0"/>
    <pivotField numFmtId="44" showAll="0"/>
    <pivotField dataField="1" numFmtId="44" showAll="0"/>
    <pivotField numFmtId="44" showAll="0"/>
    <pivotField numFmtId="44" showAll="0"/>
    <pivotField showAll="0"/>
  </pivotFields>
  <rowItems count="1">
    <i/>
  </rowItems>
  <colItems count="1">
    <i/>
  </colItems>
  <dataFields count="1">
    <dataField name="Soma de Combustível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009A1-CC48-4748-922A-7D943C22D88A}" name="Tabela dinâmica5" cacheId="2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I1:J6" firstHeaderRow="1" firstDataRow="1" firstDataCol="1"/>
  <pivotFields count="13">
    <pivotField numFmtId="14" showAll="0">
      <items count="9">
        <item x="2"/>
        <item x="3"/>
        <item x="6"/>
        <item x="7"/>
        <item x="0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axis="axisRow" dataField="1" showAll="0" measureFilter="1" sortType="ascending">
      <items count="7">
        <item x="3"/>
        <item x="0"/>
        <item m="1" x="5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5">
    <i>
      <x v="1"/>
    </i>
    <i>
      <x v="3"/>
    </i>
    <i>
      <x/>
    </i>
    <i>
      <x v="5"/>
    </i>
    <i t="grand">
      <x/>
    </i>
  </rowItems>
  <colItems count="1">
    <i/>
  </colItems>
  <dataFields count="1">
    <dataField name="Contagem de Motivo defeito" fld="11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dateBetween" evalOrder="-1" id="42" name="Data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1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80F4D-BBF6-4738-BF84-ECAE68AD7671}" name="Tabela1" displayName="Tabela1" ref="E3:H8" totalsRowShown="0" headerRowDxfId="53" dataDxfId="52">
  <autoFilter ref="E3:H8" xr:uid="{9DA80F4D-BBF6-4738-BF84-ECAE68AD7671}"/>
  <tableColumns count="4">
    <tableColumn id="4" xr3:uid="{8F62A1CE-0AC1-465F-B717-5771D0A1BC6C}" name="Nº" dataDxfId="51"/>
    <tableColumn id="1" xr3:uid="{7AFB65DC-3A15-4912-92EF-0AB399A6D2A6}" name="Motorista" dataDxfId="50"/>
    <tableColumn id="2" xr3:uid="{1A8F8F70-AAFD-4CB0-A5C5-22355BA98F42}" name="CNH vence em" dataDxfId="49"/>
    <tableColumn id="3" xr3:uid="{D6299F78-85C4-4917-96C5-7FFBD4CB4608}" name="Celular" dataDxfId="4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5F16AA-ED81-417E-8DFC-2B2AFB4AA87A}" name="Tabela2" displayName="Tabela2" ref="J3:K10" totalsRowShown="0" headerRowDxfId="47" dataDxfId="46">
  <autoFilter ref="J3:K10" xr:uid="{495F16AA-ED81-417E-8DFC-2B2AFB4AA87A}"/>
  <tableColumns count="2">
    <tableColumn id="1" xr3:uid="{A7BD9076-7F10-4D8B-ADE4-83332463F252}" name="Nº" dataDxfId="45"/>
    <tableColumn id="2" xr3:uid="{C859441E-B30E-4CA4-9426-E96838DF6E13}" name="Motivo Defeito" dataDxfId="4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9B030F-E356-4113-A8A1-6E4D1139E426}" name="Tabela24" displayName="Tabela24" ref="M3:N6" totalsRowShown="0" headerRowDxfId="43" dataDxfId="42">
  <autoFilter ref="M3:N6" xr:uid="{019B030F-E356-4113-A8A1-6E4D1139E426}"/>
  <tableColumns count="2">
    <tableColumn id="1" xr3:uid="{5596DD5A-B4DD-47A8-9711-1D35F3CD63FC}" name="Nº" dataDxfId="41"/>
    <tableColumn id="2" xr3:uid="{966CD471-04F6-40B7-9277-3C6FAC9B814D}" name="Tipo Veículo" dataDxfId="4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E90216-2ABA-430D-A34D-03836B96DAE8}" name="Tabela4" displayName="Tabela4" ref="E3:M13" totalsRowShown="0" headerRowDxfId="39" dataDxfId="38">
  <autoFilter ref="E3:M13" xr:uid="{19E90216-2ABA-430D-A34D-03836B96DAE8}"/>
  <tableColumns count="9">
    <tableColumn id="9" xr3:uid="{9847ED86-AD60-4303-9531-AFA42DC629F8}" name="Nº" dataDxfId="37"/>
    <tableColumn id="1" xr3:uid="{096726EC-5ED3-4E64-8588-EE990E25EEAB}" name="Tipo" dataDxfId="36"/>
    <tableColumn id="2" xr3:uid="{BA73AB45-7F31-41E7-87B3-AB74DD0CF386}" name="Placa" dataDxfId="35"/>
    <tableColumn id="3" xr3:uid="{90F1E995-71C5-4083-AC46-5F57328CA1FA}" name="Ano Fabricação" dataDxfId="34"/>
    <tableColumn id="4" xr3:uid="{E0CD023C-62D0-4AA4-B7EB-AD6FF5241C51}" name="Cor" dataDxfId="33"/>
    <tableColumn id="5" xr3:uid="{F63C7FD3-B9FF-4224-B210-A562FF59F5FE}" name="Rodagem Aquisição (Km)" dataDxfId="32" dataCellStyle="Vírgula"/>
    <tableColumn id="6" xr3:uid="{1F989CBB-CC28-440D-99D9-5027529CB8A5}" name="Rodagem Atual (Km)" dataDxfId="31" dataCellStyle="Vírgula">
      <calculatedColumnFormula>Tabela4[[#This Row],[Rodagem Aquisição (Km)]]+SUMIFS(Rotas!J:J,Rotas!F:F,Tabela4[[#This Row],[Placa]])</calculatedColumnFormula>
    </tableColumn>
    <tableColumn id="7" xr3:uid="{C5E13EE4-B209-4925-BD9D-04259956CE4F}" name="Carga Máxima (Kg)" dataDxfId="30" dataCellStyle="Vírgula"/>
    <tableColumn id="8" xr3:uid="{64F13632-E52C-4123-9915-E2588D9AE67C}" name="Total Manutenção" dataDxfId="29" dataCellStyle="Moeda">
      <calculatedColumnFormula>SUMIFS(Manutenção!O:O,Manutenção!F:F,Tabela4[[#This Row],[Placa]])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C0E95B-1632-4274-B975-5777F5F8863E}" name="Tabela5" displayName="Tabela5" ref="E3:P12" totalsRowShown="0" headerRowDxfId="28" dataDxfId="27">
  <autoFilter ref="E3:P12" xr:uid="{68C0E95B-1632-4274-B975-5777F5F886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31664CE-E880-475F-B164-4048E358FDA8}" name="Data" dataDxfId="26"/>
    <tableColumn id="2" xr3:uid="{4B4AD2A1-90E1-4C2D-A203-072D3AF084CF}" name="Veículo" dataDxfId="25"/>
    <tableColumn id="3" xr3:uid="{0BC22821-E17A-41AC-8DB9-1B642524BDC6}" name="Motorista" dataDxfId="24"/>
    <tableColumn id="4" xr3:uid="{4E94C51F-3036-47CF-9D23-BD9191393878}" name="Origem" dataDxfId="23"/>
    <tableColumn id="5" xr3:uid="{983F0952-0F5E-486C-A023-F0825B5DD776}" name="Destino" dataDxfId="22"/>
    <tableColumn id="6" xr3:uid="{05499296-63FB-430B-BD38-7B397038647C}" name="Distância (Km)" dataDxfId="21"/>
    <tableColumn id="7" xr3:uid="{46B601C9-A53F-46B7-8E0E-5296B7A37546}" name="Peso Carga (Kg)" dataDxfId="20" dataCellStyle="Vírgula"/>
    <tableColumn id="8" xr3:uid="{445CC5B0-FC92-4B2A-BB5C-FE1E34A09FD0}" name="Receitas" dataDxfId="19" dataCellStyle="Moeda"/>
    <tableColumn id="9" xr3:uid="{DA998FE0-B36F-4C70-AB07-BE1D55B2B44A}" name="Combustível" dataDxfId="18" dataCellStyle="Moeda"/>
    <tableColumn id="10" xr3:uid="{169E9817-50BF-4BA0-B4A3-09607FAA0056}" name="Pedágio" dataDxfId="17" dataCellStyle="Moeda"/>
    <tableColumn id="11" xr3:uid="{A563654C-EFD8-42BD-A4DE-EEA18FBBD160}" name="Outros" dataDxfId="16" dataCellStyle="Moeda"/>
    <tableColumn id="12" xr3:uid="{A692011C-4031-4934-ADD5-C94769E9E182}" name="No Prazo?" dataDxfId="15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245FD3-596F-4398-A0CC-68BB29A222E5}" name="Tabela6" displayName="Tabela6" ref="E3:Q11" totalsRowShown="0" headerRowDxfId="14" dataDxfId="13">
  <autoFilter ref="E3:Q11" xr:uid="{C0245FD3-596F-4398-A0CC-68BB29A222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3" xr3:uid="{7DF531DA-B76E-4F8E-876C-92F1D04F5B2C}" name="Data" dataDxfId="12"/>
    <tableColumn id="1" xr3:uid="{1991003E-A935-47FA-86E5-05A67C659328}" name="Veículo" dataDxfId="11"/>
    <tableColumn id="2" xr3:uid="{BC338F0A-83F9-4545-9F65-E3C61402A14C}" name="Iluminação" dataDxfId="10"/>
    <tableColumn id="3" xr3:uid="{3557BEB8-A90D-4C42-869F-4A262514F359}" name="Elétrica" dataDxfId="9"/>
    <tableColumn id="4" xr3:uid="{9D3C022A-5BDA-4BF3-AF9D-6B05AAEE08D1}" name="Motor" dataDxfId="8"/>
    <tableColumn id="5" xr3:uid="{996F54E9-EF51-4827-8E08-875A3A1AA37E}" name="Embreagem" dataDxfId="7"/>
    <tableColumn id="6" xr3:uid="{A8CCBF2B-BC48-4D94-872B-75DD4A011F07}" name="Freios" dataDxfId="6"/>
    <tableColumn id="7" xr3:uid="{A51493BA-641A-4F6B-A107-6825A47312C0}" name="Lataria" dataDxfId="5"/>
    <tableColumn id="8" xr3:uid="{EB98180A-6EB2-477A-B3B5-1C655F16D3A2}" name="Vidros" dataDxfId="4"/>
    <tableColumn id="9" xr3:uid="{6091B907-3B24-4D25-80B4-4AAFB37CBAFA}" name="Pneus" dataDxfId="3"/>
    <tableColumn id="10" xr3:uid="{640DCF61-55B5-4AD8-9886-0706FADD9EA4}" name="Orçamento" dataDxfId="2" dataCellStyle="Moeda"/>
    <tableColumn id="11" xr3:uid="{8733FCC4-EF96-4679-A912-A5CA63BBA97A}" name="Motivo defeito" dataDxfId="1"/>
    <tableColumn id="12" xr3:uid="{1184D3EE-4407-4DC6-BA90-961D0FDC1CAD}" name="Ob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04B70F79-AFA8-468D-95F2-B71E756FDA2C}" sourceName="Data">
  <pivotTables>
    <pivotTable tabId="8" name="Tabela dinâmica5"/>
    <pivotTable tabId="8" name="Tabela dinâmica7"/>
  </pivotTables>
  <state minimalRefreshVersion="6" lastRefreshVersion="6" pivotCacheId="1870959749" filterType="dateBetween">
    <selection startDate="2023-01-01T00:00:00" endDate="2023-12-31T00:00:00"/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0B9D4CAB-BC42-480F-855E-63D58010870E}" cache="NativeTimeline_Data" caption="Data" showHeader="0" showSelectionLabel="0" showTimeLevel="0" showHorizontalScrollbar="0" level="1" selectionLevel="0" scrollPosition="2023-01-01T00:00:00" style="Estilo de Linha do Tempo 1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82DB-ACF5-48A9-A64E-68B343C425E0}">
  <dimension ref="A1:Y6"/>
  <sheetViews>
    <sheetView topLeftCell="N1" workbookViewId="0">
      <selection activeCell="Y2" sqref="Y2"/>
    </sheetView>
  </sheetViews>
  <sheetFormatPr defaultRowHeight="14.4" x14ac:dyDescent="0.3"/>
  <cols>
    <col min="1" max="1" width="17.21875" bestFit="1" customWidth="1"/>
    <col min="2" max="2" width="24.5546875" bestFit="1" customWidth="1"/>
    <col min="5" max="5" width="17.21875" bestFit="1" customWidth="1"/>
    <col min="6" max="6" width="21.109375" bestFit="1" customWidth="1"/>
    <col min="9" max="9" width="20.21875" bestFit="1" customWidth="1"/>
    <col min="10" max="10" width="25.6640625" bestFit="1" customWidth="1"/>
    <col min="13" max="13" width="19.44140625" bestFit="1" customWidth="1"/>
    <col min="16" max="16" width="18.44140625" bestFit="1" customWidth="1"/>
    <col min="19" max="19" width="17.21875" bestFit="1" customWidth="1"/>
    <col min="20" max="20" width="21.44140625" bestFit="1" customWidth="1"/>
    <col min="23" max="23" width="17.21875" bestFit="1" customWidth="1"/>
  </cols>
  <sheetData>
    <row r="1" spans="1:25" x14ac:dyDescent="0.3">
      <c r="A1" s="14" t="s">
        <v>69</v>
      </c>
      <c r="B1" t="s">
        <v>71</v>
      </c>
      <c r="E1" s="14" t="s">
        <v>69</v>
      </c>
      <c r="F1" t="s">
        <v>72</v>
      </c>
      <c r="I1" s="14" t="s">
        <v>69</v>
      </c>
      <c r="J1" t="s">
        <v>73</v>
      </c>
      <c r="M1" t="s">
        <v>74</v>
      </c>
      <c r="P1" t="s">
        <v>75</v>
      </c>
      <c r="S1" s="14" t="s">
        <v>69</v>
      </c>
      <c r="T1" t="s">
        <v>76</v>
      </c>
      <c r="W1" s="14" t="s">
        <v>69</v>
      </c>
    </row>
    <row r="2" spans="1:25" x14ac:dyDescent="0.3">
      <c r="A2" s="15" t="s">
        <v>43</v>
      </c>
      <c r="B2" s="16">
        <v>10200</v>
      </c>
      <c r="E2" s="15" t="s">
        <v>29</v>
      </c>
      <c r="F2" s="18">
        <v>160</v>
      </c>
      <c r="I2" s="15" t="s">
        <v>35</v>
      </c>
      <c r="J2" s="18">
        <v>1</v>
      </c>
      <c r="M2" s="16">
        <v>3000</v>
      </c>
      <c r="P2" s="16">
        <v>19000</v>
      </c>
      <c r="S2" s="15" t="s">
        <v>53</v>
      </c>
      <c r="T2" s="17">
        <v>0.66666666666666663</v>
      </c>
      <c r="W2" s="19">
        <v>45666</v>
      </c>
      <c r="Y2" s="20">
        <f ca="1">COUNTIFS(W:W,"&lt;"&amp;TODAY())</f>
        <v>0</v>
      </c>
    </row>
    <row r="3" spans="1:25" x14ac:dyDescent="0.3">
      <c r="A3" s="15" t="s">
        <v>54</v>
      </c>
      <c r="B3" s="16">
        <v>8400</v>
      </c>
      <c r="E3" s="15" t="s">
        <v>30</v>
      </c>
      <c r="F3" s="18">
        <v>160</v>
      </c>
      <c r="I3" s="15" t="s">
        <v>39</v>
      </c>
      <c r="J3" s="18">
        <v>1</v>
      </c>
      <c r="S3" s="15" t="s">
        <v>60</v>
      </c>
      <c r="T3" s="17">
        <v>0.33333333333333331</v>
      </c>
      <c r="W3" s="19">
        <v>46227</v>
      </c>
    </row>
    <row r="4" spans="1:25" x14ac:dyDescent="0.3">
      <c r="A4" s="15" t="s">
        <v>59</v>
      </c>
      <c r="B4" s="16">
        <v>400</v>
      </c>
      <c r="E4" s="15" t="s">
        <v>31</v>
      </c>
      <c r="F4" s="18">
        <v>160</v>
      </c>
      <c r="I4" s="15" t="s">
        <v>38</v>
      </c>
      <c r="J4" s="18">
        <v>1</v>
      </c>
      <c r="W4" s="19">
        <v>47466</v>
      </c>
    </row>
    <row r="5" spans="1:25" x14ac:dyDescent="0.3">
      <c r="A5" s="15" t="s">
        <v>70</v>
      </c>
      <c r="B5" s="16">
        <v>19000</v>
      </c>
      <c r="E5" s="15" t="s">
        <v>28</v>
      </c>
      <c r="F5" s="18">
        <v>240</v>
      </c>
      <c r="I5" s="15" t="s">
        <v>77</v>
      </c>
      <c r="J5" s="18">
        <v>1</v>
      </c>
      <c r="W5" s="19">
        <v>48398</v>
      </c>
    </row>
    <row r="6" spans="1:25" x14ac:dyDescent="0.3">
      <c r="E6" s="15" t="s">
        <v>70</v>
      </c>
      <c r="F6" s="18">
        <v>720</v>
      </c>
      <c r="I6" s="15" t="s">
        <v>70</v>
      </c>
      <c r="J6" s="18">
        <v>4</v>
      </c>
      <c r="W6" s="15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E778-0F5E-4545-AC59-2FF43338B8FB}">
  <dimension ref="A1:V24"/>
  <sheetViews>
    <sheetView showGridLines="0" zoomScale="115" zoomScaleNormal="115" workbookViewId="0"/>
  </sheetViews>
  <sheetFormatPr defaultColWidth="0" defaultRowHeight="14.4" zeroHeight="1" x14ac:dyDescent="0.3"/>
  <cols>
    <col min="1" max="3" width="8.88671875" customWidth="1"/>
    <col min="4" max="4" width="2.77734375" customWidth="1"/>
    <col min="5" max="5" width="5.44140625" bestFit="1" customWidth="1"/>
    <col min="6" max="6" width="12.5546875" customWidth="1"/>
    <col min="7" max="7" width="16.21875" customWidth="1"/>
    <col min="8" max="8" width="18.21875" bestFit="1" customWidth="1"/>
    <col min="9" max="9" width="6.77734375" customWidth="1"/>
    <col min="10" max="10" width="5.44140625" customWidth="1"/>
    <col min="11" max="11" width="31.109375" bestFit="1" customWidth="1"/>
    <col min="12" max="12" width="6.77734375" customWidth="1"/>
    <col min="13" max="13" width="5.44140625" customWidth="1"/>
    <col min="14" max="14" width="19.88671875" bestFit="1" customWidth="1"/>
    <col min="15" max="15" width="4" customWidth="1"/>
    <col min="16" max="16" width="11.77734375" hidden="1" customWidth="1"/>
    <col min="17" max="22" width="8.88671875" hidden="1" customWidth="1"/>
    <col min="23" max="16384" width="8.88671875" hidden="1"/>
  </cols>
  <sheetData>
    <row r="1" spans="1:22" ht="40.049999999999997" customHeight="1" x14ac:dyDescent="0.3">
      <c r="A1" s="1"/>
      <c r="B1" s="1"/>
      <c r="C1" s="1"/>
      <c r="D1" s="2" t="s">
        <v>61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1"/>
    </row>
    <row r="3" spans="1:22" ht="16.8" customHeight="1" x14ac:dyDescent="0.35">
      <c r="A3" s="1"/>
      <c r="B3" s="1"/>
      <c r="C3" s="1"/>
      <c r="E3" s="4" t="s">
        <v>32</v>
      </c>
      <c r="F3" s="4" t="s">
        <v>8</v>
      </c>
      <c r="G3" s="4" t="s">
        <v>25</v>
      </c>
      <c r="H3" s="4" t="s">
        <v>26</v>
      </c>
      <c r="I3" s="4"/>
      <c r="J3" s="11" t="s">
        <v>32</v>
      </c>
      <c r="K3" s="4" t="s">
        <v>33</v>
      </c>
      <c r="L3" s="4"/>
      <c r="M3" s="4" t="s">
        <v>32</v>
      </c>
      <c r="N3" s="4" t="s">
        <v>40</v>
      </c>
    </row>
    <row r="4" spans="1:22" ht="16.8" customHeight="1" x14ac:dyDescent="0.35">
      <c r="A4" s="1"/>
      <c r="B4" s="1"/>
      <c r="C4" s="1"/>
      <c r="E4" s="11">
        <v>1</v>
      </c>
      <c r="F4" s="4" t="s">
        <v>28</v>
      </c>
      <c r="G4" s="5">
        <v>46227</v>
      </c>
      <c r="H4" s="10">
        <v>21111111111</v>
      </c>
      <c r="I4" s="4"/>
      <c r="J4" s="11">
        <v>1</v>
      </c>
      <c r="K4" s="4" t="s">
        <v>34</v>
      </c>
      <c r="L4" s="4"/>
      <c r="M4" s="11">
        <v>1</v>
      </c>
      <c r="N4" s="4" t="s">
        <v>42</v>
      </c>
    </row>
    <row r="5" spans="1:22" ht="16.8" customHeight="1" x14ac:dyDescent="0.35">
      <c r="A5" s="1"/>
      <c r="B5" s="1"/>
      <c r="C5" s="1"/>
      <c r="E5" s="11">
        <v>2</v>
      </c>
      <c r="F5" s="4" t="s">
        <v>29</v>
      </c>
      <c r="G5" s="5">
        <v>47466</v>
      </c>
      <c r="H5" s="10">
        <v>11222222222</v>
      </c>
      <c r="I5" s="4"/>
      <c r="J5" s="11">
        <v>2</v>
      </c>
      <c r="K5" s="4" t="s">
        <v>35</v>
      </c>
      <c r="L5" s="4"/>
      <c r="M5" s="11">
        <v>2</v>
      </c>
      <c r="N5" s="4" t="s">
        <v>41</v>
      </c>
    </row>
    <row r="6" spans="1:22" ht="16.8" customHeight="1" x14ac:dyDescent="0.35">
      <c r="A6" s="1"/>
      <c r="B6" s="1"/>
      <c r="C6" s="1"/>
      <c r="E6" s="11">
        <v>3</v>
      </c>
      <c r="F6" s="4" t="s">
        <v>30</v>
      </c>
      <c r="G6" s="5">
        <v>48398</v>
      </c>
      <c r="H6" s="10">
        <v>31333333333</v>
      </c>
      <c r="I6" s="4"/>
      <c r="J6" s="11">
        <v>3</v>
      </c>
      <c r="K6" s="4" t="s">
        <v>36</v>
      </c>
      <c r="L6" s="4"/>
      <c r="M6" s="11">
        <v>3</v>
      </c>
      <c r="N6" s="4" t="s">
        <v>48</v>
      </c>
    </row>
    <row r="7" spans="1:22" ht="16.8" customHeight="1" x14ac:dyDescent="0.35">
      <c r="A7" s="1"/>
      <c r="B7" s="1"/>
      <c r="C7" s="1"/>
      <c r="E7" s="11">
        <v>4</v>
      </c>
      <c r="F7" s="4" t="s">
        <v>31</v>
      </c>
      <c r="G7" s="5">
        <v>45666</v>
      </c>
      <c r="H7" s="10">
        <v>41444444444</v>
      </c>
      <c r="I7" s="4"/>
      <c r="J7" s="11">
        <v>4</v>
      </c>
      <c r="K7" s="4" t="s">
        <v>77</v>
      </c>
      <c r="L7" s="4"/>
      <c r="M7" s="4"/>
      <c r="N7" s="4"/>
    </row>
    <row r="8" spans="1:22" ht="16.8" customHeight="1" x14ac:dyDescent="0.35">
      <c r="A8" s="1"/>
      <c r="B8" s="1"/>
      <c r="C8" s="1"/>
      <c r="E8" s="11"/>
      <c r="F8" s="4"/>
      <c r="G8" s="5"/>
      <c r="H8" s="10"/>
      <c r="I8" s="4"/>
      <c r="J8" s="11">
        <v>5</v>
      </c>
      <c r="K8" s="4" t="s">
        <v>39</v>
      </c>
      <c r="L8" s="4"/>
      <c r="M8" s="4"/>
      <c r="N8" s="4"/>
    </row>
    <row r="9" spans="1:22" ht="16.8" customHeight="1" x14ac:dyDescent="0.35">
      <c r="A9" s="1"/>
      <c r="B9" s="1"/>
      <c r="C9" s="1"/>
      <c r="E9" s="4"/>
      <c r="F9" s="4"/>
      <c r="G9" s="4"/>
      <c r="H9" s="4"/>
      <c r="I9" s="4"/>
      <c r="J9" s="11">
        <v>6</v>
      </c>
      <c r="K9" s="4" t="s">
        <v>37</v>
      </c>
      <c r="L9" s="4"/>
      <c r="M9" s="4"/>
      <c r="N9" s="4"/>
    </row>
    <row r="10" spans="1:22" ht="16.8" customHeight="1" x14ac:dyDescent="0.35">
      <c r="A10" s="1"/>
      <c r="B10" s="1"/>
      <c r="C10" s="1"/>
      <c r="E10" s="4"/>
      <c r="F10" s="4"/>
      <c r="G10" s="4"/>
      <c r="H10" s="4"/>
      <c r="I10" s="4"/>
      <c r="J10" s="11">
        <v>7</v>
      </c>
      <c r="K10" s="4" t="s">
        <v>38</v>
      </c>
      <c r="L10" s="4"/>
      <c r="M10" s="4"/>
      <c r="N10" s="4"/>
    </row>
    <row r="11" spans="1:22" ht="16.8" customHeight="1" x14ac:dyDescent="0.35">
      <c r="A11" s="1"/>
      <c r="B11" s="1"/>
      <c r="C11" s="1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22" ht="16.8" customHeight="1" x14ac:dyDescent="0.35">
      <c r="A12" s="1"/>
      <c r="B12" s="1"/>
      <c r="C12" s="1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22" ht="16.8" customHeight="1" x14ac:dyDescent="0.35">
      <c r="A13" s="1"/>
      <c r="B13" s="1"/>
      <c r="C13" s="1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22" ht="16.8" customHeight="1" x14ac:dyDescent="0.35">
      <c r="A14" s="1"/>
      <c r="B14" s="1"/>
      <c r="C14" s="1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22" ht="16.8" customHeight="1" x14ac:dyDescent="0.35">
      <c r="A15" s="1"/>
      <c r="B15" s="1"/>
      <c r="C15" s="1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22" ht="16.8" customHeight="1" x14ac:dyDescent="0.35">
      <c r="A16" s="1"/>
      <c r="B16" s="1"/>
      <c r="C16" s="1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6.8" customHeight="1" x14ac:dyDescent="0.35">
      <c r="A17" s="1"/>
      <c r="B17" s="1"/>
      <c r="C17" s="1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5" x14ac:dyDescent="0.35">
      <c r="A18" s="1"/>
      <c r="B18" s="1"/>
      <c r="C18" s="1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6.8" x14ac:dyDescent="0.4">
      <c r="A19" s="1"/>
      <c r="B19" s="1"/>
      <c r="C19" s="1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3">
      <c r="A20" s="1"/>
      <c r="B20" s="1"/>
      <c r="C20" s="1"/>
    </row>
    <row r="21" spans="1:14" x14ac:dyDescent="0.3">
      <c r="A21" s="1"/>
      <c r="B21" s="1"/>
      <c r="C21" s="1"/>
    </row>
    <row r="22" spans="1:14" x14ac:dyDescent="0.3">
      <c r="A22" s="1"/>
      <c r="B22" s="1"/>
      <c r="C22" s="1"/>
    </row>
    <row r="23" spans="1:14" x14ac:dyDescent="0.3">
      <c r="A23" s="1"/>
      <c r="B23" s="1"/>
      <c r="C23" s="1"/>
    </row>
    <row r="24" spans="1:14" x14ac:dyDescent="0.3">
      <c r="A24" s="1"/>
      <c r="B24" s="1"/>
      <c r="C24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3C97-6316-480D-90CE-B77D5E11F805}">
  <dimension ref="A1:V27"/>
  <sheetViews>
    <sheetView showGridLines="0" zoomScale="115" zoomScaleNormal="115" workbookViewId="0"/>
  </sheetViews>
  <sheetFormatPr defaultColWidth="0" defaultRowHeight="14.4" customHeight="1" zeroHeight="1" x14ac:dyDescent="0.3"/>
  <cols>
    <col min="1" max="3" width="8.88671875" customWidth="1"/>
    <col min="4" max="4" width="2.77734375" customWidth="1"/>
    <col min="5" max="5" width="5.44140625" bestFit="1" customWidth="1"/>
    <col min="6" max="7" width="11.77734375" customWidth="1"/>
    <col min="8" max="8" width="15.21875" customWidth="1"/>
    <col min="9" max="9" width="11.77734375" customWidth="1"/>
    <col min="10" max="10" width="23.44140625" customWidth="1"/>
    <col min="11" max="11" width="19.88671875" customWidth="1"/>
    <col min="12" max="12" width="18.21875" customWidth="1"/>
    <col min="13" max="13" width="17.6640625" customWidth="1"/>
    <col min="14" max="14" width="4" customWidth="1"/>
    <col min="15" max="22" width="8.88671875" hidden="1" customWidth="1"/>
    <col min="23" max="16384" width="8.88671875" hidden="1"/>
  </cols>
  <sheetData>
    <row r="1" spans="1:22" ht="40.049999999999997" customHeight="1" x14ac:dyDescent="0.3">
      <c r="A1" s="1"/>
      <c r="B1" s="1"/>
      <c r="C1" s="1"/>
      <c r="D1" s="2" t="s">
        <v>62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1"/>
    </row>
    <row r="3" spans="1:22" ht="16.8" customHeight="1" x14ac:dyDescent="0.35">
      <c r="A3" s="1"/>
      <c r="B3" s="1"/>
      <c r="C3" s="1"/>
      <c r="E3" s="7" t="s">
        <v>32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46</v>
      </c>
      <c r="K3" s="8" t="s">
        <v>47</v>
      </c>
      <c r="L3" s="7" t="s">
        <v>45</v>
      </c>
      <c r="M3" s="8" t="s">
        <v>14</v>
      </c>
    </row>
    <row r="4" spans="1:22" ht="16.8" customHeight="1" x14ac:dyDescent="0.35">
      <c r="A4" s="1"/>
      <c r="B4" s="1"/>
      <c r="C4" s="1"/>
      <c r="E4" s="7">
        <v>1</v>
      </c>
      <c r="F4" s="7" t="s">
        <v>41</v>
      </c>
      <c r="G4" s="7" t="s">
        <v>43</v>
      </c>
      <c r="H4" s="7">
        <v>2020</v>
      </c>
      <c r="I4" s="7" t="s">
        <v>44</v>
      </c>
      <c r="J4" s="12">
        <v>40000</v>
      </c>
      <c r="K4" s="12">
        <f>Tabela4[[#This Row],[Rodagem Aquisição (Km)]]+SUMIFS(Rotas!J:J,Rotas!F:F,Tabela4[[#This Row],[Placa]])</f>
        <v>40400</v>
      </c>
      <c r="L4" s="12">
        <v>12000</v>
      </c>
      <c r="M4" s="9">
        <f>SUMIFS(Manutenção!O:O,Manutenção!F:F,Tabela4[[#This Row],[Placa]])</f>
        <v>10200</v>
      </c>
    </row>
    <row r="5" spans="1:22" ht="16.8" customHeight="1" x14ac:dyDescent="0.35">
      <c r="A5" s="1"/>
      <c r="B5" s="1"/>
      <c r="C5" s="1"/>
      <c r="E5" s="7">
        <v>2</v>
      </c>
      <c r="F5" s="7" t="s">
        <v>42</v>
      </c>
      <c r="G5" s="7" t="s">
        <v>54</v>
      </c>
      <c r="H5" s="7">
        <v>2021</v>
      </c>
      <c r="I5" s="7" t="s">
        <v>55</v>
      </c>
      <c r="J5" s="12">
        <v>50500</v>
      </c>
      <c r="K5" s="12">
        <f>Tabela4[[#This Row],[Rodagem Aquisição (Km)]]+SUMIFS(Rotas!J:J,Rotas!F:F,Tabela4[[#This Row],[Placa]])</f>
        <v>50660</v>
      </c>
      <c r="L5" s="12">
        <v>4000</v>
      </c>
      <c r="M5" s="9">
        <f>SUMIFS(Manutenção!O:O,Manutenção!F:F,Tabela4[[#This Row],[Placa]])</f>
        <v>8400</v>
      </c>
    </row>
    <row r="6" spans="1:22" ht="16.8" customHeight="1" x14ac:dyDescent="0.35">
      <c r="A6" s="1"/>
      <c r="B6" s="1"/>
      <c r="C6" s="1"/>
      <c r="E6" s="7">
        <v>3</v>
      </c>
      <c r="F6" s="7" t="s">
        <v>41</v>
      </c>
      <c r="G6" s="7" t="s">
        <v>59</v>
      </c>
      <c r="H6" s="7">
        <v>2021</v>
      </c>
      <c r="I6" s="7" t="s">
        <v>55</v>
      </c>
      <c r="J6" s="12">
        <v>50500</v>
      </c>
      <c r="K6" s="12">
        <f>Tabela4[[#This Row],[Rodagem Aquisição (Km)]]+SUMIFS(Rotas!J:J,Rotas!F:F,Tabela4[[#This Row],[Placa]])</f>
        <v>50660</v>
      </c>
      <c r="L6" s="12">
        <v>10000</v>
      </c>
      <c r="M6" s="9">
        <f>SUMIFS(Manutenção!O:O,Manutenção!F:F,Tabela4[[#This Row],[Placa]])</f>
        <v>400</v>
      </c>
    </row>
    <row r="7" spans="1:22" ht="16.8" customHeight="1" x14ac:dyDescent="0.35">
      <c r="A7" s="1"/>
      <c r="B7" s="1"/>
      <c r="C7" s="1"/>
      <c r="E7" s="7">
        <v>4</v>
      </c>
      <c r="F7" s="7"/>
      <c r="G7" s="7"/>
      <c r="H7" s="7"/>
      <c r="I7" s="7"/>
      <c r="J7" s="12"/>
      <c r="K7" s="12">
        <f>Tabela4[[#This Row],[Rodagem Aquisição (Km)]]+SUMIFS(Rotas!J:J,Rotas!F:F,Tabela4[[#This Row],[Placa]])</f>
        <v>0</v>
      </c>
      <c r="L7" s="12"/>
      <c r="M7" s="9">
        <f>SUMIFS(Manutenção!O:O,Manutenção!F:F,Tabela4[[#This Row],[Placa]])</f>
        <v>0</v>
      </c>
    </row>
    <row r="8" spans="1:22" ht="16.8" customHeight="1" x14ac:dyDescent="0.35">
      <c r="A8" s="1"/>
      <c r="B8" s="1"/>
      <c r="C8" s="1"/>
      <c r="E8" s="7">
        <v>5</v>
      </c>
      <c r="F8" s="7"/>
      <c r="G8" s="7"/>
      <c r="H8" s="7"/>
      <c r="I8" s="7"/>
      <c r="J8" s="12"/>
      <c r="K8" s="12">
        <f>Tabela4[[#This Row],[Rodagem Aquisição (Km)]]+SUMIFS(Rotas!J:J,Rotas!F:F,Tabela4[[#This Row],[Placa]])</f>
        <v>0</v>
      </c>
      <c r="L8" s="12"/>
      <c r="M8" s="9">
        <f>SUMIFS(Manutenção!O:O,Manutenção!F:F,Tabela4[[#This Row],[Placa]])</f>
        <v>0</v>
      </c>
    </row>
    <row r="9" spans="1:22" ht="16.8" customHeight="1" x14ac:dyDescent="0.35">
      <c r="A9" s="1"/>
      <c r="B9" s="1"/>
      <c r="C9" s="1"/>
      <c r="E9" s="7">
        <v>6</v>
      </c>
      <c r="F9" s="7"/>
      <c r="G9" s="7"/>
      <c r="H9" s="7"/>
      <c r="I9" s="7"/>
      <c r="J9" s="12"/>
      <c r="K9" s="12">
        <f>Tabela4[[#This Row],[Rodagem Aquisição (Km)]]+SUMIFS(Rotas!J:J,Rotas!F:F,Tabela4[[#This Row],[Placa]])</f>
        <v>0</v>
      </c>
      <c r="L9" s="12"/>
      <c r="M9" s="9">
        <f>SUMIFS(Manutenção!O:O,Manutenção!F:F,Tabela4[[#This Row],[Placa]])</f>
        <v>0</v>
      </c>
    </row>
    <row r="10" spans="1:22" ht="16.8" customHeight="1" x14ac:dyDescent="0.35">
      <c r="A10" s="1"/>
      <c r="B10" s="1"/>
      <c r="C10" s="1"/>
      <c r="E10" s="7">
        <v>7</v>
      </c>
      <c r="F10" s="7"/>
      <c r="G10" s="7"/>
      <c r="H10" s="7"/>
      <c r="I10" s="7"/>
      <c r="J10" s="12"/>
      <c r="K10" s="12">
        <f>Tabela4[[#This Row],[Rodagem Aquisição (Km)]]+SUMIFS(Rotas!J:J,Rotas!F:F,Tabela4[[#This Row],[Placa]])</f>
        <v>0</v>
      </c>
      <c r="L10" s="12"/>
      <c r="M10" s="9">
        <f>SUMIFS(Manutenção!O:O,Manutenção!F:F,Tabela4[[#This Row],[Placa]])</f>
        <v>0</v>
      </c>
    </row>
    <row r="11" spans="1:22" ht="16.8" customHeight="1" x14ac:dyDescent="0.35">
      <c r="A11" s="1"/>
      <c r="B11" s="1"/>
      <c r="C11" s="1"/>
      <c r="E11" s="7">
        <v>8</v>
      </c>
      <c r="F11" s="7"/>
      <c r="G11" s="7"/>
      <c r="H11" s="7"/>
      <c r="I11" s="7"/>
      <c r="J11" s="12"/>
      <c r="K11" s="12">
        <f>Tabela4[[#This Row],[Rodagem Aquisição (Km)]]+SUMIFS(Rotas!J:J,Rotas!F:F,Tabela4[[#This Row],[Placa]])</f>
        <v>0</v>
      </c>
      <c r="L11" s="12"/>
      <c r="M11" s="9">
        <f>SUMIFS(Manutenção!O:O,Manutenção!F:F,Tabela4[[#This Row],[Placa]])</f>
        <v>0</v>
      </c>
    </row>
    <row r="12" spans="1:22" ht="16.8" customHeight="1" x14ac:dyDescent="0.35">
      <c r="A12" s="1"/>
      <c r="B12" s="1"/>
      <c r="C12" s="1"/>
      <c r="E12" s="7">
        <v>9</v>
      </c>
      <c r="F12" s="7"/>
      <c r="G12" s="7"/>
      <c r="H12" s="7"/>
      <c r="I12" s="7"/>
      <c r="J12" s="12"/>
      <c r="K12" s="12">
        <f>Tabela4[[#This Row],[Rodagem Aquisição (Km)]]+SUMIFS(Rotas!J:J,Rotas!F:F,Tabela4[[#This Row],[Placa]])</f>
        <v>0</v>
      </c>
      <c r="L12" s="12"/>
      <c r="M12" s="9">
        <f>SUMIFS(Manutenção!O:O,Manutenção!F:F,Tabela4[[#This Row],[Placa]])</f>
        <v>0</v>
      </c>
    </row>
    <row r="13" spans="1:22" ht="16.8" customHeight="1" x14ac:dyDescent="0.35">
      <c r="A13" s="1"/>
      <c r="B13" s="1"/>
      <c r="C13" s="1"/>
      <c r="E13" s="7">
        <v>10</v>
      </c>
      <c r="F13" s="7"/>
      <c r="G13" s="7"/>
      <c r="H13" s="7"/>
      <c r="I13" s="7"/>
      <c r="J13" s="12"/>
      <c r="K13" s="12">
        <f>Tabela4[[#This Row],[Rodagem Aquisição (Km)]]+SUMIFS(Rotas!J:J,Rotas!F:F,Tabela4[[#This Row],[Placa]])</f>
        <v>0</v>
      </c>
      <c r="L13" s="12"/>
      <c r="M13" s="9">
        <f>SUMIFS(Manutenção!O:O,Manutenção!F:F,Tabela4[[#This Row],[Placa]])</f>
        <v>0</v>
      </c>
    </row>
    <row r="14" spans="1:22" ht="16.8" customHeight="1" x14ac:dyDescent="0.4">
      <c r="A14" s="1"/>
      <c r="B14" s="1"/>
      <c r="C14" s="1"/>
      <c r="E14" s="3"/>
      <c r="F14" s="3"/>
      <c r="G14" s="3"/>
      <c r="H14" s="3"/>
      <c r="I14" s="3"/>
      <c r="J14" s="3"/>
      <c r="K14" s="3"/>
      <c r="L14" s="3"/>
      <c r="M14" s="3"/>
    </row>
    <row r="15" spans="1:22" ht="16.8" customHeight="1" x14ac:dyDescent="0.4">
      <c r="A15" s="1"/>
      <c r="B15" s="1"/>
      <c r="C15" s="1"/>
      <c r="E15" s="3"/>
      <c r="F15" s="3"/>
      <c r="G15" s="3"/>
      <c r="H15" s="3"/>
      <c r="I15" s="3"/>
      <c r="J15" s="3"/>
      <c r="K15" s="3"/>
      <c r="L15" s="3"/>
      <c r="M15" s="3"/>
    </row>
    <row r="16" spans="1:22" ht="16.8" customHeight="1" x14ac:dyDescent="0.4">
      <c r="A16" s="1"/>
      <c r="B16" s="1"/>
      <c r="C16" s="1"/>
      <c r="E16" s="3"/>
      <c r="F16" s="3"/>
      <c r="G16" s="3"/>
      <c r="H16" s="3"/>
      <c r="I16" s="3"/>
      <c r="J16" s="3"/>
      <c r="K16" s="3"/>
      <c r="L16" s="3"/>
      <c r="M16" s="3"/>
    </row>
    <row r="17" spans="1:13" ht="16.8" customHeight="1" x14ac:dyDescent="0.4">
      <c r="A17" s="1"/>
      <c r="B17" s="1"/>
      <c r="C17" s="1"/>
      <c r="E17" s="3"/>
      <c r="F17" s="3"/>
      <c r="G17" s="3"/>
      <c r="H17" s="3"/>
      <c r="I17" s="3"/>
      <c r="J17" s="3"/>
      <c r="K17" s="3"/>
      <c r="L17" s="3"/>
      <c r="M17" s="3"/>
    </row>
    <row r="18" spans="1:13" ht="16.8" customHeight="1" x14ac:dyDescent="0.4">
      <c r="A18" s="1"/>
      <c r="B18" s="1"/>
      <c r="C18" s="1"/>
      <c r="E18" s="3"/>
      <c r="F18" s="3"/>
      <c r="G18" s="3"/>
      <c r="H18" s="3"/>
      <c r="I18" s="3"/>
      <c r="J18" s="3"/>
      <c r="K18" s="3"/>
      <c r="L18" s="3"/>
      <c r="M18" s="3"/>
    </row>
    <row r="19" spans="1:13" ht="16.8" x14ac:dyDescent="0.4">
      <c r="A19" s="1"/>
      <c r="B19" s="1"/>
      <c r="C19" s="1"/>
      <c r="E19" s="3"/>
      <c r="F19" s="3"/>
      <c r="G19" s="3"/>
      <c r="H19" s="3"/>
      <c r="I19" s="3"/>
      <c r="J19" s="3"/>
      <c r="K19" s="3"/>
      <c r="L19" s="3"/>
      <c r="M19" s="3"/>
    </row>
    <row r="20" spans="1:13" ht="16.8" x14ac:dyDescent="0.4">
      <c r="A20" s="1"/>
      <c r="B20" s="1"/>
      <c r="C20" s="1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1"/>
      <c r="B21" s="1"/>
      <c r="C21" s="1"/>
    </row>
    <row r="22" spans="1:13" x14ac:dyDescent="0.3">
      <c r="A22" s="1"/>
      <c r="B22" s="1"/>
      <c r="C22" s="1"/>
    </row>
    <row r="23" spans="1:13" x14ac:dyDescent="0.3">
      <c r="A23" s="1"/>
      <c r="B23" s="1"/>
      <c r="C23" s="1"/>
    </row>
    <row r="24" spans="1:13" x14ac:dyDescent="0.3">
      <c r="A24" s="1"/>
      <c r="B24" s="1"/>
      <c r="C24" s="1"/>
    </row>
    <row r="25" spans="1:13" hidden="1" x14ac:dyDescent="0.3"/>
    <row r="26" spans="1:13" hidden="1" x14ac:dyDescent="0.3"/>
    <row r="27" spans="1:13" hidden="1" x14ac:dyDescent="0.3"/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1E83F4-9F04-4857-8E37-571EA976B297}">
          <x14:formula1>
            <xm:f>Cadastro!$N$4:$N$6</xm:f>
          </x14:formula1>
          <xm:sqref>F4:F13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4D83-C3B8-453A-AFB3-DDFAFEFD4D73}">
  <dimension ref="A1:T27"/>
  <sheetViews>
    <sheetView showGridLines="0" zoomScale="115" zoomScaleNormal="115" workbookViewId="0"/>
  </sheetViews>
  <sheetFormatPr defaultColWidth="0" defaultRowHeight="14.4" customHeight="1" zeroHeight="1" x14ac:dyDescent="0.3"/>
  <cols>
    <col min="1" max="3" width="8.88671875" customWidth="1"/>
    <col min="4" max="4" width="2.77734375" customWidth="1"/>
    <col min="5" max="5" width="12.44140625" bestFit="1" customWidth="1"/>
    <col min="6" max="7" width="9.44140625" bestFit="1" customWidth="1"/>
    <col min="8" max="8" width="15.21875" bestFit="1" customWidth="1"/>
    <col min="9" max="9" width="15.21875" customWidth="1"/>
    <col min="10" max="10" width="13.88671875" bestFit="1" customWidth="1"/>
    <col min="11" max="11" width="14.88671875" bestFit="1" customWidth="1"/>
    <col min="12" max="12" width="12.21875" bestFit="1" customWidth="1"/>
    <col min="13" max="13" width="12.109375" bestFit="1" customWidth="1"/>
    <col min="14" max="14" width="8.5546875" bestFit="1" customWidth="1"/>
    <col min="15" max="15" width="10.33203125" bestFit="1" customWidth="1"/>
    <col min="16" max="16" width="9.77734375" bestFit="1" customWidth="1"/>
    <col min="17" max="17" width="0.88671875" customWidth="1"/>
    <col min="18" max="16384" width="8.88671875" hidden="1"/>
  </cols>
  <sheetData>
    <row r="1" spans="1:20" ht="40.049999999999997" customHeight="1" x14ac:dyDescent="0.3">
      <c r="A1" s="1"/>
      <c r="B1" s="1"/>
      <c r="C1" s="1"/>
      <c r="D1" s="2" t="s">
        <v>63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</row>
    <row r="3" spans="1:20" ht="16.8" customHeight="1" x14ac:dyDescent="0.35">
      <c r="A3" s="1"/>
      <c r="B3" s="1"/>
      <c r="C3" s="1"/>
      <c r="E3" s="4" t="s">
        <v>0</v>
      </c>
      <c r="F3" s="4" t="s">
        <v>1</v>
      </c>
      <c r="G3" s="4" t="s">
        <v>8</v>
      </c>
      <c r="H3" s="4" t="s">
        <v>2</v>
      </c>
      <c r="I3" s="4" t="s">
        <v>3</v>
      </c>
      <c r="J3" s="4" t="s">
        <v>51</v>
      </c>
      <c r="K3" s="4" t="s">
        <v>52</v>
      </c>
      <c r="L3" s="4" t="s">
        <v>4</v>
      </c>
      <c r="M3" s="4" t="s">
        <v>5</v>
      </c>
      <c r="N3" s="4" t="s">
        <v>6</v>
      </c>
      <c r="O3" s="4" t="s">
        <v>7</v>
      </c>
      <c r="P3" s="4" t="s">
        <v>9</v>
      </c>
    </row>
    <row r="4" spans="1:20" ht="16.8" customHeight="1" x14ac:dyDescent="0.35">
      <c r="A4" s="1"/>
      <c r="B4" s="1"/>
      <c r="C4" s="1"/>
      <c r="E4" s="5">
        <v>45086</v>
      </c>
      <c r="F4" s="4" t="s">
        <v>43</v>
      </c>
      <c r="G4" s="4" t="s">
        <v>28</v>
      </c>
      <c r="H4" s="4" t="s">
        <v>49</v>
      </c>
      <c r="I4" s="4" t="s">
        <v>50</v>
      </c>
      <c r="J4" s="4">
        <v>80</v>
      </c>
      <c r="K4" s="13">
        <v>7000</v>
      </c>
      <c r="L4" s="6">
        <v>2000</v>
      </c>
      <c r="M4" s="6">
        <v>300</v>
      </c>
      <c r="N4" s="6">
        <v>6</v>
      </c>
      <c r="O4" s="6">
        <v>50</v>
      </c>
      <c r="P4" s="4" t="s">
        <v>53</v>
      </c>
    </row>
    <row r="5" spans="1:20" ht="16.8" customHeight="1" x14ac:dyDescent="0.35">
      <c r="A5" s="1"/>
      <c r="B5" s="1"/>
      <c r="C5" s="1"/>
      <c r="E5" s="5">
        <v>46183</v>
      </c>
      <c r="F5" s="4" t="s">
        <v>43</v>
      </c>
      <c r="G5" s="4" t="s">
        <v>28</v>
      </c>
      <c r="H5" s="4" t="s">
        <v>49</v>
      </c>
      <c r="I5" s="4" t="s">
        <v>50</v>
      </c>
      <c r="J5" s="4">
        <v>80</v>
      </c>
      <c r="K5" s="13">
        <v>8000</v>
      </c>
      <c r="L5" s="6">
        <v>2500</v>
      </c>
      <c r="M5" s="6">
        <v>320</v>
      </c>
      <c r="N5" s="6">
        <v>6</v>
      </c>
      <c r="O5" s="6">
        <v>60</v>
      </c>
      <c r="P5" s="4" t="s">
        <v>53</v>
      </c>
    </row>
    <row r="6" spans="1:20" ht="16.8" customHeight="1" x14ac:dyDescent="0.35">
      <c r="A6" s="1"/>
      <c r="B6" s="1"/>
      <c r="C6" s="1"/>
      <c r="E6" s="5">
        <v>46184</v>
      </c>
      <c r="F6" s="4" t="s">
        <v>43</v>
      </c>
      <c r="G6" s="4" t="s">
        <v>29</v>
      </c>
      <c r="H6" s="4" t="s">
        <v>49</v>
      </c>
      <c r="I6" s="4" t="s">
        <v>50</v>
      </c>
      <c r="J6" s="4">
        <v>80</v>
      </c>
      <c r="K6" s="13">
        <v>7000</v>
      </c>
      <c r="L6" s="6">
        <v>2000</v>
      </c>
      <c r="M6" s="6">
        <v>300</v>
      </c>
      <c r="N6" s="6">
        <v>6</v>
      </c>
      <c r="O6" s="6">
        <v>60</v>
      </c>
      <c r="P6" s="4" t="s">
        <v>53</v>
      </c>
    </row>
    <row r="7" spans="1:20" ht="16.8" customHeight="1" x14ac:dyDescent="0.35">
      <c r="A7" s="1"/>
      <c r="B7" s="1"/>
      <c r="C7" s="1"/>
      <c r="E7" s="5">
        <v>46185</v>
      </c>
      <c r="F7" s="4" t="s">
        <v>43</v>
      </c>
      <c r="G7" s="4" t="s">
        <v>30</v>
      </c>
      <c r="H7" s="4" t="s">
        <v>49</v>
      </c>
      <c r="I7" s="4" t="s">
        <v>50</v>
      </c>
      <c r="J7" s="4">
        <v>80</v>
      </c>
      <c r="K7" s="13">
        <v>7000</v>
      </c>
      <c r="L7" s="6">
        <v>1500</v>
      </c>
      <c r="M7" s="6">
        <v>300</v>
      </c>
      <c r="N7" s="6">
        <v>6</v>
      </c>
      <c r="O7" s="6">
        <v>70</v>
      </c>
      <c r="P7" s="4" t="s">
        <v>60</v>
      </c>
    </row>
    <row r="8" spans="1:20" ht="16.8" customHeight="1" x14ac:dyDescent="0.35">
      <c r="A8" s="1"/>
      <c r="B8" s="1"/>
      <c r="C8" s="1"/>
      <c r="E8" s="5">
        <v>46186</v>
      </c>
      <c r="F8" s="4" t="s">
        <v>43</v>
      </c>
      <c r="G8" s="4" t="s">
        <v>31</v>
      </c>
      <c r="H8" s="4" t="s">
        <v>49</v>
      </c>
      <c r="I8" s="4" t="s">
        <v>50</v>
      </c>
      <c r="J8" s="4">
        <v>80</v>
      </c>
      <c r="K8" s="13">
        <v>6000</v>
      </c>
      <c r="L8" s="6">
        <v>1000</v>
      </c>
      <c r="M8" s="6">
        <v>300</v>
      </c>
      <c r="N8" s="6">
        <v>6</v>
      </c>
      <c r="O8" s="6">
        <v>60</v>
      </c>
      <c r="P8" s="4" t="s">
        <v>60</v>
      </c>
    </row>
    <row r="9" spans="1:20" ht="16.8" customHeight="1" x14ac:dyDescent="0.35">
      <c r="A9" s="1"/>
      <c r="B9" s="1"/>
      <c r="C9" s="1"/>
      <c r="E9" s="5">
        <v>46187</v>
      </c>
      <c r="F9" s="4" t="s">
        <v>54</v>
      </c>
      <c r="G9" s="4" t="s">
        <v>28</v>
      </c>
      <c r="H9" s="4" t="s">
        <v>49</v>
      </c>
      <c r="I9" s="4" t="s">
        <v>50</v>
      </c>
      <c r="J9" s="4">
        <v>80</v>
      </c>
      <c r="K9" s="13">
        <v>10000</v>
      </c>
      <c r="L9" s="6">
        <v>3000</v>
      </c>
      <c r="M9" s="6">
        <v>400</v>
      </c>
      <c r="N9" s="6">
        <v>6</v>
      </c>
      <c r="O9" s="6">
        <v>50</v>
      </c>
      <c r="P9" s="4" t="s">
        <v>53</v>
      </c>
    </row>
    <row r="10" spans="1:20" ht="16.8" customHeight="1" x14ac:dyDescent="0.35">
      <c r="A10" s="1"/>
      <c r="B10" s="1"/>
      <c r="C10" s="1"/>
      <c r="E10" s="5">
        <v>46188</v>
      </c>
      <c r="F10" s="4" t="s">
        <v>54</v>
      </c>
      <c r="G10" s="4" t="s">
        <v>31</v>
      </c>
      <c r="H10" s="4" t="s">
        <v>49</v>
      </c>
      <c r="I10" s="4" t="s">
        <v>50</v>
      </c>
      <c r="J10" s="4">
        <v>80</v>
      </c>
      <c r="K10" s="13">
        <v>9000</v>
      </c>
      <c r="L10" s="6">
        <v>2900</v>
      </c>
      <c r="M10" s="6">
        <v>380</v>
      </c>
      <c r="N10" s="6">
        <v>6</v>
      </c>
      <c r="O10" s="6">
        <v>100</v>
      </c>
      <c r="P10" s="4" t="s">
        <v>53</v>
      </c>
    </row>
    <row r="11" spans="1:20" ht="16.8" customHeight="1" x14ac:dyDescent="0.35">
      <c r="A11" s="1"/>
      <c r="B11" s="1"/>
      <c r="C11" s="1"/>
      <c r="E11" s="5">
        <v>46189</v>
      </c>
      <c r="F11" s="4" t="s">
        <v>59</v>
      </c>
      <c r="G11" s="4" t="s">
        <v>30</v>
      </c>
      <c r="H11" s="4" t="s">
        <v>49</v>
      </c>
      <c r="I11" s="4" t="s">
        <v>50</v>
      </c>
      <c r="J11" s="4">
        <v>80</v>
      </c>
      <c r="K11" s="13">
        <v>10000</v>
      </c>
      <c r="L11" s="6">
        <v>3500</v>
      </c>
      <c r="M11" s="6">
        <v>400</v>
      </c>
      <c r="N11" s="6">
        <v>6</v>
      </c>
      <c r="O11" s="6">
        <v>50</v>
      </c>
      <c r="P11" s="4" t="s">
        <v>60</v>
      </c>
    </row>
    <row r="12" spans="1:20" ht="16.8" customHeight="1" x14ac:dyDescent="0.35">
      <c r="A12" s="1"/>
      <c r="B12" s="1"/>
      <c r="C12" s="1"/>
      <c r="E12" s="5">
        <v>46190</v>
      </c>
      <c r="F12" s="4" t="s">
        <v>59</v>
      </c>
      <c r="G12" s="4" t="s">
        <v>29</v>
      </c>
      <c r="H12" s="4" t="s">
        <v>49</v>
      </c>
      <c r="I12" s="4" t="s">
        <v>50</v>
      </c>
      <c r="J12" s="4">
        <v>80</v>
      </c>
      <c r="K12" s="13">
        <v>4000</v>
      </c>
      <c r="L12" s="6">
        <v>500</v>
      </c>
      <c r="M12" s="6">
        <v>300</v>
      </c>
      <c r="N12" s="6">
        <v>6</v>
      </c>
      <c r="O12" s="6">
        <v>50</v>
      </c>
      <c r="P12" s="4" t="s">
        <v>53</v>
      </c>
    </row>
    <row r="13" spans="1:20" ht="16.8" customHeight="1" x14ac:dyDescent="0.4">
      <c r="A13" s="1"/>
      <c r="B13" s="1"/>
      <c r="C13" s="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0" ht="16.8" customHeight="1" x14ac:dyDescent="0.4">
      <c r="A14" s="1"/>
      <c r="B14" s="1"/>
      <c r="C14" s="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0" ht="16.8" customHeight="1" x14ac:dyDescent="0.4">
      <c r="A15" s="1"/>
      <c r="B15" s="1"/>
      <c r="C15" s="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0" ht="16.8" customHeight="1" x14ac:dyDescent="0.4">
      <c r="A16" s="1"/>
      <c r="B16" s="1"/>
      <c r="C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6.8" customHeight="1" x14ac:dyDescent="0.4">
      <c r="A17" s="1"/>
      <c r="B17" s="1"/>
      <c r="C17" s="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6.8" customHeight="1" x14ac:dyDescent="0.3">
      <c r="A18" s="1"/>
      <c r="B18" s="1"/>
      <c r="C18" s="1"/>
    </row>
    <row r="19" spans="1:16" ht="16.8" customHeight="1" x14ac:dyDescent="0.3">
      <c r="A19" s="1"/>
      <c r="B19" s="1"/>
      <c r="C19" s="1"/>
    </row>
    <row r="20" spans="1:16" ht="16.8" customHeight="1" x14ac:dyDescent="0.3">
      <c r="A20" s="1"/>
      <c r="B20" s="1"/>
      <c r="C20" s="1"/>
    </row>
    <row r="21" spans="1:16" ht="16.8" customHeight="1" x14ac:dyDescent="0.3">
      <c r="A21" s="1"/>
      <c r="B21" s="1"/>
      <c r="C21" s="1"/>
    </row>
    <row r="22" spans="1:16" x14ac:dyDescent="0.3">
      <c r="A22" s="1"/>
      <c r="B22" s="1"/>
      <c r="C22" s="1"/>
    </row>
    <row r="23" spans="1:16" x14ac:dyDescent="0.3">
      <c r="A23" s="1"/>
      <c r="B23" s="1"/>
      <c r="C23" s="1"/>
    </row>
    <row r="24" spans="1:16" x14ac:dyDescent="0.3">
      <c r="A24" s="1"/>
      <c r="B24" s="1"/>
      <c r="C24" s="1"/>
    </row>
    <row r="25" spans="1:16" hidden="1" x14ac:dyDescent="0.3"/>
    <row r="26" spans="1:16" hidden="1" x14ac:dyDescent="0.3"/>
    <row r="27" spans="1:16" hidden="1" x14ac:dyDescent="0.3"/>
  </sheetData>
  <dataValidations count="1">
    <dataValidation type="list" allowBlank="1" showInputMessage="1" showErrorMessage="1" sqref="P4:P12" xr:uid="{E8C580C5-666C-4422-9006-DDEBDF1B1B0A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7242EA-9D33-4A86-B9E4-86D4AAC4E714}">
          <x14:formula1>
            <xm:f>Veículos!$G$4:$G$13</xm:f>
          </x14:formula1>
          <xm:sqref>F4:F12</xm:sqref>
        </x14:dataValidation>
        <x14:dataValidation type="list" allowBlank="1" showInputMessage="1" showErrorMessage="1" xr:uid="{6B9434E9-CE15-4A7B-A703-695026570B8B}">
          <x14:formula1>
            <xm:f>Cadastro!$F$4:$F$15</xm:f>
          </x14:formula1>
          <xm:sqref>G4:G12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7445-2E01-481F-A255-A7BCBEE27F76}">
  <dimension ref="A1:U27"/>
  <sheetViews>
    <sheetView showGridLines="0" zoomScale="115" zoomScaleNormal="115" workbookViewId="0"/>
  </sheetViews>
  <sheetFormatPr defaultColWidth="0" defaultRowHeight="14.4" customHeight="1" zeroHeight="1" x14ac:dyDescent="0.3"/>
  <cols>
    <col min="1" max="3" width="8.88671875" customWidth="1"/>
    <col min="4" max="4" width="2.77734375" customWidth="1"/>
    <col min="5" max="5" width="10.33203125" bestFit="1" customWidth="1"/>
    <col min="6" max="6" width="8.21875" bestFit="1" customWidth="1"/>
    <col min="7" max="13" width="11.6640625" customWidth="1"/>
    <col min="14" max="14" width="9.5546875" customWidth="1"/>
    <col min="15" max="15" width="12.88671875" bestFit="1" customWidth="1"/>
    <col min="16" max="16" width="13.88671875" bestFit="1" customWidth="1"/>
    <col min="17" max="17" width="11.77734375" customWidth="1"/>
    <col min="18" max="18" width="1.44140625" customWidth="1"/>
    <col min="19" max="19" width="11.77734375" hidden="1" customWidth="1"/>
    <col min="20" max="21" width="8.88671875" hidden="1" customWidth="1"/>
    <col min="22" max="16384" width="8.88671875" hidden="1"/>
  </cols>
  <sheetData>
    <row r="1" spans="1:21" ht="40.049999999999997" customHeight="1" x14ac:dyDescent="0.3">
      <c r="A1" s="1"/>
      <c r="B1" s="1"/>
      <c r="C1" s="1"/>
      <c r="D1" s="2" t="s">
        <v>64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/>
      <c r="B2" s="1"/>
      <c r="C2" s="1"/>
    </row>
    <row r="3" spans="1:21" ht="16.8" customHeight="1" x14ac:dyDescent="0.35">
      <c r="A3" s="1"/>
      <c r="B3" s="1"/>
      <c r="C3" s="1"/>
      <c r="E3" s="4" t="s">
        <v>0</v>
      </c>
      <c r="F3" s="4" t="s">
        <v>1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O3" s="4" t="s">
        <v>23</v>
      </c>
      <c r="P3" s="4" t="s">
        <v>27</v>
      </c>
      <c r="Q3" s="4" t="s">
        <v>24</v>
      </c>
    </row>
    <row r="4" spans="1:21" ht="16.8" customHeight="1" x14ac:dyDescent="0.35">
      <c r="A4" s="1"/>
      <c r="B4" s="1"/>
      <c r="C4" s="1"/>
      <c r="E4" s="5">
        <v>45086</v>
      </c>
      <c r="F4" s="4" t="s">
        <v>54</v>
      </c>
      <c r="G4" s="4" t="s">
        <v>56</v>
      </c>
      <c r="H4" s="4" t="s">
        <v>56</v>
      </c>
      <c r="I4" s="4" t="s">
        <v>56</v>
      </c>
      <c r="J4" s="4" t="s">
        <v>56</v>
      </c>
      <c r="K4" s="4" t="s">
        <v>56</v>
      </c>
      <c r="L4" s="4" t="s">
        <v>57</v>
      </c>
      <c r="M4" s="4" t="s">
        <v>56</v>
      </c>
      <c r="N4" s="4" t="s">
        <v>56</v>
      </c>
      <c r="O4" s="6">
        <v>5000</v>
      </c>
      <c r="P4" s="4" t="s">
        <v>35</v>
      </c>
      <c r="Q4" s="4" t="s">
        <v>58</v>
      </c>
    </row>
    <row r="5" spans="1:21" ht="16.8" customHeight="1" x14ac:dyDescent="0.35">
      <c r="A5" s="1"/>
      <c r="B5" s="1"/>
      <c r="C5" s="1"/>
      <c r="E5" s="5">
        <v>45088</v>
      </c>
      <c r="F5" s="4" t="s">
        <v>54</v>
      </c>
      <c r="G5" s="4" t="s">
        <v>56</v>
      </c>
      <c r="H5" s="4" t="s">
        <v>56</v>
      </c>
      <c r="I5" s="4" t="s">
        <v>56</v>
      </c>
      <c r="J5" s="4" t="s">
        <v>56</v>
      </c>
      <c r="K5" s="4" t="s">
        <v>56</v>
      </c>
      <c r="L5" s="4" t="s">
        <v>56</v>
      </c>
      <c r="M5" s="4" t="s">
        <v>56</v>
      </c>
      <c r="N5" s="4" t="s">
        <v>56</v>
      </c>
      <c r="O5" s="6">
        <v>200</v>
      </c>
      <c r="P5" s="4"/>
      <c r="Q5" s="4"/>
    </row>
    <row r="6" spans="1:21" ht="16.8" customHeight="1" x14ac:dyDescent="0.35">
      <c r="A6" s="1"/>
      <c r="B6" s="1"/>
      <c r="C6" s="1"/>
      <c r="E6" s="5">
        <v>44962</v>
      </c>
      <c r="F6" s="4" t="s">
        <v>54</v>
      </c>
      <c r="G6" s="4" t="s">
        <v>56</v>
      </c>
      <c r="H6" s="4" t="s">
        <v>56</v>
      </c>
      <c r="I6" s="4" t="s">
        <v>56</v>
      </c>
      <c r="J6" s="4" t="s">
        <v>56</v>
      </c>
      <c r="K6" s="4" t="s">
        <v>57</v>
      </c>
      <c r="L6" s="4" t="s">
        <v>56</v>
      </c>
      <c r="M6" s="4" t="s">
        <v>56</v>
      </c>
      <c r="N6" s="4" t="s">
        <v>56</v>
      </c>
      <c r="O6" s="6">
        <v>3000</v>
      </c>
      <c r="P6" s="4" t="s">
        <v>77</v>
      </c>
      <c r="Q6" s="4" t="s">
        <v>66</v>
      </c>
    </row>
    <row r="7" spans="1:21" ht="16.8" customHeight="1" x14ac:dyDescent="0.35">
      <c r="A7" s="1"/>
      <c r="B7" s="1"/>
      <c r="C7" s="1"/>
      <c r="E7" s="5">
        <v>44967</v>
      </c>
      <c r="F7" s="4" t="s">
        <v>54</v>
      </c>
      <c r="G7" s="4" t="s">
        <v>56</v>
      </c>
      <c r="H7" s="4" t="s">
        <v>56</v>
      </c>
      <c r="I7" s="4" t="s">
        <v>56</v>
      </c>
      <c r="J7" s="4" t="s">
        <v>56</v>
      </c>
      <c r="K7" s="4" t="s">
        <v>56</v>
      </c>
      <c r="L7" s="4" t="s">
        <v>56</v>
      </c>
      <c r="M7" s="4" t="s">
        <v>56</v>
      </c>
      <c r="N7" s="4" t="s">
        <v>56</v>
      </c>
      <c r="O7" s="6">
        <v>200</v>
      </c>
      <c r="P7" s="4"/>
      <c r="Q7" s="4"/>
    </row>
    <row r="8" spans="1:21" ht="16.8" customHeight="1" x14ac:dyDescent="0.35">
      <c r="A8" s="1"/>
      <c r="B8" s="1"/>
      <c r="C8" s="1"/>
      <c r="E8" s="5">
        <v>45097</v>
      </c>
      <c r="F8" s="4" t="s">
        <v>43</v>
      </c>
      <c r="G8" s="4" t="s">
        <v>56</v>
      </c>
      <c r="H8" s="4" t="s">
        <v>56</v>
      </c>
      <c r="I8" s="4" t="s">
        <v>57</v>
      </c>
      <c r="J8" s="4" t="s">
        <v>56</v>
      </c>
      <c r="K8" s="4" t="s">
        <v>56</v>
      </c>
      <c r="L8" s="4" t="s">
        <v>56</v>
      </c>
      <c r="M8" s="4" t="s">
        <v>56</v>
      </c>
      <c r="N8" s="4" t="s">
        <v>56</v>
      </c>
      <c r="O8" s="6">
        <v>10000</v>
      </c>
      <c r="P8" s="4" t="s">
        <v>38</v>
      </c>
      <c r="Q8" s="4" t="s">
        <v>67</v>
      </c>
    </row>
    <row r="9" spans="1:21" ht="16.8" customHeight="1" x14ac:dyDescent="0.35">
      <c r="A9" s="1"/>
      <c r="B9" s="1"/>
      <c r="C9" s="1"/>
      <c r="E9" s="5">
        <v>45099</v>
      </c>
      <c r="F9" s="4" t="s">
        <v>43</v>
      </c>
      <c r="G9" s="4" t="s">
        <v>56</v>
      </c>
      <c r="H9" s="4" t="s">
        <v>56</v>
      </c>
      <c r="I9" s="4" t="s">
        <v>56</v>
      </c>
      <c r="J9" s="4" t="s">
        <v>56</v>
      </c>
      <c r="K9" s="4" t="s">
        <v>56</v>
      </c>
      <c r="L9" s="4" t="s">
        <v>56</v>
      </c>
      <c r="M9" s="4" t="s">
        <v>56</v>
      </c>
      <c r="N9" s="4" t="s">
        <v>56</v>
      </c>
      <c r="O9" s="6">
        <v>200</v>
      </c>
      <c r="P9" s="4"/>
      <c r="Q9" s="4"/>
    </row>
    <row r="10" spans="1:21" ht="16.8" customHeight="1" x14ac:dyDescent="0.35">
      <c r="A10" s="1"/>
      <c r="B10" s="1"/>
      <c r="C10" s="1"/>
      <c r="E10" s="5">
        <v>45015</v>
      </c>
      <c r="F10" s="4" t="s">
        <v>59</v>
      </c>
      <c r="G10" s="4" t="s">
        <v>57</v>
      </c>
      <c r="H10" s="4" t="s">
        <v>56</v>
      </c>
      <c r="I10" s="4" t="s">
        <v>56</v>
      </c>
      <c r="J10" s="4" t="s">
        <v>56</v>
      </c>
      <c r="K10" s="4" t="s">
        <v>56</v>
      </c>
      <c r="L10" s="4" t="s">
        <v>56</v>
      </c>
      <c r="M10" s="4" t="s">
        <v>56</v>
      </c>
      <c r="N10" s="4" t="s">
        <v>56</v>
      </c>
      <c r="O10" s="6">
        <v>300</v>
      </c>
      <c r="P10" s="4" t="s">
        <v>39</v>
      </c>
      <c r="Q10" s="4" t="s">
        <v>68</v>
      </c>
    </row>
    <row r="11" spans="1:21" ht="16.8" customHeight="1" x14ac:dyDescent="0.35">
      <c r="A11" s="1"/>
      <c r="B11" s="1"/>
      <c r="C11" s="1"/>
      <c r="E11" s="5">
        <v>45050</v>
      </c>
      <c r="F11" s="4" t="s">
        <v>59</v>
      </c>
      <c r="G11" s="4" t="s">
        <v>56</v>
      </c>
      <c r="H11" s="4" t="s">
        <v>56</v>
      </c>
      <c r="I11" s="4" t="s">
        <v>56</v>
      </c>
      <c r="J11" s="4" t="s">
        <v>56</v>
      </c>
      <c r="K11" s="4" t="s">
        <v>56</v>
      </c>
      <c r="L11" s="4" t="s">
        <v>56</v>
      </c>
      <c r="M11" s="4" t="s">
        <v>56</v>
      </c>
      <c r="N11" s="4" t="s">
        <v>56</v>
      </c>
      <c r="O11" s="6">
        <v>100</v>
      </c>
      <c r="P11" s="4"/>
      <c r="Q11" s="4"/>
    </row>
    <row r="12" spans="1:21" ht="16.8" customHeight="1" x14ac:dyDescent="0.4">
      <c r="A12" s="1"/>
      <c r="B12" s="1"/>
      <c r="C12" s="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1" ht="16.8" customHeight="1" x14ac:dyDescent="0.4">
      <c r="A13" s="1"/>
      <c r="B13" s="1"/>
      <c r="C13" s="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1" ht="16.8" customHeight="1" x14ac:dyDescent="0.4">
      <c r="A14" s="1"/>
      <c r="B14" s="1"/>
      <c r="C14" s="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1" ht="16.8" customHeight="1" x14ac:dyDescent="0.4">
      <c r="A15" s="1"/>
      <c r="B15" s="1"/>
      <c r="C15" s="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1" ht="16.8" customHeight="1" x14ac:dyDescent="0.4">
      <c r="A16" s="1"/>
      <c r="B16" s="1"/>
      <c r="C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6.8" customHeight="1" x14ac:dyDescent="0.4">
      <c r="A17" s="1"/>
      <c r="B17" s="1"/>
      <c r="C17" s="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6.8" customHeight="1" x14ac:dyDescent="0.4">
      <c r="A18" s="1"/>
      <c r="B18" s="1"/>
      <c r="C18" s="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6.8" customHeight="1" x14ac:dyDescent="0.3">
      <c r="A19" s="1"/>
      <c r="B19" s="1"/>
      <c r="C19" s="1"/>
    </row>
    <row r="20" spans="1:17" x14ac:dyDescent="0.3">
      <c r="A20" s="1"/>
      <c r="B20" s="1"/>
      <c r="C20" s="1"/>
    </row>
    <row r="21" spans="1:17" x14ac:dyDescent="0.3">
      <c r="A21" s="1"/>
      <c r="B21" s="1"/>
      <c r="C21" s="1"/>
    </row>
    <row r="22" spans="1:17" x14ac:dyDescent="0.3">
      <c r="A22" s="1"/>
      <c r="B22" s="1"/>
      <c r="C22" s="1"/>
    </row>
    <row r="23" spans="1:17" x14ac:dyDescent="0.3">
      <c r="A23" s="1"/>
      <c r="B23" s="1"/>
      <c r="C23" s="1"/>
    </row>
    <row r="24" spans="1:17" x14ac:dyDescent="0.3">
      <c r="A24" s="1"/>
      <c r="B24" s="1"/>
      <c r="C24" s="1"/>
    </row>
    <row r="25" spans="1:17" hidden="1" x14ac:dyDescent="0.3"/>
    <row r="26" spans="1:17" hidden="1" x14ac:dyDescent="0.3"/>
    <row r="27" spans="1:17" hidden="1" x14ac:dyDescent="0.3"/>
  </sheetData>
  <dataValidations count="1">
    <dataValidation type="list" allowBlank="1" showInputMessage="1" showErrorMessage="1" sqref="G4:N11" xr:uid="{EDC00986-27C9-4C32-875C-42A0EC0EF85A}">
      <formula1>"Aprovado,Reprovado"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7D4188-C79D-4BA0-84B4-DCD1E878B4ED}">
          <x14:formula1>
            <xm:f>Veículos!$G$4:$G$13</xm:f>
          </x14:formula1>
          <xm:sqref>F4:F11</xm:sqref>
        </x14:dataValidation>
        <x14:dataValidation type="list" allowBlank="1" showInputMessage="1" showErrorMessage="1" xr:uid="{1E5867A2-A60E-403A-ABAD-3D10BD16D512}">
          <x14:formula1>
            <xm:f>Cadastro!$K$4:$K$16</xm:f>
          </x14:formula1>
          <xm:sqref>P4:P11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0E31-56F5-47E8-BC40-8717E4745AC2}">
  <dimension ref="A1:T33"/>
  <sheetViews>
    <sheetView showGridLines="0" tabSelected="1" zoomScale="115" zoomScaleNormal="115" workbookViewId="0"/>
  </sheetViews>
  <sheetFormatPr defaultColWidth="0" defaultRowHeight="14.4" customHeight="1" zeroHeight="1" x14ac:dyDescent="0.3"/>
  <cols>
    <col min="1" max="3" width="8.88671875" customWidth="1"/>
    <col min="4" max="4" width="2.77734375" customWidth="1"/>
    <col min="5" max="20" width="8.88671875" customWidth="1"/>
    <col min="21" max="16384" width="8.88671875" hidden="1"/>
  </cols>
  <sheetData>
    <row r="1" spans="1:20" ht="40.049999999999997" customHeight="1" x14ac:dyDescent="0.3">
      <c r="A1" s="1"/>
      <c r="B1" s="1"/>
      <c r="C1" s="1"/>
      <c r="D1" s="2" t="s">
        <v>65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</row>
    <row r="3" spans="1:20" ht="16.8" customHeight="1" x14ac:dyDescent="0.3">
      <c r="A3" s="1"/>
      <c r="B3" s="1"/>
      <c r="C3" s="1"/>
    </row>
    <row r="4" spans="1:20" ht="16.8" customHeight="1" x14ac:dyDescent="0.3">
      <c r="A4" s="1"/>
      <c r="B4" s="1"/>
      <c r="C4" s="1"/>
    </row>
    <row r="5" spans="1:20" ht="16.8" customHeight="1" x14ac:dyDescent="0.3">
      <c r="A5" s="1"/>
      <c r="B5" s="1"/>
      <c r="C5" s="1"/>
    </row>
    <row r="6" spans="1:20" ht="16.8" customHeight="1" x14ac:dyDescent="0.3">
      <c r="A6" s="1"/>
      <c r="B6" s="1"/>
      <c r="C6" s="1"/>
    </row>
    <row r="7" spans="1:20" ht="16.8" customHeight="1" x14ac:dyDescent="0.3">
      <c r="A7" s="1"/>
      <c r="B7" s="1"/>
      <c r="C7" s="1"/>
    </row>
    <row r="8" spans="1:20" ht="16.8" customHeight="1" x14ac:dyDescent="0.3">
      <c r="A8" s="1"/>
      <c r="B8" s="1"/>
      <c r="C8" s="1"/>
    </row>
    <row r="9" spans="1:20" ht="16.8" customHeight="1" x14ac:dyDescent="0.3">
      <c r="A9" s="1"/>
      <c r="B9" s="1"/>
      <c r="C9" s="1"/>
    </row>
    <row r="10" spans="1:20" ht="16.8" customHeight="1" x14ac:dyDescent="0.3">
      <c r="A10" s="1"/>
      <c r="B10" s="1"/>
      <c r="C10" s="1"/>
    </row>
    <row r="11" spans="1:20" ht="16.8" customHeight="1" x14ac:dyDescent="0.3">
      <c r="A11" s="1"/>
      <c r="B11" s="1"/>
      <c r="C11" s="1"/>
    </row>
    <row r="12" spans="1:20" ht="16.8" customHeight="1" x14ac:dyDescent="0.3">
      <c r="A12" s="1"/>
      <c r="B12" s="1"/>
      <c r="C12" s="1"/>
    </row>
    <row r="13" spans="1:20" ht="16.8" customHeight="1" x14ac:dyDescent="0.3">
      <c r="A13" s="1"/>
      <c r="B13" s="1"/>
      <c r="C13" s="1"/>
    </row>
    <row r="14" spans="1:20" ht="16.8" customHeight="1" x14ac:dyDescent="0.3">
      <c r="A14" s="1"/>
      <c r="B14" s="1"/>
      <c r="C14" s="1"/>
    </row>
    <row r="15" spans="1:20" ht="16.8" customHeight="1" x14ac:dyDescent="0.3">
      <c r="A15" s="1"/>
      <c r="B15" s="1"/>
      <c r="C15" s="1"/>
    </row>
    <row r="16" spans="1:20" ht="16.8" customHeight="1" x14ac:dyDescent="0.3">
      <c r="A16" s="1"/>
      <c r="B16" s="1"/>
      <c r="C16" s="1"/>
    </row>
    <row r="17" spans="1:3" ht="16.8" customHeight="1" x14ac:dyDescent="0.3">
      <c r="A17" s="1"/>
      <c r="B17" s="1"/>
      <c r="C17" s="1"/>
    </row>
    <row r="18" spans="1:3" ht="16.8" customHeight="1" x14ac:dyDescent="0.3">
      <c r="A18" s="1"/>
      <c r="B18" s="1"/>
      <c r="C18" s="1"/>
    </row>
    <row r="19" spans="1:3" ht="16.8" customHeight="1" x14ac:dyDescent="0.3">
      <c r="A19" s="1"/>
      <c r="B19" s="1"/>
      <c r="C19" s="1"/>
    </row>
    <row r="20" spans="1:3" ht="16.8" customHeight="1" x14ac:dyDescent="0.3">
      <c r="A20" s="1"/>
      <c r="B20" s="1"/>
      <c r="C20" s="1"/>
    </row>
    <row r="21" spans="1:3" ht="16.8" customHeight="1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hidden="1" x14ac:dyDescent="0.3"/>
    <row r="26" spans="1:3" hidden="1" x14ac:dyDescent="0.3"/>
    <row r="27" spans="1:3" hidden="1" x14ac:dyDescent="0.3"/>
    <row r="33" customFormat="1" ht="14.4" hidden="1" customHeight="1" x14ac:dyDescent="0.3"/>
  </sheetData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Análises</vt:lpstr>
      <vt:lpstr>Cadastro</vt:lpstr>
      <vt:lpstr>Veículos</vt:lpstr>
      <vt:lpstr>Rotas</vt:lpstr>
      <vt:lpstr>Manutenção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Alfredo Araujo</cp:lastModifiedBy>
  <cp:revision/>
  <dcterms:created xsi:type="dcterms:W3CDTF">2023-05-22T20:07:08Z</dcterms:created>
  <dcterms:modified xsi:type="dcterms:W3CDTF">2023-06-22T21:12:05Z</dcterms:modified>
  <cp:category/>
  <cp:contentStatus/>
</cp:coreProperties>
</file>