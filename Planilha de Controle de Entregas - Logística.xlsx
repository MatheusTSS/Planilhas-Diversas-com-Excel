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xl/charts/chartEx1.xml" ContentType="application/vnd.ms-office.chartex+xml"/>
  <Override PartName="/xl/charts/colors40.xml" ContentType="application/vnd.ms-office.chartcolorstyle+xml"/>
  <Override PartName="/xl/charts/style40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8_{B562AAF2-2BA0-44AA-8371-24ADA6C18177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Entregadores" sheetId="1" r:id="rId1"/>
    <sheet name="Clientes" sheetId="3" r:id="rId2"/>
    <sheet name="Entregas" sheetId="4" r:id="rId3"/>
    <sheet name="Rastreio" sheetId="5" r:id="rId4"/>
    <sheet name="Dashboard" sheetId="6" r:id="rId5"/>
    <sheet name="Cálculos" sheetId="7" state="hidden" r:id="rId6"/>
  </sheets>
  <definedNames>
    <definedName name="_xlchart.v5.0" hidden="1">Cálculos!$V$1</definedName>
    <definedName name="_xlchart.v5.1" hidden="1">Cálculos!$V$2:$V$18</definedName>
    <definedName name="_xlchart.v5.2" hidden="1">Cálculos!$W$1</definedName>
    <definedName name="_xlchart.v5.3" hidden="1">Cálculos!$W$2:$W$18</definedName>
    <definedName name="Lista_clientes" localSheetId="4">Tab_Clientes[Nome]</definedName>
    <definedName name="Lista_clientes">Tab_Clientes[Nome]</definedName>
    <definedName name="Lista_cod_rastreio" localSheetId="4">Tab_Entregas[Rastreio]</definedName>
    <definedName name="Lista_cod_rastreio">Tab_Entregas[Rastreio]</definedName>
    <definedName name="Lista_entregadores" localSheetId="4">Tab_entregadores[Nome]</definedName>
    <definedName name="Lista_entregadores">Tab_entregadores[Nome]</definedName>
    <definedName name="NativeTimeline_Data_Pedido">#N/A</definedName>
  </definedNames>
  <calcPr calcId="191028"/>
  <pivotCaches>
    <pivotCache cacheId="10069" r:id="rId7"/>
    <pivotCache cacheId="10070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4" l="1"/>
  <c r="A18" i="4" s="1"/>
  <c r="C18" i="4"/>
  <c r="H18" i="4"/>
  <c r="I18" i="4"/>
  <c r="M18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F8" i="1"/>
  <c r="W2" i="7" a="1"/>
  <c r="W2" i="7" s="1"/>
  <c r="V2" i="7" a="1"/>
  <c r="V2" i="7" s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Q2" i="7" l="1"/>
  <c r="F7" i="1"/>
  <c r="G2" i="7"/>
  <c r="B11" i="4"/>
  <c r="A11" i="4" s="1"/>
  <c r="B12" i="4"/>
  <c r="A12" i="4" s="1"/>
  <c r="B13" i="4"/>
  <c r="A13" i="4" s="1"/>
  <c r="B14" i="4"/>
  <c r="A14" i="4" s="1"/>
  <c r="B15" i="4"/>
  <c r="A15" i="4" s="1"/>
  <c r="B16" i="4"/>
  <c r="A16" i="4" s="1"/>
  <c r="B17" i="4"/>
  <c r="A17" i="4" s="1"/>
  <c r="M11" i="4"/>
  <c r="M12" i="4"/>
  <c r="M13" i="4"/>
  <c r="M14" i="4"/>
  <c r="M15" i="4"/>
  <c r="M16" i="4"/>
  <c r="M17" i="4"/>
  <c r="I11" i="4"/>
  <c r="I12" i="4"/>
  <c r="I13" i="4"/>
  <c r="I14" i="4"/>
  <c r="I15" i="4"/>
  <c r="I16" i="4"/>
  <c r="I17" i="4"/>
  <c r="B10" i="4"/>
  <c r="A10" i="4" s="1"/>
  <c r="M10" i="4"/>
  <c r="I10" i="4"/>
  <c r="B7" i="4"/>
  <c r="A7" i="4" s="1"/>
  <c r="B8" i="4"/>
  <c r="A8" i="4" s="1"/>
  <c r="B9" i="4"/>
  <c r="A9" i="4" s="1"/>
  <c r="M7" i="4"/>
  <c r="M8" i="4"/>
  <c r="M9" i="4"/>
  <c r="I7" i="4"/>
  <c r="I8" i="4"/>
  <c r="I9" i="4"/>
  <c r="I4" i="4"/>
  <c r="I5" i="4"/>
  <c r="I6" i="4"/>
  <c r="M4" i="4"/>
  <c r="M5" i="4"/>
  <c r="M6" i="4"/>
  <c r="B5" i="4"/>
  <c r="A5" i="4" s="1"/>
  <c r="B6" i="4"/>
  <c r="A6" i="4" s="1"/>
  <c r="B4" i="4"/>
  <c r="A4" i="4" s="1"/>
  <c r="F5" i="1"/>
  <c r="F6" i="1"/>
  <c r="F4" i="1"/>
  <c r="C11" i="5" l="1"/>
  <c r="C7" i="5"/>
  <c r="C5" i="5"/>
  <c r="I3" i="5"/>
  <c r="I5" i="5"/>
  <c r="I9" i="5" s="1"/>
  <c r="F5" i="5"/>
  <c r="F9" i="5" s="1"/>
  <c r="F3" i="5"/>
  <c r="C9" i="5"/>
  <c r="I11" i="5" l="1"/>
  <c r="F7" i="5"/>
  <c r="I7" i="5"/>
  <c r="F1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<sst xmlns="http://schemas.openxmlformats.org/spreadsheetml/2006/main" count="194" uniqueCount="109">
  <si>
    <t xml:space="preserve">  Cadastro de Entregadores</t>
  </si>
  <si>
    <t>Nome</t>
  </si>
  <si>
    <t>Telefone</t>
  </si>
  <si>
    <t>E-mail</t>
  </si>
  <si>
    <t>CNH</t>
  </si>
  <si>
    <t>DT Venc CNH</t>
  </si>
  <si>
    <t>Status CNH</t>
  </si>
  <si>
    <t>Entregador A</t>
  </si>
  <si>
    <t>entregador1@gmail.com</t>
  </si>
  <si>
    <t>Entregador B</t>
  </si>
  <si>
    <t>entregador2@hotmail.com</t>
  </si>
  <si>
    <t>Entragador C</t>
  </si>
  <si>
    <t>entregador3@gmail.com</t>
  </si>
  <si>
    <t>Entregador D</t>
  </si>
  <si>
    <t>Entregador E</t>
  </si>
  <si>
    <t xml:space="preserve">  Cadastro de Clientes</t>
  </si>
  <si>
    <t>CPF</t>
  </si>
  <si>
    <t>Endereço</t>
  </si>
  <si>
    <t>Bairro</t>
  </si>
  <si>
    <t>Cidade</t>
  </si>
  <si>
    <t>Estado</t>
  </si>
  <si>
    <t>Cliente A</t>
  </si>
  <si>
    <t>clientea@gmail.com</t>
  </si>
  <si>
    <t>Avenida Atlântica, 20</t>
  </si>
  <si>
    <t>Copacabana</t>
  </si>
  <si>
    <t>Rio de Janeiro</t>
  </si>
  <si>
    <t>PE</t>
  </si>
  <si>
    <t>Cliente B</t>
  </si>
  <si>
    <t>clienteb@hotmail.com</t>
  </si>
  <si>
    <t>Rua Dom Walmor, 90</t>
  </si>
  <si>
    <t>Centro</t>
  </si>
  <si>
    <t>Nova Iguaçu</t>
  </si>
  <si>
    <t>SC</t>
  </si>
  <si>
    <t>Cliente C</t>
  </si>
  <si>
    <t>clientec@gmail.com</t>
  </si>
  <si>
    <t>Rua Alta, 88</t>
  </si>
  <si>
    <t>Bras</t>
  </si>
  <si>
    <t>São Paulo</t>
  </si>
  <si>
    <t>SP</t>
  </si>
  <si>
    <t>Cliente D</t>
  </si>
  <si>
    <t>RJ</t>
  </si>
  <si>
    <t>Cliente E</t>
  </si>
  <si>
    <t>GO</t>
  </si>
  <si>
    <t xml:space="preserve">  Registro de Entregas</t>
  </si>
  <si>
    <t>Rastreio</t>
  </si>
  <si>
    <t>Número</t>
  </si>
  <si>
    <t>UF</t>
  </si>
  <si>
    <t>Data Pedido</t>
  </si>
  <si>
    <t>Cliente</t>
  </si>
  <si>
    <t>Prazo (dias)</t>
  </si>
  <si>
    <t>Descrição</t>
  </si>
  <si>
    <t>Previsão de entrega</t>
  </si>
  <si>
    <t>Dias corridos do prazo</t>
  </si>
  <si>
    <t>Etapa Pedido</t>
  </si>
  <si>
    <t>Entregador</t>
  </si>
  <si>
    <t>Data de Entrega</t>
  </si>
  <si>
    <t>Status</t>
  </si>
  <si>
    <t>Produto Higiene</t>
  </si>
  <si>
    <t>2 - Pagamento Aprovado</t>
  </si>
  <si>
    <t>Churrasqueira</t>
  </si>
  <si>
    <t>5 - Pedido em Rota de Entrega</t>
  </si>
  <si>
    <t>Ração Gatos</t>
  </si>
  <si>
    <t>6 - Pedido Entregue</t>
  </si>
  <si>
    <t>Cadeiras</t>
  </si>
  <si>
    <t>Mesas</t>
  </si>
  <si>
    <t>Arroz</t>
  </si>
  <si>
    <t>Notebook</t>
  </si>
  <si>
    <t>4 - Pedido Enviado</t>
  </si>
  <si>
    <t>Geladeira</t>
  </si>
  <si>
    <t xml:space="preserve">  Rastreio de Pedidos</t>
  </si>
  <si>
    <t xml:space="preserve">  Código Rastreio</t>
  </si>
  <si>
    <t>9-18/04/2022-Cliente E</t>
  </si>
  <si>
    <t xml:space="preserve">  Etapa</t>
  </si>
  <si>
    <t xml:space="preserve">  Descrição</t>
  </si>
  <si>
    <t xml:space="preserve">  Data Pedido</t>
  </si>
  <si>
    <t xml:space="preserve">  Cliente</t>
  </si>
  <si>
    <t xml:space="preserve">  Entregador</t>
  </si>
  <si>
    <t xml:space="preserve">  Previsão Entrega</t>
  </si>
  <si>
    <t xml:space="preserve">  E-mail</t>
  </si>
  <si>
    <t xml:space="preserve">  Telefone</t>
  </si>
  <si>
    <t xml:space="preserve">  Dias Corridos Prazo</t>
  </si>
  <si>
    <t xml:space="preserve">  Estado</t>
  </si>
  <si>
    <t xml:space="preserve">  CNH</t>
  </si>
  <si>
    <t xml:space="preserve">  Data Entrega</t>
  </si>
  <si>
    <t xml:space="preserve">  Cidade</t>
  </si>
  <si>
    <t xml:space="preserve">  Prazo CNH</t>
  </si>
  <si>
    <t>Painel de Entregas</t>
  </si>
  <si>
    <t>Rótulos de Linha</t>
  </si>
  <si>
    <t>Contagem de Rastreio</t>
  </si>
  <si>
    <t>Contagem de Status</t>
  </si>
  <si>
    <t>Contagem de Cliente</t>
  </si>
  <si>
    <t>Contagem de Entregador</t>
  </si>
  <si>
    <t>Contagem de Status CNH</t>
  </si>
  <si>
    <t>Contagem de UF</t>
  </si>
  <si>
    <t>2021</t>
  </si>
  <si>
    <t>No prazo</t>
  </si>
  <si>
    <t>No Prazo</t>
  </si>
  <si>
    <t>ago</t>
  </si>
  <si>
    <t>Atrasado</t>
  </si>
  <si>
    <t>Vencido</t>
  </si>
  <si>
    <t>set</t>
  </si>
  <si>
    <t>Total Geral</t>
  </si>
  <si>
    <t>nov</t>
  </si>
  <si>
    <t>dez</t>
  </si>
  <si>
    <t>2022</t>
  </si>
  <si>
    <t>jan</t>
  </si>
  <si>
    <t>fev</t>
  </si>
  <si>
    <t>mar</t>
  </si>
  <si>
    <t>abr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</si>
</sst>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(00\)\ 00000\-0000"/>
    <numFmt numFmtId="165" formatCode="000&quot;.&quot;000&quot;.&quot;000&quot;-&quot;0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8" tint="0.79998168889431442"/>
      <name val="Montserrat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1"/>
    <xf numFmtId="14" fontId="0" fillId="0" borderId="0" xfId="0" applyNumberFormat="1"/>
    <xf numFmtId="164" fontId="0" fillId="0" borderId="0" xfId="0" applyNumberFormat="1"/>
    <xf numFmtId="0" fontId="3" fillId="0" borderId="0" xfId="1" applyFont="1"/>
    <xf numFmtId="0" fontId="0" fillId="0" borderId="0" xfId="0" applyAlignment="1">
      <alignment wrapText="1"/>
    </xf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/>
    <xf numFmtId="165" fontId="0" fillId="0" borderId="0" xfId="0" applyNumberFormat="1"/>
    <xf numFmtId="0" fontId="0" fillId="4" borderId="0" xfId="0" applyFill="1"/>
    <xf numFmtId="0" fontId="0" fillId="5" borderId="0" xfId="0" applyFill="1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3" fillId="2" borderId="0" xfId="0" applyFont="1" applyFill="1"/>
    <xf numFmtId="0" fontId="3" fillId="2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  <xf numFmtId="9" fontId="0" fillId="5" borderId="0" xfId="2" applyFont="1" applyFill="1"/>
    <xf numFmtId="0" fontId="0" fillId="7" borderId="0" xfId="0" applyFill="1"/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</cellXfs>
  <cellStyles count="3">
    <cellStyle name="Hiperlink" xfId="1" builtinId="8"/>
    <cellStyle name="Normal" xfId="0" builtinId="0"/>
    <cellStyle name="Porcentagem" xfId="2" builtinId="5"/>
  </cellStyles>
  <dxfs count="22">
    <dxf>
      <numFmt numFmtId="0" formatCode="General"/>
    </dxf>
    <dxf>
      <numFmt numFmtId="166" formatCode="dd/mm/yyyy"/>
    </dxf>
    <dxf>
      <numFmt numFmtId="1" formatCode="0"/>
      <fill>
        <patternFill patternType="solid">
          <fgColor indexed="64"/>
          <bgColor theme="6" tint="0.79998168889431442"/>
        </patternFill>
      </fill>
    </dxf>
    <dxf>
      <numFmt numFmtId="166" formatCode="dd/mm/yyyy"/>
      <fill>
        <patternFill patternType="solid">
          <fgColor indexed="64"/>
          <bgColor theme="6" tint="0.79998168889431442"/>
        </patternFill>
      </fill>
    </dxf>
    <dxf>
      <numFmt numFmtId="166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6" formatCode="dd/mm/yyyy"/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alignment horizontal="general" vertical="bottom" textRotation="0" wrapText="1" indent="0" justifyLastLine="0" shrinkToFit="0" readingOrder="0"/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1D1D"/>
        </patternFill>
      </fill>
    </dxf>
    <dxf>
      <numFmt numFmtId="166" formatCode="dd/mm/yy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000&quot;.&quot;000&quot;.&quot;000&quot;-&quot;00"/>
    </dxf>
    <dxf>
      <numFmt numFmtId="166" formatCode="dd/mm/yyyy"/>
    </dxf>
    <dxf>
      <numFmt numFmtId="164" formatCode="\(00\)\ 00000\-0000"/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rgb="FFFF1D1D"/>
        </patternFill>
      </fill>
    </dxf>
    <dxf>
      <font>
        <b/>
        <sz val="11"/>
        <color theme="1"/>
      </font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Linha do Tempo 1" pivot="0" table="0" count="7" xr9:uid="{05957CFC-2940-4E21-AF59-3E9D5C355709}">
      <tableStyleElement type="wholeTable" dxfId="21"/>
      <tableStyleElement type="headerRow" dxfId="20"/>
    </tableStyle>
  </tableStyles>
  <colors>
    <mruColors>
      <color rgb="FFFF1D1D"/>
      <color rgb="FFFF00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5">
        <dxf>
          <fill>
            <patternFill patternType="solid">
              <fgColor theme="0" tint="-0.14996795556505021"/>
              <bgColor theme="8" tint="0.79998168889431442"/>
            </patternFill>
          </fill>
        </dxf>
        <dxf>
          <fill>
            <patternFill patternType="solid">
              <fgColor theme="0"/>
              <bgColor theme="8" tint="0.39994506668294322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[Controle de Entregas - Logística.xlsx]Cálculos!Tabela dinâmica1</c:name>
    <c:fmtId val="0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Cálculos!$B$1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Cálculos!$A$2:$A$12</c:f>
              <c:multiLvlStrCache>
                <c:ptCount val="8"/>
                <c:lvl>
                  <c:pt idx="0">
                    <c:v>ago</c:v>
                  </c:pt>
                  <c:pt idx="1">
                    <c:v>set</c:v>
                  </c:pt>
                  <c:pt idx="2">
                    <c:v>nov</c:v>
                  </c:pt>
                  <c:pt idx="3">
                    <c:v>dez</c:v>
                  </c:pt>
                  <c:pt idx="4">
                    <c:v>jan</c:v>
                  </c:pt>
                  <c:pt idx="5">
                    <c:v>fev</c:v>
                  </c:pt>
                  <c:pt idx="6">
                    <c:v>mar</c:v>
                  </c:pt>
                  <c:pt idx="7">
                    <c:v>abr</c:v>
                  </c:pt>
                </c:lvl>
                <c:lvl>
                  <c:pt idx="0">
                    <c:v>2021</c:v>
                  </c:pt>
                  <c:pt idx="4">
                    <c:v>2022</c:v>
                  </c:pt>
                </c:lvl>
              </c:multiLvlStrCache>
            </c:multiLvlStrRef>
          </c:cat>
          <c:val>
            <c:numRef>
              <c:f>Cálculos!$B$2:$B$12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517-4884-B0CD-BF06B93D5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9077568"/>
        <c:axId val="1979077152"/>
      </c:lineChart>
      <c:catAx>
        <c:axId val="197907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77152"/>
        <c:crosses val="autoZero"/>
        <c:auto val="1"/>
        <c:lblAlgn val="ctr"/>
        <c:lblOffset val="100"/>
        <c:noMultiLvlLbl val="0"/>
      </c:catAx>
      <c:valAx>
        <c:axId val="19790771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7756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[Controle de Entregas - Logística.xlsx]Cálculos!Tabela dinâmica3</c:name>
    <c:fmtId val="4"/>
  </c:pivotSource>
  <c:chart>
    <c:autoTitleDeleted val="1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shade val="76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5">
              <a:tint val="77000"/>
            </a:schemeClr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0960709040071296"/>
          <c:y val="0.11429634728494759"/>
          <c:w val="0.64023732470334416"/>
          <c:h val="0.84363894811656004"/>
        </c:manualLayout>
      </c:layout>
      <c:doughnutChart>
        <c:varyColors val="1"/>
        <c:ser>
          <c:idx val="0"/>
          <c:order val="0"/>
          <c:tx>
            <c:strRef>
              <c:f>Cálculos!$E$1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6B-4887-9BB0-D5CD3EE5AD9A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6B-4887-9BB0-D5CD3EE5AD9A}"/>
              </c:ext>
            </c:extLst>
          </c:dPt>
          <c:cat>
            <c:strRef>
              <c:f>Cálculos!$D$2:$D$4</c:f>
              <c:strCache>
                <c:ptCount val="2"/>
                <c:pt idx="0">
                  <c:v>No prazo</c:v>
                </c:pt>
                <c:pt idx="1">
                  <c:v>Atrasado</c:v>
                </c:pt>
              </c:strCache>
            </c:strRef>
          </c:cat>
          <c:val>
            <c:numRef>
              <c:f>Cálculos!$E$2:$E$4</c:f>
              <c:numCache>
                <c:formatCode>General</c:formatCode>
                <c:ptCount val="2"/>
                <c:pt idx="0">
                  <c:v>4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6B-4887-9BB0-D5CD3EE5A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[Controle de Entregas - Logística.xlsx]Cálculos!Tabela dinâmica6</c:name>
    <c:fmtId val="5"/>
  </c:pivotSource>
  <c:chart>
    <c:autoTitleDeleted val="1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shade val="76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5">
              <a:tint val="77000"/>
            </a:schemeClr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247746205637343"/>
          <c:y val="0.12663753523249011"/>
          <c:w val="0.54410304690174593"/>
          <c:h val="0.84522079027140096"/>
        </c:manualLayout>
      </c:layout>
      <c:doughnutChart>
        <c:varyColors val="1"/>
        <c:ser>
          <c:idx val="0"/>
          <c:order val="0"/>
          <c:tx>
            <c:strRef>
              <c:f>Cálculos!$P$1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19-4D5D-BC25-B5B04E13F1D8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19-4D5D-BC25-B5B04E13F1D8}"/>
              </c:ext>
            </c:extLst>
          </c:dPt>
          <c:cat>
            <c:strRef>
              <c:f>Cálculos!$O$2:$O$4</c:f>
              <c:strCache>
                <c:ptCount val="2"/>
                <c:pt idx="0">
                  <c:v>No Prazo</c:v>
                </c:pt>
                <c:pt idx="1">
                  <c:v>Vencido</c:v>
                </c:pt>
              </c:strCache>
            </c:strRef>
          </c:cat>
          <c:val>
            <c:numRef>
              <c:f>Cálculos!$P$2:$P$4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19-4D5D-BC25-B5B04E13F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[Controle de Entregas - Logística.xlsx]Cálculos!Tabela dinâmica5</c:name>
    <c:fmtId val="4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067684276895557"/>
          <c:y val="0.1870748299319728"/>
          <c:w val="0.64587933840672151"/>
          <c:h val="0.8129251700680272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Cálculos!$L$2:$L$7</c:f>
              <c:strCache>
                <c:ptCount val="5"/>
                <c:pt idx="0">
                  <c:v>Entregador E</c:v>
                </c:pt>
                <c:pt idx="1">
                  <c:v>Entragador C</c:v>
                </c:pt>
                <c:pt idx="2">
                  <c:v>Entregador B</c:v>
                </c:pt>
                <c:pt idx="3">
                  <c:v>Entregador D</c:v>
                </c:pt>
                <c:pt idx="4">
                  <c:v>Entregador A</c:v>
                </c:pt>
              </c:strCache>
            </c:strRef>
          </c:cat>
          <c:val>
            <c:numRef>
              <c:f>Cálculos!$M$2:$M$7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4-4E5E-A2FC-4932EE4A2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160480"/>
        <c:axId val="124160896"/>
      </c:barChart>
      <c:catAx>
        <c:axId val="12416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60896"/>
        <c:crosses val="autoZero"/>
        <c:auto val="1"/>
        <c:lblAlgn val="ctr"/>
        <c:lblOffset val="100"/>
        <c:noMultiLvlLbl val="0"/>
      </c:catAx>
      <c:valAx>
        <c:axId val="124160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416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[Controle de Entregas - Logística.xlsx]Cálculos!Tabela dinâmica4</c:name>
    <c:fmtId val="6"/>
  </c:pivotSource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580708661417316"/>
          <c:y val="8.2956259426847659E-2"/>
          <c:w val="0.64326698745990085"/>
          <c:h val="0.834087481146304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Cálculos!$I$2:$I$7</c:f>
              <c:strCache>
                <c:ptCount val="5"/>
                <c:pt idx="0">
                  <c:v>Cliente E</c:v>
                </c:pt>
                <c:pt idx="1">
                  <c:v>Cliente D</c:v>
                </c:pt>
                <c:pt idx="2">
                  <c:v>Cliente C</c:v>
                </c:pt>
                <c:pt idx="3">
                  <c:v>Cliente A</c:v>
                </c:pt>
                <c:pt idx="4">
                  <c:v>Cliente B</c:v>
                </c:pt>
              </c:strCache>
            </c:strRef>
          </c:cat>
          <c:val>
            <c:numRef>
              <c:f>Cálculos!$J$2:$J$7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5-49F8-A593-75FE5C8A2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316512"/>
        <c:axId val="175314848"/>
      </c:barChart>
      <c:catAx>
        <c:axId val="175316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14848"/>
        <c:crosses val="autoZero"/>
        <c:auto val="1"/>
        <c:lblAlgn val="ctr"/>
        <c:lblOffset val="100"/>
        <c:noMultiLvlLbl val="0"/>
      </c:catAx>
      <c:valAx>
        <c:axId val="175314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531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C8E6472C-4C64-4BE5-A9E3-732C59DEED5B}">
          <cx:tx>
            <cx:txData>
              <cx:f/>
              <cx:v>Entregas</cx:v>
            </cx:txData>
          </cx:tx>
          <cx:dataId val="0"/>
          <cx:layoutPr>
            <cx:geography cultureLanguage="pt-BR" cultureRegion="BR" attribution="Da plataforma Bing">
              <cx:geoCache provider="{E9337A44-BEBE-4D9F-B70C-5C5E7DAFC167}">
                <cx:binary>1Hzbctw6ku2vOPx86E3cgY7ujhiQVaWrJcvybb8wZFnmHSTBG8i/mTifMj92kvL27hKlrgr3zESc
Lj84JFZVIjOBzJUrE/rrvfvLffFwZ1+5sjDtX+7d314nXVf/5bff2vvkobxr35Tpva3a6nv35r4q
f6u+f0/vH377Zu/G1MS/YR/R3+6TO9s9uNd//yt8W/xQXVT3d11amXf9g51uHtq+6NoDz1589Oru
W5maMG07m9536G+v3wevXz2YLu2m26l++NvrJ89fv/pt/S3PJL4qYFFd/w0+62HxhiklqY/gv8fX
61dFZeKfz6l8wyiS2GfEf3yRn8Lf3pXwBe/vTHf3Krjr7mxq7n4+e2lhj8u6+/bNPrQt6PT4//PP
P1Hmh673VW+6xXwxWPJvr7W9a9Pi9au0rYIfT4JqUUXfPOr+21PL//2vq1+ANVa/2XPO2nTHHj3z
zc3ZIRP8qm/wG+VL6fsIv+wb8gYpLojCP1zjr3xzk1avvj28OrszD6mtDi3sZd+sP7/yzaLrv5Nv
3l8fMsGv+oa8YYQorhb/LC+0Ojf8DcdScun/4Tr5U/gf5+a//m/16vquL/4Fv7zf++zKJ4uO/04+
ud78NMtLIeMXfSLf+JIhroT64ZK1Twh9oxDlBN70wynip/AfPrl+sOau/Nrf/ws+2f/syieLjv9O
Ptld/TTL/4BPEJwD5RPhM/7DKXh1TtQbzCSREOd++GR1TnZV+l//2R5a0Mux6+fnVr5YdPv/2Rf/
ZG376f7JW3413SP/DXl8+Ss/MPLmRxYR//DTD6k/zsbPrPvPV/KyH35+7smq/7eT+D9P8H9ioRAQ
y+YRRO3l+MNPf4KD1UcPYbEf1jr99rfXyPdhZ/+JzZbv+OODP+z7H8VdXN39udH/8ZGHu7YDnEbY
G8Q4Zq9fjQ8/fiHfYCKEgO+Fs8Wpz1+/MpXtEnizfCMRAdBAMfOplFhCcmqr/vEZ7ACqFCeKIYR8
SZT8E61eV8UUV+ZPK/zx8yvTl9dVaroW1KCvX9U/3rYskVNFFOwnXyimKCWU+/D8/u4GEPHy7v9T
RiqXTeQKXX/uv493SZBu5Gl6Wnwat+Is/Zxvs92eWV6QCBofFLg83xPYJV7Z5QUIHEhzPqS21m3O
T6zKcfBLgjj2IXAxnwHCAmjMESSLfUG9n/TEzWmpC95ujRC/q667pjY+OSyGLCdvXyMQBE7kFPvK
B6SNxEqQjT2SR3FcaTEyllx7fj9MG97a+ab0ptboHCfZfFHLEhUBaV3nhbYfzSlDQ8Z3PTKEBjJN
5+a0zdoqv+oNm0hA5iHbIdaRIC3mchv7wxRU84SDJHUf4ENMZ5zN5LZPE6oVr6aw6JE9yecmu2FR
B/VInrgdA/9v2yTtWNC3qQidoe4mGlu+ravKnaim4X2YeX5rt2hS5mQwRXuqbE8+Ija0Ie2Uu8lE
giLddDghoVKCfSxrga7KkaUhpVV0EXdzWtwOzsXnsnX8M2oiM2oiXf3e91h9PtiWntpqyDWSLks2
WKp4OLMRnb8z34oiHHwRnxSu6WttySTPcIqGu7gvVRtG2agGbQopVJj5zpz4bZV88/LSfbQCTV+V
Rd6OYVnWtzwr8UU0DkOnh8GrCt2mk7yN4oY9iDzPLpveJ6FL0/JezUNSBy0yxRcp6ihok5ac+kbY
E9qVue4bXyZaWtmHjvT8bZYYvLG8l7VmeR1T3UYjLvVYYHeCZ3AV5qg9c1nTnPap7MIyi5PzxDB+
S/yxuylqUe5M7oGec+uCPMHjl0j4Wa69GE2hrE1xEVdNdNU4Zd/GtTOlTvPKTbr08tnXXo/k5TC7
8cFDNokDkk612diZthecFsMli+0UzlD3vs9Irt57YFOrS0XqL3XXt9vckLHQjaRK12XkJzrqmviM
0bo+7YnfncAO5VRPtqLbdCZpOFXeEAg6oe2QAnTWGe6Hy4FF1dsKczVuLZ5UiKehOnFS8GDK3RQM
U90HVpZNo3GSi6ssbsiZTJr0cztX9C1VY/Glm6YObVM89d7GDE0jdE1tuy3S/BYPqLmKEiTfczSx
RCeYFCedGdE1K8v5AkIX+iSjIhk0Zen0Ph8d9XRbN+TUlVO0bSkfQpWn6kubD44HTT3P7+ukNh8o
LdigZSvK82KS6F3VDYMJeMZQGdgsy89YObqPzPFsM8xZhHVjWnNWlibtNkk18fMsgV16XgrSapZy
9XHoTDlr4pH0o0DRGFLXmC9VnaldV2fR2VSR+Z7Smjy4yOZN0GKchO08ID1LW23oOHxvo6r44hsc
b9pZsZDHua9jSAJ3ZWYapSOK0utYVOM74TkTwyYjVVhWqUr1KBnrTxhz5sYMkTrPPMdOHEaT00hV
eay5E16qEzsWlxAZo+uWJdRezX5dx5rUOf+ei4iFqB7rXMvGZu/iKItGPXget1rJjH51aYku+rIF
MqRI6o81UU4ECJXIC7KUpHdd72QYj86eegUdP9uBDJ8Gv4nus3aUWxnz5HM5zcl1jpwROil5WWpr
6/p8angyaTyk3RzEznVfWG9ceu68AeJWKeErdZxPGNY1lLELSu51gxaJNPOZNINrz3CCo0m7mHqf
ch7HbagiB65ti76qw0WOHxo5y/OsopIFXi26txk2cE4EUDofsEXO10XOmq9pwsdv0hdVKElGbzJ/
zN+rvmoHnRdVnJ1GHqoufK+cP/nVLN/mLeqGIO6NnDSlUUkDyhtxLWhaoID7LjPa+Ql936ImuyBJ
N/UnWT6xMfQa7m1mxlioaHRHqzl0ufJuAWXwsGNT+TYuTXc2JxAa3TT6NuCspbfFbJSEqv1PGPJC
vl0l+CU7EUEFE8BBUMnF8nwv3/bVwKZomAsdT9WsIY38bl1/+i/IYAtEUlwKn64yYBPVKBkbkCGS
KOgSrMV8BDUs37AHU35osScBsNi+Fk1R9a6lIMEzX4YMXxBndE+7wC+NjhN5BDq8aLM9aeqptAmz
ASeLtI5ciOYT4p8O22tZ7QFt2Ap0DVUjBxbD93MXFZrG8acqGTZoHj7Zods5EjM9GXtE6BGlGGDK
fRNCPuczsYuTRJ9qj/dXTZse2QgrcLd2E1ug0t5mS5IsngofZDCSbWl9wRobdpk94p5jUshTKV1U
2iqZQIrftZcIwlmuyjCv3h120jEpq4Mjx6ltohSkzOjaklOSXObF5WER6NhGWIHhRNHZ972p0MkF
PvM3zbs0DqpcO50GXjAEY0gC+TVxWn6Nw+KIFY/tB6g/9n0VVX41lAPIpvW8yXOpE0P0Yf2OmXA5
1XvbAdORZHUBJqRi0GPyvu6Jzv3siBS0rPTQcVoFhzqnfjlT0GQM5C5tdXeKdBOoWFPdh0Wr+dYG
2VkcHgsTjyXEIcGrOJHVxDo7g37tWRdm1wMgiLfJ5/FtE8Rn9DabtHxv3kZS0zlkQPwdCutHTLuu
22zhdTheRKftwL+NfRyfKgRoSpex6o/slJdlCYB7CvGlZn3qxsH1wisEyELIaTsOoWNGcwJUzS9r
xKHu5VL5GNHVWSARrkTVUjBm8m5wF1WeBRE9psqLW2VPyHrTN3PSc0IgQA1Z99ZNdtdl1QkitD1F
LTqSel+0G4fciyXU9wyt4lTceQOwnSCsnIfzNNvVgB+QoEe2/4sxZE/KKk6NvMBt7MBuKC71kMyD
9nupY2w1Tc3GV+mlzafdYV/hJVk82/l7QlfOMsNYUa8Hof6ukkF9Ol+obbGNnc624wdv04T1XXyb
yQAFkbZBGibjqXdxeA3omHlXvkwgPHeNhTUM2+R6/K7uqxtykoX4Wr7P3sKxn27trj85IvSY4quz
0FhVFXZYrK0ydZr0nV8HrpPFhtU102hu6svRYL6puR+fAmfgBR3201Ppu+HIUl5SXyopGJOUcMlX
Lmj8PlNJCVEv681GRmXQG7MrbHpke710YvbFrKwsUOI3nABf44+9JlC/D0Wsm+hD4fwjYebFcLov
amVbgwbkogo06kIo9orrVuebIg/QeRmozfRZsW11nW1UmFuNbw779ZgxVymEjDJiVQOi09qCWES2
tR2Ybk2xOSzopay7r+MqZVCZor7HYM5K8t8nD18jWRwJpEdEiBW6FKgQ45Av6VCJT+k4niYu+/Co
xR+86/WPk/6DR7yv6smmcfJH4/vPH/9+VT+Y9519eOgu7+rHnuw/nj39Eb7oj29eaNMnPzyjcP8J
Sfuj9/5PHj5hcJ8Q1T/7DgvXSfCep57xtz957n8wvsv7/yBvMTQ5lkYh8IkIwjgX8OgPGleQN0oC
J0iZEogLaCj+SeMyYOQJIkpIBBQFkIMQ/3+yuIS8EUDgwjcpQThZGN6fyj2xPswg/PHzPov79Iwy
jpSAJEN8JtiSaIASfoKzbCe7VEBq0z2wLp+kQzacG8fOetXQjZzb7MgmXp0WsiRoAf+wQEAl4EdG
dA/X9RhXJjNTokcg9LBWuOWVnoCGDeIhz8M9P7yg3LL4vVQDlLTi0CRfsigFno+slDMeMWgsgQac
a5Ne9lEsPirXJZc876ZrS71sV+QtvZbUqiMBaaXmo2QBzXvg5gnUzhK8vg9f/1sYC60SyyJMEExg
f0G7DaStAkNtJyttDFh/apQBbfsxRSRMiyGRl3XlkvQtH+YPsSoSTXn7UeVdBqVcNIw0zAvPyNPD
Vl8FEaYwgv1EBMeY+whW9lT3ZvbG3GGV68GU9VXjk/Fdn0/qWIWwEkM5wkiB0orD/kWIrEJ+bXku
VO8NGnkcnWZAMF2otBK3v6TMIoVITCWw874A+y6O3tuvLO+9PK6SUVOvjsKpE+3lAB2Qm8NS0GKT
JzsVUeBvwIk+RAPlr3FyO5EW9WUx6mYa+wvJY9FpWUVt2Myc3eCoMrop5LAhrd9spavQRsjevE1N
LYNZptURFy6221sOuBCaOgxWBIwMB81XeSCPkZrqBvgr02QesOIZkUIPvLJfgJY13xjvDD8dPVVO
+rAhnp0bBHGBQXQAVhksQhan75k7HqMRGi/RoIe4bHTRl0MwDJRvGunGzWFRTyMfB88KBPMADCIv
hEFBVhA756VkDQdaOxVeFLa2Upqgpj7p4LUzfVafH5b3gmoC+tzQ5QHz+kgtp3hfNdayvMzjEcjM
af5dRZE4zZTXhn40HHPfY3mw5z8KR2Jpu0OvD6ZU+LPwI72+swZqCD3OrN1iZafNOCd8l1A/3paA
/TZ8iKPrpnKtzmTPQ6+HqTBtxj466StrAsVbsz2sP1o2zf6iwNZQzADahIEzAaFhFaZS2fuzasDg
HsHvoEvxxVYdCmuRXFTevMnaTkC1E20GlJ4AEXiEL1mnAhAODSZJYUTE54yKtbcb3CUlxEI9c4K2
UZTfuqS898rktI0MME05pIC5kEdK7Weh+VGsXDqlFDa2kKvw8b+I+dfm/xGWCWcSE+UryMNP998c
51kxTbIN/Gmow45K6KQxv9jJmvbbvhqTu2loAbfO0AajHKoSN/vvDm+BxcN7O+BZWFk5oVZ+1WdF
D2EFlhkM1eiFZe4lm6nDxfmErA0T4OPfeTFpb6Dp6B0RvzqBi3juUwwjJ4T61F/DgTqzUk1F1Ae0
S9MgI9ielGIQb6HFbn8tji2iBJIwF8pgDIxIusT7vcPeOL+FaYuh1F2V2TO/XvoZzFig0Uca1UfA
xiqSPQqDcw5IbsGE0Eh+KqybmixNh0dhMVCAxBLu667Gfh1m0OG4KTklyRGZL2QIkAZRlDEM8JSt
ArVf0IpVESq1zFt1aW16lmWjuU8HkV825UR/zxWz8RGrro/To6b7UhdL7Js1pQTCXQ0tVFtybfum
0ACI4rOOxGFrsm3pQR+rEkFUG7eV1E0nyI/5yeFd/GwbAc8ERBMHRI+ZIGu2SaRDM8SclXquehRA
dyHf9o3Lg8j1xX9T1ArjRGQcOfEoDCLUKQ56cOZDRpE6SerIHuFEnjkUtBIcICR4FPYtXZmW4dTL
ba/AtHRGaUC9KP0CHEGOgBYcaqlVW/EkmGH+rj3m1eUwPAkLi2iBfQ5JHyoeuYpM3UxEHk+81Fhl
81VvafNxKozYDqUhYVcO/nlKk2nrW5Z9msVUXc7+pcPg+si3u1/3rYAIKTiYEWqrlRWExdYhlBrt
+X7OQtwwOutoSm0Xyqmt5iOn6PlWwghCnY8JVkurbRUQu9hAJKypAXZkJGFtULJhVVLvzIjNEUi3
gssMoDLUWwRDEUr5ggueHp0ek9wSH3BkUXXJFZSs9MZmFn84bL8XdpGAOUsGxwPKEqxWcc/UBAnp
QWcNV3n9MRUuCgEqWo3KPrslKe9LXU6NPCL1uRkByzHQC6oBmDdcRqX2w0LaqIajIQYzqoEEY4nI
6Vg0MHrRDdH2sIIvioJyHqZfgDt7rNn3RTVlm1COa2gdVjjeknSsN01Hk5AXRXZE1AqyLB4TGElB
2VLGwh55qlVNS5aZvHGBtI4/zFWRh90soK1YmpxA8CH9qed8FAxRc6zB8yxRL6IBtABIAx2hjnsq
OomYLJwnHEwQMemlG4SdF0Gj2ajqW8Fr4l/GtReZcGLV4E6myXlJWCZ11RwJDc9NgKF0J/APQ/sZ
/nu6jiHOcNpO0CpPJU0+FnXsTuZMFCeDB+MArTdmtzV32Wk5TtXNYT8/l4xgQA6msjDQ6lAKrbYU
OKfqS5FXuuNWBKLBZgunx9sQWTwU0o9uYPDG21TJfAw5vHCCJIXxPAzoQSggSp6q3FRTiSpOXWBt
VWyTzrus5rdp5ZfBaEcKPYdiOpJkXnA2SISIT5SC4LvGqFnOcpXnDZweqboNSwsatDyyO9KXY2Da
3t+0rsxOfMtlUDCvOGLp5wqDjyUUmUhhIAvQKjBFMptcVxqjqd+gz11Si48jKutu001W1NoV0rOB
LaOR/fLmQk/0Xm3yRqaFV4xwlPsIqV4rmOZJw4Z2Q6WLpnW/u6RnHIZnovrTKAgyvyz+id54lfWG
mrdRmkCqibpo4tDcLPyTeRqLbQqjOTs/9bFGHc5DT7DsCM37fHNjDNdLBAwcCqix8eKSPRjV27Qb
nQ/x0hORgNSeAV0TlDPGv6Nocr/jRJnvqUTNuwYzoD4On6zH7sJeuociCPxNYW9L8DcsYeVwGPbK
Y6uE0YiPLQw0et4WgkmtUyMddKHG0wmjLDC0ycOmXqawDMOBcIqcFnTIt4mos23UVCrwYvpRAuy7
nkUU63qsaq0Qy856Pw5jU4nNhKcy7FJXhLznI2grrmRbAproP0DQfu/V1tfcQOtpxtHWE/H3yTT5
LhFlF8DYXRyKfNjMlfxYpvzL7HuzRrlBMF8GPZw5hUnEmmaV9g3rtXT516yv32fV+BWOdR+OMJ6D
bVmFpC0vC0c+DC4JRsEvy6y7Tkn50BYKJuzyFoYGcYDZ3Oo089/1ib3OW/apq4cstFAGHbb9c8fD
lsdwpQs6spAx163fQnW8iTAMlkJ53utkHKDRnQ1nREQXCeTVsKrKT10OqP6w2OdHHNIY3IZhAqoT
AU5/ut/KplYeVabSTI6G6xKmwb7OqgUvZ5VXfy2jOnnfjXkTHZH7XF1gBpcALhGVGK+rMINnanri
lTChNWGqAULEb6MmSd8TObuN7DiHCQ1dRfGxJudzhRfBEoZafAVYaI1opZ8ZOdQJjHiR3tlNUSTQ
Xu/jemp0RuEZbP2qVHpop/oYgn1eIy1UMBRkQDJBXQZo7Kmxk6LrSA73HPU4+STIqy763QxJcpON
MPcLG7qF2b1PbQatOFsqhXXt1zRELv41aAs3oCC8MMgmChYDPNsqxhTZ6BxM+MGM9gxjG7jtzacW
BsYvYHClP8KsveRm8LJicF2RQfmy2l42HYC4fUQJc4UvbJVfxxGOrinGoy5huvJ3VdTsStZNdXJ4
X78oWEKLATj3hVVZnu/F0bFubMpryCBZ1Pabwcp0Nw5CaTa2+blpYrZt/JTdwLxh/eGw5HXDE/AH
Bh9TAhU/AT5tuQKwL1pQPxWQPeYgEaIlWkw8jTSPvQxrQuPcBTB7adsAeD2oiMfE8iIYYb4wCxKc
T7NmEZ7SwKclyc+LCst4l3h9/hkG3+vpwhONBxMUDT9Gcz+vQTAQUHDfRyLwiHpUas9eTZLDNKtx
EAdUwcymTvzenUa0HfmXw+Z5jtKhhIPOGl44Ck7XJboSgP4rbCsdj/UMM6gj6fLhs0kA6eGwl74t
jwhcE/iP/hACIQp1LCHQa3rqDxhidKAcngI3I7ljMM4WjIlLT01TAkdge7RTHk/OYbDDC/05968y
IJtvh4HTyyFjfHNY/5cMDUgOboFAwgPWcxUDirkWvmmrStu097vrKiNFGwxo8v3dYUHrSYpFb2gb
wtwLgYalBM2f6s1tCoVeAZEu62fchH3MIZokQz+NYVawGcYcYAa3i/12CsY6jj45GOq6HJIexlpz
o/obYOFcphs6TWd9X5bvogj6Dr8Wip6tcXVMh4gUXVoYQAe2lveodr3mtKs+1N30i+3NH6IUVA1Q
ti0M49ocdTRz6JbMwQh9np0HdOaX1HgAo+Nqqo9ktxc2OXS+oLEJN7QBVPF12BtyjrIWgLNRSX+a
27HfRGqM3pV9Gf8ae76oBaAN7ooLKBKgYY2fejmfx87C8LeBOCPMd9zROjAqTz5mVWWCAjETpMi3
J8xkLDy8wV7YyQxCHJC2MHrlQ/NkJZmwhA8SUHI7DSnbTnlaxFtEoA11xJoL6txDpdD5BtYL+vPQ
doIJsmdMfUWFZ0pbdDqCyxDhZMr+NKWzyiCYSw5oFM8noz+1VxGZo8vaeMORan/lTQ5tL+hOLCwY
gcQJtyKfKloiM9vRj78kjcmGLZQA8gZBuCrP2poPR7i+dbQCngSoVB/SJWRoIEjXvQBmaaJUbiYt
vDw0OHlgfX4WtfZDk6KzNOsv0yb7NNSN074YNjlKDHDmtjkSPJ6pDKsAbICAfhbQI1kPuUX5DIN7
UQOr6CcZeEC2behUexuh8HzEuqttBAoDXQubd5k6oBKqzKfWrVM/5/0MY5UO2htXqu7K89n14y8r
xDFwqL6EUwIAex0MFaMwsUzdqCHqU00rZ2/rFAosI4k7knCW/L63XR89CIZDksGZgIbxKt/MQAU7
Aalc1x4vm+tGsQntxpl09HLy4iy+RylULUcC6XLYngmF+4UcuhqA59fQEjr+TMRRAcOpaVJsABD5
nyuYitxJlsD4E4tauFUy8CNGXTeu1vUizLs8gToGFx6flkork5XyAhLF46TzJIEyZWoMup4Hf/ye
xHOENB/zjAYE0b7cpTAwdaxmX1kdlgJgC2gSH5AXGH5Nkpedq+HGmmcANKfRDm5doksgVbNdUwhz
PrNiOD0c/VYnZJEHuwlgDBRs0M1Vi0P2AJOSEYA4AnkcNTjbOrgs5zmgBMZMsCMH5AXNQBLQAdAE
gGul65HAwcXC93Io0Tox2AcPWrNXSZsmV3BhyA+nuYlvD2u2DkGLajByhDjcH8UAHtacLSDnpvUK
VWnXDNOkq7b/ShncE/RtX0PLAX7DgBfnCiWaAylxmwkLNxEHlgUxjEoeW82yh/Z29uNqYAQAxnXg
ZCFgG58aWsL08JATC4VxD+PsJOq+V6TILrPa+w6N+uLedl31PfJ5Cpkc+Sdw2zIOCvmrM8aPy5AI
2uQwJwDU37poGqaGGUArFUybtPJLAXciI91B2yAJPICXRSg9on6R0f4hEzIPMOcM8sF65s/Grs5c
lJMg8qfUu02dUMk5XGFM6q9jTNX0cNjxqzz7KA5yLYy7AQ+wgImnllYWrqr2/YiDtE/ac1ImZmeS
uA46V8mQ9YhvVYJbGDkR7buy6PD1YfEvRBMoRimEaJhsAaXXhZPXw5XPrgMKhBKCHqSQlSbxXOp6
YD6Qn0jtYCQ6Dx0mTaJFBX2YfMZic3gVL5w2WASgc6hNfMgZ6+gdeQsG6aFG57k86VpuS40qyE0B
chXVJI3HIwPlL0kENp/BCAqELmDTn5p9xoViZgCJHC597gh1OEwjEV95Ud9fMdGqIxq+ELngxphc
bo7BkB/HyzbYi1wDgUuOXQXxBJc80dUA4zQqE/yTD7/+/bAxV1lp2VELxcKhebmkwjWMSHLD64wQ
gIgW9ffZaNFtxzuyi+IeLn3R6pvq6bFrWOvrN4tQMCY07+CKroApzlXAMDmukEeAxMxc350nmU/e
koLabZHDrUqV5m5nE9cH8zx9FkmHAmVVt2MKEIjPJhg14ZbCHeGZBFNT8LORTt/TJJbnqar5L4I9
WCpMUgEZBeCHSGhZr/JnF/MWAa6qoDFuJy+MK0gEl9DbrlEw901LtfWaeggNF63d5fVcAAvLXTsE
SZSmva6zpjAbarj/9bDfnm8RSgU0y6BLCGng2R0HEzlXxD20WJg/kqtuLtGnvuusTgR3R+L7ElSe
hncKg0fAZkEqBdC7LpVUn2GadbAbwQBTGyZFhlyAp65vjyTsFSMEtl7GaJcRNrpcZnwWTNXQ130n
wNaypTDs3lAYGiyHWmfAKp9W/tRvS0joVxbA6BGc9NycT0WvAivwPDaRjQfTtA1OtwUkj3BOJhNm
wqtPftVzywAX5F4BiAEQymrzYzL2cIMX8nRfFXiTuy57h6CPs8U2OtYEfX64gTT2l048sHsc09Xm
HWPMIQviWhtSCRbMzvlfRiC5P/jSwcSLi6sKCGWbJP6RevAFgLJIhopsKX2htbyK0aTiuKyBHNXd
YHZK4ndAl/MAtfxc8HzHXHOm8vnr3DQR9OzLXYMnaB4N4WFLr3m+ZUM9WcXKqzOz5WjiudaVneKz
tG/mUydMvcudTQP4oxFqw4q23akmt6eQ8upd4Uf5zUIYZnpWMQmgiKh1xPxUz0PdwnwpywPuPLo9
vNDnfoI4CMcZGDc4y3DT62m8B+gIh6wjDXDacBvf1DO9Lp2Dy8lx7M4b0QKMK6Ct/KtZhvs/CmcY
rCRL9fFUatTWMKgJvFEYp6UfcGSjW0USfJp20fztsIJrXh08ARoyyNkwQSgxemTC9jIaH70K6FHX
6JrXcBMLuplw6dGDP4xwDbe7mxtmUfe1qlGWBWVUwshDVZj8PO9g9AtKI7jxc2R/PsdRMLsP227h
1gFCrA8GNbnJ4Dp4o1t0G8NfRTgHQK3CFl56bI2Du/EI7s0ncwPXyHF9xO7rAdNHY+xLX4LRnjGa
uu+heMeNjiL8kTUuu2hr3P4/yr6suU6c6/oXqYpRoFuGM/v4eIqHG1WcOCAhIRAzv/5bp9/vouN0
xfVU3/TgDgbE1t5r0r09Aj+e9rXKfHRNaVR5Nm/Q6yRscgYEWCw6RV/11SzxH2sPgtoQDRsU2oA9
vd9/mWHVq4AGFo9C9LPMIb7D9yASthQ9eFStu0zOPfRaf18Qf5Z60DtQSACEAdkBPvX3q8YDK4lo
gzbpV+4cY7DVe27PMXHLM9bscDt3A021H31lA/qzzqPdQPeBO0ZpAv73+3W9aBERrUEPTnZUm36o
nH0BHxd83x2+sK/qz39dDbsmHCwIDAKU/OlqgTM0E5orkcW1d/DNpLJ1piRtxmlKoRkrEkmK4dh7
JLowEk2nwE6glPrQz2MS8zwyjb0bhLumfdxEX9Sc6zbz+64O9ANf5FVNDeD+aq359yLkXRnNjRUy
U9aqKIU3c7lZ5oqcvKEv9o0Y+68cbddq++mKEYMjgILDRqFjn7raxiuts6xEZoXsnVOwsGg3QvH9
xUP/c2XhcWM9o3/AkwcW+Pt9EWbDJhxUm3FGximtWhYNXoJAETH86NtIbL2x5shzkUUYNG96df5X
aBlggwOhLJQ/YE+BMX+Gy4aRw0pCC5kx3br0yJaqs5ksYukfoSgv6P9G4P1zOTScQDpC3C7u/NMN
DxMI/CIQsKN05NYLZzjKuWfTqV2cox499svApQxeapDvf/+IP73QKy4IxA5vE3wRLEn/+MP/Vcfk
KtZZxM2S1JF2vTxgzdrkSFVY2BcI+qfv6Ap0ABMEzoEFi1v9DGJB+NjPc8hF6iEHqMsjOtU8jWQ7
ioTXi/gKOPr0aVzzJ/2rXgpySgefx+eGN2pM7Ym5g5oz7tzXQip3Bx9o/OCZsXznzqi+KIb/db0r
EIkWO3Rg3/jULElgMhXwFdQEpC7dCsdVuR6KNhV+VIJmtF/12Z/fG8otvnk0n/QqZgAg+fuKGUzV
jxBEQ189LeGmtpzvmeHjy99Xx+ceEGMrnh6AAiBjEKfCZvX7Zbyimytd+jqBG8UNk6ALzIbgm0xq
t/OSoI3WvIssSbQmXb1byOrUL7OEDC4MTL8Zxw5Kkr//Sp/WEd4nrDko/xDpXhPY6KfaEJWhw43v
zwkUHlK8u0swNB8KHbF68CDXpR9/v9wfTwDrFoQIADHoD/F5xJ8+zVXVqjFDCLk8aFQ4HUELQ6ZR
99OTaaGeqNf7dZEASuRyV9JwU5VOm1A6//ri17hupv8qvFjPoHGRRYyqC8Ak+owWRq3HBhcCXCQe
jarKo1GhoW0gkPzelBEkSpOWjkrDGoKpBCyW+r4qUz52qqNfvYBPfdc/uoZ/KFWsCox5nwNYqoYw
5BxB4dog0ilrSgLhEsgFkfRitWcLU9QBoBPNyzXwt+hK/0eH1P9fkjEQaGwOHqS2vy9JUPsa99aj
qQQ9s5uMu2YDhQqxiqn4omb9x0f2T/m/zrQIvP0M1TUwN4yDBuuHDwM518icOzdAEb9Y0Z+6t39u
CGMDQGCsaR803+831E+uRBQbaMxqtQ/9TGhSVlA7trbmeTvZH2E78Ie/L6c/qhU+a3BO4L/gysFs
9+kj6oUj2hbi2gQtNnnWILAfBXQ8HdSVtn8LRuA+m79f8TPs+H93GSE3+HpBgB3XX+lfG41bGt0s
A5bNEDP7OjpjkHnIeECCHfRB3NZuMqOm7EsC9wJb5idZia8gwP96nVcpMf7CwoG8/fdfATCZFxRi
ntO2L0iVCDF5D25AvhQg/dfTvdrO8Hz/2YQ+NUmumuLKLI5OGLP4Olyo9POlbFgJZIJAORyuEdxe
LLyUswNRJ21FL/OKcS8vySJ/XrtucoiiPviGMHDMNYsHdAhql68CPT5rF/55J9g7sAbgsgYt+Km2
eQs0Em7BsUmipj85jmp2FEKRbeTqGEAYOlxBOaqenft9HU4B0nXoUsATqWjKp4DCwTSixY3hqfOn
/n9EUP/vt0NHBHERCHAoLH5/Xcox1JAFIk3Ye4FuCFOUe9XPDJvPsqjs7+vzuuJ/q69QaQGvQl4o
MHGoMz+9swLE4RgCV0CaGyTh2dKoWW8Lzfvgtu3RIOWYgFZzCaN2QTgOKLjwf1Tj4nZBZwPCxYaL
Ee6P1ampXwHrgZDEb0O6WY3UPUC0UMGu2DcqNU4h82IQetM5X7E/f5R0iGQAG4MQh1oOE9WnktqP
Y2RLKBkSmIz9XMuq2lTw+OyqpYL2uZ30lpCySUafIhRFD+v578/+zwKIy6P9hAX/H0bkUwE0U63c
dsGd9001n7zeLPmMonhX+WZJfcIczE6zk//9on8WAzT24HBxYTS/7PM909LA5hJCGjlFAz1CLFXc
N/1Idn+/yp+lAEoDPFjgQcjexhr7fQ13ZDXu1JRe6nI5b5rFiKwLe51CLjtnYzSoL7Du/7orWLIQ
Jxkg6Rammt+vZ+N6QkYj2kLYd8YyhRGOhnkk4Xzf//3GPoffXpcrkDn4ozF/wi30uTOcjJStAJWU
kHLqk9Un7s7j/XscCkQpcDfOXTW/WeEdeTBtmy6AFa+Sdqf8WaRliFBG9BFffMP/tY6of42GgLQa
A/Hnh43f2DTrVdwb6SiNyznYyJojDCDxkUJonvoBVF8KRMNEXzQKf3SJgPBDmNahWwH6EkKb8vtz
l7PuOwDf2MPJ6KTa8+1NGJTDRcl2zTpNXlB+i5x1i5vUEFJnA2DUbImlt6nbeHr9+7v59ByAzcE/
gZ0d2CAQakywv/8yQSvgFvHiOjE+MIvVn1+gBLynMQxBLB5yeG749u9X/HPZ4fbBQF1TPvAGPrvG
an81BKGQqF0N199LbDY0C1Uluy/e8D/C/N/L9O8Xut76v7qImjVGyBpfLQIxdyttgxRqs1Ple4+l
j9ybSI0yHZl0ktIpd91ofvJ4eAGMfaNqxGyo2H1vOosTTrxvDVtr6PQkQR+w9CkbnDD3DY/A17El
xWYJCnZ13Wwh1EuXZbzV5VcpTH8WB3BRGAphkMXHCsbk95uRIXilqfHctOzLakpLMonbkXjLSbso
DLrwlh9/f03XOv756V0jHDDLwH7/R6epgPOT9kr9chvafVGF/Ql22gC5b3S5+/ul/mtFeFiI8BBB
ufZHdKZXg03uFjS1anDkQ7lWKif1NH2BXiCE4h9N0b9u6vNAGH3avJi1fVNCO583fXQrushrB+AK
MoDI3MwD0OMNfLojJqf4KvGYUtKZES5P2C4WzLGjLRBxkSKR2MRbwCs+0kwtB63J66g1Y8KqKdYv
y1B0FQyuEHMEEeARUwqNTGLsjz1Mix2xfToZ68wXD0bc8MlRoYvwpXqZRwp3Sd+g5UtjXnSGZfBP
rbJMh9U3TZmG3QCdcoqdwzR+Otq6bq9LLqj9cjtMlnuXmgbdmMA5PplNA78Ib5NljSsE+haTM2/K
oJhzIhq5l9RGxwUIHUg+SuShblf/0IY9PdVOwdLAU2EyIKb2fqnHcYCxLXC7tBpWJ581W+8R+SpS
bltxQm9TZ2qa2Nla1m7W2nPSxoVALW5rGGBRZA9Wtf59PDndSYlhyIEX1tsCv0QqG8P37ejoTUnn
MeUrsrUQsmYPQeMtu1lHZN8B1cgFOv4T6Yt507u+TTzJwmOIWQvkHZnoB/HCamOgj7tFrdWHYvAp
nlhncncu3dcOiqMb4CPx6zxP1c0azfMGXR15WoFhTakBJTJlThc192Qk4nFuI/dN1r3KHJCOOUEe
DKRp3VAkyg5OtsbOdKOLqM/jLtQP4LjEO1EGrfAs5scSilmkO0N2NUWTSmWoZAJc1XkSfLUZdYla
UwQg13CnaWO+RwD3D0uBxrk7XuMGENU8jX2fLEs1fkeadF/CocPXLat7H3GAWAFje7DLkFRmiN/8
ZUAIR+S0SKzE6J1ZS8x29WN7U3TM2Y9uUN1q3bTIXYZTiAP6PUE47CaN6PvzAMwJ3HHv6l+kceQ3
WhZFhWt0/VEq0iwZJcCjKInnzCG0TxSgvsSvlD4pFZk0lFAfhu7svSFipbmhfLAbVvHoYVHw/zWl
626LOXjWMxcJ6N8S5J+txzzSJWAHQ8Jdua7B6+oWQx5HtZfEnFnYh6MyG+ZZ3xC7uikQMiwy347l
hoRFnHsTWINUAm7cmj686/ua5Y7saWbqst9NQLYOjCEVrwzztemKLunidSpy8H8zpFCISn6u657+
0LOEuH91eA4HVZTx1p0wWiEKHeLNtt3o2evRW7rlCHKw7dx7voyICpqrixtIaOKHX9qtnqDgQ5K1
+LEqtmtNt5ODOtayeWpU+wHS/CdQTaQjwx69Y6uGzq+s4RFfZjCwHnQyxG8fSdg/mQjpCmJepxwl
1R5o63s3Qd8kpENurHVVgS+efSMl+CknrvYmmG4k8R+csplyv4nafGYg5pfWCS6S61ulxJw2nc7h
v7vaejsMybias4YZCeyLGcQTFd4LIHjEZyLgIiU9XFse7/aVGk/ok8DCVesbat0TFIFlUrjQlS0R
hf+hrPx9iya7dxBI4nn1HaPyY9X1rYhFsRGGG7TeGvQGot2SoNTlzrC1ACLtYEnC/lmH9dYj1N9g
UO/SpRbviBto0hJaeKQKlzKDgBhJTKDk5KJhFOUkeOYuNB/zWB3WVfZJNYTTqRnHC1b0Ted7uKD1
ipRjEMv8uV/xubqHfkVe/Droez/U95AbbmM876QFJIqigRgPEupgwyda5CNdvURMEriYXixirgcK
WsBXHu4YTBVy3JHAWcV1lSiHOBBquj+rElq3rkWntLj1ZiiqclM0gbhwGpeZjDv0BjUP0aoq2Wyh
A4AbU/vcZq5f27O7+PNFyxZ2F9i618s8Fuy2JdUokziuZBbFHwspj0yz29nltxhwX1BGsLYBtCQI
zbifingXR0CuVDvdwKFy6SDPTlsE8Wwhs6Rgc8MtokqSQQa7hQe551S3BfMPTcgzzrucDfDOldDZ
FhPF6AYXU0KFgWW5nn6U7QrtTVdtASg8ykK+DnQ+rEEJtCGsTtESbyW8cJgn15Nd5yffdjeN19wh
H8VkwsEfp+A5bWcSp1QrJMD7x7ZDCj/soAI5aflMittRim1V8I+55WUClk6izzVFAuVszsblom0f
ZUDpRWpItZk0xoLR0zYdqbMm5ejltSE37Rq+6Em/qRUfU6cSa9o705i0B62dksrHUsIUrHoEGFqz
q2WQKOVkbgTvVlPOT4izwdssWploun4UDTVZIFk+Ns7H6PB0jHuTwo6RcoQ3FcNyCkft3bQlfXCF
ejF0nTJD+ZjMTNx3GsmIUys2iGHe1bbaodon3C13YdMdyOIjHJZhLSPJAEK1IPoe1eK0EB+jKRqD
ZHXKH0655l404nbh7Vsdf2tmMuTVUJ1ZE9wMQyeHJFw6d9k6oZAMjkzCZQKdVnPrdMz8UIMofhaU
6aM3Wi8jpfds7QqOZMWhBDV+AlwqP/VdnOOMhsPaVDCAi3l8U8Fi82oqO4iSl40I8XXZamuxQMBX
3fcAtnfD2tisIFO3sQMFp0XscNXnIBrSLY4t6hn+qTi7+KHKNVu/57e68vUB/UtKTbmVrMob6WEZ
Q5pHPRijg2VnKg1rABwY2H3Ueeq9DWvGGzuJNKrt/RKMcDe5Z+XoS1TTFq1YoTK0hDZlPS/SofM7
/IA/YhIa28yR5ZYgOQUhGyxjnXdBmn6OxDRxLgsm8dPi0AEJGdqjy9pdZ8SB1yavRIGPR5oUpE6X
ylGOySLUAaqPU1DFQVJFkUg8JZ4dDSNYCxGSgOwDvWgyKvsCdnozRWzDqEJ/o8IfRd2lAvtktPrP
tehQ51esHOfVdZaNmsonn0BawKTMZWgBwK+bgdcpoq7felm1SdGSu4VSqJvoIzMedoLrqSbC2xVe
se0Mz5egyoJh2gQkONcVx1Lm7U+Xl+9FCAWBM0fYHyzSXhs3gUkUjMIcX/gQPbv+eu4lbMChCDZ+
3+EQB/ceKQzAZATG6eIpMsur9hBxF6QR6S6xYqcV818aus1exs2ppTgwYwnZG854uJuCMh/6ICtw
HEG1+sksvV3s9blq5BGt1wKwDZlmwikeZgenLQgRIrDUex4X4LVG8ddiqS+ru+5JEabcm+5wWsal
LOYw8ac5LSfvTcr4HCrzxroYJmG/HpOiFpfQ8g9kuKHxWry32JXAYEuWCUsudWwT37HXmFck2bXu
d/zHbQ1ZRz2/hsWUtTwIsjjUp9Bfn9YS5ydcgdTezGdTzHCoVLdk+FlMI5ave9PgSBQHUQzSw3Ne
UCUGTvJK4hLIPWrQ7bqHsbR54UH9aoJL3ZoN0+EO5wz8oqGzLeFAyeBhg8SFVB/aEe8tw1cNO/OT
curngkOnTbV3iyiKj9Dr1lRqHBsD2S4zQxZbPM5QtySpOom37tLUQnWa1MQliXLFdp4gx2wnHGtB
0F8FgUzmMDh4EsJ2pHDfWLkcPRnEO0vYeak0DIn1Uerh+pgfyDpu/TE8zF6XgXnLQ7pupzZmmAXG
IzyFH04XcpTVchMI8xAa56IKq3dMiZ8NQdfeFoHJiWYPU9QejI9zbnz5y1+nu2oNUtWUm5Y0R44O
AYMqJFLviOVFm0UfkFD1VrjNYUaDz+tmhw9nb0scddKJ3VAQYDpDVsk6d7tOQgwX3WtYz31sXmqZ
t6AReBJoCsYw3PcTzf12yIOofdOcVglEZPcLZBKzco/lGOQhZ+dJ2Z2HKKMGaROA6hFyE1RpsKKE
Q+tjE8QBbcZBZICFn+PleiUIg+A/x2LhkJoYm7frtA8HmVQz/dlDmOYCJuibAYmQTwz7Vq+cO2f1
7+eZeZlXV9F2Mc0zQ/wmNgv73FN8DN160FIrvByTwin6ANqmSifb34FSvhmQzZcgKmxGCDaFd9yf
MohOUTbwCBCppcwjjqW4b/0ocTj0uIV9qXxw+VCNlAsDVFagU7LbsA4fIefLfPwMNutmiLOhgmUf
h9gY4e+DWuRF3J39OcqWRWQzhwhVf+ADyEcfwSd0xjkv7UmSGG/bTxzEY8ei2cBUeIejgi7E4L+X
N3O4HkpdPYRa5aZeE0KAirDmBiLYpLGPtMA266+Pc/BCpu/GfWjUtIUZ/VvfxxuD7gsH8iSGfQub
N6d772SFhxemiHvBegyexLCHsidRdEjE/MqrEzIGvvlrfOhFk0VtnCyqhaD7bKYzMY+sjLFilmzq
p6QY66xufqDWbX1/3TuTg13xiYzFjpPqFtJSRH4T94RGJ1knno3WycbuI5AOxFQiqXFmie9fSI1e
wVHnwNBU0lPpfEeIQI5+MYWT92GY5nPn8rxqh8x2cPmCEy1H5Ci0L0rx3C+8Q3s9rIh9FFBQTrTL
i+Ze2Og0ec0t6b9xflFrm+iOn4Xq8rj+hiMTEkB8eVSA8g3EZg5xZlRgM0U8zAQSWTgKsUKvflfd
QAaVxEMPgvwuwJ5cOWgitd53xR5qWzQH5Ig81k0x/Fixf1YrBhO14osbj46DjQ7mBlgRtgv+XVzH
6cyKTQmyJcbkJqs6B8ZwkP5d0G8IOHm/GDPfvTdk78qnQbwqZGHGzOSyLeETvLgtyj7duGinSfFT
L00WruOGBHvTnF11E1QHECHI1gky5ePgJNaajPkkneO3MSiTzuEJVC84RsfdNMVTEdwSL76v++de
b3ngIUh6szSvFjNkV8JCYIN4vzjYBwYc7JOU3Q9K7zTm2i4k22H20WWbs1XOJizKnIr2IMezA4Kv
9TH36Ohog+hEalkk8zxng+kfI2jEF/rMC5ngqCOssXHoz1x137r4HTILQBwiF5L7yVIOhxpl3190
Xukn1i57TsVdWAcPS+FsuKyfXQ/tDmtzuMXzCS0D4RUa8CEdenIIrum7i0mQYZGWNXYNVe2u0a1V
fDO1+5X0udHLZp2WfQibYLJ4Yz57j9B4Yi08xtPH4te5Dh6a8GV1Aoj+LoZeiuGwxivOVSLIGqA3
RGxpII4dOF3boIQaHHEDVgvppsigBfQUlhs/bg6mnbZwKWM6iQ9RaI8eXgIvdZGJ4CGMx6cBp4BR
jUTqocgL9V7r22hYgCqJk4/FXLX+HZl2JQywSdt8UA9YDM4RCdF/C2UzZleBOeFIS/exa4bD1OpN
O3YnA9mYBkB+ldEG8U90/PCQBfMFgRXfRwqvEQCNi3Cb72Dj7m07Y8AHq9A0TeIRokDUynsRh99R
C3aTIho0R38XICvMLj5afVFgvDJoSCvxq1wMCrgHxAO5vI/wDujU4e2YLT698TjdxbE64e/RMyly
U9YkrZwbAE67DuxCjdGg1eZigZwHmPIGGsFicG7nfHIjyK/h/8deltow3LnDfOZLsTGh+yStwA4T
bQPhYLcZ876WqVHyIERzshiXgaBcVf9jFjavVX3hhXgc6vF95lPaxeWOOXNCmy7H9opx+RcOxEPN
eYEyDJ2bzJuWehl02ceBo8PFgpwCNMx2HzSIO2HeqV/C+yqeNrUqMKxQljgt7BBaQSdBXztoyspV
oKtGtJKi2AiGXx5FNgH5IHS9J0zlCjs8DqjK+YSxYvLzYvS3GM8SFchTY7CXEkxd7aNb/ZQoFrZn
Gxf/x4JsxXoI73s7HwiBZi7+0UJ96q/ihk0XOkY49ylr9AxYykVu8B2itLo0GPDWPZzZxmWT43iY
zQDLpsShbgm4wu3czw9jER1qL36cI3tA9/0Q+t8q10mRY3OIRpbhHKc8YA8rpmavdnNa73y80bUB
PISiRsx0Y8b2G1Cmjar9vec+gSwrM7dvL4E/HAftASplmebB94J6j7QFegTtrqjsjkhwWX5RHSPB
btBb7HyveQkdi1yRMkMW4q1XPNrKSRkr93r0YXBnSRDmQAmR4D6lTcRRQ2ELjwpMR3VOq3YD631S
1z+8JtySGI8cEk4Uk7SPHqxj8s4FAenta2N+unXu813lmGzg71KoCI+x37HJ3SMHIFerl2GOSwD+
7pDZm9SI6+0pzyIyZDo8QSCjwERM6BXrncHSp/I5GAYsnT4ZUG+C9Y1wP+OTPtVNf6poibh3gBRQ
rcfh3uKdtcJg9+gBLX1jYitkkRbFrsS/RBRishZhsiKmtvN+QqqXOKhVPiZ+zNwH7tUvOGABEMHy
grTMbRE/wSkLe6rzg5T9ofXKTYSzZEh4BvKUKHFo7Tdd7yDU2bcEEbjzvB/q6sXgQweclkD8Ouzc
OUZl9zD7ipq+ILXvLFtyqlrgaDPrf0KIup/hns4tW9ysG7z7dul+la2E98OpzrBB4qQFjMgBDX5K
J/jmB809BIAPBcctL9F0C4ntI8Tn976vz3HD3knj3lfdiO0DBzaWGz32GxadC2d4GOh9QHukG916
0YvCZmK719CFad3VGXfVHirKvfEZJvIKuu8jW88dNFs4OfPGmZcs7ILtWLJNodVusb8GzjIcNgZf
kEhDBO8CnKTDhAr0w4xrrieTR/jHIIS8CrtCTJIyeIcuc1OEr8M4QVCI5FSZrdjWBGooiX71/JtT
YYSAAI5i96Vlm8U4zM6p+VYX/qGyqF3tDqzAlrrDgVGyNa29L+RtOJbfeYAXTiQs6Vg+jdz18CF5
dtA7SpflDCkesCNAUihWbL5gNe9xWF8WMrKppt2EkzHn9VVU1wc9bMb1mcEvXIZ6izF/T1u2o8VL
xHDOnhpwNJ9EWkWbIAwxXeJoK6t3hCGDNPFSuHR2GvM3mRuQuuH8oMv1cXWrwwgVvy8PpVdfcCIb
6uEj4e6R0ovoMbiOHyu/ZTM2NPRNoNLTYtkUbb+TEtXFQfqUhWx6GnaxBCbr33looisP+sH6ppsf
ooKg4/7OLU0ihLfr8VvZFqkdHwQmdoMHK8TBlwArqjus60SscaIWB1HJKFrts/b61MansPezYcDc
EmVBuVNkd03yrA3m/+VD+Y8BsB4u5iPQi6T38AfYjxrOFrr+qs28Bax7qlf9vQ+h39RRJgMwtH2R
K+2nTeVDh8HsfnbC3ehfanXR0eOkzLYeAWjapAWR0LFzHT6F8MQOBpA+30aEvU1Rkw3KzVdA4o3F
oaMtplmgTDo8xuM3T7fnZQTAFatMaw7gFyq+yOwcb9qSbsk7tM4C1LkQ/YGMoFKkHIDTTpu+ja/H
kCJkFvuJic0WxztualrtEbP5oPpw58l6V1Fyz6nZag9Me9lNN1bX95NGCK+coKXxAB9Yp0PRcwOw
8cAMVzcnDpiougmO0B/uZFNX2MWh4If6U9yUdqqysS5+VG2LtOLiWfbtPSSoR7rQ3CMsb7xit8zF
YXbc72MTXVZgMjtdxo+hwlTJHCWAVpXYyqtFJCoMf6nRArczcf8D7vVx38RoluVY9mkliwNSWrez
xpTOCExWDji+bUy6W9dHcw3N/WYSTbGpLJBpa9t7KCf7pGdi3Tm2xByIs3XQnYW7YC53K3IvEg49
XeIxvkME6OPYN14yTuypCSagLPWK465atZl1u+2sfdEuvQ169B0dvTVXkfla4o0YHx8kodV7HQvQ
BjjaJHLBOhklkBVddA7AbOpuwMthAxQow9Mp9tXWW70wBWqAkZ7v+XVFViDI0GfWZ2+Zp1RLcF92
Wr6rynttWAQIj3Xi1q1gWhld79RGy6Yd/P1qin5zPVojG6WG2Lb3mr3LSrEZ/PGtocihnEzYHydr
fmJ6i9Ouwbs14J1SxjtEXbVnHs33jo3Cu9KpD9BpPrBQogEOJ+QxhwSDIkh1tBMWiZZCSYR5xlOy
8p4BIvND0Ca+pkj2gejedImBYvEhcpb6ybKmYkhfmYZvAQeo+FThSWORe57dYzFUkBI1PbtyFvKI
nmJijzacox5h6z3OPuotoOuwcPYTK5p3FnLkKui4bHaklDgpN9IBOa3D0OgLAN9VvIvZt/EPQ4zF
+Xg9rYAt4Js4zWHn37QxltViDcP5nRPCcR2wFGXfOy8d4gszr48xoWK+yEG0lAdQnebVGwK+E6Md
8wLBDfd0ENzgeFo1I6DL6JtK+G2GYWFNlJ66O1K6dF+QNTz6OFd352vZbQBz4LzLFZm4ntQib+UQ
APz0W7lB/JDO4mm4HzDe7kWBqZHVyr+41hiZOMDdcuJ6LUywTZQuakSeQlxNHxNrZdpMFj1zxFIJ
/eeRAuw5rRZ1QHGwE4NaRK6sCqeN9uJ+D3wJ59kiIfgIxhkSZR2rx2gGqYlvakmQiA3QeBnKO7g9
nSgncLesWRzN5WkqfYaCjzAq9Hj40xYjKdyMY13tcXIpGJOxcO6CZuzyoPLaB8Kn+hbr18uc0cdR
RjwE6Ve6BQCSACyPcfW0nWZIjaO6HjGRR92u4tTmZmX8xDiN0oCWGOhw1JJMF154z8t1iU4KM3VQ
UZ7WsI1dmLrWuRmJLJUHwXXtEyQMthGcTIgiwMRfuMtybNyuPOtqHZzElqyj6OtQboLW1XsHyGCu
m7Lccs/h7xxaRnBlNvx/JJ3HcutItkW/CBHwZkoA9JQoR5kJQlclJbzLhP36t9hv2hVdRZFA5jnb
yjdRL+oYZKkR3SPoQJYd9ML6DBKx6Cb0ke7v11RV536ojZ090l7kLwHJk06gILPc4FhrQLs0U3Ch
0ImbbMiH6E6NZlsXYVIwsIjAgJys53jIM2IXaWA+TcV9NwF13rZrXcTWyChckwB6c5zqyykmb+PC
7uykM2h3DNF4dZyxD82kB9UsxuJmKjoMorQmMh5aCyqHouIKEcVYPttkJP9lHoW8RilFKFGob/V2
wlvWgV2qXI3npRm46JUwXsqqRslnjVXb7+hrmbhmB7Mrjfelhg0k3NlHP/62SuNRFbVz5Osu0kug
icJt78lGRQFrlrZWWkdmOo/BmczIgkg1y2hwcoAdlml5skpLV9+BrhmsXSnqAwHXgXK+Z8jQqrF8
7+rqXtSbWusst7a9KtUdhEMPJfSRV3fvq7YmzbXNtd57XYPe5f+I3lOVjDv8EOO751WW82ebyqE6
SxWaAZfnr8pfjgSP+8VToTQzOObBRFdzPyZOvV087sfz0GvlnSPKiHc1MKoFmeZHbYF8AV4NfVv5
abSuY/0KG3Hjv0YT3vwf9iaTfcFqggXyyZ1mnTE4sUaZibilMFF9g3oM/WWUa590keHMTGubxVfa
es0auwqOhttNDXn3QTO373rRuiKhZ9wwqf5TdtALHqJ+yknr7GqbnmCqjJuk+ixsOYGAcPCkw6/m
QaCxsqe61P/jYfOAixGY8JE2rZep7hN7VD08ufY4BwfNzu3+PUkMGRxKT5jJn8ejvzwuTTIvH8To
SeuYu02iQqk8QcGRjV1uL+qxp4U6abMMBX1R67cmgLk7uTZbRkyhkK8InZJ4+iE8eGuo5PaaT0d2
+BxLb5xbBoEZVVs1ICMm6dGlihz/gWE/yK7rrWjq8CHEmRwSCzGKL7ydKRbtczEb/1Pavsca49CA
nMW5ucoUQjy10ayHFd0rlX7w6ZsBR1R2U8tpl7SazwhhlHox/PEnd25MxJAHPYfh4m/Qh2H87edA
y7NwHcXYf1boDRgm7dnTK0CIZFXZ2/+3y0/AF/wcetu6H37AgQ9e978KeaVmnRE8/183fGNRli59
c+5O/yt+JyN5sHZL66r8MXB7s4qrBkAc+M+ytH4JW1R5lbeps8WAcKZVcITY1ZaVvmXh6mb7aY8r
xyq+0Q2PKhgNW/GmwV5dbjBNNYJ6dS8zWMWFt5ySRpjei+AUrOhlGfVfShQW9YwQ3Mx2qgus7jgV
MHR/CzpzshTysmvCzkXNmmykN0rMMXlSZixp5ohVUQx0stmeZPjuR3PJT/7SGh1fztBo3b+28uts
2+g0KJ20zumdqJ/X3vzrxsabI6tPdOcWCH1Nfqy+GC9eD0ky3sXzlgedI0TS7JY1ywC/7IaCbb23
iyaNuqxstV9ykXz/5uoU3DPpakD8/xrVrvoLhM2aPKT6OKTnkpcq3Rt4OEmXXjNs5MNajup75Z9q
H16dc3xuynVMetIc9coJDVosur9EOkHxgrJrzfa+i7QTmR4CxaxHdVS2NbjZVOJClaXD8Jc2Xp69
Dy2M8IeYvdnZJYmyvLNP/O/46lBY3sYO6S8WpQpVqbdfRjZ5IcbzlNl4UJ0MZ36S/0ojlQKH+eDQ
+07UUh7ZCdAN/tf5xy6C9G5HMT5q2dP2Line3s9lOtmHoPf905oLyritMuk3mejQRWlqNqarFgjy
lpOk9h9SONIHDkrneW468yPIYKlxG/ZJCHOX3sa5VztXMKuW/uA08SQX4q8M2YEElalGYqU/NDb6
NdrnH1CtMc4EGHNp6ULaZhMcVz3mRdX+y6VvfRASCjGhSc/7bQ1/2Na8ik9ObhfPFuaFr7TAC9Br
Pcht4RMMFGv0pkcYQyR0im4nD8Y8LvKAJB+Mfhn8+aXVA81mH/ET2iMD6IBwQOWCVigtAK/rTMgf
k4jbaWP5zRwgK0isLdGwxOAki3zouiEjLrAo/SeX6N/1VZVIVtlV6l+izTMVqdHOHVLQm1VG02JY
x2qW6SMVUN1jamh9rCXJhy2GT8avW+tJCuSlhQKvo8C9tsnKM6bpLFa5M9zh5lQrwj8S35hKAhlX
yvLDytHe9Rm2zRXue4bf9NzXS7UVJkq7ZvSupXmPMeMBPyYFsiq9RhnfrIO4JY7qfwCfxbXWZBL3
S7PHOuDiDR4PZSW1LUOVtvG8Jj2RPrruuA3rs5NY/RfLRcrA3x0TpHihJGopcvIEwGrs1s1KHftO
JIZx61Qv9307adec20AP9VyfygevSIwLQia+xBIjRr6kGeO8BmU2jgciQMonB9Du36JV063rlqp7
tvTCjicnGY2Dr3i3QmvuqguaAkQ+FU8lit25C57pVbSOyh2sgeQEdM0btC4EhghLviMsUZu2Ub+Z
atxolS2szrgOOz7+31i32jYPghVkvQFmxchwJ9jkliZ5M5R8vYfZlXbU+f05BeFyqx43SceSpBlg
VAvxewTsQUNYsrM2hoPtpGn9KlTLGMRGYr87fQ/rXlvOBUk6EnMu02ubgmBMVnczO7BOmunXU28m
4ll1a3afBsdNbVoXVZonPShZVBDOh21lVeGcuvam7YKn1ejonq/RCiQe51gwr7dh8NGF5EtH/Iux
bYaeGOzZm0iPJYYssVnijJlvfDDT67pCjxejY4dB1T/afeFsGrfiCLlLNuYS6SnyOhfZm9fh+vGd
qB088zQOzpVx5Fsj/GUjIB95OKs1RGNK+HzRMgN6DPQjeYEbx1lZ/HSDbzVnfLMml7ai3KdSohbH
brSOg2gQE8miDns9CJOxrICrUWzwem8Mv/CioNb149ys7tZpe/QM4zBz94Ac0JRXs+AXTTjxsj5Q
sIeVuyzSsOIaQmH5NAe0Frcdr7BW3M94yKODrrJi6840oCBxP8FVpqG5GgmXYLXGRK4GEVGVH4FS
wJeMr7Hv101Ypt3PBIXQ1t581gr71ZaehDWWt4FW9VDqqRMupj3HgaEXhHvkJDYIXUWFaNUuKxbn
RNOCtkMfML159j1sWFN2jGDi1I4Tc0dNmV9XTNcylW3YcymHbYcHv7HMA0awZjf0zr5L4UDmBh1h
XpGOnGYQlWqIMsGGoMac31kbrXh1ja9e0tpDHAskVs0XjHlkDQu7LA/A7AaqgQKSQzCYVEW5Q9IB
iZCNZz9w4MEAsiFm+7OdSAjHwrEOPFVaWFYMSUWav5u43hBAcGGL9TWdizayS3VqKu3FM6HUW+8j
t8DCYcr31A84m8BLr4i93gYbjGKd2ueksT9SJvi7aMEMhd2NT6LpEMFZ1XjNg3zaloN5T5AzomSu
5nAK6neOXCtuMo7prCByOEDTGC4O/IouyAgQiwlzzf9GxwsZZFlW2OAnbEfVnSYul+J3MHQ3Kizd
C/FHWVGqvJ/EHB6NbPlEgvvRtt1nP/SPZu8/ZOnwCIqxrRmJN4pGJLfWtFsmjMfKq2ES/Xqhv88H
IxpuJJU8kyVgbb3VeDTGBdQsk/NfM1X+znIy0Me50nP+Ncwq5DcXpc4GJfOD3ZPtM5juGsI/VYe5
AqUlKS8XF88uFHIcncfCp05tUBZpqSrXY0UdC2iDzJ5BySQ0g1WechzuVwCH8VlHsXyrA7m+9bY9
PpNObm3HYKwvrU9gVUO7xnkezdSDQ2/QQ0FyOX5cT3m3POmt5KV0JyObo8CtO7Ri3puBTIfqwoUq
H7ZEVzVRstYGAFFbcUR3urxIx9oJS9fJoylQKBi2eijmTrsp3V22fqbLiC/yR+gOXKDXs03SXHcY
Wb1Q+03rUendEhYZS2gDxBM3rAOR6wy0Izk8tO6SpSGGUrhDAidIwEnMfRCIE+XAH9gSizBDYPpe
9ZAiU7l0B5biNh50tz8VFet9UaRRhrxlmw0V5Ez/UDizHTlq7e+kwXKlq8WOE82YtiA7e2J5wHkN
dcgSgRwE3CD3azTIbBS7pfZ0MosqtUfQbbILVd8QVOvDMAjOtVailSDtTV/94LCAlh51qgEvsuBr
4Vs1KKVLyaBD1fJGVYK5qXPYU9NMH9NieACjRN+t5bx3Y4/+QaRP9jqTUSTs8m7P5l/onhEAsm8T
xR3O3YS0niBw1OmzFdX8XL/lIIHG1/llDawBdM8j3aGw+4NRpqhPlB57d+izMQCq+6bNueeKBwZx
cKeJBcwJlk0ytXtnxrWaqEOhjytOAf9LqvGnlYS89IzNOwQayIJS8auy9B4oe2jL9tCX/dbS6uJM
VOrjWkHMYANBucVRDyCPogcMnLVHn0WspvvpibTJWSdazYIg7K3i2QzEkTM6GlLzJ5ftezkCbZdy
vQ4EBoTkZrAKdM2nV7X2tmicX2POinjx7J865REi8EwP05kD2hm6g1laOP3gnMa7niSZXkWSBjFL
D1ZPpzcmdCTpu6PMJBRIORGz1+WtdYwXw69QkhUBysVlOXtj8V5Mcl+ZbOXLoP9MehH7TTmirevE
zU04oNF05JEjAuAJVe7VXJ4wmWpHfeRgwPM7bya77M9+DntCQvYTV+xJEXNKDYU6U4ByrC1m3Xpp
0SkQdcKClRzLDDDL9794osPRKy/msoTL7D/qeXIzluk6lPPetOG9l9T4JhoFGH8qoJToIthiLk4j
r6UMMM8plLbTHNf11PM5mzpAIzvkIe2xPPk1IqfMIPeKfQfozk09uhQQcjie8t5mTxgdbHRiH5mu
KbYMUA4MfXfpCl9uvBS3Hw0X3AWmd648YzcTmBP1raWxyvNJiqK4gU8iTvMlbEu12shUWpSheJzC
lXvbyCuWp/UExNQiUV4e53T8y8y7LrFBeInBYAzdiRUqaZfHhMk1NCfjiRZHi1Asg/IQ0jN7e/7u
RTlEuVS4pYzhNwla7xF7Mo0vyfi91OqrqKBsTFT8oVAspH1nPpWj9STKfpcm+DL1KXjJ9BxEw/F/
CfhHqOKpMsyQI4REWeb8poqxJZMfMwtlJvEwp7YVCdiiQ9cnM1ej2W1htbXNIIkyw9Ucj17rbKeg
OpJLrI6+hrbaSow11vHvnFRrwMqW9h9dYGjSfPOtbWyLvw4uLa3/ajPfGblzaSHYcVoAaiYi3Q9L
emQbfWxn8SgFg5AEXc+96ctPk+eepTFeu+y/mlkdeLM+9Ov4aa5lslm7oOKIM4aN0YsnDeWYr9UP
cvTOtmn8zRSzYWLSvpHbHTgHUQ849rbMAZnTIoiJNPHCYaGgh9Yy0fX/hI82fmyZBFerf/ZWe7f4
wY+VZkEIKU84Q2O/Y72/WmVxmYNRnMhs+syyWeAWNz5y4DKIEtZ5t1k/sVWMfCv+PkFD/zQu07wd
CDcPdZ9I+So7T+wST/h+rIvPEgzm64SmO5+InVywUMCok0yUB4L+ecPbkvOy6werjDia+F5q6z/d
REOrl9ouBcQ0QmhG+0Q1/X8kj36KtUY52Vavq0ivjbV80PISDrreQ69p6km7V9jrQ7bLzfLgzflJ
rfWJTBIZ4gnQr6IKDrWmTFi+DNEW4Zfg2gGY8egIENkpj8cO7U7R5sd8Uge7McyorHA5S899TpOG
29/0f5NiemFx33E0PiaGNuN5mP+oPLzXc5rWHiPtd8/f407oGbirYqsYf7mGH2q4oDgomQ0nETxY
ho9WS3t2hTFEZVM/eapWTD/Tlj8PEUzy5d372gYeSCbLhhN0OhgjglCty/dkuLowQM1+FVTlJE7l
h52WmFG1qt+0y0RkzN2X0qYYK+INUxgyMvMeKXpjzrl4nfuPGl224qlo4l5DtQJUpp3rCcu93aU7
lVSwry2tGbBF+FYgvEc/reMMk95lkmvAuJVfCt06OsJETzT9GLP1IUjI3SYygR3gsyDEIREYyPWu
dTXDnt2cgxMYa2xU5AEGIaFHuVIsoImtWbzmqf00JsaTmRCG19qJiTaVx9dbHKQfubVJGczuiuiq
drJDmvsKBpnTx65Y+4S6pba3h5ND8ibKAzEBb4HWnLTe3nsKQUBvHpwkiYrKZ/RNnV3fFojcKp+r
oYnMUmF4WN1PyIWPYJF0j+e8kulhyYDZaRsbEVOs22ZmuUTP8uK7eRrBOYmo75k39GmfNSYUdaCd
BKNA2FjIFQa0Eap3zrPr3K0lCyhi/tM0hruh3fxQ91W/0edRP+Ao2BUDiQZcMfnFL7Vf2x3w7Qzy
FWCn28zE2SSae5IoU8fOwi2IrM6S6DymM69ATC523Lv/krR9MlUbBWr+Ka3upPmKV858kGb1PALv
Bmrcteb6kQUiBiCL53qFLJfLSz1okVVyquXm8OWYSRp6U0bs6UDClK3vWKifqAXEYuXtuiZHSJGE
UKqxVpibFd3nBCOeUULZuR49jBytVnYsl9+A+nbkbLjPuHpfG3/+uKfOhuPsvChn2EmdwrKsu8sB
BrlcGtU9UE7uQWfz2HUVdoX5D5cJLkeY6FDk61udL++Lb744LfIBRzonm4CQ3dTUzwtPUUiZyr6h
gFuB++HkcB7dzIMbqy5SoJ3wU0xCyv7ya++fo5yPxXTBQWweFmyIcWC7e9NC1NYADwMd69VeZdWh
r4DDVd9vzdb9W4yKV1oeK0iw3Nb39eptun5888t6n0/2CVj9AvXLQ1o9ZEEdVcrdUZNboLR1j11K
MI9haIjghB86Wn01BruOScGdUItNj8GSnJRRH/LEOVt3bycKGVRGbv/loPhClXmsBUB/ORNkC4hl
rXKb88RqCrVMnTbPdd3fWmu8JoYS5O3cXUwJ5YcTtufBynfVMKP8axhb/DcH8UBrPnjruC995EhN
iQodOXqmdQfXys69Ph6SDLtm50Ote0+WyqMs0OJhFlcGZ/IBUv8pbYedZrah8BFBEjxVblgCmo1W
OzeN4NjQyXAYOMx8TTU/zMG8XeZkC4xbcpahRFhpFYw4+B8LgelSDyqgj/zHkzxUd2EJAsFAorRn
0ktkeZlq4ySK8b+20L/I+DhbdnXT9PHZWeclHn1PiwzRHFZverGcYSvvJne7+tCKLgLTj7FCMaOr
FGrQYKM2LGtfUZ7et3db1hgvro04B8uD7idXq8MPubbZvqjchzGZvtdgegXRZSOuTq1ZHaF4jr3C
cLn4fzpb3MZcbZts4wTh1PigaFIN68p70D09di2XY1N8aab9N4/qxcU8tLFG9x3M0gktPftbM47I
3jdgvU1CQwQyQ8oJxriR1qmXyLx7xztayuniyrIP3WxuW6/YLqsDQ1mEuNb2qY7VwB4/hZMcMpUd
Uw6ZqgM2dDwAbFALf0El1c/femsdzTkJeT62mbb+GeQusumfDSaKvjCjKbMehcn+MLnjdszGY64v
f/CKDlFW+YW6OagfpILi33SXlVUNslelDkk1PS/mC/Wa77auM1b7kYs58q4+N5H5O3J1QjklX22n
Q1lNJ5FlW5N8Es5R+UoN0RM4HQRiPhzttYzTCjxnuuOTiUAtDBfihcgoUMolaLmSaZDRmJDTmy//
8qSI+57K26DJX2wzwRMhp62XrNdgNG5TWpLDsrZ7MWv/GXlNUYaonwM9Oft6aUaqE29OwQZYLUQ0
pm3krqRg26N78Zf1e3Gda1AAkgBQIO7i7WvRIW3maUXuZhiAEbV99IzxgMiQPaXembXaWMiLRrOs
wPmAJoi8Bi8n4mDqIkbDZ0K4SDWG884mDnPnkq7mdyuMf6JBYhqorZjV/QneZS4SW9WvwNO6vSug
pqRvxP4c7Ep43LxqHkuX7FJezrPnlX5cQuCofPxJ2+oZj+pDjk0ON0F3mM0kyhsvkrO8NWZ1oAai
5wVNSWEdOmLZ1Lyfh+5f3xCQKTprj/NKR5uFe9WUD/pQn32s1pZ6HiW982I1D6m7kBDuPGlV9jWh
qukCmNLcf3TEx1xR0J60pwpXhnX/Q117K6b2JCt733Q+hjjthdrKo9bOe2pgL9iiKQ3ADdyO9rPp
6VFq9wy9vnZgHO7CaQoUdjt0OUalF1uJTlitNwUlalTJyRetFU9V+ZcV/qtLZ0xU4+GIvDFftqaP
LZS1oA6bBkTMaX+p4Co2KGpgfGrmNxfqBfS2D+cc9NBMlheMzzjAsQ9kdYHnyYZR6JLi12/9hzWA
NVk95OycMWVhPE1JcPLW9nfw8k+rLo66UfMOwr5aPu7B7l0fSObpxms30BnFH4QufcrMz3yQEBgj
KWzlWMUeQZ2wthLOkEAldsWAdQC9WK6tL5ohr9JoIqSxyAmG5E+fEIuRZKy3CENxRge+88aLH1fp
eyv0XWn6+8zmafLZprJpByIZYvhE/Fka9OQoADMW2Sr/Z1oozlozkpaP0c6doCcSB+OiXkdislVk
1VP6IFdaK7oZfBaZgQt1ycJm2CMPrZHMj2OKtydwFXNY7TWXTmQKbN9cTt1ClrvvSrntmjp/ki0u
S8zMP6NwW8SWtQiNDoCw1PX628NnSWyRMqKyN/NIR+Vz0c2e8AUd9IngvI8+FcgGKhHTffZXas2R
QW/P4Rx707+5nYhscXdjvf72uRF6oBmi2sEZH3rYH5oLB/wT6CawLXJ+G17LqEHFXG4el4YenQ7q
GyQPzPySKgr4GjGEcjb3CMIOLVaLomAAqkvkUkkvd07ZbgNDPRD+uMEUvEnxHjpjEzvewgOrX2sS
ORLe96RqL3dfPPnu0cCobfnDVf/f+jleVAruahPkUdRRgYWpLubQMyYZaXl5QBm0yS3US0J9t3qy
m0aSAh3cmthuKtPdaGX2Wk+sgyrNz04uP4LavfByYOyzNgm5IV6DUwYjiCWOQmUngbjaZ+HSfsZJ
59C1KeA0LnxZ56wy962NWZbVANn93p+dY+Zb75WwfwKju9R5F4N9MOa7zb3Wsih+6qkZQsjnfNvP
Mi7MYJuPJpK1nt/LiCgp2bLYhmVfodjNzjMcDF6op1pc+VTbeoa/WCb7T8uNA0KpUKnhYiNoTAQf
TEtunYBYA+7xJGUp+HqdeVeU4EeAP4Gb3HLNRcj41kyvzfQT5OjiPXBCWV4LgCFoIZqq54/CHcOh
/pWZ9yo6d4+769GY1Zubq22yTr9CjVsLQbkzZjGh75Q2NOkX6QBQsrhMgBnGuzMhe3abejcY1d5S
lBGALuS1UTDU8RC3w2cmLrWe7QZuFjkPP26jLphEo1IwK0BnI+lvyDyv9Z2HqosUo83qs1AE3hGe
5DAUw2703/i7o6ZYnkdMuvdsh2X4HrwlVjzI3ZCd/L598Jrq1Ag2tCp7qVdxCYb5qCbrRKPhuVmX
C6bZwEoZFYG6QTFVsZxsTyeCpeHnnKwjE9+jLrJ49v1Ib6E60vkF7ysut/zYBtyX2viY2guRD84F
1Y6BvtS7zDZQt7aektX/Vwp3I6jjC/Bsajha5ay/ytQ4JcafvpYHc3VPA3N1CwhYLOR9dGRabGTL
EeiNX7wEv4GjMYTmWwakx3I5DO4VRvMlNatL0slLTgFZWy9XXBfwzMcA4MRfcavcCcbE3GVwBEsA
Cje1Fpyttus9ebV668302JPuQKk/ef9qlf20ZYIVznFr0ID6UDnGuRiqf6XfvnIwRXM5bBvizxau
SvKhKEP2Y5np33e6dEjKk5GnL0u24IUCsnWn8sNtynez8I0QWdSlTNCRKu0lyIiizvhhlnXbDtxg
JOJu77wKkiW5YSJB4ChOhCjgV3IfMrdh92h2BlRJUTSnhqRTpy0iXw6AdfBIFA1KzNj8PFcen3M5
L3+lW9qwXBgUOv1WU/3pGf2fQAux0VZJzkL6ZTLoZOXwQkVHROTmXgm0pJO3viYO91ZqEojrJu/d
Hc5z5CsZedB8mLk7uc9QaCHTMHetQ7Rlhf8uA49HLfM8SO3J6uYr9G+c28aTF3yN9orPvQl15dzc
zL9bzVHEFGwNlsPpijOQAlr+YRSw9atJRTLHGzDJ9MYyc6iwj1T9czIU35R4hl77NOkW70Z5NEBQ
JCGBer9EWkLEOLL7Cus+ZTKRm0xbt01PFnLtwT8OucH60iUPc4dOa5R7z6rfitw6LngjloxLJRi2
GqrUZMX8RjKEBR/cO29dMj32NCeE4Ib+hhKkLQRpZ2j/YZgJgUUwjmW/s21f53w66937SKSuKAQ/
YnbVZXnEMblno3zQ9HW/jtXDiFssWCwcyfWms9370oFoBoKHpSEo6WkVDL85QPAogZ2L8mckzAtY
vDsMcAiDJX8Y846VzXzRtXc/iP1uGeOuNxWyeu1JN9dDl9Y3V82EmuCoQ8Wr1fGMwsnsvCevn/fY
uxCCHfDrOJyUgvOEFIJ+/VvLigiXddurOW5rFxcww2x5auYbF8WRS+IvIXTEbLWNr79lfoBqFKXg
wg6BMy3ogjefi4vFOcqDRcVubt6KedylFCXnljq4Q7HVZBEaM7cEfLbP9GFggCJgOc2cqBj9Jxv4
Y6Yso+q/83allibgifYvzC8HRyYbkYyxXWXfzGIbW9L/hebWRlbbApp1TIJFrUX1XMROa2xThNM6
Al5jYc1rZ49Oo+BNafov+pBdWTEgu/SBbgLLP5n0L6cC6LybrmjbzsoB1HGQ2kjSMWrLjjn4oj7z
MKKPxIis2rmxg3eFxHZIG+wh7n9zg9F+WCPg6UOuUS6CSxQcmVr41TkWBTxjr8dpcNUm+8PKkAD7
A55PnCietvVIt16Ig2hEsIXriDCEgRL/shVwf9c7Q1p/45CceiBPTXujARs5QTtd7Wo52sgjGqC2
GpHoBt3ow+SNZ+W2T31ux6kqzjlh2dC//92pkGw2r5NtvM9Gva+NdGc21m6VA2Q9QWGERrmzPJRT
gHWwjnME1qsjjjTHHWXynczFAxccNB/hFG3N0Og8BYaBEJs2mGF9t+zsGdDyU5vyfiM8gDQ8MAD+
dlyy/ndztfWEJCfzbcGfNztkHTgrCowpx6Vgx9RhnsyOOEBIY5mMNgNHL9DYkcSDyLRAUCdWG1J4
oHrxy4cJraBjsty6zYRSbiCBIY957JLPtsbBTYURKqcef89i8gq7r8RAobjSzRCJcRwAFJjVrnb6
XcBEOoC1RYl/MWEFpLpYyyUrvjvJSdTVoeX/WWQh2RxMVtJ8mzNL0CSNaDXyIya7r3QKDhUgOuPv
9FhJ66PRXGY6JA002mIyWs5N7oeee6o0c+vI64A/w9b/IwrpQZZ2PC7eX4P1wS08Qmbg0oixqHt1
nux/do7vvpjjnICGJUk2Vvo3tAtKaQUZ+scSh4G3/8lyzK2Jd3Zn0m6kiirZgYCll5Jp3Ef+zd6f
1hajL3FX+LXOWM32gLyEAnLmqUIeE/Yr36PoJz8keko7OkmwHW+WY54W+aH6KtJ6XHqlObzC69lR
kc0PY2n9c3vu5XVoHpiDPwW664WzgCMBB6xvM8K63fBdOv3V1u4OzC50fI84jeSfWyNZc9KOucht
woHorcBB9FfyVetpFYohx8U4PM2qeKtoDx36O1xdEBOB3sXISJOS6XvHf9pxzMelas+CL3QyUWJj
c0fRAqbBadZ7PlbnZ5H8a7NPbqbQvjN4jg/pbyN14nAZVj7XOiw7p0rvX+ryPmfGVwr0fg8B/nU6
HeWsd8/IwASfCsYp1X7XOkZ707x2TveZGf6XM9zArfXYXJJdkuvb/+PoPJYbR5Yo+kUVAVcwWxL0
pEhRXhuEXMN7UwC+fg5m9yZeR7dEAlWZN+89mcvoDdXtM3KvY5H+66bppch3LRc7QQvwHR/QybYG
nVAVPwEK+9BUcfb01g9K/auLvd+WrfeVfmLv6LrJgj+hmfsC/JZ0GmOndbCKbJg8ay/0Mp9kO1db
DkUiPYcB5VghpgeCZ/HdHafgs1keyTTvXuLYdDETMijEODahDxvxxs3c8rGrBGtSZkYjbIqM8OgY
GvnL1j3JymVVfdWB5wBFtelS84StKTB4FSLeX4ia+4JAoV9bHUANh+Ye0zicCRPqR+p0JOuzOjxN
mqxx+Xf1etRNIiXCmnDvul/Y4r/miSVnjN0+HYMvL9cXSdso73ldptvAmb6U1In9eUwCxUi2uRhZ
rxJP4Utf2/yX6IdlPnth70S/qy0k0DYBIarM8RT1oj9Ids+skRggsy9kp66Guodsd1M6c28Qo9k6
LBhQ2FSUg4y3OAf4a3ImWdggr8Pk3t0hdpBRc5NSrN4EBuHDqNfjVTIVxs6N5rONcshJS1q3L4fd
0Npf+O9bKk42KzthTlePg651QrTB4pvFSdAMdH4DC3YtgeecgdPKCPWbkXqPg0S8lvY+ZRn5OhmJ
VHc2Y3W3f3KLfl9p/BOIqlVsbG238ceuOMB2+nIRShz0kKQNbkIwOp2W2E9vnr2mXwZX4jmjoJxr
x2f+3aIQdd9YGRkiscMrM5B1iFZZxQN/NV52PtMwMONVX0liKt38nY68MM0cjZs5p7dVOiSVyM2Z
9rG/Ry77bQz3wNfzC6PKJokpDoWdPSqYUIMzPaKTFZvGgXhlSjAAuDxQV9NqK43s7JQIY4w1nxUe
R5mOb3GL4JBgQFyPVoZNzu0PeTx7TGIrCkLP/m6G2b7leYnuFTQlBH0nXMOX8WeOoxhimGeWJ1ej
am2j9jdIONgjeuj1bGXPepf+sc3hkmQtCcXu3hvak+aWv9Y8LdcQuhgEYjJkQ/VjmwL/fBEdSBf4
VWN9Bi4hDEuSh/cSplRxzVK0If/TY1vHJ0hWoS2pDMoCSdnCS1g0NnFFshy2Nx+MaMJAAJn5MMb1
tbKjC9b239nSjSNt6Tef64+eV9p6zohi68YNn9znIm6VS1lSJIv+1KyjGlAD+0bj9eSwLA6nLpqq
G6xA1w5rFaloHSXqU+/mt5Y42jjPX+mSBK+DflsbFtCgIHgoy/RixBxzdDHxashjiEH9nOKqDLdw
EztMCPAMK31kUVcCjkLnVF5bvFqrpCu/usB4mnm5C15svkWIVB17vlYRWxIPvYkYrDDuMwvE/FZY
EDlGW/vL8a1vppbMC3flq1e1zgofGTbBBLAMDe+mM5Cu4bpDCyOHhr3+Ly6w2dTKqfH/EvVyarBa
OQYLloXv23z8QwFQ+6Y1iGMlwyNQ+z2Tbtqj9CBwJ8JXU367aJxWJhDn8YVAnDky+PrKLHdT8T9I
+GFdUSPlpyUYVLAThtVrJOB1YCXBoFF6LzN9ZehnCYHJn4tBcSgYpHzpnJ2EA9dMxZbpzjYaNG7n
TJ4SySahYKqeyzH7cj3irXml7zK41Kz/o8AcwgezpoMDXb1SMFJYUZrT86XD1g6Cl3myr11h/xS9
xyVV+llW3Iam+qw7vI+lYAyZ40WME3ocw3iqsJQB1CksX7US/nMUCGz85anOgwdM+OdmNE5Jo+9N
q3eQlj/YNqJts8l+gj/3MrgYL7D+3Iup/0n76Dr1oMsT55IkSDw5pvclvmVF+o1tURr/XLaLq/7a
6dZnm4dvsxpe9dp4Q9enDtXME5PSrdYJNGbv18Bte4gUa+UmA5k3TvR+P7s44rN5Z0baHyOtVSIX
tiMBbhLPJDjZSVSGNfF+AIRjGwIKSKhrOCwDqz+0FSx1/IIfdGEmWSPif7ZZf1Upwyct4ZxkKvYw
qvyeJEt5OGM/1QxgfUnDw5HI5lqkbr71mEDGRqH5qcONw5ZUhizJAx7lcOXkYJCNLsaQLS1vuQXe
Ae0kK1KUH0ZIWH+G6CG7Nsee3BEjcgZnGzZ1vp5Ks940kTrwnFprJvRPteFifEBMlaSGNunAA1gG
E690R8KHCHY4hTcOomObGN9um57HlEAASCJgSJk3bIK6CLZRhfFZMzDvGOMphmmvu9W/WUOcnxwK
VVCdeNfhtxyCcLq0/P9Dy9yjNQ9BZU97MbDywZGAvswaBOoyTZsTwFZ1gq4uiu40AbT0Y9leld0d
TdhQM288ZpwdSIyYCeRwyk073wAxI7OTNGyqYCwuhXtPSuNXN9vIt3uP2zsRlKHBoj0xK9h3Nnd0
OXDOTmnH4VQAA0J4jTe9dO4RCyIX7uI+8XgmW0Y+AY4fPFPUhuOwiVrvoxXyzYFpE8TBhQzT3om1
Ry+Pj1IwZShFxji3xJJLb3dvg/ikoJauholOtbIzP+tKCA0Gkk6NGkTMCJdU/Fnjv5jpuEUYfmsD
1KHR4MRC3saIaRyowpnEjn381LlQRtjL/F7kqKJE1DY9v3q+mHSnfkCsydBhaQ8TeyLZPg3JVmN1
6joK227femA9Seo051AbaMErnDmDg1FMqsC5YQ539k1QLfTgR8Ow9K1e2C9e4mqkpCGozZ0NmtAg
1VLGMCuHotb8LrcS3N809442V5BOgn9eD7OH2nyN3TbdJjoaMDlPfI31AkhABa0kJ41qBCdZd28q
RfccvibIOFVif1Yjgr+FDZ/Ne1sLt8LazPJLkaWvGKn4apq9hKIW4R3rddojE59AxJmPD3yeun3n
iOfZNW6DY72yxnslmfu7s/Y+wbFKyxiasOFctAkSfVdsVZNu5qH3p3zZyJws9nWHtZ0mlMe6rF5a
WHlVQxpSRtpnV6kDKy4OZu2812r6YPuzBlKlZyovrJc8hUpqJYa+jysk66wMF3DsxExEN4eNqwwo
Jl51HgBa26FTr5qm/GDY8DAgDq9C5nzA/7SnNKJArGz5MpftU0tVYBXtQTgwPtp5vzSfSRk/i0g8
kNh+iSL7wh4t+vvuZEXm2WiuzoQCRZez4AXWelWe2OTK2FTuiJbOqwrVdt1COYLWt7Wa8WIXZOfi
fPwKyycvaV5gfO+Z5B77bL4XZUunA20jZZWHLVB8kePyDt2SMquPnBeeKfZYYUU1CKChdwW3WU7v
blsosoPyn6xh0ob0YBqiK3MJeMqJTYtvrXm0wxMmx3pxab8MWXid0uAUMSfsAbNA5F5xKflOb7yw
JOE3naJtoOUPHTpC13+l3XSxYEYlqfuGJHTtMg/bKjOXrt33/RcT4FVcadRxdIvWfA6yclhwkd8l
Sq4vDHFFqMMvm7zh+1hnxefkwL+a9BfJ3D3W1Lmsu2PjkO+BBbYqetwceKvJiJ3LVvsONHwyLpew
ZXbPfWlDVAbaCJkgVBSkXvsPFboZ5AGH5Srw5NZwWr+c8Z+NmXMSHKYVYWZMXA/hkJ0mFZ9zr9hF
mrluytbmuLUAugT5a1D1b6awjxn+mmgQb6D1AG7Kq6JgQc91eVddyoO8x7NUtGAfmybyA0vj7u8n
uesk7WzR7SITRaBJ3gJsDm1RHCOv81FMEGKrtQiq3axcgISfrH+6EzPbEzH9DBbPET75Q4IG4MD+
9cT4bGHxs4ovDTVNr3AR49Bp9RmMhm2ScsDGnIf7bOBJmUL+vPLZ6u2LOUQUKd6d8uZx44Zh6FsW
pITupyShSglc4WSf47ehs75QaFCGx+6bquGJNKkPEnlHWO/eOu6mdJwbO+h/SV8A9piO1SD+KFs3
fYCsprt3BVRw6Lttbnt84YUvg3GdcwyT5Z039mwdbPRDWkvqJrxOYfrPSElqTzHmUmSMOVVHhzUt
SzP4UtNHcZdvdXvY6W5yDCySW464WTiHM8FQOB0wbWpPQ2EukjAnBLwJPcG2nqBHwD+T7EMI1Lmz
KDbLyb10jPSHUnsE20m21UqZG89nh5Oe4Xnq1wlPPD/EbsggipQmDMGZQmxu1WdX2ztLzFSKYn4n
EoJUa+xFI87koB8VToiQHBnT2Cny4XvucRKfJqdbT0nzFo64x7Sc5mP4Z1IPrO0R/0Bd5/uoCi46
bjKSYqfSK0+NB681yDt6cV06DC76xO9SaMZprhcrx3D2MtD3rknw2PPA1dRat9abbC1GomjMQoBz
NTzNBRnTyhBgjIrTCKbSZ/nwe1g2b1HWc+SMVDisX9mJjGvRzvtzZCSHmsq8gqxY2xD2INevHNYw
2jpCI9DmdIO4/pqzemplO3KtPGAPeToZmywyjBNd67PULaL5GNC4eUg0peuIkP/am3HPl8OnVZQ3
5UyYuZtV7xoP+FTblVGA3ovq5rGKvc8p98b1kATPsQ1Vp6IV8KJLtTDKybzvOb5fUKX9wJEr3ZmO
7WDdKRto3gXHqlh5uXooQQMSpnN08LO4L5VQJwvTGL26XzIwUxVcZPtbAhipclAgGGBmqrsSX18K
KcN90vIXUBC8ZS7Z/eZUNDT7zC81LF5R+kb6BlASijZgNtBGJd1SrpX7YW5Prt09edjhgAcZiNlT
c0PaYR9uGNGxge0aqacQY22P29bLyzuKZ7nq8IBOUXIqogkjJl8RigERwUq+BQIYbgkurNMdyFnR
C8XqWu/MzaBPHzq1LtZLTjbTI7oz1GI64D3cxTjdV+w+JyojIelEnfcYEjGxU/FWJfkdfLKi0DQe
Y12D+GD/THp8GBoGbqxCXDPpVpRi2D8iZWc71202fdUvzEYGL6O+U6mI17nzB+Sc04tTxuI2rdL0
2BdUC8Ynw8lN2ySog7/w9dmOC7w/085jDUOP3XmboVng2s4lkAn6dSOuM8SilYdBxQ+isfQ1o3+T
jnmde+w5gWPdvMqjEbcF1VkSHCUT5h6/rt/p7tZTNefvTFdoP2lG9JSz6oO5cQtcxAZkOGkVFdpo
fdsjNzOmZB8iCA/2rFEJW01MrVje2T2KJVv/aZDpTVdtyKYyHiW3NJJAb2pi2qn1UCWFuxOBe8+m
ItxQit6izN1pPd4r5ga/YU3+DLD+cyNSFwhDk66bPAJOk2pXNcSPgZQPuPB3SRRTPWAEQ11rd1ZK
TdN39G0x+9CLjn2MfT69lIb3x7oaegFEpxazURkxwg0lP1kJ6wunugzJFIOpK+WjjWy7LlO0E8fq
8V1EzwTFfqIs2zYQxbrKejJy54UNkHiWzAj8U7OHVnt1loktLSanc/bhCf15cszvXnMfJjFSWgan
mVgZqghhd0VKw67YrxAga3cSjHBi1Oigg7rFvXxmzsf0ICIukNt/9gjZipvPawhuVE6EyBwk7/Yo
H+vSvARxciB46Rc2NkMGRdag8O3zM2j62xDr+4yDOuyWqQYbP82AD8egWA5aDjwpNplrbTVlQzcA
DTRNM+cSVpTCn3P9uZrJGzhBuyOaT30f+JGknYAyrKnmAyvIyKP1oVvB2m3dPYNPa2cYCEYDiz2j
WedCDJG0mca8FVyFsR4B6ZuOWZAj3xt3xyp5gDSanobaZXTnS1QuWFb72lrdua+xWnnsFSgZiWf9
+NfwLhdzgrFK17g9tTd2roNUKPJ3ObPuwujEA72kH2gC73zWrUcS2JN2z5WxRuAoFyPTWqjBV1xq
CUbhIBoubmyeLeXtsUL4ugX4yHBugSV4s22O5pTxObL7MKDZ4C+MUb9jdAEaC30fYDqLyn7rmvcI
x384AAoxDGrZwDFfSeVekcmSM3Gy8uS13q8czT2h+iMhQMKHQUpmAgue/WPW024MgJMPiXlQdUJJ
kN7Aovzh/OCaF8H7YGGVJJPCtt24eeuD9j4H73U8XdJkfAszddebpNg6BrwMV+S3pB03RojRLjWp
mxmDK0072c2Yo6elkGRKd23BFTVyrOqECfxgKmZ/molOad5jMxcbkjKb0XL47lS8yafhiR3dsV8V
DQMli300Zpv/M+3+3oas3KmDkUoCNyxZrBzPNL58ZC42SIvZpma17+FU/2gxtwE6HV26F9krrNdb
aRbn0G2/QwNLmeeW6zZ0ctoQfn9m397QfdS9nsGPNDY07ntN11nKhMWxyvNPMmAUizX1JE/oI+r3
nU9iDTLl2C/Vh8ngzO32ju6dFhuuKoytZWNX8eTG8IpPgT9W6/qDauuz18VfqGaHuGxQRJh2sVww
8k2hdlNbPQC5PniQ35tI3vFf6muNBDAjeKFt0R7+arwYLAgqqWCrXW/qewsDJTvSGbUw9S29UQcr
0n7146EwCK7oMy9tyGKTUIH3GQ62LN+yKVooIZjpJzalpEz8EY0xqIAYTpxmW9fuXqu2Vki+1vjR
AwyD/EZyjyjkrkUjgVpBgZ2UwMAAwbK3nkaFWbzLH8IAfFrSPDPqw1wHuJdorR5kj8M4Pc6mfMJq
uxNOenBClH7M1D3PipdN50lRmMnY/CPPi2NYXfuAhpSTfpvwqGoN1sClwktk762NiVuXb5wIhRQl
1Wq00YqZy4BlLW4zCADoCT8QSxGQxG2ijS5h87n+8nQDTkBULHzglguuKvjkmFIbVLcQXVYek1Om
AhDYco7zuGj/JOcyYwjjw9ABZbTB3evCF/q3fTfL6xyZF0FcCYq+4Ian1BKEddZ6Mbw3S2OK5ebN
LrAAkbP6iAdkFj17qjy+SbtkhuMMK1xk1Cp/Jl1Ly/blXRwSfRrFmoXvPGfCeSsnFqTAvPtuy26j
YuVnQcDdO8TssBAlwXf8O9AEN2qEGTYQ941q/FnRd27gM0wECH6mgB13se5o69DRqfmqjWMmGxkz
Bpnmjvk0tj/ZeQCDG6ZgKZetViVnFZIUqpLpnE3ZZrZY0dpzAzcpX7IyLl1vHSw4MUbEXp44BQEZ
1OmpE1gFJ4vS0GSPCrqY+1UTE+qt4YTHqMI+0sOmjxard1H0qwjIsqvkUz54d73iGA4jPMFsJhA3
1pR41AnNGQbVWRIALFVz7E0yBVqN9eYXLXstNBTuVP+kUceYJcjxgGO+j0b3UzRlQ6oY4oQMxbs7
2k95pSh9WrmZWHFO5BfvXIGDPbF3HkXniuA5jdTg/BIBfinn4DXX258pQBNDYTka/U9jIgRbabSb
GdEHhCSNAZ9FHNvs1zDUv6L4EDPJBNd9KuhACi/d5bM8meopd7indOzjQ0xLzC7wM3/gHnTU8PhW
bramPvvMfSX4iaUIBslOxiPPYay9J6l+HUbn4rbDv4hlOJzSbnmUgXyu3Opn1EikV8v4y+TTDQOI
C1F0yhVJS9vbuzQbPSD/umE2U3bmNiqMVzAcf8Rsj6n5IMn5F94JbtB7ga5gdM5vEIuHgg+5Gcej
nVhvY8Wp3aSHwOALcJCIQJ62oXZzQnQIkV9ixcCVMnZ2Wx9wMg8gAlfc+Nr8YjNZZz3izuqQ78Vp
iq41v52O5TGhhvIUUYxgDwFpOfIIQrJoHS9mUtb86A8ZJMqJ0WOJKzXHFjtne/I6ZMrGbUveXkXD
geWaftjSpWFsHnSOrLneGFr27C0uGQ45nc5tJhqXISoXLTNLRsFrs+nWfWg9akj4RZZsMGyp8GtY
klvli0F5AqaE91zea9apdLAUeWBetTE5zouTUOS71MaIb47huY+/ZMJkmNeqZmcB2mtfib0z5tx4
7q6UxcWarYtr/ZLG4JtPVhnp1smkg3FYvem8JswObIlvLvx1Z28Nuep5yuwvRvFumC1memiSLGDZ
D62z7Rpi5m6HJGd8M4X2k7HbpagcWvhdLJBzT/lRzpi7ex5QnyZuwFI4+zSWCDUprUmwS02e94K6
SjO+bG4ZtvDwo0VEDhlkoCq9ArC4FEW1naIv1iFvpeNsRyi1i88bpzvYgXzTovvlFpNMx1uwpKsR
LdwdjLXRk+2t86NgQJE1zaFmzF8uVN9Qoi+Jw8DurQaJrXfPCbZ1HYNf56GWAO5SDNuZ4WFZoTeg
NqqK78LE3xASx0QwCoMtdjzSqOGuEf3R0D5kgUFgNlcl+KTYxBzZfgjzDOOUrx8IwPA8kYQZOAxJ
kFN+HsoJbCwRUTB5oLU5nbniW73d1XA3oao+9OVrLghNu0HlR9G5bSysteZvPXHtca1UOYK8oOFm
kDs9Gf05U0+F2msE2zy1n/tDMta+FFAsigA1h2vHyXbJkG7K8MdFn0jhjsj5zoaLrSboGxZ6un0E
QvLgWsXWxqzgReGnq4XnqTD/WSDJJw+Us9CLdW/0ftiH4Er1Z5mXqMiNxwYGB8tTP/xanJshhiRt
yDa6aXGud9M2rxHuR4NobsOqBJrQkHhgdQRYcjZd9ybziQYqJVFa/jbNdG3HiwC4I4fgZNhiM8as
pAU9FjPDHadm13L3WuqJfiExv90xYrS1H9HmKmVRhekbBdmOHhvkDPWsqsljInLnvNgMc+dFB2pZ
ZVH1B+RIxh8srsQoaczVGZJlZ6lVGsJoFLrvkjcq55yywtnP3VfnIXxK76DUY9zBdMPWlJJOp2BC
X5/rrc5b5Lb5uSUjaj2EEVS/mh5f75xHEtfsSLh29XHQng3eRT32LbHlwEGl/0pCsMf6W1MeRMQy
HvWoKC/C29i+FOlDZxlsUFjmFj84mFYV4yBX34TL0MC1NnqHw02+JkxniETKMdsbijF9DiA40fy4
t1ajszSd7JYou20bWhv28iHMVpgHtZUG7SxkgAGjiNflxxqAiaVElRe8dDTtzF67WwU7D5yz5mzp
khZ4vR59z81bRUMUzkh11JBjxKebAMQiuSbwWtUHlwvCxMSvzO2if+r5J+66rD5X01eBj7oi4zWH
/9zPoCLqGT8UdKdIwS62RZ1LEGQACKG1BE5hb5zxM9Ygbl+Zrtjjluk0yhlJup1qduAcw/riLARx
sGAJ1DLghjZNoqy2ucsq9Ge78QcMyDZQHvLf9AlnGf5ZBP9MdpO1sz8ILDDeA4t+N104HlklvRIW
Ifm0OJbcFF3uscWgQXMcNw1rehrT45wgxkMoMTTJ+DCMRdDc1BF3PfUnO/so4g4lWzeDX1uyOi99
YNHxbnTFOkfDcJlfT3Kx+bLfb87PlnfgnUN4Jv1fIwQSDjDsNy8CyGqke2y+xzYG/2ynf2Ui1l3Z
/PVCwh/U8ACMdYeJjwB5nuv3RbNmx0dEMxZFgBpm9W2FcO1L+KTsDhu3wJuOrhe+eAYGJOkkN+b5
MAXA2MDRiMmBlKOzZ72cnyMXUPb5Zkzv5m5ZjRZNj12gQCw/WxW2PJIIQ7GajacMWGWjJRsA1qT+
YU329jFqzbXWdDeHSpIpxFspKQqYiRZRfMi1q6tBdHzu5C0cLqhSK4O2WMzsrZk/RyZSvSUuafkx
6EQh8AaSyspl/NZOnO0VyDa7OsnhSSRi4+KDhDvosyL7aONphFpG2+Qr+a6RJMCIAsdoldOkobVY
5T633yGDOwFp5MYvUDqL8qMTby1+ET1uN46YMdOQH4TeG7KNSlveMu6L8KmKXqX2rtmnJngYVIhe
+TBBce6I7VVMwfwEeJ8+HalXbYf5Heqw9ZPi1V5GHBAyGeA9swKdoUB6aAdva6S8u2zEycm9Sjby
ZNZzP+8s716yAwnKKNbI8mCQ4B6sH70eCb8+WAlsoB17bS7e/KFItGJB2gTl6MdArHsacATPQj5M
WB3jF8c9ZPqTW74DMpW2vVGwHm13nwRPNg+gTA6zvsWugwyBqcPV31mNiXaBv4S56nHxHy4mXxXu
hxEeLuuwXmLvwWagTprF6zN/7LfIbjLZmhh6TUaeMWHe7h6whEniJPWyc1SzY2LTsjmGJ1SRnw2U
syV/dK64UGFGLHf1KgO3wIo9NDu51ZPp7pW9gPQMbMw2ubzc0H1HRlBsVuD9QY4MYqLL+HJJ1nov
szk8akAx9QGRTnTHvkmPtSKwUl3LvKRvf2JSf4Skf8uB2ESlth7jeQ3MB0GhWkXMP/XU+8xxZDpU
wMAfEfAd35ouDALB7ursS+B7aCFmxs1WssYPqcBsXmuAVe2hZX/WLG7KOof1s2qvI3HIbFdkxdY1
sp844kEVXXkaBZksgH9Mdtcm5ssgM3dQcj8n9uGwS83eplq6KzDYO/jmvQGzYqKfuzz95xKTaKV6
pLA7CnbdNMTXueaZRun7gjmZQh0Ps3NTqePQslRFIMwt+5itqYNGXJOXGtf8PYdO+7VczddiGyQW
RVA1/c6mdh+K4XV244vezjtbIKgNNaduaX6HDlFgQF9zLleWAHDNmJ2MCrTggPPFYT2OCmbsaYlB
ju4vFNWtnzY6MkX3MTLrtb1VbMABYN8ig5TpkNWESV6Cinpp8rupvprjCA7ucWmWAdjsgynZsM+H
LZH7OVdfMOmxnWB6bouNcIZjyn6CsMvfXG1aK52NlPukHThe1aop+lubgKzmbb3A/UNJyzWUP81v
cXsyMH3PBYZ/U+56DY6q9TdUp5kq28kv82zsbEQddzoLvdoM9TUEGqMEG7EINzC7HhINK2v7kJFu
YotBYACPPYpgW9IUppN5xsm6V9WVnDwnCmunOsxRM/aAWKonrOT+wNaoukOKS7Wbbqvd0NUvcM7O
EheY3uL0d14ISGbL2kpaXAMHhjTFY+WJV6tnqEVBFhjRPoUHVqgbyZRfS3i3shopEXPAJOzUG8O1
6UDxmnhYYbdQMUEXwcQW+BTHd+aocAEWJFC0M2M4U411QMPfsJCIhZD/ekTJqH3XqCBGMk54xbzo
aIn3gtlNI37UWBwM7dcGEZwp9jegSDTVZahe4eTzclPmW8FRxfbZYFBMtnY3KfDoKO6Dy5mJfhmr
teew2nohv4PKLvhj0ZyAyJi2tYXZre/2+UjkuokOrKl6TqzgHneXvpq3RvjLCYQFnMyFwgY401XZ
VN4Z94w4S8s65PBz+uGx45LQnorGOfDua+6PRjGYd+9t81pKvrvskDYvEeH4mPozCYjy1OFzgPs3
w4OLRWKTSoV5vP9XLGwEFVFCwfOlusXwlAEZbzILJurGoy+3qwq9dWDtgu3XJlEr9UGCMzKOTahz
FYkDmaWxQibF7G1Vb1P0OodsCQrpRSL6wvzGLjH+CXNT8zWD3bz2HW6EGVu9e2zpYGJibbFJsDG9
E5zj68k2AQHKYeCTUiOLI1mgpHv3UfpT8tIZh6GYaNQfRUl7qosdsNMNXipHdJc8wsub07pL8y3g
o8YHWhTfrvPoAvOr8TAU5XVkLOhlr2390RpsJrd5ssd3lRxbHFUVO+EYNvDTTH/YyAkWSE4QZ7/c
uW7S7FmjvPRcVC06d3c7Nv6ksDYrtZIw0xjJrjUP5BRxrHhqtxXY4W5i2keClE2ORPRmVv4Y+2UF
SiDKbYLLnFafVgoQgVueUrfaVY29Y2H7SjO1C0bIZ24J8HGCOfGE7ys+qN7cpGmw7mvUlqhZF+Sx
ltEVoRKfPhQ/78Xp5WMMflvH/ePKcZ/zgpecQDOku1kYbIuxjsTV9qBXzhgMD1pA2VWlrwSQnmL2
BMLpXY/z4NeTBw8G4RdSVsQKrajpVuxZ3cQZaQzetspAwbSJtfLal8OvRrnL5YK/qA0OIOr9DvNP
MhMuSPU9BOPDkHuPmvcpk/gasSwhVGJfSZjiDSWuCbeAG36ycnpPDbKs5uekC80kBi0VEEec/Dp0
nxKHszEGyxIkOyLjZ9KpB5u09drBfnWdA6bBeoGrhbLLjpP3wXaQOBy6hXpiIwbjqnDVuRl4wiz9
q8HPFj2gwyG+pMb4MmOsSp2CpZv11SBsmffZzurNL5EQ+CleGzk/Z9lfU4SYtdTbqFhOrJsPIfHw
2kxOWhRelWoPnfT+haP3FjGjbSqN72S5Pm7w1DZhem9zjkup/TI/+ev0wXdtfdNPim1/1RGmPryi
GuthjQ3gtSixF3qLOupStLUzsG9n3jVpv8GB4btWfhqG/qHs6tdmapCdzmCZ4WCTbAGZJe0twHkh
BqgtxdFFV4rK6SlCSTMtfec42mPPltCZwrXVBnRf806sZgeDDQn7vcpvg83Y3ztyYON3mvQNwPKt
rdTGomzmPPlOY35GDl7QcX/ADK5pRBiTcL1l8qSjPST8HC4lSjYU+961Lqm+xAovuvIGYk4GNTKg
O/EdEYvivXI+ZiztnfFFBZSxecHJfycMt1ki/GjMXjoOk0hPPiB0cggSKtFCZxUDl7P5KxPjDbsQ
AsdfJxkZOxmNZEwvJu1jP78C1Pu/4ZlGwod6+hAFG/y+fyEfveq1teQSI94OQITa2pHJriFoVcJR
KQsdlPzPkD2P7Dgb7HprEGlTgY1lkcUDFhMt176MU3ltysxPapssIYnbsjnObQss0wJUyfKMsXsd
yI8VWvCg5mqjo6VyJ51BD/tOg75WRTcDScPNxR9S5qtMXxLvN65fEgHeNJAsOoN/rStq3da35utU
SYJsHcgiiHSW9lWZ3GcpXnWpkx7gbZ/hfErkgwJzhjM1fukU29phj4qX7LlBfDWzPTAdznFsHNOO
aJ16xMxw+I+j81puFdui6BdRRQ6vkkAoZ9nWC2UfW+Sc+foe9NPt6nCPLcHeK8w5pho85uAOIif5
aEPqs9hGkHQKEwTlLTEz1WcoghRoB1LgGrgN8/DH3wtha5exhY5Hvvhx6cqM5mcOkdfRGY3gKjAJ
y8K2N6keWmWrhSxikwDQlUVHTYWmhjVpN5QCNP0AfjWJsikzHZ2bTiA6kSS5N3B8XrLCThKdGJMp
xDq+jVsk7qQMlblvaz4mGUBphzbRsMrHtlUo8Dd9B8FM3WpQL5jZElo9pBcmX9fYa/ALGHc9mQ8h
dp78iSUCtlrbasz1ZEtfS5P4JXozZUZjAwikRWjo8iO0fDE/QiOgZU5b6SJqyVZs2794quEbdT8x
vj6qaVhGwYCsYUghC8dKrC+6dvwHTfBiDe2x56dcplOCeAPj56yQp6AXppkbAQwnTTWnMqqRDyFO
7iji6lM2jt4pKPOHqZLhLak2sd9c9Wl5SyBhkXzUvFoFAAMhdRwRmYdUL1buY+D/Ynx7CkH8Bw3k
yRjib5gCam+J07PsQcSE5M/ZRkn9GhXST98OtAUKy6F87FtbKXvcy/1UgzKPtTVwtd0IEtvjqy6q
Fkm0VhV07nmytjTsB+Fw0oOoxhsi/CpKfCboJlxP4cByy7umdC+rmg922at5gcHDh7cSqw+55/Ad
e8yrgD2ltTWS9qDNqmkl88jJ4XcmG5qgR8lqMRhxQJS1/C5iTG1+oqBe6fqjga2euaWBpUPUhWWX
Sxb69OImMrGep0JnGULbEtIkj4qmffnhuDZj79xmieNP+bapRDeQOX0z+W5SUkqZspYH44it31hJ
EiAbPUYrrl4rhfE94VwLtS/fuQiU3JefPoxX/PQBfGl8o5oobIMqu9cUvYtUgRuBYU/p+w8xiqH3
xONDEcNHWqn6Kmt1rnLYhCH0hlhqd5hFoZs26BiNdTanjceGf9JM1EWWAdyWhWkushPUUoGhuIHj
I953RNyGY7/Xq27LwsYFaZ2vo3T6CHPs4WDvsb4Zq84XlugNHdPsrn3C6NEr0B9r32ZfnjGU2Upk
ncWBodGAIAScuhcPXyhS9kVeM4FBzMtIUgkM0tyqJ/kIh6SpLppEQ4rpEhO6aOzlYWLpKDsDMdrV
zJXiiGMe8ugZueN8ueZqAy5BlNyy0t1eZdvAjIL7rCz4hNv0Zvr+pQuRmlSyucvr5CcIGRzXJDK1
jACC6c0u5KWWBC337apRio9OI/YqUJilxdotV6bbOLAqA7hBGoUe7wWPE4eIXEtXJOov74Ogsosi
jQyl45Oeps8uCQ5943/PbCWlH/YV40/CNjZ+PhWO0raOJzMKKNn2ZqJdEyamhNKxkP03c1d4XMNG
E9VNjXQUL2i66gelWNQNJUVKoRO0AqNA8RhLJqeQ7AKXwbqA9qzgfiX6tqrMTcSmNhWGLUgrtwrq
FQAVhIENNSpbBCRMe0GAB5Doj9Jk+SDHmJrmNqagiUtH4zTKMa1XuK6hC5AlSPiGzpo223ijtCWh
wzGLBNo65CQLniPLH7Y+YnydZM/JCpAY3b8yJLSud9Ek2EOB54/bjzTCRWImS7APXUXtixqR+cUB
qfmaqKRNbsonXWvuwJ82Q5deiHleaVSZfps6rSSck/IvRF7WaajA8easZ75w4GUXc0xOnEyuHLa7
QQS5wTpGyI1nGwtuld+M6VPDLCK2d1EUHMIIXqYwBxYa114+Qyw++gpEgi7a9Wz6+gh3JS0BIvzl
NBqXUontQE+h65EYqSN7mFAIRWaxNcYR6W++tKz9jLEiNXqF72fVGJgNqAMzK1zLgkFhSBRE2XK/
q8j49L0f/sjzmE4otwrmMUQ4tfWTjWQXNfDWWD4EgWIbIwUWL2MG6zCy2JlZ/DwMS9Tr5NMnsdnL
rQ+R9XDFzIAhNM8zSeSium0875CZCkFfoFG4RVu9WIsy9gbvL20tZ0hUp1SENYlNLnEWdmbg1lZl
hkb41C3m4DGTu7k3yrklqff50t5KkX8nAjqsdjSR4B5Eg1gRPIIAo7wpdn2P2XQ88mIXb2rHTSU9
ZNLtyKxY1Drih8Auk3hfAXoX4+84exa1tBRG9UsZ9iNOTB/jk0Y4e4zqn0ykZdZTQpcMItEWcbU4
oOtw1NxDiOEZetlQJOOe1UtTY0uIgIbkCn0gY2NwjIUMrCup2quMuEqU4J8nw9YaA9wTw1ISUrq2
CiEBgmcITqayN9Mvk4k62T9MQDMb9IKfXKQpWYu0dcqMK5uDQ5KeOUlOjQYFMYeNMVDlZrXszFKb
qucAx0MxQl5p/undQ2LW2+q3edTUmqQ5kgzna9aeeA1XEYXlZAW7iro/x0biE/fltf9KaRf32qpG
uqdN/4imXPqi9CsTXr+IJkaGbNdKj81yA2ZET1ej5P9IcXCVtN7OwmgfTuUhnaDlDdz1lbfJrNQ2
fZze4RvJVdQXF72r/gk+IVK9RTUQscrFp8JoirSInWmSc4xfC5/gxiyUdYdybzBuKrghAAakdBhI
0gfHQ7FlEfeDjN4xeIuNGO5Q8d0GH6lJdg7zFQlRrwwjIpirlnFGCjAG7yhRVfx5YHFQAewFVdz6
AYbvjmN1HF8cYStu8D0+6L3IirqdTr7yaYm20H9APGXVB79W9J2hNp5lNHxnukGEZYHhWnlKo/7m
dNyCUYbgIB76FKISGys5vUj9W0ev4tPKQMnEXz1rG6z6YGFcMMabSKWVz19rnrvZ6NlIQO1EuxO3
tOyvpeCTuXVIGYbrvFxNAeAWghwiOll6DEL29CrxR2pKjNR4YNBS8pu2+ERF6SODYtG3FoAPPiyg
Oe4gV+9ekP9B0RijgdVUwDCV8AYOC6ZqUUxy07St8Uwzj0mEkzHnxiJS7tGGlQwfawE3Cud1KiKp
qhN3muaNz7DLwNWPCiQQNuMNDu1ISQ8isjMTkVRXVliQqhXZluiGJRJs4cxA0n9HqoUqvNya7EJ4
0hsewZSk6RaDE8E2POrPeMIXzFcbsuTuy3B2AT2JsuG1ZLqNa4+8b3ItS3AOybqDTmCpjzq5YoTv
+wO1oYliWdgVvhs2+wi9LwCLyXJjuhw0sOTAl+OhQHTnR3Yjuowu62bDRd3D6TjpsFesT7l86NNn
2iGqQ7s7qZ+p8qexGjG3unY2cslmWsL5FSbLhlkovq9eOUOEnASoXQC+viU8d7qDjZQlISgSwNkS
N7sBByDh9UMCgKKGcq6eQ7oGp+JUVPAQaj/p+JkwPan/4NJM0Zo5gHSO273SEVdi8y7NGPr6nwqj
HSAmq7uRnlAfH3AECB64TRqAKyi2yc5TsbNRa65TtnWhHqx7/zl0lCDBwQDgpUH8vpnKzxChcFhJ
1hGpn1sbL5QOGHBlCGmp1W58edJsI/k0s0fDhUnylB2CI2ODpmEDGNa+v1PSdStsGZ6TBG7nUUEz
uFZhA3bmSJrUncprqQZI5gS0May4X0J10cN3PlxKDcwlMDYgcceyXajpokxgkC6K+lfA0l5/6Ona
EA+Uhen0z0xmHSXsJWghHVl0+z5jcFncSbyP0gsKgUjAxtI/+wJRsp1pv2FIT7TXQLoQ+oZ0L16H
HxBQTBOe0ywXKndQ9SttQ+BMYq7UzpHLL7pXEZKjV0JYBOtBVHSVPyEsGPnVECIA2vQtGyimoBAQ
Z6Wo1ICIQXi3MwyOw9uQ7OFc0FMZ5TGBlCPdMvN7FrMbxmGs2P9+JqhBxd6Wc6c1T4n8bObcyQds
lwkzDyKcqT/AYCzSb3GOyRjtkA2/DH0by4RPkwAnW8Syv05C85B2/kYXzl3q5BJGFl89M0blrll6
ALwXRC8l1rkdoDSTeIjBk7CukMpqnemvQSXL0IfYlm8DphQJ/1LDbEhgoRM12tJSfPKo2U9cpOET
cVBTb9rgRqgHrxamvOon61cdRspu3ZZ42mBhAFzvTnr+wLDPdZmjXMZE4bPiJ48XJTZvT8PI/rP4
yMjq0ThZ/9HkYJ86jqhLPNR3CrnvuFmZutzr+MyTYuCosZQTQ+eoAIA2Z6I4CY2ORt3Ww/HDKpuT
QsQAPbDlaiemHzI/XRxc4vyvBXpAtSGctQJKPDKWIHUCeRP1m6a+9MMZf94WT1eprlmkdFziQYeA
/xfSZ2i4CqhiqP3MoPc4wO7Q6eXZ8Dj0O4Uv3aL4j+vZXYufMySTAClVCnQFip7IZxXhoVop/8AK
Cf4Wwo40HQfzIXSkP6xQGAUnAQVYAt2cFwfXbEkgXAudxu0FkwzKQz1eFKZfEj1DFU/PQbC9+VjD
9lykB3yQyDDXGp4Rq1113/70S1BKGLxZnZhCZ4t4K0hZxHfukxd0Hms3ZcoLQX1+slALrPr53Cue
Ftq2SqIulN+17K+CEXEbmhGfWl8c2Drc8Rh040sRPnqUNLn6p0wbpBxV6GSGnZFUPporkyqs9g9S
u4EQE6MGJOJW4QGJzbPk76T8lmKGasA2jf+ibF/Je0B4NAsHYIuF8W9k2m7wQge3pHdwsfKnB/rJ
tJ5+4ggYMBmT9u+Y95/EsPZmwT8VXZ2FdrtPkUNRaFnKERF1bfQzygMqP8wHSiUUs+NhNJ4hAegS
J6GTdeAmYIpsM+07qb+Mwun8Uxx9aYoTejTcMOZuGMjwH1bp98iTqa75R/m0IlXy4uGyNzdBxqIl
XcXqNgr2He47QXUH5AqT9AmBobFY5IJkIgHH3IB5N1oM1szURHl0hFn5SnKijIEIfdT0zKAXNuI/
ETNgvRu1A2HrhIuO428f/DTkGnB3Qi7IrfUoLxGeBT3VOT5NIgxmN/qLebieLDEN5/RKlJKcf9rJ
xGpBXgpN/60Ld2XrkhKoRnRFjDGYVpEkaHD8TcmZkVY37Vt1Fcwr5X9R0zBKXU5fQ4m+zOXl9Ltl
qtiMrOCpIrLWfRblSANb4ZT6z7T4LALmymxrunQ6Ymsva1y1zAw5oC3/Fcg/onXPEuAG8220i9mT
Wg9LuU8QKg17hj0JAWzM0EnSazV9+iylDKHby2Gw8qPLnD0U5lw33U9Na+av4mQzRgfdd81kDYrf
6dpPrLQopr8SyPPib6h8pyV6Djq12v9oii/8yRhLoKcnGZNddD/24G/kej34n2L9Icjh1pTFJc4/
HjuLhf+gPGJknJXKb9HxgeT34JcFeX2Nhn5rdng9x0Xd7dP8hxJopWnfU/ypslhFXJT+iwJvxagE
uOepAm0ogwUv4YxAWve006DLDptEHXo4UtHmHkC4kYbZ7/bld19a19nDNKyaBIdYwOgEmbeG/QCs
UjPdMw4uPJnAFTmViVEqUV+xG+wJXjMoIGTbB+mfo+U0aKKqDH2iBpz9COVrQreS5G5/TXT5xNoi
F06Z5ggS6ivloYfjwlAPbCyUT0P8F/EcJrjxMgWgEOpbIMyPwLSxxS5M4cdAAgT+RY7ueurW8aZN
zlb0UL0TXiKUGQn4H+mh1yuz2aE0t1gJdRyXHIrs90WES7bPyRtCX6o0J7OubQvoRnlLfDUMdICG
7uT6JiJ1zLQb8Eb0tutpsBZlP6iLRnvz4QXRSSXzSNVt4gSoqL74c8N9S9Yk4h/LO3rpxbMeonJp
tI0kHXv9XBUfaQ/T1/HTT3U6VJDxZZtUiAGfBJaDmNyviQa9yPcC6IaKAAFSg0UuZ1ceV4XxyIov
iaLTt8SVCdxSYN7I9lgmthkZSsMdDEZrERjbriGVvNpEzVvovgf/AswCcdUKnDes/hbWjt1pNmqf
GKsk/ixCfpf8MWNyUUNbtPah9qG2JCKRZB5SKhG1iS7tXbMMBv7F44T+quRbrDYClXReG8d4ZJgL
QS9fCnNsVfcQhQv7Hys7zSJXj7H2vHC4ZLDOQlE7KKYKbhkj0DqSKMH+RMR7yas1AECxl5t+pP7b
YvMdaMpab3Zm8aEzQhFtIvJKjGU0YBSE+PMYwajgNqMBZKSwzrDj5LhysKJUCK+jkxeRsM0KGnoN
YCl1HXBrTMyab03wKX/AHFF1NhWkXWgypE1skPeiZiff/E3pDTxFk2wrpHHMewJSWiK4/AVO4N8x
WvfNwdR/NC6l+tyPPyzUl8H4qY4b07MTizKUe4IVqjA+w4BVDg3nshcAdzBWMqGNkSvoGvKmHXYi
Cv1I2aFCsIZ3BtEAYX1N1ARrNE8QDyGpGkyqEZGt6HXA0o4WxBG3ZO4fslWX0N2jx/Sro4CgeRSx
hY3LVnmiJgsDd86nGJhP5wR45/OOpyroDbC49u4oOZ7+8KWvlP4VDUWL/qaP32n1M2H/lAxQNKBE
WPIyR24FQMYdk6aDWpwlEMqBTrXAYzExN1k18u8AJFJLQdZEr565SimvS04nOMoaUN7Ijcq72WIJ
K3ZSwa3ZU8GoG4Pzqf/AQTASizV9MBaArbrl2WPlmSmXgGld6erlS4fGZzHnBSn0JUmYV+a/An4S
u020DUVejIxhUbGuyu84IuHpOKrO1GNn777wJ8zSMnysNuxgnzSoutkTecFke1iWgL88qvgmg136
m6PTb6N9y/SzchBpLEYegxpoYBwfc+8dUfdJceIYqmMUZwVdFOhsjg2d/1ize5+zHYo2NkB26B9N
BHb0Qe7q2CKnVZ5m9iXT1CLXC8q7Ib3l4lxbkOCLxRxVnZc4W5Y1MnL5w2PegQ2BDR/pLulFJ8/F
4q9Y6Gb83xTHHgTxDOhCnzzh0+QM/SJuWg3zFavLUIQtiaGh4LBMwnGZgBwnDaEy3Mx8kiDPvFDn
ow+rhzL8S8FLGj/oCTBgXcwveGa675TJsZr+/JJKgMB5cxlmrwRBa9E8/YDrm5+Cpt+aeupHfyVw
ha+k4FZ3zDcwvDjdteAJqFYlApBWwwy59TVkDCF0upVev9WanK+NJH/W+Ik1CwVhfcyM1XDElric
1ZsSHH7omT5XPeCwVtsNHI0eLQIjCz/dheAVpv5XmsiPXgnjPiLbiA4H7iXc/D78iwIe2Xee/SuQ
sJDPtYnVP3N6Bf801BGysEmUFzYuR0sjQozWPV9bNT/WH8g9TeEqFHh7DW4UlsjNLepeHWIi1ULd
hV36MI4n0rIIU9bwJBke+W6OiNQZtjLHiiS+WZ0kwsETtqVAEOKNNqRjS11NxzbCcZYQiQ7TVwvc
tizWVkR2LBQSHV8H3YEk/enEgPHvYFBjd41q96RjTcPUbI5r3ccP9lQYQmeGausc9/xRnKOg1qzp
lWDLqopfNdh10r5vvZVIVRImqxBfchp0B1LJRX6hON7F4PSmA4S9tt9ZxVn0dx7LDO+pXVHONf2n
LjBveyRQ6bTRyQKaLra03yqKKBNpnE4AVRPfyl/C52BYBN1vjo+QeQ8MwIOPwBVUqvykH2mBJuiu
6TEXXcI7TLuZjbIYxJek/0UFjTArmqXWPY3it9LuSrSBHrjU223BaymDBbxp0xFMvBUx4T1IrAQ8
lTJk/ooV7t6b0X1H4TdBGwG2YKVztNxBcgaGiFeeJbIxPPsEPsFGDDjWbclcFobTpwdtWLJLrhn0
aRsu8UnHbwJtBCFgzGHK0zHmG/pV/H+jtWrrq2aOi3J4TdxPfHoiB3V8ABRdo46NWcbqN1o8olZi
Butyx1htSyqrA+MR5dzCCghouSBMZaKrp7spPHrCR5B/CZ3DJE2Nb0GKSSp7dQnrh5soonNcE00A
MNJAuVqpjqeeTfXYSTZUpjC51OOVlVgX4idv/mLEdR3my3H2NXFARl1IpIpLJa7Jx7jej82fVMRu
xe0O2ms1ESyaf88HYJxipg8Z6JXPfLamM8JUynnoSWObvozgp5DirV78mIxYsbaxfqKUyI1zRvOC
CYxARTbqXFBIMSpHMPdly7zPTftD1JITTpQDuW3EMqIybr+hL6Aq20Tp3/9F20My7wGeQZXx9SrF
lFlz5locTTrqaRBcLRd3l9OrR09Vwch0nInzPV9PEOCoXQRzOMY/0sBRFR1I/FVS18rPtXDqOKaJ
VOk4aMa9THgwCQKmxnG/lXVy47ahtiURs/+F3NMWf5MMVAZWHtANNI0wwlEioACOnyNbieB3Gn8N
RAEtxWRa7mUFQepAMhP7zpZFKq8sT+W6zs8GHWak/frMqsUIu+BzjM9xfeszt5aQQ7qecsksVBCY
xnNlIUSQlLgFY3SuYBzQ/+SrbkBpSqBig7ABq1mF0fKv9fG33jS/46cHRTC3eEw1BChXYi0SzOAf
4K2EjN9xgVlTd5CebJdiXr52O+NnUbDQ+eBO1VHsslTIUkf9m/cVihk6M1Czm9ACgUK5xzoGyaUa
71gk9GDKOZ3bT60+QLMPpg1JdoX5TNotkGvUS0CqSjrldICirizEM84vngvzzJ6ybfYgqEYispT2
2AlvQzmGT8HDUYPNqUIWwyo0AqSQsDIvau6aI3wughJs3Gc0VmbNdbeY8YmmAvRwkd9rhuVNFC5j
iV3O3OGRcYrCgMAjuCjJ1qxcFqm4MxGozP9CLT+L9JaLs6sPd4PdCF/6QHbQOjDpMwDGjzw004pA
sAxxAfckdDfBR7j9V2q2P+z8OkCJO3DP2JJOzgfm75sXmziQYGp/q8qtGNYjewJMgSqDa+xKKKdQ
CYoEVeS8F6iSFuMhMu9EllBDrEhdVcsH6h2CPerklWOJgidUA+qPnSmhAwFSvlYsVN0KHcKxpWU9
+rHTdBcQIVQzB3JkC16g7MqeThg0YNu0IeykJScMNgWvTzDuA+MVKd+B+lFP/wbhavU/cuEyx21R
Y7PVtFrg46rBnpUzonpJ8i1oPAZMS9YADPwQ3jp1udM1DRcGpLqTypZMC7cZTl6MPhqBwSa+ZUO+
Wey/w2LDAIPUVQgx/I1/lFfiHAyAZhkr/zoOt+Kk3FrUkZI0Y9yrBQabhSztUng2yW+OIVd0KLUl
tONb42Yg/OnV0Q3+id2hbI45G0Cv/FOw/nYMSGnCRbbHCiLhta8+e29B2Zqqv3xc65bXSTf/wZyI
JizAfYFy/MIlgnV/knZ9+4haXPF8Aej6II00X/V3XJ3D9DjEp2z6URE3KGy6Cuwq24DhirHTysto
YRblNo7YCaF06XY1GhVGHwoWw3OhXk2T0qxyZW1b1LYHQ6Rhm9u5fnHugp8OWnA5AbdsOxt61toE
v571v1rs4troTMK5xX2EHgseGEleTDDgYWfhvSHAN0nf6rArxX2Q8GlZX+W4aUITPT2e/pNYfNZ5
YQPgQEEvmtwYm5B3Lu9dAt0hq5zjaD0gGkkk8BaEf/IjWMlRACtI56NuTAKUaceS6yhhntFO6m8k
5ag3L2K37SbSE9NdSpSXV/DG7WM2FOImncjB4Toa5Esvnennivgc4uJijL7U6aDko4IWIbaNWCE6
ql8K1h0zNzYtqHg5VTh38mQLHIkFxg4iCqmYAiAhafPMOWWQZablW+5thGkyHfjIId/WtS3yvw3u
n4hoHzVYoqBuiNxK+d3oEMg/L9AExx8UTSJ7W+//W97m/WsVNn0S1wW3WD1P/wvWZLV2SbVVI5q7
YPhO4T10kIdzaskWlV+NsvvRDXeQHY5FuosqLmPNBpYK9vBX7H407Z4aFx3VKrI36iVmY9UH4Eql
PLMi6WY22pJ9dEsqKVkbkx6uyHxfpzGDCrQWtQeDMjjgZ3JjooL1MP32qr2W3BLQU4yZK84/qsUv
tCtYyUNINFjITKLqqIdql2l3B2Wa68J/6zgvrQA3tM/47EBSDbEqxvRTM6xIvJ3UvdVfYzxJuqPL
dp3iX+BT+YN9OwKyTOJ1hOJ4vFD8KQxb1Lte7euYp32td6zxT3rlSkqPY9puMnkDiISW0/EjDH1I
uPMqdi0YkfVU3dEkgSwYQ2XFjTiQBBjVXH9ViJuWs3xcRtl3E+3mQiRIqdd7aZHJ2z56Rdk6og3k
9CH9ZlSfhGlqs9Jty49XU7Zp6kZEBbchg7OGAqCY++GTgCBNWVranv2Q1/2YyRmAjWaAfYpusXmS
iifLO4Syqn7qReBd6MXoMfgKdlZ6rrqrnJN157A+KhLFNrszA27F3PERe+HV1K4VotcA4+vUbA3x
LIjHjlsf4Q+7G5NpnRz/6yXMFCjFUI77xaH3IWpHQFfbk14fY4bsUn0K28MI4Ktj0EAAlTifSQS3
MkSb79hFE24YM+sm1QyCD9h1Eilk2pesFQzdgHiw96jiDwkEaqz/Y1GJXoxwwg2Bhw52ChaHxFaR
ibvLTTgbz6Y94LeHY8US5rMApA15aqFqfLUXQTlbBr40RlC5eta7i5ZcfKoEWb6pn6X2mPpvQo5k
kinpYfJrkNznxayHLVP9Vf2119hB/hNKnptpAJCLj3J4Btm1Jy2PmEOdBnLTlLfR4wm3C4tguh47
8mIKMDYQ9EszzJJaQD2MAqo/ewy0M3tqWWSiLUg2HtNX8xJLO2E89BYH2qNWVWcGU1ZAIROK/t/I
ZOwiOUn2l4jKodGYezH+Rw2/j5Q5t6a3pQlYPw5LT6V1NnM0kLlTUx6WKhTI9zxWkUeXvTCWp4TP
gbMjORv9NZJWo3gO1VMh7UGFUcxFZPiyXEkV5IxEQzTLSPlCFe0pq7ID8POXmk7K0JeSpkUZrjLS
KXj0peKDfE6IrJs62GfU1gHYgqoOF6p31zXbnJY1Gsg6/LQ4dcbxomW/+NO13pmQurEdRVEvFyfW
/mUeICx/pjlxQ2uPGonzuebamJ07x0z6gc+A79JvIREdut9JGheWPm3VgmTy2ff75O+4NRSEGvKD
jm4iQy2B3xv/u8kkO/xCn8LzD6jT9B6BtRP5grgtAhgc0buYjyje8ir6S/MXHyp74cx/NYzhIKuY
s5agAFCY7uW/MWcjy02EdlRB1ymybH7odKOezLaLFQOuJSYPW4M3TGWadoEgaowcV3ihhG+ezHhY
k1Ji4DMuXUu/CgwsK3lXlmuRl67Gs5rLLh6+GPNjRGBGPI9C95P3RyECSpoh0VLJ3TJG07hCiT0K
3H4Mnn0ACW1XukpP+/Qwin9KrZMo8Csy3xgYRfTfvG0QLRT1zc6hTHdmhtQBkQZv6o7BlRWBdf1C
N0K/Bic3Y+6XExWxtViH4EuLZZTaDFfJjiG6W7wa/CIAgyXr1LYMpzsyuLgJO5vdg/wM6mZnWS8p
ecxks0QC9WtGy/EYBKeCfltILWZlJajl1q7EU1i1q6H4axEMSCvF2EQwkCeUDKgKiTheCtMz0p/R
cIboYlVOBkamfjYR5WN+CRqGsPE2VAGwFi+R9URGJofeNPsGu2Gk7StjWxQha6VbFZOkq9CwiDeD
3XH0VII7PmpTZMl+rIV4ZYinYkI/dUUaYFU4Xs+e5rRznyGfoYpS8e7F8D5wNJk6/cdgq8W4Zido
whfL6YqQ3dLyfoTGU2YaNwJOJGlg7G0j+hD9o4Xlpiz/KlJh+ASYE3g72AL8V7rJwQPDsqX+ZAiX
LyHgu2F0DfDIpd2nwX7GQ+6iP010ikiIsVJywcYUO/FL8C9yeVTLpzlc4tEpzE1/jNIDDQx4kD50
Ju6n/J2hpcrjDV5Gppx9upKnS9pQlre2iHsHlHK8Zb2V1K78QHem6O6kr5v8qg52KtHs24PCqqBm
8IzMMu++UxQpfnYjJBVH+yXTT6ypGFV2rDi22QAMd+UPF2gK8rBR23vfvmQg5cG3HB+9xFWYXPvl
o9cspsXTkovC1tR6o6vnQb+LQCBE6zuPMSVc45RiYrC1kfE1fpelSnIo5Vr1HiluC/ORFMeY1Idh
owy/qefOxhRt1FdS6I7Dn4XvLkUMyp+A10Y7ZgO4M85mcnVkfNKx/4PygvyFQUdgtKb8FSxE3/1V
SZC7kziJ80epN1nwgwo2NK7x3N6sgRV46nGgsOYDjqJ31f2gr4qzzTzn9NPDAFyEqVFgOMVA/42/
FK9ol5wy8y72F4/PNkXEryLFt9Gxst1hw9NtiKPF/+KRW6sdGlZzETPlCvI9JvhXQ2saYHvoyK0V
QIEEyTlE5Q9ZVc0/TSjGqQ3iz+zXqO3b6Gr4O2x/YfEjGP80ltgIBln1qxzXdbgOyKAPl2rkyupt
nCgcG/QDdzXE7uu0XwXRDfJ5QEPcoCwR55utJRXJ6f1LCUMbk5zyq8T4q1CyMgBHP0KD2Ca3Ojh0
LUeItRK9GzMM1SgJUL2mqHMKrF9OGro4HYf63DXeysqOo65g23+jhVrXfYGKq162quXCYF91jPqn
+GrOEvX6pc5eqZdSzmNb0uNixteeyh3+W7XPwgQMbfLz08qyrFmMFOAKBUxMFZXy0zSieCO0dthn
FSGDDMu+/Pirp+Qow7NgsEUl7DEHGMjgMaB3LqSv6ir7LIWf9S2J0COTHcFLSs/J5ae2jiDu2+El
CLnLFUAxL3KoNGuaZggjlfcnM0Uylo1y1Ceeb7fS4VE44084uXJAiT+94KkI7O374UfVHwFoJWIL
yO9amMZJEPbm8JzTUsZ12NmC5owwuXGKqLcp3zEjHVW35hdR/oX9vw5cyZwBnvS7Xv1Ko400fnqw
R2r14EvEfJ9phAQ8Uj2WIJRj5jNHSFmeZhN2+q6/ymxYVijAWGDJ7U1BHVLwCNJ0JaE96QdVP47K
NjY+U4Kdcxc9N3IF5cGM1sugeK9wblDEAm5aGGjKJ95Lcw5bfWZsSQ1u+8m0J55XPYN+xc4K/olg
YCxgKvARV3fVYAj3PSXgH7y3ku5FbaciTMAO3aEiDB54wpThKSu7LKEW5REgvIFmuqpgdh80XoxY
d8z56/xV8n09z+PqHS7KJLgq2MBkCpeBCidmsTj616G8FbFGAfttpicpJ8Z2HrOu43aLxATzbwof
ufW3g/KSeniG6Ur/ERE1w1hpxlOEeTFPPoPsJ7IuWr5VP/1macGrZIIMn03FScs4QEqRkiMylPk8
KSyrIViATPD1q9jM1Cx0WgkXNJ2xJ+/6Lth2oOQizlqSaSQEibOyfvYrNn67+o+j89ptHNmi6BcR
YA6vlkTlbMnhhWinYiaLmfz6WRzgPgxwu922TFadsPfarboZDV+BaFY8C/SWo3m18ATEKP71fJXl
ewV3FtQGc6F/6fpGo41Lg3OC/DdXzvSNGSptZQaVfct2yc57zKkLEPGxajh7IMh68k5JTyUQ/B3+
kvPZhNd0UokCA7iJjgvEEvlTbZ/57tgtxLSf1IPW/UjlRhxxpB/4WFFgt+Max8dL9U+Z9x8d2lkG
f4w2Wx4EF8uaFS1d+Z0FK7unwhG/yrDqzR+Gx2ngWwAcDI2eiw4n1L5L6b3YSG5aBhDme6IvZMhc
4ZFyRSA99zEQaEczBwj2GA00NOXTUd46EAupuLn1BZsYg0ire4VPXItn4jgMOGkg2s2AskHroTTg
ghPeUvCVkQnOZ+BKwcndGf+c+p63fOvpsUuOoMF6nONpsDPkH45OW/1yx6VJlC4OL731NYUU7ing
N/kztGdQjV337MDSDt7rQFmm6J+RXq7t9DpitGtQ5YZ8KwRFLBJGW9pM4JvliuwxvRg3z1IV6yLO
V6r+aILNzIZyVub0PjLLrNEttlSvxSEffM/C3pGddZgyzsasdqSecYLvnWQfmif2Rnj4viQ5YpPB
mpiYl0m70AHa5rFojz2p2dkuKZeKvRJ4f9U9XkOz+KwZZCbuI7TubvsH1KF0LkNxR57IYSCzA1dy
FfMar8aK8vnSSv4Om1boPgTewn5d1nKThwfJe15n2TLUbybachiD80VUhpuxuefNHb06kM6DlNvm
H9cq55BifBbNVYR0NS+pBoF5iTYkc27dcGWI706A62+ZfuSK6j9sHdXeGwiqhbyzYmalwQoz4g4r
yMvgtCE0Abt5s0H0ZBLIot+64q59ZsmtabtF85az6VT5VEkC+dBc7taW2EM1WWlkdnEco7KPojsK
ooKfl1EO+3H0ve7dojeb8x5qhNoJblYddXkK9Sj3jD3WOx7sD/ugeutcnltk85G4B+020Ja5s0+b
5gKybBkxMYoEPESYwoSAtei4dRbDa6za0mQgNfmzLn98Vo5Aan3Dy6ymlD1+Uq24kMp2FT06t7vD
TV0ymskntmvxCQQu3Lmg+4X7UFcko0ToBgnYMo7KdLVa4GLZTW2vA9zNYG+lXwnAk3T4LaxLUnJH
M0qqfBcBDUBeEk0rFqLdJQk/gvG9QcLOgfQehb+VicjU3QO2K4kr9oalLL21QumnfFAiuPNVicUX
YmpG4aKy2KEUxE9fILHBDMvGO+teRb9Nn2GEJtY0AZRdUR/RHCtIZtGHDTBfUdtU1tsIt6ND2et5
v0O+m9hiuMFPr77r+rgS0OHt9oNGeSxBbLrIS6BDhWgxTIZQacS5Gu8Ua9U9bJik+LjDHQ4hhrZl
uuRyLyHYofjVmOa7ZO6u+umLcb3V/WgoKgbCt5m0HhJtl9sHSXk4WI8+2Y/KZuAXpI+QwTQ2IIW1
5ZiZrOSa5IzBtQXvHqh4g58ubN564v6ahoLWgQJ1N41jybqquirTEZzRgqYaYwmnYB76NugWeEpk
fQfqquMzmMXS5ioGVVyXRx65nL0hY5/C+c0os5giQDaqba6Q/qt2zkN6MknqauOSo5v0HADH+r/R
gYHC+L1BMZcd9fLFofIaUcMiTZBrHnAzPlnqVtD7E0xJUw49Qb4w86ntT+0Rxd/ouhV1FVsLVbwb
1YeMf01gyCqhtNO8ANSbZyl3HjzX8lXnRsbc3+zN4cIvGaKC6Z1m0knPvp64cRp+yQguYzpc/ZQG
rM69jmAEkLm3sWv0nIgFNx0oLJiH6j6wCNpDjYYXBTUUpz3zhVlyge6f86XkPUgHpAfdE4vKskru
iT35dkdSyNA8dPsLI5s/WbiRwMKKhWLeTHTQZtG8jApA/gEpG3821022//xzzMujLEBUXbw7iBnI
TrpIt1wUMKw7wtFJvWktdW3q96x6j5VqazVPvNlV9BHkFncWalPn2jkfbYSDk5mU0d1H5rEpZXQb
aOsJuYAWn9r6j2TDVY2oTqcwQCU4iHFjxCZa7PAiSS+v+Pg9BoegScN6oQCpKBEmmpRnifWZZNu2
uFTVUWA9iCATG3H+SLH+e5jvpOYrwSVF/2hkq4gC3IOxMxLVneo2c6VZ3syoxXwO4NWJuVz0AOXI
u1+Gjf5iwlVpO2IQfcneTSUtFh1pBwkJS5g/BX8j2WrhPw8aHKtCNrb1oSFUK63vGfESglPRtfxB
+DEzW2DALz3rRhwP8JKI0EG/4rKHnmKbPRaLIYx/PXG4QD3pHzZESm27iYSqYOUSpCCZYMQNZxg9
Dt6mhdmjo2DMYpCF5clkPZo/kW1TdujoX9Atjn41siqxJ5wvTFyWOCtztnzmGKFaxOGPdYoR6gBD
wcYD61H96JBIAa/zCB2xka1i5F358EZozGaKb0PEXpWLI0H/g8EAcTXWMd1a6Bq2fPLQTKd9hQ16
Rma2Mw0PAWaKvrX+0gJ4B1WdvLCuiONtRgDK6Pn1bMp/iPG3da8YrHBXXoOKc5DNLWwyM796yocS
/MvcA5zFxTA+uuCaah+m/KiA5tEdTKc8P4Xxp65fS9IrBS9cxa03DqwgWa5QjkAoGOFjhZw/zAyl
nnHlvuGZXsTaq5rezeZzit8171izRhvdp4pah5VnzKrbksFCgPh80ZlT65yPIfcWgZHsDxm5TJN7
yga5Dpl6RfVx9t+XKiqu6jeJ3fs4q2RDYhmz6NsrqRnhE+Z01dASXirtrBI+4177tH3p+/kGA+sB
njNpzqFb7skc9cL3GLG8bqA7VIhnCvkK1AZdFm9SZoYdPjHy4BYZg0YddZ+N/aK0DMAi8y+0f6p4
+r2Oe0YvVoOirNgrgOhmFW03TDDpW6S5IdCBC0NDLv7dVazI6kZwYhuHopcsbuVfA2TO4akAU8ZF
DVDdiMBXyZVsqw0E71WEUHHoKGqiAGnmxqqOfWwS2pbcteo7JtYxJY2oqt5kI4gBuhEVYjWbftgF
eXmOzASvjvuispySBs1rN65Iomac81nM3/r8YdTtavRs7oKcXbjtoVid2yqgLREDDH1X6ha/iAYg
bNP9ZUZ8qi3tV0HNFPb/C1QWLbNLxX017DPZBaBouGDghVhGg/B0wEfdLlPUCExNbQ8bnc+1Fza4
71h8xECj9OgHZwRQTWqmEH361rT2OpsDJKmBeQ2cd7c7mDHHbb8263Qv33Vqm4lFcoHptXGshUg+
ne5/sxZZ3grYniOZ3RIJYVcbQIxJakliP6Jy65XwJaDpmQADeDWmxP6eJVwQm4xpmu2yL5yIQDIp
/lhrHmpt7g2vpn2Jeo+dMWA8KHr92kND02WLzPwuip9JTXD+T/AH/YrNcl1+oWY8KfF7iPpc+XAp
6ajPKtdv0fii/4wEwiKWolut4jHblw04IGOnNuQm6UdV/FPZV5eoVNQFQ7pLaVjn0cqeOas6GhEz
37Wg71PkeJNGkGhysEJzzkRYqGgCXWw7TvHtlKPfDn8gZhLMERUCNcYx7PVnyLxxUsx1p+5c29gn
uYPhqqdyN/hlz2QwoAHUZG4FrXK4afY3EW0T8h549vhf6ubLQHdDsi2r+h3QFoPR4dDfY31GsL40
BsM3i1DfjWBxF+L9WfISEPATfjvjhQJZV95iFyMRIxAXVUzaPUoJ6UF9FEkMaIxaC07unO7EBCDI
Dln/6ukJxjxKc4Qo+rLgaar5JWjRu3S5Tog773OEsi6kUD9OvxA/i/bWlVdTAu7jZ04XLnIALHIv
jYMVHq22ycaceeTS0MDsL3vvHTlBnBtLg43oWgQPVwEYqC9Vzm/F7Xw42y8xwy0YKiHLCo6sxF3m
UKjCbaJtQ8sGefwcAsRnEDrZWrGO+TF51iV+hMKpfQuLJAmd/EsjAH8mf0Ny92y6z55P6476teK/
ZLAx1Ys67rNqN/xl4PrcUVlI5CJzL8uWTasv5Fei/iD66lDkaNAv04Skg71agKTmRNMUdxsNw1DH
4G+ImBo0p6T/MS0JiBjjwN7RCZHW+G6/i5K99MwsS6lYe79iqGVmA4i4JfhIzFCO5bwIzFOpOq0c
t1snGvUUOcIZjEHUlPVqBK0fYA+YKSKdtUH+liENFGqxdfRHhHR/SIvl/FUyhilFg48pvjcQAsVa
Nsex3Sku86Rt9siVt1Z8zR4D/icRdBmrKthl8LJqsDDTqxL5SDkFux+DR+CKT8ctb06EdhKmeUWk
ozavAEFqGUCudKwcI3IkcviumDuPAWqVgv3HyDg6oePNhTxNybzQhWVaj6qPGsoPsdyneA+Is/s3
0gQ0XbttvBSXOrMmjWFsmG55p8jmtJhUyoso2jWiy5RHQxCvt2eKO5rrOZ8AeBypVD0AnTOmpdDw
c7I7VJ9wLy/ZpsPKTi8pCYriQANByMMsRMYoLgj37Ji3424khNVFk8kMc1haDO4boJqvbbmG92Il
a2hN2EZGFjDlZtR93UC38VRwud91eS70RYm3JydRJogTmD13rtB2QhXxxb/T1fGHyvZVqP7AooUd
ML4XlBkeEdC18VXgIi2bs91uq/zeoAkYfmtq7UpyGdVvhLm90C0SPZBac3rGd8eEfagmbgtSO5ri
mLLIrzmwVed/tOhofEzqua7ZU+hrXXgHumkmdCZnxRSuTTNaympao1fH3WAMCgqZp04LlMRvY9z5
RXUVKVsksS3J2ErYzkLqzdRgPVhUDmehY9nvuUoGpjp4XZubytrZJLOYD1DnAzPJ7WQznjEufpTd
3wTetoYPjuOdiJxTN6wa6y4R+Tfu01Uryu9LIg5NdHSoA3XFo8A+hMbZay6Ww3pF3Xv5c3DS5Ugn
bZcfhgZhVSVxG3MrTkhZgFZMhT9DV4b0mBnXyvgLWUso2rOcUfb9zsPyaGX/zDZjBpcj4D6S2Uz+
dWzQifEnalKwyn9ZSWgbTAbKpZOrXlMS2rBvR29FsiHJiCkMQt7NGJc7pnRacCnQQ6TYqRTnx+OQ
GGkmq/petb4BVhgHCCBzFDdQxcA3vsaO39ZimYfJvSDHTbsM0TGcPhANRN48UW+simwycykcUku9
93a8CuskqcJhyPtTvoHFgpnJsHDoIVWdFXoBvvWMYPm3iRlHy4vHTB0vtSBbNVkpduOj3uwgEURM
wYOc4hjvFiozTUfyAcda/9NA08S9i3tzrZXbKGQ7L8ROjS5h/52g+tdLnZIiXrsWGwTlreEg17C0
2mL2ciIFmPnTbD7a+KymFL4+TrNtF52m4OZWd4c4CDtH9QMWtDgzMIOajMKTdrZhxf0lzHmOBDMd
icdvpC9TYpKCN7s/djnSIQRBlgdQDKV6bN6Ud8+zl574iInxlLwrprJAp0U8m21i21xIFn45W4pw
kzk7B+puoel7obDAtmgseLfjq6u9JiAboOj4jTIR9Nz4aQ20q9KYIQOYRIDnMJjVjGot44oV249L
I4RL/8VBtMDvOmnwoPKBV7hKMDNwJ6G5XQHasdGo2h8m+J5o2Ab2TgZvw7A3pfLL/vye1zmraBuf
PZcIsQ8quaiCo4BwtY3tBpwv0L8KZPAKP7SOX1vdhsmPFn20rNAGZ9y2/S6veprQzidsc93p7CWo
5SN8Fz2DwZLEiSKDyN1m9WesRJifvGUaXUrPhTZoOUjTmVBpdrdxdW87P73lZ81sgNhytMol07Hp
obo03mpHZHX2NrEb1pN/LcKaEgtPhgrGzKk3kGKkAYq30vt1u2M8tGwJMbFpISscb4W481/EGC7Q
wkNjoCsTDPgCyL9Vd5yaEWUJQH4m4i3GCmGRXwaYJvC4qYyh3vf2/90qWYD0YiKwlw79YEumlpJX
iOvx0dRDvZboT2wdnzo3b8eel7IrMev3HGYS/oBh6xKLpmsmWAIcHQPfxmS/pGa1LqenzZyXclm8
TshiPNKBNB3ONSUi8saYOb6h44LjSUuNeocAZunU9iaa4CFBtpONg156no08oglMd+ishEWcKP5v
vVtW6t0awhUBhbTyz4HHX2c62BETRxhaY/9CYADWER3zhED0mG1Nlvd/mOAYp9XBPQyyZTnY/lik
2E+c0Re28WnhaE3ZRLl3pWAmm657rKYZh0eC4j4QsDFx+jQD80fwxgaC/8jl1Xa2tGNU56xdMa4E
fMyY4RZOw1FUV+8KmrQKa3gb7Jz2i3tLIH4pMDCkOeltjvqM2H8BRcNV4awmUuDRmgfk2Cpmec0n
g2Bp+YazNhubb2lD9h8KaAYF9iQyBhFFJlGwVJp/owpowzQOgrczd2f1sNimHDSFldEZYnrgkZWy
98OG+Ty7ipjrvOOhKSo84mLbMEPvm39ZeyE46Eyq+IJI7BcH07eHzMqqxlNuP2fIguodUnQE/RRg
2m0XborQrUlgPXmES5hIPYQXnmy2G4785g9e28LYqtNnV2DoZD5VZX5DMp1XjA+MBqx18plkvIoQ
GgUaI0ucyEnl7d1sr4Ivs6W3btPoLDtmbZny6Vaj/tIBrHX+haxHBV7MjAFWbCwMkLVKjKg+L/wE
U7rXbez80KGoGLKtEbdLl1dZnTYC3fZYHBWkIx7DOx2Mc95/l3TuIxobrcPpDRycy5yf3Vy1+hn2
nj9VGHxJYXCgPVcp6Ovi3sB5D+aPd+CfSFCmWyMCjrFFPn4qEaQTY/4Se+ouVjNSZOJFrme7dGK6
glYU/VTRPvgYtmTdwbjiMkFdYGhirWQHQm8Yr8ExL+WEJWYmcrbLKNUOsgrP1Yj7B5tMC6XTtpuN
1jP9tXJK3upCQORGn+28enrLnGFTYhAxETUWLG715mZzPXoazW5Hdy/DkrgxhZT6v2xMx5eq7c5R
SBomDDlP9Wjh1jCLll6dLeks1opBlUQnGrAvorbqWtZjIZWk9QiwFgY1p2jkdktNGgf6/9ckZFrv
QnY4tpCpKaKWHuKHvC0XBm2qgqUgI/tmbCHXwnSzDZCwjbtUDJjtGK6ALrXwrQ1D2Sp0vi0HyNPo
163uffU0qQHPcmxqfxO7Me4Otq3mwtWtJTtzzDcLFQt3YdAeGMl7bJXPkCZTY7HbZDozi85vsOKg
vHzpul8Hft8kKZxDCS2Cub6wz1ofLwdk3ylCHQjO/uzMZo7nG6Jn90n9oK2bbNcW9sqKXx3G+goJ
jOn4Y0WQeY3vUaL7+Ge54GhaiNdGfPRQNStO+hjs4WNUjgj7Bh3to5uS7AZBslvnavkkUQRZe9/j
ZDTFdzEm+054sz52mZflq+28NoUFGacGjF0ISBgwfpqrVz0c9+gYBfKtT68iDmvAcyjgdDfutWz6
q4XYO+DKrrmHDbR27bNGY0UYSgLrOnv0jrOPhLfJjBpZAKdaNp5DxfsZZQQ5D2nygCSmCnEu3lsP
s2ZB3QvciWBg3UIuqc9WqnvRKcy2rV3UOJs+Dtiko2yQoONIecC8izK/wakX0faYP7BaF0VM6zqL
Grge4VCbVkyH+64b7wnTKT35ah1G7bH1S7Ys3ZMG2IZlp8DUF9WbZCRLrwmJY43pH84az33bAl/A
3VGIfxNi3kC0IxuaCn85aKSwvOk5lhvFWqIYwc+f59/MygdJVmT2U3nutxfNEi4CW7R+abJMZFXA
vtZbFQzXRixsfY2iGgea3SqEjJxbp+J3vVFQ+xq8PAZjiqLPb+mc9RlQrpGz1/XPkqNSdpzBZ9aY
Kuu30LiDlJfeobSoXKqHhzsopnsJ90aLMIYwgMJk/vwRYw83RED8CH0w2++oFazDjp4zb7VnfVGP
6vl3lF+VCVJVXLIEMXCPFZjzeo7FKEYw1S14EIKANCZ1g+PDuafdj+l8gWjIyF31unFX4GNMCKhg
dC87trUZfjWbeznIQHoG0WZimx3Oy18ejJrfWQXST43UR4ApoNVVqOo9wl5zExM7pkjnMEXxDl4h
oWLzy022N9jXc1YT/BFwVMZo6k0ce8IDccZV4onO12aJLaIc9uzGb220LzhGpVetpsL96JIhY5zl
rKn8CIJLWLJC7iQCzYYzjUbVs65DyLCAwe/koAriYdQxyg7hrWa7zl/kufwieWobNXDAea6ZyGKY
37kQiKoGwLn6btIX1vqyR+1tSbKzc9g594ockhqrYYkRSTYd3Evnpcy/JgtXK+Pd2vBwu5GKVta+
jXfByaDru7sYB6LGemjIpF/hiVazajtaMS1rtFJYbJf6Ph2vgWj2NXHKWaUeDewZZpEuMusYpNkm
IiIdMt+n0TW7zDWAYLREo+6SOYfOupWqzioQXSoDGr3L/hS2iomqcPNAQ8/mZOF9zXsmLUReyJF0
HDE9Y8coMTe9yLdVh37eGNcZkkkyY1YJ9Z6NpFF3o3VZQ9aq5OfYOW+pPSLS+i6YQGqAa51AX8TN
R1YYx9hi/cxhlXrNjbjypcHWu6101p7TCaDbS8SAQqqwEPriNKviEwB7BQMHcHU3iB+E4Ly6Fk1y
wzax0ZZcpoQGG3vdbX2wAlVxGfR2zhz5mbOTB+rZSr0NcXvRqHnyyaGoa9aVZ29J434xU/lowp6+
4g3vHujVdOVQtRRSrjSz244UJ14TQE57zlIzharQJW5Rp7rrsK0lpdj29rg3VXdddvlazl0PzDrK
eRJiyA9weTvYkZNOHINYzxP1nW4LVYrqxwgL1T56jcRTZNrZ8pABM9NrRhKWrilaAEl9mI23QCUm
Bw8VPtetp4A74+waOdBiXH95oD91bLbsJ6KW7E/2ZTpRsIT7+XlS+MH/vFBrRdHLi96tzRKFRUB8
7lScYwZbZrVyecVK5V+bXUw7BhrNlop80z4CDIIzcFRPsmYcWGV/QzL5Jc1SowV7L4zWbpqf+yrf
SeAMLh+34IAowRzl1TuKU7qB5saHH6ORMhHNde10M4tDZ1KCuBG7a4oqBQqZW1Mr5t6pEcExcJKz
07rLdKBvIxFRYnZl2xMn1XqQhh+TWJjqsW8iWvUS1dc1ZyciMGq0wSoDAY2bBBO8o+pHYLNF/WpS
SHiPOMI+GthIiMhxKGl6Kr7NH5Y5rh4tenz4NbItVoiLQRbnHqemAMiTB6Q1sDUMTFYDFMUO242t
zfKgLAe0gvj3addVRyWupFjn9c5Fz5pisiphZlm43YF8QDleB3BpbAceS/4W0qBGVcJVz6iI+ykv
k71LKpVTiSOFJIq64BRhdjG7fBVG7KsUsdFGZ1M35aqkLge0j1y3vjWB8qhw3zZsBQYM0BOjkjHj
LA7aFYv+vmMWooZw5rRVAD9FzXveYbayK4P/h0iwhWOkm9BkrtIHu5KsI9uG1MQ3ZZtYyZ52Q34D
0k8+g0TjHcF3V6IjdzGjmt+B/CQ/MIjfNCYOuVCXHiiGHLiUV2yojNZRML15NtlWYc/dmS0FVm/L
+KoAhYVs83v1NcuXiYrODz5hZ8pFP1EcBvZlshRGBMTSWMB/UHDMWhFnZMiVg+MyABF7vd8yeA06
8dGQtJlk6BqzilcBqTNsiAD4R4WwArnBxpwQsqeUYvh1zDjdW7b3Y5hfSUFVLZS7Z9jHXhvWvTFg
TtdWI6X/ECqvikcoRdMcm+CvHX+yaNlwOcZiro+0veMpMNA+a+sRT95KqL+9/atYwU2lv5jn9bX8
M+x+IZBJDKnKPNbYSZc+J61WIPiWBk4TlTlBxo+qG1cdLvmQsTmmnUw4IrDxKuxwoboB2WvRxdXQ
h9n3Yf0xJVBNpEnVtKEZerVDD0MY1l2mxLWX0skHy6QGWuH207uD3KnDNNpq0XHECVOGwzpUGGxK
c6cZzbZMw73FXnWoHmZ9agc2PypjwCAwcWSzRsXuYEMawmN1woG30VQF6YZ3hRUIYxtzJaU4ioZN
ZnYHwe7YTfAsRBhndRczUU4+SrB10HpoKpLRNucvpfWqSqt/0zhsHSYrbifX9oQmzWm5Lvi0R3IV
ACEAQz+MnXw6brqL3ekqdGZoTrQ1sYEXEJg7lXnlFO07dNPqSNSqDZLBTtZwmNfD8Cbc8ZWijwmp
uko8aLUGUgizgAMRWTn6hRQHurvzYM2omN8FFsw2IDujqMAsDgyCBKpUlrMIkvVEA3pf30b71NIz
p6T0qkH+V0NNfyli4ypY8rUEl9RMOtNJrvNSvSRIHFpPJxL1OxIPtuRrR8EuAdmxlhXq33n3AGum
s6HJGfuKP63UWEfBibHm3DesXEzOiB6Rbz9AWQk1JOXJqS6jV1760ziFb66VcE/odr4YtKfGVF6X
T4ZNG6cAvIogqmRHlSHWUuRPQeAPYc4bwL2/Y7mGv+2HiPzC5oNOkOpVvFDoYyxCZnruQ0ptw0YR
k4MywlOLyyiFdh87+0L7lmJbcTfyzO2t0X3VSGOvgENnA5/AHGVIlxBM077zhp8mYWCPvS0hmyUk
k1ITnJLge0fqFtf6bMpoXbAZHgucrQOLJe1ljsOpHW4j9HxhLH/ygexOm6YrrVN/xHegMqTuQuoR
jh8XmJxm//WMj5RRHAO4CBWkgzLS7qo2UzxpqYHGWeYdWS6e0mShg5lvWrpTtAQW+uBY/bEQfAlV
xWopsXbAXzWNy6BW63kKm+t2uybvdnZjga0TsC9eh+ZNxVsbwQMKxp0mqXdVLvsSdgubzUPImyql
9SQZ5IGI8xo0eHPsbD60I2h60YFG5+LEsPBY/DXG0qFQVQjtYUX2oqnMrXRGBjnDzSA01qqiHQfO
42gEE9k7f1E+r3D5YhYWCJO1M7CMD8FMYEDYV1no2yHvjIo/ZMVNesyXwnEbs371MPFmcb4TJpu5
pmLXnC0aosFqHAeKLbeZRjIfHtOxp7cOnW89758Vx02m6BRcJvo3w3mmEoEj9XWRiJn1wgJM7g1x
y+Gc5KK7pJO5cuvwXQB1dIt0P2T1rWNjoI7pVql42ub8B4lexkgefJl77fyT03AMK4eBULkAsL8q
el7VhsgpeHz6MK56tv/6bBBy3DczpHEdyl0OKEKmyFMM77dJrQjNagtsx7kRQRjhadOC7Flx3BBF
gKA8mg5mAtaPz7AQKsFf+arsvWOLV0yduteQwnsa8U0l4H9KIHmFzyuzdQaBb6GZ1kTXU7Az/dZs
1VeNZ2NSwWkC/0HKA2HX6OX0Sn2LqytGMy+xt2VfoFenJEy19EyKw8Xsv8r02XfTXpqcj9I6eIbK
3fM1h7lYQPlKc6kNWP7AOquNt5+GceuUEpicp636hrFSiGVfdB5ZAegU1QYqUXZqoCx4qYftgbJZ
yrueI2jJo7VKxF6dII1wmZ827d5wbK4QQZJJS6FG02ChWA26/LUc7Y2tIvi1ARBJaxdmTzVAijKn
iBCF0DrevQCXJPsRD8G86KuwIDKRQsElDMtP9GM/2U9RNZvaME5d5K4Ndo5WHi40tdxJZ/DNqtln
TYEMCIkZI8s/GWT7XvIczpdgX+MdTn2TUCtjZCHi2H5fVs8++Seyr6kBbiILH8A3xxBbprzzjUns
MrXfRsl0Ccpy5aF7ZgvE5DtZmBO2L5zNxnQwmIEFrbPiYkbflME2IuZS+2w8stW9pQudVKrOSa/Z
kyTqpkWukqXHKOAyER35vT88FBh6SM+DYjxMtFDQGUl35w62TiIGUwnJvRPWtvdgKbKEKSCGSM1B
m8PYcEx0ztj+5rLz78lmCaNorZO1hFnCdOauYXa5wprOz1lYshJhARiSZqsWPe4y7wiSpumKa4B4
kLv2Ptbtss+xE1iC3QilbwUwaFK+MrpSHRmmKeQhDd11HNvfokezodYbzZw4EFdufJ97kFit3+m3
WCOkLNtalCSfJcq4AbH3pPa7MqqQGP+KBkW+g1dzliI0aF+0sjtnKvYUTT0bjru2qhIn17AbLJD7
SUgSBNtvxdGOlRdsA8NZWV19UzQb4xzkDiaqzigwpJ1sksEnd91qYO0+cq1bpSWHKUrFlIlhp2Gp
LTaiRglLyW3J6ivrPysk0rn3z2K03RbTqzex3naKNeFxpDin6WfCjRxGI6acIdyHPQPauPmy7fBe
sn5fpnaLxSdgAW9q/WxDSjBAq9bT6c5umR+FlyyG7O7MlnpMiW50UGW6y3AId2yAgCAwYeNd63vO
R/s+k05yOH9JvCnkezrFe6e5mhBkomQ8YvZYSzwNnj2c03jC0okTANG4YfaYvutFPFD+zWCB3v0o
kQwYbf86jtne6fW7TsyWKsqnGTIjG+xVgx7oZVThCQJ1tXvUkBSWgZXNjv/pFoYTMI3spjkSLWP5
q8iAZV/PnCj+1uqC8q/noWtbC2xOPLyjsiMNSTAXqiOXYYdZBcRQBes4IkiJNEsHeEVRJmsVLcok
T3LMr4ZGxhXqkzzOLp4Oh8A5JiICX1VnxN8lCsWIeSijH5E7dLOI+kK2NNJKfSZ4uwGHZFcAcpHa
W5gxxRzrWW0MBAPirZlkhGAg5R9+WpNpOrS6lRq0O3W0mf6U62QUGOIBgTf6Udb4hbxiGfRCR0dD
lTZ5xzDvbiYS4JijTVGbk3Dta5lEJ0cdfT2xNn3ecn+2OCwc4mvOVvGYgosyUs4MzrlxNaz/uAiy
8hoXxn4M662Le2tCY1zrykVxHaySDIaJujS69pxAnK5CmPze5G1HgazRAGw9z5zJXkgULJh0U0rV
HgVk5WimBQLJgxjNRZ3tk0FdVN27lzZrYXFFQo/rnWrRkIoYcQzx77FkQsQdpvvZiC5LFbKvvqY+
nxHfGkeXWCdttrUU66RwWfdC8NQTdQ5GKsoASpIRZA10hrNenUs+NtDzqgwm0UoMEwVeaC3qbNaS
o50zYsaLDWZ2DnBNbKX6MxIaobNXS2N160FBSQAWw58hvdvYtvq4kQpfMtMxWaA/s+BfBA7A3jEE
/dVfQ8cV16Ju/xDhberIeoQyqpku0Iv9x9GZLDWORFH0izJCSs1bPNvYgM28UQAFmpWSUvPX91Hv
uqOjq8CSM99w77mYctGnDigcofZ2Ur36S6x3ilizQ0aVLn0w7qU2GB6o/NBaYC5zAs4uPtavnD5N
L24XwV4jN+1PKdr7PgyfhdK/HCUPU+NcplT92R6qoBJtpkGv6M4QpDL2poqM+N4PJIMeybCyo28s
uCFAqYK29WbubT+x+EJ332oRYOsC+6MM3VOXVQB2fZyLcR2/MEheRyrCmwUs+I477a6rMA4ln735
3ky3upp3fZixpyModVCHJbqJnvLOsuKt502/bdRw6lGq1k1NpCdUdLOkOuY+6SGhQyJHA6PpAeeE
sJm0OJhV/tx4b9LijWkoHizbA6gMHymEyuQhERk1CbUDnavw2YYnjX/NBKA8mR57zqoJtoM3RCc7
ty4FgTtgmmzU7PzkCSC+Pqo/pkq+2gFx2LT7ovAOeWuDIIFdGZrOrvDFngHmihp770ClSn1jJyiE
Ge9tBzk8p6Vc1ns4GDB0ceKKXB+TdGKB4TJsKtdtxD4zb2+aBd825ptfDsN24iiNkB5M2r5ogPit
p766djiaLq124aznvDoXcPMslr+l+AvVc0YUHuNZfNqYdGRJzO+MwIfYI5ovBoa4+W3UnqIF24ib
s0xxdFbpc0eOj6MUYa3lMYuHvV9/D9T5nZ5XfX9zqW3oVnCWI3xrs2uFfwtPKiCaV1+N72pGCzQQ
ee7c6Ho/FJ6+xJQ7C2uyyCumPRruMe6eCK4k97VYgAp0WH1yH7VIydJF+LEeAHWGNnlgbnuvo+qa
pcPNLc2rKKEOzxZQEnCPhvs85sOXE3X7atr72CPrRqyrjhrQIX1DhB+Vdlczu1mfgYMxYPZkTJVO
JrKEiSfdmkwb8n+J8IlFWnwCRvKPIPJrP+E/70z/Zaj6Tw237C7WCyDdPMHipFWK4BrNpXVFOHv1
UiTxYsTR51CimOjVKssFX+Xj3jI+axzSOR9ggR9WmSPMtxkPTl09ajc7mqQbSS/8gQB/zyIe7m90
DTCHdDZPsxyeast7rC3iVsg0koiqUYg8cTGMTLKYaAmUr0nxUDjqajLXSyctmJSHO7tRJ6ck7bOi
PVRIo5GZOCL4bCy01YbxLFrz7Fs42IaoJeAo2VloYmbLvtilv4vidKcDpETIdZyBSiuVz0D8IRnB
JmNicxkNJpuly+HQxew+jIQaAuaN1M0tre2tafgvqqaxabNx23QRNaKNqoyslcL5DFAE4O36TShP
iB95crvYxUQ74X6GuV6kpkOtgIQlEoS9hwCqoyV3qEuMJXkb2gi1Ee2fal9MHT3aQX8baEIZaIJe
lIDhRoWMHXIan/1OA2lqGdzRCz8UCEGMLGaKqe8DHnUlivluDAjE8yNFd5jvzLbduNS0OhVPTC2I
COxhC2MFnIY3pemZMYb3NPiJ7IEsUfZlDodim8b0LMMbveYvHSo+IRRmdcVwrIaYj0KeySMzes9+
rVlX5Pgu81H/kz27T0mOSj2vxhwleTTeS3adAn4xHw7NcnGY4nHrlsHGsB08ht4mDnyCqYFVQJk1
aVcQSa9nCACik2sX748H5dVGquIy7uoS7zb0eb8u/CUWDK1KFbwrC1wgZYerNfun5osb1l0VsX/o
zJr+Aqd4MgYp/vUFSU1bvIC0dWTc+hzNbuVecOIRfhviJ1OAMf50ByOrfC/bipLNum/s6aQr91Tp
+VIV+VPRZ7uwgDsmG/uQWM8xLCCrRQjrMrhAgm6zjV1NjUSg4El3z2TkUcfWSi1zxqA6s/D+zSsw
uB7YLZWQDFfM3RklJxr7Ir3UMQj1kgCAXPjsqRC+Ks7Ozaztm8c5G4cKWWWFZxRLMoa7IoVQpVBD
p15zEk371Ct9IehuW1FKAI2y3qscuUSVdmzoRbZSjY8f14WvITeqr+lTrfLmDkxbh+qBqdgFvwtG
AfO1kZ2BJotj3evonVTq0ksWX63lVmRc+OxrjfroiP5NTeV3kA7ruXRPrZVcGXEzUwLPQsIkcN9o
i/v9pw9Y27c1YYyaryFmbf7Bg4jgeOpdVvMx6rLfMioIMxOnDG26U7m8CsmT3SP95z+yvGAi1epw
a3qMioro5FASpT6yxFqwgIgZvmt8iRyQxIxIqG4zWcE6Y+FkYEmLYkpan1JM4co26/C7K8p79P37
hhyDyEIOK+NfIxseKwn4V4l5Z2YomIPJfo59+dU74DNT5FwTZVrce6gUqaRBjU8N8xhypLzZDe7G
jklnCSumdLp07RvzYbAGIqgxlTmaRUMAnxg/T4hVrW7LiwyrszsWf5nXk/UNPlZF1SaTLcF+Tr0t
B+LFRHosiCXmulFH6lRcDUg/TP9Q0tO4zUeONlDP0UNjwLf2IGEx3zJzUuvzYGV76XOdGTuCfinw
oT3bpHXXunlmdbiRMLwJV8KVFBuPBbvE2e7WwkQeZLoXaVBfqglLiawPfHiIyMRmWJxRWae3jJdO
wywvYYJchoK1KfuzNKybSjjwi/IcZ8G2KI2/TKDrqVED+S4h61JHuMKrbQDNEMkNXlGT3Ro1yuCj
I/LQqDLNkojY8icHYdndxD608Fi0Mc1DgIj3fp6fRw9yoI4ERnzD385U1yNCKTNNTp7HOipj82eY
NYLi8ZY07SUNbqbMD5HRn5LE/iEvbKPc9FQZXMi1cZYtq2+LICsPfRxwyqgKV6NffcRB/FxHE6o0
5z4L2NNPLNSJvUVzAqAAcbhdvhfe/Lx8VGoA/maoLV8D7LFYe1hbZYwuo2jEaBv9NSGghUqoh070
DzEmSxFwRaTW2YHinPbzLo0DOhiJ6SX+6xW4bWlbFga/kZoNLU6sLqNwnjV7LNGxLJE4C0cf8gga
ijuV58y6ffqkXqJHoNACvSZPk2nsrA7F0EQAnM1NErfOUzdlXFPAUkbjSkjvXdk7a/bmezcnpY06
+a4kqrM0O4DpVDEoyPvOfAsDBPrsk4moDvDa4VaCNFy4zcVwGGwozG6hQ387UqdjuiZKsXXWcYUZ
ZUqKe21ghG4d1HltjxGyXASwOj7OvvdSpATaYdFcPE6IVA4ah09jmO+1OT537qJcUeHOCOZNP/Sf
niv4u+Od58WXHN4uukVz3eDqgtdzFR3Ld+3atzKs9+0Mf8uMjm6nn2Y+d+WgSimAQcd2jETjx3dA
XyXTzbF86i5ZstjLX7qKkasbULIND3mgOQHLp45ezQUMZ4XlrYvSZ8ONj1M3vxSzYBGF/6bKbgXY
BGUDv2B1zRaGkTLYOgPgPXFz2DkBMGAdGaIDwYQ0uLBk0Gf1Vwe7P13X1o8Wqrva+6mzsYb87BAa
LQOgeUYXfPr0IIJDPu6cAAIcKs1x+NH+G2fGuxl2N9NnQExAiGPe7NldJYoufBDXDijSRGnquM2T
j4PJLeW7OwWPMSO3glDwmi4FBcBBNk9gZrFPNBvLfsnAp3D1wKliXYQ2UE7iMo+IKXremKrwXhKW
Ry7WFNeuf5FovcVeim/zxRnkEy6dX4uTWCU3ttWXOnUOzgjXP/lwcr6fyEGUw81bQw62h3uzQP+S
lPpkWuOZEEPcpS+2mbPhTNCXZW53n3pLzAsq8SghT4D0ssBg2G4jAlXTdx2yAcLbakFrEZgC2QA/
jhMvleeuRvUqHI3rLqeXBhdXy0Mvw0Mk/in4gG2r9pMLFF12mmIVCsSsebotrLbef6nV+5jxEUXT
a9KjjmZKagJiUTkJyphLR5vBlorJGSG4aeIW72YcdUEBnQheSFYCwgAVvewa5o8kRe4Rur+OyVlZ
ArDKQAUSKAgY3bdxgxlfDd3wgMc9GyZip7t7lYEab4MzhsdLOLifFtdCNch3vy7vGjgOg5++TKZN
WvvP0KgXLwJwPbSwMpEDsysyy34n8Dl5yb059ziQsJJZAQqILFfMTPOjMgUjqmChi20qgrH8nEAQ
l3CYMT2nBsgI0Rh74XagFlllJASFjiEkqJlKFS71Q9qgRnP85GmI9MWJkJCanUM6ckc0Jzt4djCo
WnYy0acEd61n/8zLssV1H/BtUJ9916P7L/Pbh1ktY2oUBnnsBHREeJ1q5inD8DMhbp49Is4TYT9V
fsM2fVqHkCEs1iQwpjW7VwtvUFsn/3RVIpXkkQfddCF1YzsiV2Paf5iQXrcJyQm8Ikbrv4GKfxcN
uVj4whTyzsIJVkEPUrXU3BfF5N7PPVrbtmRP35Y71FPGuplYnaRsoktE3HeNpUr8G2CmsyLhPCxB
3sBuF+I7jyakh0G496ZubyTtKTA4mKUgPbqYxwcx5uCONJVa8SN817gvKzZm7oAZWJXoRbOI/MA+
0GQOVlg3DD2/t4Z1bXJ9qDoctJICt9F/mDauccWalZk7QU8BWp686YlhUAFyln6HJRTPVC5/7QnD
2uSJzwZFPCWgW9wtL4dPn4PiAdnCCEyk7BlumhbzA47J61xqYgO9e0Ql+A/i5KFZkGJmzQbMGC52
X12tjlE7YwHQDu1pGCGHDIU8ctvQp0yIqAeXPcMgswvQMQ+ABOj2uZi/haoeZOlfq5TBfF3zM6P+
e0qL6l5G5d6uCLf29JPtxEdBlrrTZq8aJMOAlaggag1pQPDhMA1rKNn1IAB+JfTJvg0ZOHddrGY4
78n2W6IaTJhvVsvnntbQASajOsw5InThKWT51jkxilsQ1V8BKvnBMzBFWHjqwHC5ALyI03ItsoPz
hCbDzP+BIV7P2Z+veaTCPwIou45D+cX04JEgiH2aczn36Q9MJGvbeTZyM8B+7JAYbXOfBCwqktw5
pFzed0PwZQNpdiAVNJi0PKf659rme5fNRyaRT85Y7aI2fq78eRvIkURVwbwr6n3sadExyw0qIoFT
HUQVYSKrMG2fnVrfLKd4qBUQSqpVVCmEFqMcS2ei2DEFjOg9Aq7PTNqfaR+t69y5pQ3K54lKYQIL
lWYDyjqUqaNJdp5P9qGJRdSX9bNMgpdcQqf2q+DZNqwXIh5+B0Ydo/Yhp0KL8OIDEI97d+rhmPnd
sXGMw8iXP8qL+6hqzqymNr6Bz9UTlyH0V76J+9xo92EC9y7l/KawxpJKG+3a77kN7KSdCEfjkK/C
ggG0g5EbzZ3pJhDxUmzTFgTEsCKPXYT7TMUnaWQPkzTfspJ4OG1uiT+ASLXgEMG4Wh5TYBeZQdU3
l6DDqAo+MDHT9eA9mPAQR+Y/jlyCGIzmqQvUjit/G4/uobGOg+OYgEZy++yaENvK+JHo6GnVk1XV
lt1WjjmZWkw1UaaaExo0BwXuMDZkSkzpdrIcAmj0Zszreytj7c2vSUJr/NjlsCxDy9hg/syI8IJx
KUc6h2gAoT13C7aLELSCGfM8gIGpDQaf1CsTgvNJiWcLhc9kpveNBltcRogtBLVgRTayQwe4lhP0
vkzMx74xr046H0qT5J3JRG2js4aYTOen7/xL23TPowmCVZfGh9TWu1/QB9YLJHxAWeoqPF+BzjhS
KxTfY6L2upy3jWJhK5NiH2ImHIvI3g6NO6+LOH5pfYnjjWNewmkIx5d0yl8sTZ4Iu3oOIV8stBlO
Ka26gxNbn0NKTwby9yGhKt+aQ7CdOYhcYVMFQHRiLqE2Cn/BnTazbxW5P/9P+eX8nlhkxkaz+IsC
97kyAr1RAmspMZgHPx9PxPSds2T+8o0Qkcvsv/gFXvW2iY/kq+5GyKTcfJigRihnKvbeOn/6rObo
iRnfLic1sh66fUyvhrCyu0E6CsGYhuuuLEdY9DCPDEzLyqqutlu8iKLnRp/GT7P18v2SNN83g4Hq
ajhEDYfp4C+9dYq0ox2ZaUEuZvPCKLfICkyKRoVmbqHXlfOqkuGmtYdnVaSYx1NYEX3L3skuMRTG
hXWlJl5y5qpb4TrsbZEzaeuUDP5bP2FxDLNsWKLVONta89bolgcYwxKrovLsZv7FzgdnRUFBVMc4
sKyY8MmA1jQMNrReTxeRLibY2jKvcVA294MPZJy/+Wew2O3Wvvvq9uwnzYH6taXTvxOBei1gUAQD
RAE98iEYQjRbk3TWIMsJQx7af6LAjj3ggAHQA8jG7+pvVCLPiTHZa1GPUBzlVfTDZ5lWaMBM+m07
ivfRkDFMKk9NjOwiQeU+k1FYPHRh/WPblDCZxPkdqOGsTeeDF/WbKlez+KlBI/Gj0VLwWEd/woHg
ABmsEqZ/kBCeE7vzLg5SePxTueD6z8GheWmIqiwB6iRzD4JzZ/TG8FCYMbX7GMbsDhmjJwW4lLLc
lUx7kyT760HNCfK8iq4ji4HcIECZRsWCyYP47JPFfY7UK8mPG8cPjrr/bphehAxusdMmIW9L+gnE
nm1TypLyE8TMU0Qud1DSv84cvYLuves0S5yS1ySKtmWFhTlXZ6ObvjwS0DKvAjDfsad7CEzjMuph
a3TqQaS4V9AfRTww/pxboNtHo3buIOVXelrp3nyapv7kegOU6S/IWWtjkW6wxJ6l92VHxT3xwbsK
U3xPtsCA8HbtkDZx1LFZ7Gq0dKSOtt+Nrn8pinH4WWSy9PjJNl0Cq1LHujyOtct6FCCTH3T1acTN
+dibCExsDZ6MmRICCODiTeVOR6/N02vt1hUGYoUmKye/NHrMZvC44PzbimktoQQu4bHdAu8YOWBa
XCsuDWdsBFejDPEAK/lXzOy8MtgeDWQUIFd4jqarheQMpRarVT7S+5Fuxr9Ui+T+k9PHKHYFwJnm
3R3WXX1p54vZLvITmghnnxJ8nqFSWoHV69Odl4sNJNNV2t9A+sds0iXblPpl9g6Ofrf8Q62IXSjU
xm/Kdai+VAR/VGwlAO2RJCgv2gObXJtZsQk1fIBgjXB4wApMwk/nPfrDU4dKQX/iymRXwtbnrhpe
MaUygEzaLXy0qjuDtLIUiPf9zDpuic5Y2P+8Qwhe9xKPAKvTuLxZEwtUVKpLSsKl6Hc07Xh+M1Qh
ZfQWQcMOXfTY11Fv/A4OGuyeGdACPB+V45lFxplcKBhz+n3LOU/VV4K3Kg4D2s0/AXySQAHGQb8R
XqK+L1Yp+jrXSh4YbfKVpevnNPXY8wW8vlaUrtKGNbngmmj57or2kiP7c3EcJvydCTYBkCio2Rj6
gt386tltkU7Y3lsNtGJ1qAM+D+jTn7F1bMUbm3oiwUR4sp4wjq7ZXjN/J3uV1f1KersC4qkdQwXG
FBgdFEhzGDjJ2+S6+7FBiHYnP3k8Zk0Asr9RCC5p4dDCn0Ym4zaXKCs+Oi2VPCzL/7p+rUgOiNlM
s2VURPYq6kPCMgC9s2s75OUmsVEnUa/QeONu4dLpl8HzqkTlaxSvMJ1NvgtElvnNRxwfeY27dsfk
hOQzpz+O/RbNz13DBi2+E9RKZfW7fLb6VJX3jrnAtFT1UaYHq33UUEI67BsJE65VPbIeqVZeee7z
x9gcV2iwzN+GgS7oA2k9EHJhdN/jjObjooenzNracudEBgllO5qMO/OfRxPvMhQ2vb1qtj06nnTZ
8iBRzi5eecXnFgAUpKWN4b6WBF5o/ui3DD1DmxyXPT3mVeSzpfNat9ep/q0yzCTjb0XqgU9jETDv
IVqs4RFm1aFNL3RmDbaEMEB4AEof9GVZ3tnMX+h3kJ0Up3QariYcRpWIo0tTgEOGaxBzwsnnJ5pv
dX4qA6SktAzAg2p+D/gEHn5h9w0z/WxfGx/GwavGBik2VXAQ3aFpf7r8YdbX2Tph/0Aeyrcionq7
AnsiTqFg5ibqtTlxBoewR2eYifmzJIAC1AcLRKZHGH884BZfmBt0/EpFvMzB5/1gb5JoPSoE3/u5
3Y0RlUyPOvtuqIw7TCp0qejdd4swi61H7nI38PaVCXNl5ItyLTWz/CsMCAt6ef8VpjfXOxWmxK9o
78sFmWGXuGC6jc/mUl/69EPk+W5eoPxmd0dQB1oZqf+3tS6xvHTfhThXcKDq4Nwsrx/zFHdtqj/L
eErU1Rg/8EgWOFZRIgBj23GoE/KRxV9Zva+tF+aCDgfJaPMugQjIHvm3tevhf1EIHWngsHZkZyOB
ENvcFyH562uDtVJFp+z2/jbQqFE2JgpT8eX04a2Qu87hD8DiN9kArqk6cN2xeLpLpsvEUoo2bKNj
RHQ9uPTqht92XRs4MGyWSAlZUx4Zjjtn/IBEsgUYsPJxv0UOBYxLL/nYOE8q2UTBLgXCMMsnazz0
TD3mJalNv4SoZNu54f7cu2JZenxw8cbZV+xv6xG+YPWq7VeFwEs8F9lCk8DjsCr86q6OXNrgb2ho
Sb9NAX+67cnljlmIZsTKonew9hA+yK+RYiPhg0kgEfSOUwJmBT6/v2/VJZFvCfMECVsmyy+sxVCY
HMUMy9R46LiQx46kK3vdtz/gQu32NMZnFtiZQqW06QYE8AnLmVXLG1o8xeiuuR5l8K8Z7+Ppn7a+
QKbWaHMVk5ZsvM/VdRgkytp9ujhhx2M9AduLL2PXPEXVfTXMKxLddlkKTB8WY3huk7co/hfgaRjT
j4ivFcdWD2zCqO47uQM20Mcv6Hnsh9R5JOUm4DcHAhSorYm/MOLzaaw3y/wzqGTmdWC908LaULPl
yRgfIEuiOSjG7ZTjkXkcUAQOHEd8xYi2nLI3GTEuJPltfPRKalo+kexQ01aRKpJrCDZvzXJhMPll
NnqX8X6rcEuNd3CIGor3FRKd6VIPLybjeOdbYNCKO3JLbxDw76xmgRfkABuq4CnSj+W0dajYQ8B1
8IOtd018EwvyRqL0RETuHHG5FM19gwJQAAAERtq1+xxrcjEHHOvH2Dy1zk8jPj1x6InDSMm3c2w2
LxvzU+OMMVA36oOZ/DPByHTFk9CvnrDoeAHXOFweuF3YvZZ8K2yCM+P2oMmHFSJ4yybCNoBlpvPe
c8FGM6SldI6jtWm/pgoOwbHx9WawXnMhEZcdSve91Y8VWSXGe4nEJqQ9bwhfQ5PWE6UzLTyI+xER
JG75UpLgcnWSbG1Bt3TDo+DLCyuIRm1tccHk3SWUaKIYdnG0FFsZNDtdArLnjUuui7SC11NGFsaE
/cKS6uA4MgbEnl4NSJrxOgA6Lo41PbmMP4hXU/nRA8iZptc0eKlMVFzGi+yXkRXT2zggcuXJAPHA
Gh1+wZ49Egfvp2PkwLQsVPznJnkei3cveO0a1kJ7i6Wcz0HmDNy7w6fDJL0AvY+1g26noqg8u3mF
AKlbEwq3bf1mhRiRkwGq5XTfTT3bmGrXZmxDt0YQHbQ1bScmt3SltPrvivewGfcg23ezLnZDebFt
zMPWxS+dvRZAwK19ayPcATaf7m3vfeHtp9Dr0I813ruZJRvkiyuNGhY37kyYoq/YWXY/pn9xsMAg
T2fghGoeiy/3Hw6pBugBGLTOv4noq5U4tjBiBgkEjhEHcAOgEOf1IoZyh1cPjtMQe3up6qsy48+Q
xBy/lrw8i9EMbRM6AhPJuO8TgsQuOFQKf7y8011wZstJvMV4FLW4tT2D8gA3R774NRI3OcC92MUk
z5kJymIgKRB5P1Ds0voV8EGNErytCh3ObmftsNswiIGPuXryId807mJKI/pqdI3qrBoloVOG6FmC
7Bl9CCBeYFCFIVeJF+zbRV5UxvENzTJ7U7QeVoIDNvB2E5wGfOf6ZDhA6caFeyBYGK/q0No5obfL
/ZBAszD9Rd91rRQvkN/m0aFz6uepRuoWMBV+7BwdHmQMF3iKAgLtq7FYi6Sr3tK2xrA1QWdH3DpR
awVd8j0G/09AoI/UU3A/BN5htKqFfzhjsHb4Blg23+iK/AjtzDE0+M45RKV49Lwo24dFVx87D9Ha
pEuEpI5xVrX75pvmCLKIV24oKkZskWtyisMvhzigLz4/7l02uG9EJbNk9AZ7645O+IrMgcWC1YJQ
HdnJQkBkfuMd5wKqPzpJ6rl5vAQCw05RWd7yaT4Oyu5OhojqlWcTP+UN2OhdaV4Y8tJPzeccr0Ng
NVQbw3RKKPTyQmKW8R+sgEFiTGm1kg1+ahaL+worcZsaX5aFi7Lj/kA4QIdarYxGuuuiZlGj2H4U
Nl9ZmXQDg3zoIh3QP5fwFDADmZqOpQ+mc3J+fIFOHVgm12yLV1zX1m6UjrVvomY/Jks0UXp0HA8Q
UTBirbD5feqiv4xW9pYwPMHr6x9mmp0Jgf5k1uzwcIZNC/WQq1azIVc+4MmmW7IMMpZUFZRGw3XJ
sSCXAIOUj2llAhofxukfalxSgUlx7ZyrJIlTpJCYkxaEWUnK2oSg3OkYnqiPxPavPdq/GAvCWvf9
rq2833LOfqKa/Qg/GxudEfqJFl9jjL3PZklQtsZX2y72cPFPptFvbIkX5YBDCSjtLXHOyf3q0Apo
2QC8U+fUTg5tzBMXxaXwY9AaMWmUnHGzdWgp7HPbf0W8g/QxKM/styQbdhw9bXHAcbjtPdpyP9qn
4IGTFD81yWy2qzF16qPl6Z1lGK/FgFYS+Q/is2SdNoAdWwwUs4u3xC0vNMcQ4dz0qWhIMM/a50TT
L+kAxgrEQaFpYORnHooWNIqJG70NPYvEYNODViB3vT8Nxi9MmhGDhqNLZ/g2rMR2v6IMWeo/s+/q
jt0a6H/LIBkrNwh+HDA0QPK0RJ6xiihVX1J0KVeVmdxGja24SVpRz2CWuJ5ZzcZWlbPg0gEoJYYZ
BK2Ql+hRPuL1i+JKyIdY+Q5Q4LYIQReurLIMbPIlNWQN7lOvqdDCkjffMM7iSlM5w6+5WETYjeSx
3QG8a4g8xi7b2Kw0Z3bT31NCo/NnoLwkxMGbtSRAyhZ92L+H/L/LaCAwo8671r1XwOoq0pydFdrf
sKNoEMVU+R9x6CJkYAjmxfUDvW4PR1T5OuNs8IBQLUuejkdlrzNbtDT8wEVpGlp2EsxE5tlkHMRU
SXKvqJ4F5WnIir7M17VXOAOlR0Shf9YW0d+g2rzeqlbajUipGOLAPjrZkBbcQgM7irX2rQIWHQ66
mMxixLUlLWmGnDH/1AEj5mlVGrFiPJYhXwq/Q4d9RLHBTGczy0/IGuZmKrok77x1lI+hJozICZHn
AvuICAtQcTg7NULBfrD2YCcV/YAXVuRrrDyfrWDBi4e8E6ZCGwCCraZR/c21NOWnsqB8oJcz0jib
UFM2PZRuO58Dz7xHYDYmHz74MKITxahijIBlEEeRAGAc2awEjTAe89+mq12Y/dpIo/FsZH0mH+yp
C5emO619Cs+cPwnxcjY7S0hJNLpN9ZmlCPlQp7gR0upy8pD0q1kMrL3JeGBiemdL03fYuQ1Fukja
Ey+9ZRZOOrwTPpiIboO/LZjo4pOpmOCpmL4NRDCSdQoslyInvnhBFYKM7gMjYwU6cngw/fOT5m90
05wcVNGoCbhcHJkTIlWnnSziMvyM02/YQJz33WfPkriQ2A34iU0wrDX5gbVq+7agWCiD3BYzSoOi
Gh88j/oS2YFpOpjr0b/m+TaPp5mnhw/eC8dnu6zyZe7rjH743vZpguEOgtuU/Es8P8WKqrlZux8X
RSVGM86O9jD1Ylq8rDpoTBZqOqI23Hgxdo54IOye5aSHX5IZoez7TCPXYFuayH1bYicfjp4UihSt
KU49tsmdcBMAjAU0lkxCj7cCi1wYQ0tTbLugUuOrg50DK21qp5mLDsmqPI/SZkR5KlCAB8SwoQVK
OOXl3IRjHO3rMg978ENR26Oe1ixp0Ce6lRlv+BEbfy/ruWbd0rpi0fIUmFCjHqTJguOPEFgB5unK
hqYU44+ibGzbpoes16DFZy/kyWB6LXwdaXEqdZeW40aLIfL12bCcvHDXXRw1GrtObi1Y0HDK7eqr
97toTgA+6dr+kFmvkbqahlEYTIhBDGb2mm9cxCAEcUHb+xuZNIm8aRmGebepQ60M6ymHLI6GU2AP
6P5MpvtdcStdNo7lr61FhN425Q2ZgeobSclMoY0TP/+yQzszz1EW2zVzXuWU6MOGGhc0DBxT2Vj9
J+EVwZLoq93uNcyGTE67rBlkMCIXqWPUx5QNPTOzCtOfzcksKvchDBpbHo2iLklSlDzK59HqFS0t
3jN+aQ/pLbvESEe8DEWSRvU7KiHetFWNQLA/h6hf0J+12RbUi/ccGQ4RSaPNHvQpNmKCLKbZK9nI
9RJKMmcoyqVgCpYSM+6Y/6EeK05l56N6R2bn97/Szh2yPj3SZse3SY8VSb1BO0mapG6uG/OPdXo0
n/ndeBXSOcqSJyiPyr63HHOZGkAf4QJPjXTOdnGemNa9MzZc6zXHOD7D1KUfqlt6rA3zRT89C9tf
JoFNE4j7nq3sfABx3EIz5H+ebnOb5FcecZKekqBx+m/PlON8MFSSQ+iKTQxLkM7d8GlisOChh2jN
cm/NXREAFmnLoNvZUW5ATcsFDa43FwnExaqNXeatY+rXV8xkAsqhr0ojYRg2N3W/RxgZtLBpU4xD
WOVZdLzqttT4SgW6x2DDwNSO13bbzL7BRYI97jOYK6anvMIWMwZpofZmIjHN6Z/nFMWAAyqJkuaG
LrhgkjiFgvSoSGZ+/T5oO6Ga5hkJZiFNNA/4JfMwRMUSldGQsDdCp7AvRvLNsZCrmXeHOeZ/zJ3Z
chxHtmV/RabnCt0Y3CPc227VA3JEYgYJkuJLGAhCMc9zfH2voFTVRAIX2eqnLiuTGQWBnhmDD+fs
vfair/Pagg0NcW4yjRnBn4u0PyTQaXyLTNeeChlw56Dx6dGnpjteeZpa9oGXonTpXfQ1Ll622Oj6
2F1Ncnoyqp4U+EAbn2qUe4j04ribvQtD5Img+5DkaQw6SY8BmuZxnADdw2SA37YJIr+iQ1rCAOKR
njaCDh40ywDEn0pnTo2FnsooRDWiAg1spCKWohg94TckqwsDaGtWR12ESKToU3BEqRsmu9FS9L8z
yWS2dUji8nYKO4fxbeySgCrcQOt81+akBF4aYYEV38kmokdYiVBwqrwEZOkBsfAvDS3om5um6sIn
jUu8o/0S9v6uMgJ7ukCU1TcPRIkkmLvqJIesh5VxRCfl2D6Th8HyfDslmQC9ZBEESvGqSHJmudJO
CLsO2+8OD/SV3VSF9T3Mm5qdVi3tjOKNIzuzA9qkimxbCRMzmBGjMqEtxzHsatZgB26bvlHWRTkY
A/MFz2x1njtVJS6qYPZLqhyB1U7Pvl/TpIyceaIkk7M4rm1l8EbVftugMkxaURMT0rKXNcScxw9h
neXtA69qEa+GxiCxTUVWN1wzY0/xASGFz1w9ynG+bFvecWv0ymDdtB62V2wq3ce8FpB9EpWMNoE8
CiDZqNyIAEI6QOTidmHBs2cAd5XlYRgHwl8z+lHhJc3RrsUwWEAvR7WIOMdNZDQcHMlO8WyUwguv
zLyiTTNQsuw3dU9Xfyt80/xuCXde1rZeiVvL9xO09WWPlgeemhtw2CstAoqGnIpma2a19zhHdoLr
I/eG/o4ibKp3mfA8lKye1zI31YlC1VYYekjPIbh1YiN5WcQqkSXT4jA6heQxLAAnVnZtw72fkoSN
m27tp9Ct+++9Llo+TuiQCWBNvYbpkg/WNV8mvhG2CCvioJjk10Y70DeZPLR2RLDVRow+Y0gopiew
h6gXzgblOdHCIJ4Q7hMXFGrSe21UW2feMGORTU0PMeBEiXQ6024hkW+0ToXFrCgHtRRI3fhaeNko
VyVQaKI8W7f9ljRC0OoDELVkc6gspRhkxXqnqg5NmkFv3Lq3I3tEp+AmWtzP0UyX1bKQTt0kQFhu
7NKPf8cvAlzFaeMAMn2VTSg6bGJkJNrxr5VbT3eerzBdWU0SHDzfo9odMKEgWUObT53XqQpSlQKP
1PWqAMft4639VjR2kq5Gu8j559RP35HGs8FokN4n2xhj3u+m7ctHbY0Y92ksk7ebVEOEtSRgogJL
YHffgJIpQBpZiKB0opD0ZaKteg8dsXqK0pKQHVnmIZ66OiqQmbG1BLAv4g6uDopPAnuFG5K0iVg2
2juWgMtpaM+GNQlJ4UMNl5PouhZXHVQkiHPLnp2nwJCOSKlOKoCMRj0Y03piluEvboYMVI6TtNk+
b3RBoZF5fNqMnUU8SYuZPcfo45EnHNSmzYJkKByMDJ4Hm9yy4BhEtpaA5jFTmBv8nTBWpzCiL9MM
MYH0LkQInI6emffU8er242ggmdpkmQeXGpePNLbM5q66jNnfDqtYBrk+DwPZfgfY3+fEfuM1w3Y4
SY5GPFcGK7VAj2qEqBYAVeWHMlMekGjgunDjhsQN79m8CFg2ae/ABy5sIpcDIQG1oHjyiKpMQjiE
OBPZ20iTGul26lOzeoCvlLfblmNY8oUHMm9u8Bjl0VoLw0T9G45ZvVfGYNSPbjGQoaqmZgi/1l2H
cdYCJB59TwOAf9uis9DtwDub7Jy8DHBdya0GnMYzP6PbFYrtSo+TxUrcSu1hrk7pJ40IK2HdKt3+
sqV1NZyPvlnETyyfKQ/JPIGpQfrWhzRM2REY/mUfuSgJOPB4Rc+2sAadRlUH3V9PlWxBc1vTfDsK
AnjJKZynERRuExfb3pV2eadqz3OIGdAj+nZddYjTE9Rz46oAfkRvps5Ckz22B1KaBz1s9j7Anuh7
aTU5G4QqMggPCEvSvrSI0M8nmUL63+Yzx9K4N9L7oS8NhGVTYSFcs9Uob0iY8MYd+LPsPuld27sX
TotCFuZ18MiGcK43Pa0NsU974QYPAbhQgm1a0yxp7oRVzrwwjn7sQxYTxRDtetR1oCG72gXZoNPh
ShZ9F21EGRbZNdJWKqMRLsnzOh2tktfco2ouOwlUt6+yJLmohtprdxGqlGFvjnkSovoNMnxpwTJx
zV2RwzSbvSUtIR2TQq/S2hn8TckiF372EAZqfHwio0GbGLrsHhCjNOzbAwwe9GHGemqRlAoP8jFA
GXi5wqHD+Q/0EkxiBuwYq8q8kASLSsvBxcSIdr5a/oxowJD8+R9+FGHOLFkfcHqtmWzpBD9V3gfR
LLTJbtXjhQkgNooS71aCFatejgMSIUeYomtoWyr/deWdcSexY43QoynyzMmnile+Q++VhujrUEdo
Ma5+/eW//vXfT+P/Cp6L2yKdgiL/Je+yW2w9bfPPX8Wvv5R//tvz7//81fWUtJWyPce1hWNa0nP4
+dPjfZQH/MfWP6BmdGkZ4qFOQWhCdJFWGK2zxG+ds/cH8k4MtHyQnwaKrXAKkKUVKCgT9rWtlRIT
1JgjZbsiKWqSXjnFsPJkTRFfvj+0ezy0a5rSsk0lpPIcS8qXQ7uioDKBKH0dji0M9djqUWC2nH8q
sEbpFO2zlk7y3/2+DKrxU3meaWsGP/q+oTvMRjUQ5iSSwd6xD2o+dAqnjue3pGLIkk2T7L1h/f5X
Xb7Ki9vpmtTcBf/Xjmui9Xz5VTtROmnbs+zXzQLY9KahO6AgKnFnUmx4f6xXj45r2qarpDI9NkzK
PRorD0bMrW2bAbFoQEpUIrtGTkM16f1h3vhKvHrcPEG2muJ5ffmVdNjYaCoVF9LyMtgQix5Fpu3B
q/Lp4v2h3nhQXMtEk6o1l8+W+uVQnRkhJvV0fdbUzkyTSJi4mOMJ9ijZuTmHsnEOw+v3x3zj6/08
5vFV5ESGJNWZwLFEnnPdGQZJ5xOpqFS12u37Q1nmq6fDcR2heR49XgiKLS+/n8Wz06g8A1fWkjua
NLMBRoatCxphgt57KqiI5rDnwDraM1WIT9loJrsTH+L1F3Z4LpVpWZayFFP5yw/hZ2RlRgV9jyGr
Y7ofriyvcBDRkhVJcTlIx3h0qdN/4RA1XiFCM+/F1JQ3nYsUISGJljdoFJyIM33FsS2/f//jvX4E
kK262tLoj01Xi+XT/zRNRY4JmQe+xlqxJe3PncLJx6+mZ9uwN0ETOTaGKjs59dq+NarHHTF5ZQUe
1KNXqWzdHkcqEQcpfXhie8xYYdsqsmwxUXKKbiT5IwW6kfe/7Os32FGmQuvHu8W3to++LHFclnaa
nmSFds4+0Rfrtiz8xYnp940brkxtOY7Jd+PiHY2SlqVRoUNlWcEpD7/R8BEN+VioOeqfWM3U6wdc
MQ14wtOS0AHn6DoaUgaTbdNlCrl7BO9qjHhTS81z9ofkLsNudt5VCbX5oQ2ld2Lwt24iU4LrSFid
yrSXD/fTozNYQZCwoQ7hrjh2dUUIWRH+DgN4Dq7TLsriXd0Xnv33pg9lA3KxuXvCUY4tbHv5UD8N
GhRg3Ci+ALjuy2pbsBk9OImONraK5xPfzzp6XP4ci5dDWp5k8nCOpo8BqaVthWiTFDhrN/S3I0Aq
FOZyJAK4ufBGFIiWtcaLSRZnp0kGRRs2qhEsddhfWKo58a4ez2c/PhD0UcsRLEWetI9udwKsLAqa
BQAD7GiX0ui5s1UFxTDGjdSnTbnzot7Yly3vDzXqHEj6yatydFE8ko6YLmxPW8KiNymO7vocSHpI
OF3WWS8RkXEMG84t1InJiWXw1f7JdTxT8Vi5plq2M0fTZm8V4whAJli3AAAAMw0jlVJEXjMUdDao
Ofkzq6gZsKKujZ7D0ombfzT8n5ea8x0LB00FpY6WRuGk/Pue7qXfSZaoCZEZ03QzS9gCpcYSrd2F
4WF6vntiZGu5iy/3NA5qapPVQjIl28d7GsCeTB4Cm0hlNQNdQMDLUZ0jI5xZB4gRWMRf0A78xsLx
Mi9WQoweOIgM2zrxUY4uwnKvf54vraOXrZjCoaBHwEw29CDoF49CmMWU0vvJvRpD+WTPAGvfn6Pf
nD3/zxxtHV14r4xSuoVxwbmwCe+ygmgxSjTuvg6F8fn9oY4eZe4xpSJa44pNnSDx5mgoo8kMFLjE
Rw9Zh3Q2SXRX7ELPgY/w/kBHM+WfDxNjaUax2BsfvbdSjNj8ZEhmnoVvkKRmN2lWqSWtluKWsJ7Z
ooBbeX/Mo3v3Y0zP9FhgHduV0ll+/tNEmUG6LAyPRvBIDmZ8UZupn5GrC3p1Bc86hzFORuQw52RC
vT/w0Q1cBrY10xPzs23hF7dfDjzx9X3alwWhLDmUqGqMqg0Q15FMkyQIP/zdwYQppXA1s7TrWMff
MqJSpIcGDkGXZMlFHsBDmry+PA9odZ64ia8vKEOxJXeVZlVX3tGE5LJLzfNsAiFo+eKrmQT+vu47
5Ju2mn6349G+SzRWvBO38fXV5LlxOHEol8aK6S4//+k2lo6i9K9QCNh9C+l2Is4DsMt4F3aow/72
tbQF/yMLgd0RK97LoSaBKTXp8cSY1pRvvNKUhMYVVLlpquzeH+qtN89jcveoHJm2c3zb5sGkKSIT
VLN105+LIuuQm7nxiYfjrVGUzeXTrlJMqEevQKf9KHYpKyFawyWy6vMsIvKTXkV34tF46yYpiShI
Q3jlUTwayGCpZh8IcINyt/wSEHeEG6VmfcqH8P79K/d6KhH2z0MdLb96ZpdVURNFpaXGFQ0If6Pn
LgQez0as70R49f54b1xDTzM1WkwijsVz+PKhSILel1lBV9HLNcinSerc2KpZjOmpa/jG+6VsaNDC
xnJLo/vo8bMEdL5+whUVTvR/cEdPX5pWfGlGnHSlHRN06A7YGjIN6abM7pfJBGPoqDc0qJB7ujGm
RQqDa99R46GOeqpbne43LN/jplOF2hYSI2ggU6ogHfFSFefptVd5X1Gg0Finrwi9BvxFFw9frD4K
ARsEBzFacqmuuWe5A/ElNUtAtKkF0Di0VtIMLxKjg4roPJfaJytDXXW1/qNSibnuKNldlHamLiDq
fin7ZFFpV0C0MN0E5iRXo2lnV3nbIn8XyUFPkE1sk+Bzc5bWqmqopL9/J09cX70cln+aSewUb9tc
DfgOYgCd8A7zDzG92HWV2foGRR9dacO0D+8P+mO5/mkzs6yxzCfsF5WDqkfIo1cj1ikikdKEbtPP
UbKiH4NzH3Zpu0ERhGjNsbPrcSi8tRfG4T7pxh9gq+rj3OftrizY15i0npH0zgi34sBJ7xOddQi1
faqtikPCbVqU2alr9cYLrXjgTSotbLUpILy8Voo4hG528WhQrPDPw4GdKhpTutBVFGNrfP8avX6l
pUllhdO3tk3m3qPdwdwOqVN4VF6GZDb12tQdnTiPMB9QN2lEXV6VclYnXrejkyP3hYnKZbryKIO6
6vhsI8s5jnLLQPrM9Tuv9RjvvXbEspvm9SPyNVp1dUy85DAgF3z/+75+EGn3CNYXbynLqONHYinN
SjK2IJJk1uUcInZAHFTORHEiqYb+l18WxK6fuMjHu2q+8MurbL+8pUHDLqJtMAQ0bshaQHcZ7z8W
yD3nPvscuEG0J8wFqaTltLQMQiaA2bbDcNXh1D5xBV4/XrwLlmJZlyy0rjq64+NkDUmxCH8oVsSX
tKNp6iEA38pkdLbvX+w3h0Jo4y63mSPb0VtfirqpwxI/Z+e5LSa6KoQQZsHEizEOue6J07nzY019
+b6zE/OWyZqGPpP40foE+ZxGV81z1UhUt6B8dhNpekG54gDBn4kdK7LPefklI60Zq6sP/mIk2c4I
iDfyMBJBYGfxnCfUbDdUzM+M2sY6sO4VjpaBPmaEwOFjjcNmnkmlg7kSfKXzx5xmrroAEll63823
qiCzdIRylicbNAQFAHgaLOW5A18BKwrEODAKFcYha4tG3oz2yBRWmXvdWiOuxAhOprxUZLIF+tKA
0KWRPEmCIevV4IKdR1O9UBTxdoMdUItOBsxHDfuwdME9jDy6vkovhy6uDlk4/m7QCA8IJtPnaVST
ShmzGn0NUIag7yJbBCVDJz/DQh3arRfu2W+xsbN+nHEvE9Rp1o3qcIH5Yj1TkCWXbVVgnIHiJKaP
vgIp+BCiRWd+muQnNAaYzR5EjxAY1HNGo/0jyapxCLDKvu86us3eYSAraaics2q+AcKKSuDMs64T
uJ0F+rXxAfwhEkQchDRQwWd7ob8OUSAr/2kmPcdx/wA/PzvX4JhnUl7CDjIC5glWsbl8klQBkvYx
6e6hfWqwYhmmwZ5ItNYk0Cz/3OrqIDQutCS5qcBwWrhx5+SqhwvfZdsctQetI+FtKG+gVjgkZNXo
3xupzri1mNygKhBJY3QcgAmCd/xDZ+xEuk06a6V4jTziLLfYOEO/uR7J5cNHkNRXS9JAzKtOs7cI
HuCMgFO2YOabH4bqAgm/qb8VeISTHTgCHE3dIQRy2PYX9CED8PuQlazifiQulTAMn9Rj3W6Qp4EG
vBXQvYoQbznqx5nwjk92jTE8+RANj3CCQUfi4bBwWg7PwfxQtJc2XTnaWuzi24Ob3MN0lemdnWx7
AtNKdjxNBLSx+joyPdXxt7omkruFPRlFG0nbG9McRF+avHMJh0cj15vhdi0dzetSnHtpsgolMA/W
rDx1cZJiJmu/yo5kY0INw32EeHCcfp/1c9Gz7n9I6dklSX6OYcvyb1T6VcIJKnMo+ch6pTQe8rzA
xEeLDq0o89IBYsO+hETRuiTnwl7t4m3pHnp9FyKeB66I+A0h4yRohoP3T7s9jBCk5XJTd+Y65Ujd
urcJCPM+U1djGfMjNkO52MY9d8ndaP/GLkgkxhOxEAy/2f54i6B6Y9X73OL9DLH2GyfmRsGU/95c
dbTKO1MPSD/Ccpf1A86xPBrWlu7ViTnx9XLHSuu4HiVay9SvK0nupOY+ICAqliaVWhqn3XoM+/Dc
p5/mXAOgnK1P1aDlw9+Z+RXtMFYuRLomp2LLZmvxcsErBPTAIqgmXCD0HHYTOVvmwbVBJRN235ft
/v3h3rqYrjBZZpELsuU72uix+mhr7pn48xaX91wF6R4tk3/z/ijWct44vmdszDhQLZVn53izNMo4
aMgLoLowyksRpkgJCIkTzVUhHEJnvDbZuKhEvytfBpdh0wASJGxlRml21ieErr3/cd780nSGtHSk
oP95tNoZtW/HacChv7Cj6TIwEiBENF5PtOler+EcKZfeI2u4ozAvvbyTDRrB3ixgQkc+QT8dEOl9
mSH9yPzm1Cns9V6UY+rSutBSK1qDx3cRWaXnE6NwJgiQZHYXw4c5dtzbcSTRrKGz8LdfQY++3FIX
Y6+wbEZffjUV+c04F3AEgFYgfQynUV9CfdGniqqvb5RH3cZhs0WrmHPscol/OvxIChskxUmIzSrM
9xYRkUBMyT99/3FYJoyXD+fSAKfgRjeVOspx6SueSxe5RUAfWmYPSJqvwIp+7ipiCGsgPtLwfuf8
5S3ZIydei9e7eY+yA4h6xeZLUK9++fWQkOquadGlzgiHHsI0tK96aTW0DvGlkuhDqKskMZPAh1P1
qVMjH82hMK+c2A0Y2VnkoHWGIaDywRwjnnT2cUioAKIzb+83RKK9f7HfeFQ1Sg7UU9A6Ft3By+9c
2nPiuhEwZ4up8GvrBN2+jmIY5tZMHieWtgXH8f6Q1nJIeHmDKcqzcUfkQEEOUOTLMTEDGnHhtSCW
EjpbTgRsRltVeIAnBI8Xec9mkGn01cn6aUVZlrD7QBArNXoNOZBtvnn/47x+3Pg0TPQopgTTrn10
BSa8FhVyKooftRvsKmuXGZ8ogtLuqzEbXAetZvJXwvj6/rAv36VXC4t19C5pN6wlTh82LFbckrtt
Wh81It79+6MsH/74UlM6dYioM6nTHx9cahgcdVTx5VJN+9n0q3TTVibNHkRHFFs/Bp1brd8f8nV/
7UflkymCAraFVOjogtJWMRqvdAFdwDggNNYZ7pO8fxDxHCIac9VtUE4BcZo4Du5oKmCrt0aW0hPf
/OX1dalYUkrk6CmWyr1FY/flQ1ZDRLKoF4EJY6EDPuOQuUoHueyqv1vbWwZic8LKhbDPPJ6uvC5A
RV7TaKpRkgWbLnXj+y7N+3T3/3Bdfx7o6LUJkK0pd4DlFJt+s22mogZq3SdPhevEF4mLb7yTEXSB
aYK57oLRGHK80u9/iJfP04+n1vZQX7ARcW1emKMpkgoiqT5WtrBwqB/h63Lx+qFINuijgdpn3kii
kwf9l3PUq0Hl0RcHQjqGzIGLFUHGj4ETOZxhcnPu1hWlhavYT4fixKTw8ul5NeTxBgl8Y2OYLkzG
zkxquammsnxqUDaOf86F//VCSdf8UNY9FeVURwCcj/74r5vyOf/Q1s/P7dVj+d/Lr/7nP335i/+6
ip7qoin+aI//qxe/xN//1/jrx/bxxR82OSWY6a57rqf756ZL239r/pb/8v/2h788//hbPk7l8z9/
fST5L19DOKyjp/bXv360iASX8jMT/39UhcsIf/34+jHjN6+i/LH5ZfdcP0bNG7/4/Ni0//zVcPRv
S6He8yxNPYUJjOl7eP7xI2n9ZrIo2WyxllddLdKJHM1fyK9Z4jebl59Jj2YPW77lQQXs9uNntv2b
tm16aovU7k8By78vw+2fc+efd+htKSRLxcs5FoEZZwO0X4qPyDKqjt6Jfszhz3DKBwgUwtOOp6wN
t6kxeepOGYJDmmqXHmWZzR5WfUIOxAYuo7HjGA7EJ2qUcTuTzzKvHV1Gybbu+05eDkbXqrO4ywkR
pjNfBhsvB9nNauE0mFRJHxovW2TaxVmti4pccCPqh73NbITc3PObNWy8rL3qwtnoPjHrOeEfbhmM
CXRHo/vDdau2xDYbx+N4jnWx7skEplJLg7OJLQ6fbV1ez50LU8CwRiu4KZBM32CLiK7nppnaD3Y1
JrAKrKiUOzHozsbb3cM+W2Fni4bzwu9jzEAFxqJV6bgUe+e2a411GhJEtLaoxOZ3rZZ45vHyLo79
rHM4dqOFNdYNlSjYAOZCqkSTaHcujGlhJvO+ZQOKAyCEXE06IOnowMsDVzAhGko1TwOrTrru7Lwu
yD6cGwyuI/ReE+/VJvQy0qLCRVaOT1BYj3MihH3uOCgkrntohSReEQCMZhb/r7cxilhyiBdq6B6E
CKi3dZmync1QZrWxz43G7dcVEpOPduaPyTasyxSHeyStz/PohCQaxRr7DuFfjbv2p8Hu98qzYm87
xQhSqJt2jltelWmkm1vBF9WgmgN4TzEUQnen7A7bVuwDL1hPBPhwYUpEDncWKXBY/yBfx1sDzHSw
ieWAGVMWpSQSIJG9vvTClJDMeVbUYDGfUWgr85Qr1I22ne0N1Q/ThxTPRkODBPfsCvAkhIM8Swfn
W0xoBi3gWoV30CcWJIcv9GNRp3ZKFFabdtTNhJFfZo1HBCt7tb68MMbKMa+o81OvM40umG5Lr8rG
j/js7HTdpL55KexIGpDJZZ+wXtXgbRM/HvTOpfkwnE0gD7/XXeZ+bzESfRAuxop1NQOH22QyUYgn
hxFMq25rRz4Jzx4/j8KYHnE+YMKf6prQ8YQQvhb/TY2Xoe8CQ+xmlOLOBVa5otqlQZslqFndIP+4
mFx93LdgG+5lGGQUTNghFWtDtjAuxTy2/j0Jot5jGdHH24W5Nr/1KXhlXjhpuOBL3Ky4Kn1/JG1D
GOJL1mmj2oWjN+qzchpoqtHJIdfQxo1PSnkRtCjMCyiDnDorQ7sbYaNAJxuqvx/ojkdr4Rsg8CK3
tT5FaLJg16UFlshOZ2SdYSOEi6Sdi3iY8h2/MH/WlqzKjY9B1rgpEVmM27xwIm/bcgvB6QEK6j6g
4s+AxzadrbYV7Ib2EhNW8F3agmoTKTNk7Up/QEcNfdHIVvMwcviXmDWru7wQ8OqMARPaWURA/cbH
hrmrJwiJZm1EJXSeqvTXQTlMglzjakm5wykH4G2u85AyMLXfQzZJnN25Mjp33UCIzS+yaZj2FoZp
Ni+N5fnWLsgVZV8QYjA5hl714pAbOTBwGXt6Xru9LdvzrqnCaVd2/Pa5S7UQBWqErWMsQE/jECd+
IKe3ODZmBeXXjcf6fBjKyXpwq9guLqy+nJo9LhGg74GGSn1mdLKGPZ07tEqCUBF9M6FlbD4nfrk8
vdhiSHji7U8RkE5KUJKVMs4OHU8XtmrSbZ3boIelKc96wkdhpNRB9TELPGAfBTyUa23Sj6GP6qCZ
DsGNxlRWrBIAXO7ZN2aHTvXMlBN5PXneEuKn7DzwPoy1joh6qXQkVh2b6ewi6jMDupHTgHYOQ0Vk
tsM2DzNGowXuUbSK0aqAjTLusPnPgNHaMSdNBASAbX+0CFoGvcxHpsTbyty4tycHngP5xvO4H7Uz
9Du7FHN5E+LEpcSuzjXGP8hkiQo/qTlbtC554CTRnh1glR1GEw4A7O8gdbcxbS25DZO4MbaRNUzZ
Dplhcee6Wd2f94TiWbsJGxTJp2IiNxAqQ0sbIkCB5lz2IR7lAx9O9FtKMT4p73ZfNRdkTfMMJv7I
P5uk8fWGIwK1C1gGXlbd5KxQSwjPrAGPtUkRbIqp7c2N7nsn5CBR+YWkbBSTiJsraPKbYKhS+HOa
+LgNNS6Ii7Oelpw41N/OVoFOceEtGMNHDA4sV1E9kattZ7YRXyLxIcfWcbJMkM5G2M+TwTJXbDHQ
Exe66gRROEvcdR1dxdB3HbIEkWGvmHIzor+Y8Svyk6t5OmSJHua7pC9n5xDHrQdQFVh2g602BZ0f
ermIb5jyauMOj2CnNy1H/+/FaNDfdQ03eM4NvyboMXEg8Xba+z3upqu0ja8GMSBOrL3QbC4TwD78
FF0BFWRfy8+lRZLvLdIJEnT9yQTn2jidNW8dh4SilUMGy0fA1ITTN6UnHorMTyyMsSX+R8tPQXkp
tyDiCZA7iU1s/Fu5ql3oAcuKUsNJiouof9a+2uMQqMnOjpoEaqwTGbw6tZWHn3vLKTbMQrENoz9h
sQhkMX4To7Z9aKct1LsgCwD6CB1NBPfUJeYbs/AKkKruED8WpRo4jZrMhoLpsKC7DyFgY9Y24a/N
iLsNhPPMY4O8uYOVV/hWfzYU/hRcFaSGdbs4DlR+IA2gm7YiicaP9awBOJR2EMwbM7FmPoxd8fQl
eG5bWA5Sdod2igLnD7vSfo2wwZ41EC1rQKbQZ3be0+6IiUBV7UBFcnBCngUb17a9aXikmaor2wuA
iGSy2ykrDk3YXjEmOYGBfRUXBUg7JK9lvDKVDIdDHxVeTFRvlPSY6QmGMhNHG1CdvM6Iz5g1+uCe
lEJmBjsuSPM0u3YkXtMrm3JdWm5SXFQTxv1t6yi4bVWmooGijdc+5iNrwnaaDLz8WCAtUlCkPZB3
yBaJyW9uaJPtUUdECD/NOQbd54W12JUDe67rMqWesDGqhDcl8cypW/7+mrzUAAg6rJMG49F2GFRZ
3PazJIXTA00+roJ8qMVNnWY95NLY8YPsykvK0frQMG/5GVNcM2OszLJYf+kjj7vKV0BDZKVmmKzr
gezJWwQejX+HqS7pto7RTApIJdimTV2bC6mG1ga+JpaVOD1PYp7ZoUY6dk+QSEl+I6SPGsSzI4Pz
1qcTTLUwj+pqZ4ox+N5WCAE2Va407kbWzhI9W23C9woIUG7PoTaU4y1lXzo6OfEggG5rI4k/xl5i
wyLRmo6mZSax3nQaJvBd2hS14Ctx58AZ1kwTZxWbJfK0C7P4ozaTKfmS5eVk4EYilym2qOpMbl1C
Zw/iqtr1opPZXljJ+G3ARwkElr9iuCyC0SSp2KMY9sEbiBETTWUSz5y4hUGDFAEP/ebCiqrPmXQI
t3QjXeGPx3ExX/nBBCGjjAKJT9+F+7L1BO+jV8H0WA9DxtaMJjX72Zk9OsFUgWnOh8Z3eIE8I3Ow
z3d8Zdpi2dxsHcyBzYotchTh7U4hgAWRA99ulim0JSKi+xvufQrmh4tfrJAaECiiJse2LjpuFvEA
OXifnZM1WflRREU7XM0V7Xlo+2yP9nEum3gTdyR34lB2yGlRvXNeJV31ZLjp1J/hwY/7vVEp+wIm
vK1+T/AG4db2DTPaeqApkOUSniT29OaoGtr27EcXc9cN4frHAfRvncb/xzP2i3P5u2f2/w9P41R4
Lc6l//Np/D4qfvn+/MvhMX+O6uLn8/hfv/rXeVyYv6ER1QKajEvJlJP3f87jQvxGW0Uoxckfldvi
C/n3cdw2f/M4hC/HcSim6Cg4xf/nOO785izKQs1HRNtrodT+G8fxl4UbzvoaH4eLF4ZigUdI6/Lz
n1oUSQMPOgtUtdLut4rdRz+e1MAc+aEkVDHKDS6FZ8qqKDSOhnCTkf2TRfCHDNV5kg4gVqO1P4KB
jOPN4FXfB3M4BDLZ8Xre/XRP/io+/Oy7/KEV/6me+9fYiwrSQRyM4/vl1xMJ1Uzcu83K3o23gXsG
i2u4p3n/nKycrwBe/yDNwHlIts3+/YGPLyvf2ePSIjiSPEjIuV6OCyEXrkKIu4hQHJgq3+v+RO9l
KXcffbGfBzg20ZE3GCmy66qVpfJzs4GBlHR3beE0fxbcXtTbfr6CPxq27wzkHjV0Y2I3yRyMlys4
b6GrbvDr7zmiPOgVYONHiMM7DCDrej1s7L13/v5lfOv+4Uo0BSUrKV100C+vI0yJNJa9C3wSJ/NA
HylvBN6wiVYIoLsC2Kamaxh8HolDDiwiKuWwK8ZqW1NUbTVBb2hvTnyklyVdtjncWoveAC09Wuto
pV5+JJjoc90kPjzrOwlxrFqhTFln+3Ttr/0tEHgECbaz8g7pJn0QJ7r6bz1WFvJ2NFU2De/jIj30
FiuZGlmtOEK4m97v/K2qQB+d+IonhnGPvuIIm8+WmP1X4m54tDfBAbDgJQTwFXEIK1iFn+PV+yPa
p0Y8qgkGrU8+J4e3Fd6eL/4f3a4qVmwoiaBcffSJm98BslhV39lOHZZPMCCDRduzDT7o7+9/kmMp
2Z+3d6mb0l+nm2IfzRjai2RfcthbjU/5R4o6xN0CeHfX5pf2EQ8Kwbdf1bbclYdoe/IqvDFTIpr4
z9jHjb4iqSreBY+rcIiilf6gDs46ONQ337KraOV/6A8rjFV89cf4Lr2KPp/45m9NKT+PfvSuxdNY
zpINyMo86C//m7Qr220cWZZfRID78spVlCzvdtt+Idx2N/d959ffKJ8z01SJV4X2eZjBAD3oVLGy
srIyIyPU9/kYO7qdmRCYv+ofh6O64+yAse9UL/E/HxvFZhlQETIKSmEMGlGoQexCtPNUqIVC9Kxo
jOu0i2wkjQ5qDtC/MVC57JzLS91c6costced2lYCxBBaq5Gf9eS6TZ/k/vayidMezH+jBGrsYJ/B
+L9KLvD1vQotVxn0QVFr4d2LkT3wxD5zkG6PEacuG9pey7+GNOoTQiGuFscRZ3VKokNggGwQgnUZ
xxqQ2ox6GPrEmA3+jT7C6XqSCKw9YJwEx8isWk3/MPW/Ry01ZfVXKT5dXtGmU6xMUbEgRm0IT2wS
fbxwB7KnHXAEO36nM5xg+25RAH5G7oPcmx4HSYFSHUsSyNVj6zRXgQeWj/Qg7cI9D8ZQVLZMFItL
t/AMiRFgyQroOxUXGnDpsMojBzv9mINSQhgLr2srB2sWN14b7W/CajGAPSwIntAeYfjI/7NUoMAk
0P0gd6QC+hK3PcBmZWO1zuxobuvpPpSYfdlcLM5rPMMGRveHxljl5hFQAWnGWAUqzXTvswMjZ58a
SFGCEQBLCZqN6F9w2m2ZPF52GBog8Z8wsrJEfc+xUcqlE0riMXitqpYMnOnL4ICMzAP2L7BAX3XZ
In3oDNBnooMNyAv+Mc7SyqzESAYvI4CUqH2VLRi7MjyuXy4bkSkvoY2QPtoqNUd5t5rmgrQeqluO
gzbpXyEq8LupRRD7q79fnUcyv6QiCiLwCvJbDFTp5RXQHvBlwQCqAY1FGeAkal+6TK5B3Lr0Fij0
6wYay8i+jR00by+b2dyNP2YUKkWdy0qQtR4o3qaQfrWS8Fyo1R5McO+XzdAhEKsBdQDGBBCbsCAa
2gg6EwyklkDzYTzJLw2MvyNApRB+LHhvVBgoia/Mdh0jvqwBPI/nH4g/QCdxujupEiFAzfh2/B0I
fi0UMn4m9mBC2sNqrscrKD9brGz7a5L7zCYelwDHQZvnbKIs6IElQm1qwDlq/P538ShcIROzoG1q
p7vKRXvDRqUdZczCKV2ghEP7Gx4j4XL59xdQsX/KlIlvMCeA6tEAPNsefI3K/Jb3jFxnwzHBkwA7
CvBUGNWjbrNcT1V+QQfYSo3pZsqgnGlgcpPjIbMhlWBdvew4Z+H3ay9X5qjwC1XiSNbJdy0QZx3Z
il4mW7bwYvBJXplB4sGFnJRdMlZJUwmQE36yTOpr6jx4skAmNViEuKk0j+Q6DWzQmyquaspu7hq2
4F9e6+aXxZQNoHFAMgH4cuq2idyA5FVPBmvoRh+k+q4spV5mSL7eMTKss6j/tTo8xVBbwPmAvVNT
jd6qDWT4ekt7WFzFFXayH/ooxtu5G9usy2wjGAOfCoQx4a0h+KVTYxK67wIGSHvUSWLSdITOJyOK
nb08yHpA44CpNRQqMLdGwtw6HkeFNmlkPSTv6W4q3o733UHDgccEyyG1My+GFohdWKx3B/nt9LEH
+AOjzICNgCyGumjEFkThIxgy/5twpV7jRLucWROhUdRf7ri2Q1043QzCn6rFN4REu82Z/a/I/pDN
5hnqFliV9njZEzduBcRNAUPhmEdX0PY9/Zwl13A8CvcYeS8hI48CflgCEaXEjFRgyzHWZqhFCc2Y
hw2YpC1D4p+HDDBIkFq+Xl7Ktg0FuHpelmVcCqdLGcJlHjQF1O5CLd1JDbc3NM65bOILtkk7ATLS
f21Q940eVhAbQXEaTpDcav7wIu9FKwdZr6k/I8+x9FfBiz3lDlSG+Sc0e5zAkfzImRxIKDBP26ar
rH8NtXlGhcIn1JDAt2yrXuD1Hnf90Tmt31mVBZL97+whoBs8UEkgMKMnqdtZrEpRxPetg8Dw62Rs
/SiB4MLlT7zpkKhiyWCuwVlQqfM9Cj2S5A7M+VMkPvAhhBXEpMCYuNAwEpWzagqJJKRe9o8l6nor
0nnWMQ/RWJHPucNLfF/fjw66Yldq68pP8V3nZ3ZpaU55pUoWuv7gKEVUE3fGrc5Y86bnrn4JdfMZ
GIHGeOkAUQJRtwdVhkRkzLpdifefee7KBnUPgDMTo8CQQLOGQHC1Wr4B7ege/d7GrAaMZwch/xgI
xo+2rNArN9y0yhlVuc2NBX5XACYcADs6cJe9WIbRiNeAATlTNYpfaxCVB0LNYHja/JaqAbQ9WOBE
TDWfRoEGnOfx2PY4jGMsmEIYPQKs8o3rG4g9XEQYEgVilbrmZnWS9LEib+/wiI4ahq56P2reKyhL
Xj4MW4vBp4IlfDgdkzWni5mqTkLbH2rHSiU6ZYDmwJAxfI8GVn/dN2B9AwoSHMO4WaVTG+AoTzKc
BDyg5qGyO1kf9pA6ziArJvduX47R+zy0itkuQ4dCBmSzpoW/u7xM0jQ6c05QvZCnFgaPQcZy+hva
pVvUKcBv0N8KESTSpmDXQACCin8Xe7kvOdPzcowOoWC2P4J71if4YsOiz8bKPP00qrskQBsU+XTj
6t50pb4f+13t8Ggb2KkjOsDs2fJD6EHd6gGjoSaK2jx6zibvAs6AsgAr0Irkk5/9HtyESKJAembo
lA+XQo3/PY4GS73TfO0me8Q4q6Pu9afCRx//CVVf3TbeRruDQjyohFHuN1Fx3WuMo7SZGQMECU8H
zwSuVWpbslRqlbzG2zcCHao7O/FB2HGOfjWNdvAh2pWXHVlPm60osTJJjxYAAxkpRodQGDSh20ef
gLVYIyQ8GQ63dbAw1ATwEEDnBoovpw6XGxkm0UIybYvGRLxTfoCK2oIMqpPaoY1JUuaTbWtdeC6C
QAOiHYiAlEE9NfCY0uDhkKCDiOurEQH+IrPITuhJ+q/DvDJDv76BDwR1SwYzigmdRzOyyqfQS65B
R75jdVkYK6IJz3RgphMjVVqrUj4DcIENgC4kPcfaqfOzgDFJbBOYAdF+xaTi6U6JQqNkhYh0OPGz
2+NjYecef5Pdi2bqBlb/98GQWCN8GLg/NIO+pJJUKwBlhDXZy25bK3ZIXbV8TPYs7pbzr2egtIm2
NGbf0Pz8Su1Wz5gZah1YLiSw5LkCkVkWO9B5eYuLfnfZ01l2yEFY2Wk6SZIBhO+tGXPboWpALuRp
SZ4vG9kIWKerIb9iZaUbx7GUFFhpHcEFp7TTufn77EQW0GA3E8oxM6RYTdFEDmwpe9HkzZAZNVkr
pdK5yYB2S952AxroxQ+dVz0uacASr0d/N/GJI0bWirkATA6jO0Iz+DbJyHFixPWWkgBKP7oywCOL
wQi9xKtPb4BTI9RigMGPOimBkcxXXMj67RRPcJJ94l3euI14cWqHyjx5BEix7FHi4ff5feXmXmdi
hvyF1M1Yzf4v+kd6TeBR+Spyi6i4UO+zFPioRcugFj3vA4+/m15GB/h4pNjAlJH/clEGsSUvvI2v
onvFSl1yxsm7idVP2/wlZEQQ7xiAOfDuPXXXUiTK3iJWLd4JL5JbuY0f3qPU5A6H6iF9En6AqtOS
vNoffUh+Jbv+KsTPCe6Tt/YbzoSBVDgUDiFqbVTyBQabYFSh5A6+C3nHxYLT9YtV5JpzeZ+3zgZh
80IqoYHuiqeSfzAxdyEAwIg2ECUWkhnA7NDPOtaE8vmtitHklRkqVpe9nIV9Ho+WEfNPqAQ5+qI+
XF7JRsX3xAadIIy8VJYz0LrISSDYbvPH2oLYLPqvKrwWlPvMuLJ5Rlar+vrzVXAzWg3YHB57JCM3
rNxhl17VPkAUDggeGPfPxpv0dHVUwi+FnSSAdhcC0G4nmoY7+AUOZbXLPeWYPRhO/KszJzS3o12H
xNN4hK5t6YJGnBUXtuIP4YrB2RAJETB9VhMJ5FlxMiI/Cu7CXb7vfkKC/H70oK0IgGhuohbsDfdD
bbYP6KIq9uVd3vbXP+apz1CNqoyJC0hdYoLHXFTM8EdeoLnfMAJ4kIBiEa5iOiUz+BlyJiGMJEA3
BtX92L5OuszIXzavRkCc/rFCZ2RR3mOsXMaZSK7UfQGmGpOzip2R41LsbUB3g93g4Blh9T/x1nHV
e6CLywPBCn1jsaQPh2Qe1Eb0k6IqE0iHLUFvSRJRpIdSwfAO4S7Gajf3bWWFurYq3LjGnMGK3AGa
AerhZpdrg3YNtitWt5b8VdRtQooIeOHjyYpaMGUK9LdNzYGrw1IayYrnY99LwEOEphYyk8KNsIaB
QEI0a4CtENiS0+vCaGPMaU3lYAVHwLcc8BbZUOWWvP80hSWfjfgg1+7Z4lYWyXdehZwBEMEhnmGx
raDqrVSyq8ihE8TaVTzrb5DsShgbt9EmAOYQ3AggmgcvqURDAKNOaFEiKAaUEnlLtApbOEQ2ydtA
K3PHTAXOi1EE4UhIzXUU+XT6wT3GkOsTpRatHsOcLZS5X3oPokrW6KpXnDV64Z04mqHXgpTHkn6B
aK49QMvk8onY6CTgRxDmTnCsiToGuk8/MniZlYQjjEvaQ2m+gVRtT/ZWf8XcHGqoylOyf4AuAuMc
bvoSoiphLgZcR6fcthX6JIceN+Re0zeR8xeZUTHaOIF4R/75+6mELhGUGTpK+LJD2/3OJ1GG2Ghx
hMMwkJXbXw+oWHT4sZOYyj/9enMJmoGawz2c+MMV8hdgYyHttDccEGLhuQlI1OwuDpAwzPRt8xOC
v4zAhwAbpU/+lM1ogOqwjPEFU5ofMEXK2KTNj7iyQH3EEYWBvh4QWyr+Nh/vEu2gCYzEb/vArWxQ
KVnXNFPS8XCExNc92Zl24dViBWaIwj1g8Iy8YuM6B1U3DhzwNITHkFpQO2B8fxqQ8HJD8tKleFDM
wMDHNUZmSlQ+VAPi9aBlEyPG63N7q/7YpRYJSjgM9EKfzgr53udDqK3H7evlY7xpgqC/FRnlSwxs
n/phioYxFM1JPrgcIqJ8XLNKEJvBeGWB9vSq7HmoLiFYySGofguzk9+WqrTmgKjSM5ZzhiTG8xK4
VQM3NOahjLOt6hpV1nvoQlsJlEvvO2BkP4wP3ins0DEsxVMfoM7Vvogv+SdJd9kp6Jbvr+1T3zMM
+caAQh8uO+E1A01bFr4If186Ol0j9UVHMKAlLabNLUmIzaZp7UwKn/iBZWajrAw7uF/wTTU898hU
wfoaTTGTO1c1fKOoE64zhbmRDuCxwNRoUgCPXEDkXq/4xinVWAeFnwxevqUsPse6MVyURSeobgnD
VZ+Io5OOWdCZ+mxMJTTq2tHHiAm0HC778tZTQxVwLQAEBAAhyE2pH6wW0zBpSBYb3MLlvXCIj+Th
3958q1yiki42gDO4A4H7PzXVLHETcJAEt8CZeFVyHGjqpjtMYnwjlK7NUA9cftDaDrEFZdY8ul/4
6U1oq19FOLuXv9xWFEATWxdUDXStmKE4XU2H2dwoLiXcQ9NPvQ0sYNK9yxY2mq0o+ICmCqgfAA/O
OY06LVJjDNFa2g00N+3S05zlC3CN0ruj+ayn4AYcBtg55OpYFii/Qdd+uiSJz0AJRex1L5mPacPi
M7ISW/VjX9rrjT38lizyCGVdFVsPbNjVFDA3oTx5RnFjjHGcNSCKILB2ZLu5AwpLV7VR6HIbb7Zz
m32jb8WctUny56t0N+3BnJ21uJ6MJtBdSfxiogTsSAeNNGMXyZGnM+u1KSokyFEAQTxOgvbqUYZA
tJnvakA8IRqhHDVPddub7K546g8Rw3u2/HNtltpM0HaMGF/GRzWAZ9VAVK91zOBBIvOlpVGReyqW
Iq8TIO9QPbDDxQQ5JEY6CeSnO0Q/2g9hL2IPddd4Lm8UBsyI/P5LtqmIPsgTxEhrpJ1yV3ogRbBk
4zNRcws8H9A//MYzEy9GDbpNIGESQb136i+a3oV1LAOxlQ+pk4HKY1ZUp58YNditPVtboWogaGTj
OVuQLhxEDtUksbrh8bI3bvn92gIVgxNZgXJnkeOZtwQZuCCL30oJzW+tWlhuz7JExUcBfJSxomB/
oC9b+LJTHzveDD6HvfghWaUd7QMrvKl3/9vyyAdeHeu4D4uhX/ABu+I1HmV0h+6r/OOyjc07HlUN
XJbAz2KOgPqGmN7vBSUhnbzGlJZr2QKFvGM47VvpYQbeyW/BQoterWg3qfm9yLW2Tn1XkKaA6G0G
kE8E7NXs5hHvVbn8mSXgr7+8UHKC6BNGRrvQFiIjXnQdqQV1p9EIKK1AtPeq9SABvec8ccdiRN28
dtZ2KK9vVYz8lwopFD0YHwTbJP0sAMEUPPkDJP5mDXARf6h/Xl7cpnuuFkdtogoyoKFJYLRJpJc6
LV7BIvMkaQPjRLO+IbVbqiiGMQogBFonuT3iPjTGrsTdN3pumGL9s1WU3zcQk+87rMjqtMHhIXtS
gElsAk7k8kfbfEKu7VDX5jR0fCk1pNrmaS/jMfAzc9lDORrDhsWR1TRhbdHZxVnIUI8l6NwIWt1t
hJ4lXkKswjPLCnVPBnXMh0VNylA1t0vm6ucw8+5Uzgzc+LYZDA2j8QqwoEZdIHWH9FvJkXDgeboT
leuirVwp1xgb9NUCPz+zf8xQZ0lsRhDYGQiAkQ+O284W3Nxpn2TMqxU3ul858gtvjzfdbzIwWGGA
zmQlc8TTzn4AaDhFNGUA7qRZKNW2QdbRyfgBICWo2vQ9kTJGwWnzTBHJAgILBCkkdfMXfNcM0EVG
tibcGcFrWT32kx8Vt0Z9O40HsAixPirDIK2VMfCo+qI1QdIcAnEwXO4m3pGhZYJtBgpStoAdPKT7
yOYxugMgXekKjvCU30bX1X17M+5YJ2MDFAq5hj+fwKC2WUYjQSsVUl15ENzIqvA+4J3sRn7VP7Wn
+Em+IaV+wQlfimNz1HwypDXvFXtw9WvWlbsdvle/hYqkmRzMakbuXNnLr0tIMQMcLcyWejPaAOzc
kZeK4HP+N+AMJ5+AiqwLtIkkrcS5zVTjeSy5A2ItVNgnlh4Ha/Op0BqpHcjOppHct4VbzdrdoIOW
cowdrfklpoLNc4vHC0+XA+1WcrveXxJNVnnMUOlS10WIs2nceBHnEX7VIINkeP8xB6xq09YDZW2M
jrONOlRAo6FkVgpeyn3OnIEE1B+435cXtQHuIl6rAGaL56x89mSOpqoulgqJU3DMHvX9/Kt8Si3t
ONrzlfCeYtAi/cmwuBl1VxapzVPjpAD7Bq4QghIBfV6BXqpcuI0juskBvNa5+zs76rzDMEt87ywI
rsxS2xeKKQDuFd5FrVMWAHtlLmfVdttboLV3EXiPrF7bZm18/WmpPcwWCItDnZdYRLmIg972fdua
1QNcJjehZTTaUmaGr6FV38Q2qNEYC956CH4poWFcGBIydHdFmFRBWxppsKDkmzzWTu+EO2Q7dnHg
UJ1XPGU2JUu0U7zkWRfO9lGBCNt/TVOhMJATJaoyvDM07eeUchhmFE1wI3gTWJdypOGXV7rtUH+s
UcGuKHudkzq0ydS48yTyidPcCXqW3uRWDxdH5Y8dKrrFY5iDXAgfFNIhjugZN6L+BQ0NbOl6uRbu
Yj8fzNAXXwqnOOrW8PJZeawIu3mVIy3B78AoLnjgT4OQGI48F/f4skVfm9zwxrFq9bQcFAE2YQL7
jwXqeAaLMY4heY2OaAJmuUWAMXj5JjaE2ezeliz+scITx4SyhhuDO4KxmawFUseUG0EprfUo1pZl
8oE5Ra9IBMaDdDtjXi2ROpig3EwmnVxT417ca27tQbLjLvcJ2EjzWaKEWwvSwKcChB+0nJAFnu4Y
lNvGBXrJ6CKBIkpFclc9XHb/TQNIYDE3jIodaHNODRRiOZZgkcO91DeWNohogzMeTFvHmRSH/7FA
HbBJMsKadMMsLeGdBAmqHEUmPxGuSJCLRN+5klDvBBUQmbA6kx5MSqlDoEbcTPzOVz3DzF4JYcgQ
At4jutovcHN5lz/h5i0ISJSESRPCCMyTL7C6242pkQcQ1qJf6g72/N6a2X9BcNFO2YOykdm93IpZ
a4OUV4BMEmJYM2IJL0g71OBlc1A7tFlyVtay6R2rlVGJea2FaVSLWFmkfM4ZKiALq5i6lYxpQMqi
+QYeprPB5crgS5APksYYSiTWAJIFO085qC91YnbAwE5jR3nO33Gh1N73bczdXd67zS9JFCMwwYPx
NbqpOSgxrtlZRwID5Sm1yS1xeZ5b1jzStoeszFAbVkOObRwCBN7mZXDF33BMa/nR7AYEwhL3KLR/
b1i1/82tW5mktk4AL2UQQ+POUjotdMMRia3Qs4TOGEZoyqIFjb5BTbB7SQ9trqVxdMP9nzaIHsgb
x7SAhhg2qEn5m7lvP8ouBFUrYDuMq2PTE0A0gBllYMYEekxGHIHXXSr0LNWlvknn5jBMYEiOjMfL
69l2hZUd6g6ewOEwChqe07ghG3t6Sd8DT9oRnIzIuelj+9h5rGlz1tLILq7iU9pVIMATYBKKmGYz
Y9Aj/80uopJ7j06RcU3x0CUCFxe6z6dW2mnIUrCnIlaA6Ouj8Su3hAamibH91JruNIzVE9D2D200
2dnq5h2zsk3dyaKexnUKmmkkHTqk3H9rIImK0OcaDgSLLL5A8vChfQBcwb68m5tfVgc/MahNkCZL
1JpT6K9nkH4BxlCd0J3MzBKKYxw0OP83M9TyFr2vBg5suZbU4IXTPJXzQ6C8/7UNeD163GROzACc
8XT7emGuBeDF0f1MdlzpY4rATDOBsZCNfYIuIhDhUIjEo/FsRitF2zsSYGThMjdYtB/K2HcmyJDc
VA1aS1rin99Y1R+D9DPGCAuAFgd0qDXlfoof+Rasloz8ZsMH1mtSqA8XtnXQBpGMD5fuyvBB7XkT
hO0MR9s4XCdGxNPdSUJhSeF/o6WMxnAT80Lm5BAissCGGVm83LT+d74bmaIDMhIq8ZRjC0vOJ2KO
RfGQiQPNrq0GGObjGSXUbXf4Y4Xy67bUa0ztwUrXyEdlQWoYROjwJHtDckOWhtJWUxrf8I81Kk2L
JyMvRDAVW2HupNfIdA8YSnO7nQji/d6EBg2GtuZdzQBpkeBKhUVwGGDYGTgcBZLp1BqjtJM7oYLV
SBKuJrm7akQWCHnrTjmxQa0sLQ1ICQTwcvUIisJnDMzYnCWb4WPph4AFs6cftjpmJxaphCbo0G0v
chWQjGNzJVuCrwLhXe7JzIP8sTiIujeGp1hsDPIWuh3cCXBJSFYjZ1Op7wk2ubQSelgO34UX4Jsm
O7uFwK1LChStJzoJkn3NEiKr/cDIdXyb7ORDhAGQb+RXJ7+D+uYaSgWBvISTVejS2xgMN7PEKlRu
HXqk+ehP8xqwGzSvgiHGHbisp8lq648l8Mfe6crIHGZG9X1zM0GeRkTooIYMPprT4KJMfV3OEz4p
oYI2RYdQpigAbGiWtG8AwwQ45TpEkjruWKWezTO5Nk3tJpfXyMYGmI58NDbe052AGcrWbg5oQ1mK
JT2h2MwIpVvxem2S2rhJweBVnBgA03f1sUifIDzxOGbfiGxrI9T5CKGprkc1vCOE1Ggn3E4C2LE6
kHmCTHNSW8aStmLM2hqV68sRpxQQacDMjAbN01bZge6WcSFs1SMJw94/TkK3u6QqljslxmdrnZBz
xO4ndHRT1EENp9oBPIGe8vIWTbZ4ReC64l/P/YM8FwRu4OhVNeWM0EGDWrMSVvlklSLERqEMvIyA
4jHxtOSqpmP12gzljW2CAr2hwkwRLE9KOH0O2nw/d9VdLw6v/CS6UDJwQ2NxK+jsChWrtLTpmatV
Up45d+qohnIG8s8G0gHloUw8ITesyzf7pq+sjFCeqcmNMTcg/LYKiNWOkLvvIdJ72cQWzO1kuyh/
zHqlAf8DvuMkmP3vxS7saQdJm9bsX1Atx2Q061VFvsyFjaOds1pULtILLCo3eFvuAideerMWf0W8
4dVK7V5e39Y+AceHgREk/mBvoJKxBSzO5VIhGQvGyeqig5ArD4YUMnx+K/qvrVAPRVGWhzSCLIY1
oNbYhj8KoQRnNGSZOEaGQnaD/nhkYAOzwiDJxvvzNPz3cR5GnITsgbAhEVTIf2B6rDLZ2VdDkUXU
weeGaxPfjaZ+ycROmcOpm0Hke63Kt1N8FBvGSrZMQAWeMJyimCnSQqqQzcjlTC8mi0dZZeBuxkWA
9BXjumQZoXY/rYYxWDpySuVfmnJMtY+EdSNvmUD/Dg8kwv95PtHZNTr6ajg/Q3K1GB+9kpgQgGad
UvJDT/YdG7K2QiLFqiyglGEP1ZFqwt0L6XTQ30IvAxN5jUn4C1gxYXtJBvTr4GdgCCF/vjKWc8nI
x2mDCK7zJtRGTMxFQxRWYUQ3lhkqgkM4uIh4tZusDMLSfCxEkKMofiRyzRhdIVHy/Nv9WQ4Vqis5
V5IirfHobyb1Fyr00E9bNOlKy4sU04al1PvcxAsgygHU/i+jD7YNgz+yCNQ1JnFpZuqIEIyGAZZY
t1eCds8lD/rCOEdnoYcyQW1WbBR5BPFheAYE3sxO0nZllz+1UeY1XOFdXs55Y4wYQ5oL0TtSaaZF
6spknmUB4klojEmmYkLgwu6BQwK+0OJCU7UVD+Nj18EDjrKJeVkv7Ew2MduW3yA0YewJpQ8D6sin
7qmm2tiKKlacgCyq6w8xJsYWxkq3viroQsjYPyCGEOQ7tTFB+1jLZGwctKDMKX3lyg9euxeiX5c/
6IYZUF2Q9j/KmEDUUBd8r3dRGQ5wzWbR3sO8vsqh69RBPCmSa8aKNr4aakYSmJIw+QotV+qKAq7M
WDjiimmvHwwN3OV6f1uri3N5RZtmILsMPg1Qz54N/UNrvO0CCSsay9nsu+emf5cgwvwNI8BygaEG
KCSN3p0lGvN86BCgIMHkaPldLoB9uXy4bOQs+QILDrhbUGUDdoVgTU9dIC1Qfg5jvOjqDmLioKoe
xQdB5hrGvpwXBCg7lA+keZhPvIrsZN7Pv2dHAkVCWpvo299xd/Ujhn5cicWOff6KpGxSSZ8uDeAb
GmEzA+cgAFSe8FNHBfhHdqivBCvbTcf5oN1mofWNeaNT0zSWOzWacVZnhJAORNkQi5aUfZ+ymIjP
YVGUFarQN4pNaNQj2TxHu9E9MPnu4mO8j73oXQeqNXH6Q+P9NbkDMSpikAeYUrzN6RqAhCGfSsHg
nSVWyUMjL6ZR52+CPrE8ZuuModRA6rKY28B896lnylNrlCBVw1FGEfu9uZ2PoYMBZezmdXXAAOhj
4WBUafhrpBJZ3sos9U2VxCibIcTy1JmIvmXtcwGUhy7ElpZFjIT6LM+lbFGJW1/xObj6sESt9rUF
vYiGcKLt4+Rn1kC2KksgEcpCXG8e+NX6qAhZckoMqccFyeJS+/yEEfPJYOSjLBNUGjeXRiTKJUwk
iChhdK/nd5eD1rZrAIuMej2aAzR70qCGUoP60GRxmW4WUPDtfwYjaxzjHFbxtTv/WqGfcAkk8vpe
hBVCnB4e6j3wePfBDvHKFX9AeuR/WhPN5b9oLZSpMARsLUlvR9E12gQQOon+PlWDd/9ZE+1xrdxW
WS8hj5dFD1o8xzhCkiPzjGSUsUE0q2xZ4b6BGiKuLkjYJqnbj5qdJ+7lL0auJirjxVrALAJwD+Z/
6bseFcJcKFUZaUVTgman447lcg2ZsRxDEyPY4EEAuLtscSuRWVukHFvLFFHipGq2kvEQt4mpSG+8
/NyMjFLd9mW5Whn5vKunydJjgB8YA9TqnrkbxZ2P5VN3yA7T3vCkZ1SzXtMflxd2XvUkvo58hjAG
GDzY404tNmXRRNAzxn31Mmfm8EgK9gYK9gAaxz7vhhjKA2jEuWx100tWRilnzLuiLrMcByxXBrOK
rg28kYOOESs23kVYGdrbaCAizaUpIFBTElqO5LhSlJtq9IuT050yLuBxrs3OeBelyr+8qk23XBmk
AqzIz5UeEYN9K5kpv5jl8Njpo91HBzV8vWxr8wKRQX/PSxB2OJOxqI3WGAIZQQPj9nvCqdO7EMnx
WKMfX+NGZ0cN/MBovKlgYaCppaJA0bOJ0xCcVDW7l1DZgkpxXnblVSlGQfcE4cj5zSgh9jfl4vxT
B2fZU9JC38Vv5mxMvL5WgWOQ8now7C6HyqkJVk5uPyklZDRrqNmiTNY1uymvxCukFlxkl7Kh7Q05
KBm90c3dWa2EHPHV0Soyte6DmCRmA/Dj4SNmuUxdfJf43uwUxvW+6d+AXyFKSSCa1KhwAdXlYAQt
FV4JoD7K55dR/jWNjJB0XgUnJ3dlhI4VctlVuGvhbgqZxWhswj6Wex+5bM+3iPO/x6vxJnGM155F
N7ntFQQihZe/yGN66/Rbahh2h94g8uviqm7NBkn8LnVyL7sBIPemfESATD2ztWsfGuMmeMZqE/wC
rObJRrIBZnYJIhMa4Tyj09EQHGAG5GRnS9d4q0seFv3l8hnbNEBUinSUI5Uz8sR8QOlYg0YuXq8p
1ER+9azphg03wUNVRNIpgIP7DPElFNBUl/pptvpYNLluB51XK0s+/34VayMkTK78PpgAEh1FGOH6
xJGb2q4VRtzbXAYRJUQrR5bPiLSrOBfFSmtnqy0/o8ovNMBqe0Zecc4jAQ55vDD+NUIvQ8qLDMOJ
8xehzxCYkIm+F/dkSEb3QSjcur1bX7W+6spQDQrt+a97rJR9EpBXn3Go2r5YNJSMEbPMHEwt8czK
O8kSqFir4w5GkRXdJbx7qPtDHisRPwImAk6qMQVS7hoBTdaUb/bBLN1UkvjRNixlO5ZRKlR13ah3
TdfP1gzW3XiorFKDqjmAI7Fwq8iFl7Rvl/1x4+bCmSJvSCACAUOgXneaVvBNJSOV+qfEL3lkEp/F
ybR1eNdmqLwmhp6fFnLZbIlgGyifIOnNSNvPp+GwGWsLVBCcR7Hj5wALGdzktv0h+f/hlmut9C6u
TXD8csAelH6yiyuT3/1mM/ltnbv1D6D8pYZcdJ2kYD8MQHguZMqu5cTbOpQZ2fb2l4QaqYLnOLAO
1DozNVqCvMxni9c0Jx0iR2KV/1kWqIWoYsWpsVDOwJQZBUhUyuc01BkBZPtj/VkF5edJoney1HG4
LctbfpbNOcmtjjmY/gWhoc+wLEDJBpwzAtQiSRayChO6ME9lW8EpRquyRa/wtYfmSrd6ABkiSzpM
fo2mVnol7ad97XNvi5Pbg4Nhbo8pdLZ5zr6yesRMqKVQCw5CUQuMBR/V2CV+3rrhTjqkoF2UHwcH
AtEmBuYNzPFhjvKu70zl8/IpP++7ktOxMk/2Y/UhuGIMqkmPEK9dVErVfe+VluorxyQzDQ8ajq7E
uIU2nWhlkMrvREzWZhD9wJcHM3BVg4HwWxYAsCQbi8enRO1tEGUKqMrSGWXZ5EnLqqfeyBhvFmlz
11Y26GtugRJNVC1gNAXB8Kw84qnrxO01iKSthAexUNzbdQDKnqHz+9KR29zlhluR4009yXZ1+9Rr
EZSqF7eWpZtOrHbzHJrKclMFv6Ypxnv5Jyp4h1IVzLx/1MfXelQfIoBkwc1iG81N1KfmXNwW6Y+5
6fGMeVi6j8t+sb0+vNxR3UNqTL8nRlVYsIfIqcg8JyEf7d34lg0z3kqOoZT6xw7lDU3fyuhcIjYO
7uhIbuFisLHzWy98mg6Vs1i8PYUWOMuNV9W5vMLNQIOaugRNH+QrNMm8EfJKH5Qx3hhFmps93oNm
UQXHcpDu/94QeHSgHEoYDtGzOj1hYiwV+GNkRAEqIdX0FmbvecE4VFuFZoIpxisakGbSoz01EuYx
38Yqye2cws/vxXcywPIREUgUtNkxcxdcY9bI/sbKIGUCDJiMiK1TKwuVTAowIIC7uw/sMSlNo/rk
WUvbihfgHpNAYwPFTlQTT1cWyHKo6lwzW5X0O8+vl57VHN00AH461Cn1DYBx3Un/NaDnD9X0Ibd/
TRmKEItJFJRCCekk/3UG1iFWFItahwaKtWg/C/6XMEFnrHFaRk13M5KvzVAuENfCGKc1Hs2tA+Bt
bULQNIKcGOoqFpDskTkzRTq3clKVVPiIno2AF8Xp1mjgzhfCGfsfRe+D0prG9NsAIWM812Yy3Unj
49+7G6BccAIF8/6glD41lxmgJg0UmKvFxx55ojA96RojsG9FBUhyoFADoCg2jEpH51znCqHAXmnV
ozi9CtWzJLx8YxlQ2eCJxAaEBahlBFqTpiNPlgFqGA3UBd0LXzAKlFs+DRwIKg+SQLhjKRt8JvR1
V5JlSLIbtMX9aHyjy4QH+x8TlLtlWau2aKDNVox3ZKV+Rjg6gBNe/lYk/NNp2toI5WGhEZZzB9o+
Ky0+U7U0a9A7lRCCrVmHZ2vfoWWOPisUgUG2Rn0wA93PQZERP8FwZicVqB2E3WBizuC5KRyJDC7n
GE1nBdDN5a2sUt9Qn4qGywJYzU0uA/V9XZmaccVw6c274f9I+7LmtnGt21/EKpLg+MpRkiXL8hy/
oOw4IQkSIAhwxK//lk7dodudate59ymJHRsCCexh7b3XAvQIKR/UBEHrdt37X+yPsSQ3S4UDd2Wu
cDJFE1GYl6t6NJRHLlvGdhC5ye3vMvF/DvbC7oWYqkTPdYTByq/rBhMjnumxrlfOR5kZTHslIrvC
1jqzoA6C5nmMpKtkKL4nSPpTbehvi38JLCJrwOj0Fey4spJduTn6X3MyYJwTs9JP39Gs/Qlo+9tq
X44PjZY+YBJb1Xl9dy1m28/13hQmM3sA9UUEOwx+/dvwiZ5tD+I91bfy5H86wBikIvAxBBRl3pdP
IGdSe95gI/ujL716siZ0/Xm7f7+Nfyp7YOry/y7y5bzOW4yeB4Vt0lMF6rqjeryGGUGmM04TCFzf
fB9j/MmS/XXJLxaAT8ZpQOeKnJNHSTyaxEBL7N+39UfM6i9rfJ342TyPVHLEttzSO9ip99y+z3v0
NYLR60oGTQ5+l9AixHAC/RDfUqR/s8Ovw0Cq08boq1uLF5Yrx0us/uPfN/jHswGOWlDwQvoT3Td/
NwB2Wwk1+Qjmif9LyJfeve3WbwzoH5fAOC5wZmj0/SOfpg6xuN/DUGsOoJk9Cvqgqm+C3D8+qL+s
8eX0+XYdVGBVRaoKVncxh8loXv/9QX23wpfDtmnLMWuzATwc1EdF+csWfmcqrh/yq0e7jrX/rwf1
dfx1IrEeY4MlnEE9iaC9WVuIeUbmMrbjj2l09/DW/3/v5mtMs64+D9WM51bTd9c5UwjHeOPDvz+5
q3n5t219AZ+2Vm9quDrqbnaSrhuyFm0105UNsiogrZX8+2p/8pvo+vOhUOcBw/G+GHeA21xaHYyd
BNWIMn620C4dOAiYvkNB/3Qi/rrSF7NqT/4iiMSzQ1Ca2t1HJOU31uePK8SIOKA0D629rxSyTttW
ciE4EFR/MH3ryd3/w7P6y++/rv8X7x/KLbaWDTtwrDdinUnzGEavy389dwRfD1f/f3bxJcbQm1N3
04D3H4BgZx5PIZnyLnik37Vr/1MzD0UYtCpeeV6gYeV9nbmeJgcOKHQ3zHLJfZ/HoJKZC++wZiAV
X56uM9EORsoCCOf5YI1VV/2cnBwIwpwqtXf/NYHgfz4NiIwgKXA9il+OxySnXm6cwOsO8ZmjBclV
7hGdIt+8w3+eEagkorUbM11QzA2+Zj7+6OsgXgYQtWv2MY+QTBLbN8b1nwb8yqWGtqOrOh0yky8+
ohdeMIZWaNIA6elA/Uzry2hZ2b8fxj+0MWAZcuV+RicD0JAvD6wyjdt2MbMRZ7PH2kv5fQDisvph
PEzZlknoPzyr8r8fI8CiyBsxjn8V3fva4y9E1+qRaUyH1fWu7tqHcCW5rr4b2/ynVcIyYYSs6Aor
oSX47zfN4KYFonMBWllLslVB2iEzYhYmRtl3pDX/6a37u73FWkivoeMdYdT26+siEW+oaYxJpQGV
1OpnwmnT2XkZuLqprbs26JLIoKhsff77C/zjMfnLul+syarFxHzoeqMdAOGYu49HDKct32Qs//SR
2BwUu4CaoL6GItvfH2RE422DCr1Jzew/BpDCWlBn86am3MSTDscspO03RvgP28KxgKgLQiSoX34t
dgWGGL8yq0l1aO8Fgcxm32ZzX/z7w/unk3T/tsoXcKEOLX+sW+yr8ymYmBegjlbSrge+1MfY+g52
+m5PX1zyWgloctg4Ii1F2GcNSb/52aqjbzb1B9uETQEpIVciAIxq/P1ldcRueDxEJrV8dlobfSO+
VaX740686xgILBMYJb+4+8HylkmCaiOthuceeRVFN8q3UuHoCr+Gd18u1bUw8b/X+eqKVzJDlpkp
CNGQ+kQ8mtnuYCemXk8dH8aUk5EkndSPKmp2mnSngLhr4nHI/Xn+ell4eJw6ZzdQeeoGtPsq/bDS
br+57mMcg+uuZnGC2c6yM/yEhvKntVp3oq5/DF4rE+VHN703ukW98h0mlU5S1plQBDWELU5qG3rz
MkhQ0Sipa3+4vXqlQJLS2sV4ZWxbmRnnKbMH4xS9JR9cRd3UOG1Btrk0tim0UQ9hYLq8YkpAjNEu
OF0eVie+6ADKTP0mDv3kvzrRNZCanTgRmNrAtICbzSE/NQviLMlAJUuWLjyBH8E+W76312SBNAXH
J7W9/oVr62CN3EoqU19sDq9bt/gOvOLkuPm1A2Tjy7GqW5kGA5MpFzz3RFQMgzgERBysxl1Sd53P
oCq4QY/W2zgalvVu9DEJ66Ib574FqWmyTtOTR9iPsWX7yR6Loe5vQJJ2K2wxpBKS8v0W309uRHPV
0z23m6Ox/DpVtSVTb5mfHD1/8tr9HIn1OdXynsb6srr9sREWpgyVvVviaueMpthCMz9Db+HO7X03
Eca5G9qAJ0NNrcy3MSfWRM7tQswBbXkvU0BRr9BtCOWKpc/Ah/lqN+YtiIcLq6XKW5sHkFLWj3IV
pbHQPVy7i13yfr7bJMbAnXB8NWhCozRICAM5vLc8DTB5UWduIxtWVkPIQBL5AL1SkMwQ/+LPoLqE
Jt2UrnxzC/SZP0EPkyfIPYa8a/tP245+oW3w5HuQ+qwCe00cN77ZakcnplXnq5B6r5cRlaQw38CD
nws6387tvI+XagdVg8fOhqqmpe5tORbeMB8t2p4gylyOs3lsiF1hGGEryWaDrkUoltYVfAKQzVIL
0yWAi1VSN8E9wKccvS0RXMZ61/ChgGJnRgfX3fHePEi5XlDrerGraicFJJiDsUMvVqPfWBidobxw
M0lyqBbUn8boECvd7qmMrTSstod2Ho62Mx58jx8HN6yTaG6f6rWtgBP6+Ao0E+xaJ2x0UeCvZYGf
e9a6vfW6LZs7sRfR8liva1yscVMlAvzxydjSz74OL52rohxh1xEF7x/x6maCbXdT473Fkj6EvkhI
LaHTMU+FR/m78KLPQNZh0qjoHkbktl0RAhBHrDn3VFWGjJlkHf1yaNmREzDpgWyOoSFrOBjh7Jk9
3ForGFL98KxNdVaWBbSRj2XkmQ+vvYZ8KEWb4GZieksq7r5oKW6ZP0HscC0qwo7ar5qkIv6rrq2f
sw4/DR9+hJhUX/EaEmpvxdw3Fzr5N3PttWCGU6VV23k4sF0QyWMVCS+ZYlBte9ZOme5BgUAp6XC9
k2jo0CHRms/OW49evLzNwgrT2Z8/rQh+EmrdoJQ0eq+7Pk7J4MZJXAU3YxBAsW/dCtfMWexWHxtj
5ebFUEAx96qCQbLngCQ0Hu7bKvjFdAzOfqk+GY701ld7JVDddBYoxoF0sHH3bcz3k9+n4DzfV/Hj
4gR92o0W4seJn0kgUqfzLlrWu3jo86ZxCggAFNC6yWpjJxrkQT3anBeJaki4ZsYKMcQ/nUTzZuhy
HnSQ+m5ftCrIXZwsRw9nv1uTPgrLga27gYypxkNTEBoe8d/7Odd+iAs15SbaEfdpq+VzazkHZwCh
xBrvHeqB0KfNhPVjWyAihvrmvSDvYdyiQqIgxOe5uxavYgjtIgym0lAMFmjvJ/ge9xWa9IZ+Kl3v
somGIjrox/08sBOrxIdTfdZifcfZXptDP/BzGPv7Wo+P7gjWutXNpxrGaPXPrAHnqJQ3DqRig7Ar
XQJrME6JptZTJ3jRYPaw161OePhoRTqbMCTirKcWHYhqWBJhg9nEidPB2TFDsqCXQzLLJuUr2H08
eBgDYEQihCF3Hq7JCoJKEpcBR+OzvBgbfEPbmIGxwPVPm3VeYxDq8ZuuvnR9k8DoFxsNS+Zk8cAy
Fp82pG36DehOsgqdhT1GcfADLZjg6zY14tjMK2y+lxjIP0ahyWnY5LLCmF84ofnpvkdXxLxV6Mo/
juwO5quYNpVW5FH0xzA+Deq5r9DkgbW24E3gaa+Hli8FovhknG850eVKRTLY53i6m/C/1qqFp6/T
qCal2j5Xva+bKnWbB4NhlmF4D7H8BF67YbinwjlU8ldYPTXytl9PzRinjtskjn7s3ZuoerSYl7j1
q40nHQ18z4W+YYvMWw6PLs5KajQ/0GKuCLDad19e/AYWXTXQtPazULugfcij7h3JVMKacgqf5hgW
Sl/a+YywOV+rMWPNqet/bkId0FCE4djnlhwsOCn44huH/CbrkEbGTS0VJ21r8rq/MD9Ar9WWRVAC
8efXcTwMc1Z3dhJ6z12ISZ7qNXTGG74+NX2XMPujh/RU6HcZ+khzBvpjPzpO894b8K4CmZIwUeTZ
8NelAj87fq18tvw9kuXEcjOrupd0TIfpt69Oo5sHrc4bf0rAsJ50xEnpSDOc7QoiF0oeZMSSKehz
OvP9sN4qcghptoX7ZcxF9xxUpYNWtO2HQpvEuufglqWyDFqWWnWX+XDJuKeC/4pq+8h1lHH5KZoI
Yi5iZ7EPhdJKZHc3HMiH0k/BAh0deulDlbhbKSUrOtFl9oRrEG9JNLY7i/Bk5n0WDVaqJ53YfAC5
1YG4ZdtChUeP0GB+BNO4C1WccEBbr0rocGRrnJDqzlYgSOi4nU7uI/ceNDzk1N94w6+Y/6pYyawf
YY+eA6SHhH3KalfBrHNA6C78n9t/mOmsmme/P7fzzTWAw6FOXeGkUTykdtxmbnUbiD2OdOJUAN/1
7eYe6umIuaFixstaxZPBAJbXpF37qviYaPi/cN1N087VL6t9IUYnAs+S1Uk9g1gLbZpj4CVi87LG
9nIDvjXujlCumG47XReCf9CoShG8pFZQKrusacm9Ilxg/9TBrC9x97RIloxqSOcVIcxWjNPJko/j
spOKHT1O0wHE6PQ3sqxk1s1eBVA9DfYdfQePDZpQE7q5yQgtEgdT3hSOwdluGbsfV0Rct1UwZyt2
VUUwHpkDCmNnfELLBlX3Gw6LXaV6axPqnNb5ToZHO35YxStiu8DsSbQb5IQg6aMlp84ZkyF88Jzz
5vuJJZfEotuuAUapJxSGImjWQI6KKC+r29dtHAov+O3KKPdsCvN85/FHOh0W3pWag9fGao5rt+TC
9stWmmcD6AL0DzDuFixeW7R9m0b2A5vfZbPzRlLUy2GAipF7FxOrHHo7qSeWGHHP67epn7KqERcP
H6UKmsSwqpg42AgiBKfSTYIGV632c12HxyoWWadgN0Nwu74t7oduzo76zWA4IvcxrO46MKSuVoze
1CXDD6S2hDPasAMa7CvPKtvmZTLDIepUppl6hefPHPBLbnDX9BVkbuU89YkId+HK7vA41uhjHV6p
ZRc9tYGffNR1nXkewjRlwNpn5WFMk0b6uZFRtpCXaF6LEG8FvHahG8GXT4kVdDthkyRevHRq70b7
wtoXbm6idc1t8isefvNpPXhzMbB9Hxyi3gLN607K51o9+vKnt+SVsOEUc26VpIF1kEmtSiiVZgLO
3MLwoYPWExm5yTKdTPPkx/vezwzQVNiTev0drXcslqlaCt7/jqy1BN/DbqTvKq7fQP/nVOAajnaG
PLTrWbaYlyBXu2uBwWiTO8bfyPqsLfAsW/vOu2eRyRBT7hxHJrEIdgr6blSbI+9U4jXOJRTidphV
MYRQFG9fxfZgAsiZDtPOsZydDRfpBvRWzfYNNOjQKob2HOuN9vdr+zbKuVxAbwymRxB/6V0Ufq50
XZJlDkEJtJXgbE21RbPrxJbB1wVG64zXo6sEJThwhFUPxr2PxUdbnyfNEwT9aSQxHr91+cpOEFYu
m+DRjX7gYnnxDwtgwAYCWHutkyV+WZhIaI2G8PFnBTPLYggasBdVV6DRvpmrvYdhQVITBFBdubZU
JYBh01lDT0DH4FTnuWJ94XVLaVH0ilmIz9s2G3okY7h19uZmxm73E2H3ndKJHkXpoVN6UzKNhI9V
h/to/rUKmjPtJEDRMndpD9QnOSHWgdMwW/H3BUeNIwEEYrLAqvVWtQu9ekdHILv6qCwUHRAB2us9
xVMhdp3ydst8XORwQQOBg/Jv44FH/3EZw0S6foIRyCc+LG9wjGi+870MpHyZ527F0OiCsFL74p6x
u443h1jI3QAb2Ll2SZFFGz84VjBAK/uNWS2oqNfZ7Ny0PtRI3bFU8BW9OPsWdBA6/zRPChSTrPAZ
iMeYSI3fl6zqLqyK0adzlM2pHWdcojWlXYWl4gphqjmxiadSgMxg8FMevoHKKKGsy9aYprXjF31T
vcZUZSGOhMARWDSs9mbnExdl5fcZUV3ayrioIqtYRxghepHXdwLLuYEL3m5YbgJSxibIFNuKyOuz
eW4gnT5lcj0rQpCO3NZqLSb9Ip3hPHuvChtZ+wihnQWOd5DETcNBTCLpXbccwdBMuPpgdC1XB9y8
bmk31cNVGnmoDt06lr7Nk7EhpRi7PJC/ZhRVQ29Etu6/grM+0Q4Y44HsyAmd2dJJGeN4Ibce2YpQ
6lI0fYLWrMwPW8RYMrFMu4+3AYYRh2Kht4Pfn/DnjloOWmZ9/D+0N2z8DB7pnbbvotkFgHEMK7Q9
cFgwAclTEp3hYdTi70B/AA24V+ryo6H6bCO0t51XS4KktvqF+BQkr7AJBzXE2RocJ2qQU165ys0x
GtRuoeMbClHphGYY27oQy0r8iKXTrAt/qYp4xA2on6/Bb191QFBOPL51IRkq+6EwWp0CD6P2HQSX
ocD+2FdAiVrkGFW9FlFtFYzTBzdaHCiMegWr6IG0toNkUj/XHin0ECSsqndziJa/je30oEobYa/R
zrlqzE/eLTeQKIQpCMiud5adH1cPdmD9siTGWeI5c7z+51Sh63JiS+EOQK/nuicJJqzvpLL3nJoi
8FlOJkQU23yvh/gWDMiFNYwHws0BgppwxE5mOC8hA7cLVMByjZS6l+1ONv4nDCHcHL2x0PAa9dMd
lDELVdOU6wEtacwm+9VZnlTdvMvWizMt/cNQ87NZ2x1rohMbnYzMa4m6ShHQCsGORiBMnsHmfb95
HPSPMvi5uU1q3O2tcRxwBE07cv2G01nJ7LB3p7XnZOLyRvUeEIDuBHPygmo4AjXj/oy49SukGlyO
cf1iWYB5dP0rrpz2GPstmk+hPpTCgk6ZVtZhcrs7dCOcMVJCk80VK5RGAgg40+qpYuGult51S9hw
bw+l5QQPdGwvfsj2raufcQVUOnjIR0evrxG3hLc8chDXsKqESPQPYzyksyOKEx0ZQN6kejy3BiEW
ZIa1JnXiTa0AAtp2hbR0nDnNtR14jpOAA4mwHPJGqq3EuOa+v3b4zMvOFtWxFsjhoSH6OoT+mZp+
Lzz+1DDZHsg4X8aZvG1WdLeQ/tJOus+3IAizKY53nRIALIPLuLQYMF1IlbsSqeoQ+fzkTraThRWi
PRHNNJ9suyrA+fEUuhNgFf8Rk8UQ33Nvg348IE/8sCx50Cs5RIG87QJVWCoAsy/nYepZ3QtX3cNS
ofypnBdrq59tn98t0faTNPadhYJ/2kWuPg3omsuko55qlL7SaWjB0mM0btM43BJOcr/buoyR4GOS
LoiyLfcj7sU9VeMJbCNziXqNi1GZrothZ81lmq/QaVwPuYPMPrF7UPohHMnGRlxldi2WLnHYJ3Vt
3Mxm4VqgHfq59aYnaApn0QrC4qoSYeI3669xDvGvhfwWwzZla1dpUCYDWGxnnU9TX5uk3urookMy
H0gTz6VeNzT36zq+jcbeFtBUEE25jItMemhg3ssYI2i56Dd3yv029k+aUP9lgrzw49oT/bsHU1Ei
VYSmARmuFzOqOGt76RedDLdcj3q79wQeyLB4ZqfCQABZslUa2JaPZsCAXBxnEO9tq1lhJFsuwsAp
uGHAbhaqlrwHnPWGKp3+HXaNY+FaDP27vdCPidgDsoVtFGheRXCDQY0B04x+tzyPgbHfZ8Fs4ES+
9WnHdf2I29EUdiibDDK29k65PMo0b72ss8cgodcBJsblWG59g5QzBOiIkVAfFZFQmyaBL4vSqrVo
Uc9QkwWoqMyU+qSDdpU0cemE/byzoomUhEpgFYMV7mFbgdItuE2VY/M9oYEDJIDHmRW7rJRhUBeW
O4THulWApDjtMlH5QclHduVIBiCmHc1B0CG8JqvpLIrJjtmOYuxv3/jeZbS78dI14xjk8bj+J11p
tHe23Er9HhwPAI2S1ZoHZu0FS7aws8anGazX7TmYFn4TNGYt4w0CoEPvI7qWEAwaBUVy5XgicZeQ
vCLPAAld6/GyakZg8+xqi6u6yUFwfw0bg/jO8+rhsimgga7xVdpXzZyvkjafMlz6uz52rAPmZwSS
a9yzMmgkKSIbTh1jfzPAk8ZSB2a4KSx7DdLFQxrNBk5zbwoQ8G4Lupwmu9kHV06PTVhO4VZcg8bX
VLnskVyOjQNmJTnUGSEAy6zFXd5t0gbPgLnUE0hqAw2iDIWfcaPJ9Yp20/TW2oJxV01BbaeQaFG3
zcQkgpS6u+WKtj8wfVBhrhid0z/CbZAZi8CVaIctO3UY2p0hIhVDuj5B+LqSLGojS4tEyblxdig8
YejCWhzMRjBvE290VThvVMxxfx9iUrkqIkSo0b7FhZQZiXpH5UMr4bHAaTehBO2ZmKR1ZyxAgZAy
S6ZOOwa0aabzk04p3P1po7le6ubXZFvunPQrrEc6bnbQIZCMpwsV3CDIM7G7s+To5Cbe4py6JEoY
RmJP2uXWOeKUAKEKZoRv6F+bK/mCoHe7ETgI9zaEIFClDW99KEHbiwtLVT80hj+hy26PjJWh5/06
XiLdEKmzF1p5Z/H+pvVmZ+cGdVA4hAU7iipxWVkbcnwyzx9uPWGCwsDphErbO4va0Q8dT9XBnXof
xiP0bwIdBQi0TXhabRbnk4d2HYb6VqZnBFjbwqAtY7oGomqulaomCB9Ri7Z3vRrjMlwn+O9uhjzv
EnqHeAwAYS+mPdeBVDvl82sRYjZ6N60WPVjrFB7Aaxaea8Lr3GyG/2y4Tcupjpcbg5d87MK+uvUQ
5R2WhnVNAgni+aFapIXKduvl89zhXkJ9K5nb6sWM17fuRH6qHIu8+zQKchH3wxF2M877UOtfOLDL
WfVh9DMKmFtuuN6nScTNfdsGKquisXtGjl3dDhZgNdLbNJ/dTsdIA60ggLhgXz2D9IBepnZykh59
rEdICwW3ni0jDT7FAUcZBExQ7mAxBJirzkAGrJUaNEKsz+1YhzmFIlDWxhM5IUhSzxOrl+cgjPvf
nrPozF89553PYJgTLXTEtljQsyVqwTJIEE63Nh5mOUeufLarFkXvgfWX0USwizzsGS4QZRevAS10
RWqgY04V7fkaRCDhm/31ieBbSTdF5EfbjghdVbO8hfPq7lUbsaOz9vyxc1mTE39tnsE/r1s4M0SO
tLeWO68CLAONsSFjc9+eXU4jpAvh1L4MnWzT1sDFQwp7+jG0oRhzq4csXjJM3bTe1X60bDcylCyN
m2g6MRDZOLu2wVD4reyvZRoyDCSJaNO8TrJvV9xCaF4ntg3m8KSana30wDuAY+jY85lGNVK8Stce
ygbOmGLq0P6MIRHdJ/g2UAV1dTXdGjrPQG2Gs+pc0IitDpDqGlBE2jR6PPuo4p0w3wbt6ClYC9U5
VpSynnblFDk+CLU6+yjA5lIQQPD1ruGzihIKCi5MiPZee/A2lFlqcoUfRKe6X4S0Zg8m1LpwxIC4
ysxjk1ZIAN8D6XJkSPV00H0bnsmygp7YisHy1FP62DgGLy/kQL+G6Jp5THTM+nkKkXmAKm3nORya
oKAZQ9JGm7wTjRNlqjPuvkGzDqK/2Lvqu7YRqlckuCFzpx9aTeyfzYiii8WjJvMQTufS9OoQVW6d
i21oM+57SxZPUVjUreG53QC8lEioC7ibZgeT2YGsiTlbYXdqA0l0PfcZcmKEtrDGxSBtda7iFRci
Nt19VU0opa0U6bwhY1iEDVOPTedbPMHMv9rxaPByUlv6yRfVNTUMYQrqqC5QxMUQYbe0GEitpPu7
XzyWdzJekkpG9u2IY/gTtYnYJDxCJaEmortpV6gJJmgDG7JGG+dRqRUpemMG79WjFKVGn8nphckG
om7oOgWWRCXaKuZ1Izd243b3iLNzNm27IGAn6BW9UNW/gs/icWGcp60nDGB5lEG48+CuTQnWVpQw
oRsMTGHASHA3vTdET1m3zrtxsttUtM1pMogOMGx42OYh51TEGWEoCxvWPMRRCKBs7IFR8p8ggcPt
GYlfGh91V9dd9uOEiifgCgFcs5tK1LoZBNrcppRNfzf4YZhYStogWOlRp3UbWWKgu05pSyCUxqxD
Iyq4xClMl8Y+iHWpM8RnGKW/AqUeW1FuqXy7cFbxCOV2Ccygu3Sg5sZwZUATs0Ygyar4yW6Vjavc
PLAVT83RASqejO6DSM/A6f2lpP4Vf6rBhta3+eyQcw8n60TdmI3t8BSq8KeprZ1Na3TdScJQujJT
wRTCUa9HzurVKDSZCTCbERr1lUqIzCb4bhXXcWIx6yfg+Ha/CIukGPH5FOgC29kSxZ0wjj7NYPIA
XT59F94wWtcpZpwB8ZrpHaQ3UUn8WiQIkEhaSfhsSEHdkZg+e1sD9IFVL9d/IDWUOYYvl2IByoIg
oRWAOPH758hDmRVfb136ibQlysUqu/touaKCPT6wbvE30nRQyAT7Un79ZQgiSBoi0ksqH2uw6PrL
XCFz4XoHa8CPM2eoLwLsdWk/0meyGkzpXsPadkRK3sN1gHh6XA7SYxir7dQZk6oybZzhdr42dSBW
unSIzrMmrMQOl6tPF4E0ve/YU4CoNWkNATlNqz57M5NUcvpGmmYFSI5YkHtA+bt2ezEzkE8Ol0Ej
J10xTZKH0vll6n7N6wrhSFQNQAhiFMbtUGXQNgfldqAvPdhA0ZzLk2aI5jyiSOJ4oJ4qCZvGAqQk
rbkEs/vbWVE1WRicnqvtFQhN9dPo6iCieNyBQgc1xNouZWA9ol3zN+KD4/+Qdl5JkmNJlt1KSf6j
BpyMdPeHAUadhrsH/YFEBgHnHNuZpczG5sCzKsMMjjF0Zn+lpFi4qT2mT5/q1XutMT81qeZvciHa
9uw1tfeeCahhPY73QRLcd5ofYgLWh9SfktIjAI8gFZ/IbXITJH5tC673pZ4eX+mEkTBab+fnFjlx
rT9mSsF2HhLKJOF7rpFbueu2mqEe29g/pMPPpoudUq9u8paAtRrjo9uV5GwNmWau7HvVG89FQy4g
UrUESZsUWFlnPGRZvA3Cat+qEvVR1nmTa9ZBMzj9XnVM4ogwu29bJydBDMRV3TZSfqgt/dMQeo6R
6+jiDceoLW/1VH/vWtJLZ3q06tLOK6N5y0P9mzwIFDWy7AQwZzsGwjeBLJkW/i6rUX+MKFpv/d7d
sm1Ih5HgShitVndOKGb7rKbylBPqqJGAYqNIkcW3NAHZmLG1m6qH9T6p7Zov80Plc2wKJ6lJBLtx
/VMTjD+NIGGyej3f0A5W8owfvoxp+L3VKvmOl+zXvDdeMsi77MYoPmqaeZJrOXWiMrkvgm7bxaTE
BYv2W0VHNaG6CRBf4Rn7RY2qfqOJyoeE+8ZBxswk4dGfvIaySqMNT76Yfhcj33QyHWCTT2rIzjr5
XdQNwq7hRnAjkBnaYEi2pI66rYYycUdJOGrCwJCq/NIq6zZG5n+zUv8uKIf7StUeg1q3dpO8K5nB
qNwI1vC11zNv1yb6T3eIT2bt3ROXfweJ3O8kppUgaDjWAE82eRuJG3UYSaB2Hnl78kvUpfZJ7nab
gkvIzmX3SZTkd8SmtWNV0PHSDxJuAr/84fWFtS1iug18izMQdk15CP2mPKaCAKgoc3/klfd7LgZQ
PGW8IWQp/y73oWWnWXDrmq5vB4X7bCq8N/JE7nZamj9JYfslH4XiTq7GqeCnaFuvzsitF+M3GiCR
BSzIlXZKm9zIPf1CQmB+s9r4y0iTxaYX09aJZSNegeYqE/rwGvptBu3M1DgUequYoLnkniYehB7C
ICe2lQ3ZmX179G00QraFQ1Bxkm7EcKPcktm96T5lL+OX3BaOHgVYe62NbBE0eQbKm+ELs7gcvVrP
RVun3mdwfJsBGAWt6BAkUET97R//67/+41v/v70fPIDjwcvSf6RN8pgFaV39528LzMIyHGQmIMOJ
2AXJSybpDC2f5VKVumTfbevZ3IfHKWv8XdoE2+i9+EzCrT9QdrehNNy2BYKUuA6nOuTv1/oCFwGP
Z79iBt1s1CCpyN+LdpF/y5sDFF6bwVzpCllAK1+MdAb4lhp/YoseQPLqn6Zr2vdlNu89vnMFW7sI
ED0bzGxfDRFkebmgTJDhdiP2HxXt+fqiLYHKoUieVMCh8FJUebZFkmCs3NjUIWN4ju67e8BzR00E
wLFR9vC63EyCs9rRzLbXzS4sEtwBIqT6dCKQOZtNYFWK2hhPzXBC3G46+UsBIY/ZrKF4F2ZP0WSA
yTRR6hqNQ5cbUglVv/VMGisqt3vnDsUX0xCylRV6bVOYHf0LIzNUvt+TPHQVqmTyu+6n/9g2tpBt
AM7R3IdOJMU+4HxH4iTVrv8OOJ9+Wwj4p8ZFGI5ne121BsEF4EjppISMtCcvSdoHxIlUrwCVF9cL
BQaFVI4pApu/nEmKUnpfkNHh9vyh8gaNkEhe67RbOFRT8/CfNmZ7nTzsGBKG0ZhkqYihNfUhLMx7
xS982N/6n39jA54Zm217n+ym3gjMnG8Y+5ycgVWR/Bf7lX2+uAPPzMx2IA+PIq9EabD7PHxHAoXA
ea1DTVq0ocKOYtKiYZLivlwbo5Ba5G9o6CLxdmTvKQfvByDvY3UcjqWd7qkyrOz5NYuzUdEBU7h1
rlEYrsdtJEfH0PL/MpUR5CIQY4gqDCc04s9MFPU4lVPovDKEISW6rd/VNbVdSEc+XN8IC83Ol5Zm
51fyuz4aTZqi+lEy93S5UMDw++CYFolkZ2Uj7S1B92+8qaFHHFHFDBWpeGlbXb1rwYOtbJhpXG+8
ydm4p/aOszs0V3szsCaqMj8OTqab2DyzOz3fpxyJlYFPZ/aaqVnDZlWqbiVBaGn3u+KDbA937Y22
1Tf+k7qb+vWVx+v2Vkb22kh8NrJsVKNizGD9aQqELybYYIdzdG9d4/N1Q9N+fzsuBG5FHKNGr8vl
FA6s1GgqIOYzl4RW9gVxhU2irfFDrlmZud4qzRMICNignvcwqjdjcOcHKwybC9Eb5CATFRMeRKa9
5nIgslkVaLZzs8Sy5OhEu0P81FvQHJgqMJAVY4tnGqbhqc/ZRPNpNmtN5EqaAPO5nYQlOMmY0uin
6+uyZmE2Y0FvWFDJ0Y1uxfnBjMQbyHr3100sLgoUJGgEQRtqzju7BGoWudfg1aWm28iBv6lE3Rap
BV03s7iVz8xMIz3bymEsRx7vZ24q2bdpdbZlbXSGFimwlfEsThksUhaM9Dqx2cw3dW0KrN/kzNTV
XRx+ysHj/Y2RnBmYuRvfbAp/EFiTqgSLKjxw81K+/T3NV4hpFxfmzM7M17iNpEMQRa+njsBJ2OgA
7npS/mtiW4snhkfea4O4DGnH5cI0GaJU0FXRrN9WRChjf8wb4fchGe61Mn8wxWSFKmZpWCAT6dw1
aHyDI+TSXq6pnlm0U/AceOWmUeLbMAk/UzE7XF+mRTvEr6ZC76epzJu46qYpzDziws2lRzmswfD9
6NuX/5mN2V5zhUok8cASkdICifx1rIxNVaYrR0daeCkrk/QVXW9cczT/Xk5ZZ5qjPwZMGSX+D/ku
2Y9773FSc/BWJSMXyFtggz+zNfNpsSa55tAypM4GTkxm8eQeQeIfBRvMC9ROyjZ5aH5fe3QveYdz
q7NNEfRah8IXm9CvpoRAJJK3yBrAx+FBBJl3fdXe6nMq0xgJkjSK+dobJZ1AQmpaoS5t+7fNFmyh
4m/bx0mNWT0W9tTSHX4YOAq4RDvd5rbn+HvLGX80B3dlZRf36NkPmablzCmag5QP2RjSZz3mTp2+
C+R8Wwzfrw93MVo7H+5sl4Y1mIO684B+SiCaPLcFjVwOmh138QGCP3FbAFL1teQErOGuF4ITPZb+
Rm76v+HQzn/HzHH2vqgBg2QbC6P8tVKkgyu39OREmnN9wEse7dzOzHHKlaa2LlVSW4oqW62/6M1L
AOLfSC2Iw6LddWPTl80jp6lP1KJhniZsfXY2C88bVbCNI4Tr9TGFuJCcOITra/roiwfEMHWRhAMl
unnXaw1XlKUMdOQbZn0jkiskNeFEMqBxsVq5317dyZshmTRda3hNCPJnLsCCmiqvY27QEn9T2JAK
vZjQK5MjLyFVMgGLkZhzvyNIzMblnNwhv/qUnuobsJb36RNpCRkCQMtZS4As3ez62e+aOQn8Q1cN
Pr+rL1taObSNu6ab9xoeXhv6FP+fHcjEh3s+AMRhF8M2vw1VW7XjXY86fEU06egPMmAye+JWyh7l
QyFth8PfSMXBC/hr8qdJOPsFKplHIykZ5BB9pEacpv7GXZOZXnQ7Zzamz89sGGDXO3niOBqb+hgm
5n1PTlrs10jO1tZr5t1wvKnUpkSWXSyBO5JhKH13/fAtDoRjh1wfHA8QYlwOpJDd1M8mtHUjZ3sv
v0skhSrpt+tGFt2JpRkmFy93hjgbRuqbtd6b7Akot2h91hzZ+hAVL2Jn7ZK14Gj5+j0zNvPVVguj
PXk+kkZ3xkO3Vb/uoi0Ybdv4QocPWseQwhzacMVhLk/jrxHOptESY0THfRaq9OnKES3H89833ZqK
3pILg4WDWj5BHxTIs10nqv7YBhNDmoWVIPzU8BBoqnfB2hwurde5ndl6uVYGasXkVWYBDCvpn5Dq
H5o6OC6gy1XSg7VBzdZLNYVWk4vJJ/m0PvbvRQnYlGFuFHXlrbl0zxiEKpOMnQUb5eyeKTsYe18Z
34ZTC1m0dzdpDoqHNbqoRQ94bmfm/FWl83NaTonEjgatWT4EflQj7vIb+SH7phMUbVV5ox5iu9lY
z6Ed7NYc4Ov1MvfB579g5uYNrlMj8AO4MepOArQYiJ8qKhQnMHPSp6wo5FOrlNou94XsbsxFfonq
0R4b0ZhlDFrnZFH+LXVF/0dPu91OGJVHDQD1vhrSxgGAJ24yjZ4RL5Hqu4Q0NEluqaT9Thh2Y20m
6M50Y2JbfLIfyti/AxMcf1IjWT0kudnTw9JoT6ECvobn2Hhv+aXwkkDDb0dCVxziTDff54me7WgS
Tm2jEfQNOQnjCGYY0XKkZ24yM882WRd1dlBl+U4CqjXhXBs71SLlfpQQRBEK0LktxMwfEXDPqYOH
1V3aZyJI9LCkxU2T7lLdr53Br0UYDVSL/oZy3Ipy32mbyqvKrd9q2paGe3UnlYV7N6aycKJM2p0q
D66sRtaV3XUnObmIN4tGOz+aMzztYAS89MTgtqqsFHyKLt64TZmnLjnUrbexxmqbWPneRNzxusXF
sNaQ0Dcl2SOpojkz2YxBoRoKR687AdhwghOwR23rPug7OJju14jLly6zc2szHympQakkHday/KcE
tlsv/7oSFzmrs/HMwlYIkcY27niwiqP7vRCl27zPdx4sDtfnbWUgc9Ygn6ahMJdx9gNddcP4oldr
18kC2f3FSKyZD5FoCBiiFA9cQ26aAgSh7eqd8KyeVLuw3WOZbPLf+6f0gwXD4cTg2NwWIC5s+lE3
/O/x+ngXq3WQBgNYxX1SPZvNa0Xz/hCOzGtn9w49n1P0qh/zrfci2bC52cMGHZq/86A9MzqneMxj
pOr6gQftqBoPZeK+08xo1/fCVud0Xh/g0u19bmo223KS1lYYMD6Qnzsad06xJDoI8ay8mhcvoF/T
OM/bBIavVmnLAbCaiLpZ1j91qUohMhyPheZCsiH/7EsapVxXeLo+wMU79szyLCh3s07M4piUhM65
q1t3n4nQqnY80yEFvW5q8XDIODEJgjV4JWe3bE7vW+6q0ym33B0UXndy1K9c5IsmFFFCm4hcuzQ/
HG4uumaocMHmWRhs2rgGbCO9XB/GYoGVcPVPI7M7NFRz2DoE6hTqPngSrE17SxekHT/4DkCRn/G9
9CHb+TfiYY2keXGpzuzOl8oTqiYqCMjbGoqgMoJzwjrFpbR110QXFkt450Oc5vnsEdNpZlIzQob4
Tj2J22rvOu1Juy8cgD2nZGc8jo/XJ3UxbXRucRbAgtAtJFq22Id3/kv8Xd3SD7rLTpNyR7fbZ6f6
gIbmVr0NDzRePSa7+l2wW5PvWNs90wKcjzqs+86QGl48dAbJQ2T3w5qAzbLDpPsFPhX45ciSXdpQ
ZKHSkoHnoXCgE97f8grejgeCjAcU+cqNZ0t3AEVXvNiq1dnIZLUUQ2D7kzCIutdPo2McgpPvaPfK
frSbo7lLHrSVFV10afC9TVSSgIbnUsd5ISohEH0mM/1eG99oMTGiT2F7khTRMdrf67Xi1P9njL8M
zoIIrfR0I5kyK6C1XyKi6dgODvHOdQxSjrJxGG5j1MOTFan05T3zy+rsAiw0ENH6VHrRB92RwMQP
Wr3iNxfvIIqHVN5exd9mJqQi6YwuwEWDsKSdXS33EIKYm0BMd9cP4eJYfhmaRy+qV/iKPEyXOXww
hQQuUF/ZFAs04kQvZyZm92ltJGLTVJiotqyPeaofvJvCpu+dduIbDhxZYU9x+i1QLVLDzVrksOxm
JulGE8aCSVD58vgVqUYL0+TYCJxOxkPzdfw2/NQ+jQ6BC8hamoQ2pbcJPxBrw+fxvt9mDlrZRyS5
7OtzvXQ8QKYpQI4s6CXnl6FmZp4MbHy6RCaJFGGr7KujvPrkXFrSczOz8Wp90+mDNhWgIIURaMex
opUDsHhXnJuYXYeD6LudPo0EmqKv3Qdjhzuzu53+zX+aIlDPWQuyl84DmB8URKZ6zRsG0BzEtCYE
8DsaZvmSN/6HrDdvda38cH2Fls2AdFbRMoVydPr87DYYpQxe4oZCBlxsY/8tCL6Kxst1E0sPO1P8
ZWLmll1N92MrBrZH48JOUN+XEtw1w/fC9+5i4NNQljnXDS5vh18GZ8+6uKbhKVSoVowt4GjfzR7d
Utz+z2zM/DDwM91sU2ugoTi6LWm0U616xcTy4fk1jJlHzJBuljQ6WWxgrt/oILI9ybeL8FtbTaxc
UCW4JRQdP6+PazF9eLZa82qE0ESylOVTNeJWamz1Z+rw4HLc3fAJXI4znqBD2eOz/ob3P7c6O8Fi
KBe+UbDbq5Z+QykCik71EEaa66ObVn6eYzg3MzvFZVwAU8nY7TI8BUDMjcdctD6Iuf5SSLAcGf5w
uG5wcStKMpxAqqSJ4hsHGMo1KUs8k0FaSFM/jf3fMgBgS1dMus/mKQw4CUa9kIh5wEfZAQDBYS1D
vhhyoPryp4nZVq8TbczU/NWJW4fiQ/8SP+cHdWNujK35UD1CoeaYKy+cZXcrwadLmZXH1ByC4cXQ
AxWQHdkwbGyTe3kbO+3HkTDO+yxv/FcO7esLtegHzwzOBpnBPiAEOpiVFm7RoPcfRdN7kNVhZZ+v
Dmx2qNPMa4eevldbeeibPfJrB2rGG+kU3JoP5iflv0ElvXyiycchiinRmzxXWaRmittXMvzIPpSd
7Kv1acpfCKDC9caWv9Gz6YRbf7uWhZ3c+puzJlsG9N8muoXzJazJA2d5iduvs+BolN1NKPkwQHr7
QgtXysKLplRRtHhua7qlz24Yb9BaT0WTwrYyz65FiEqhBm2VvSZ3K+u3ZInMOfTpU71InKcwEtft
Ye2EA6nKPniSYbsDdDAufQX5+7++H88NzZ7BVVeJoPZo3YYGYaPG8OH12V4c1oLhtfFM/uvs+jfD
UaxEl70xZqat0Tnpih/MANHjYI3/e8kTWqaqEgiIYGbnntBokh66AwbUKUa8g7kdduKqfHd91pYy
uuwDSaM0aei0RMyu/rpsSRdPRe70tr5VnPGQH2C5JEkHt+V+DXuxMCSMEZ+BFFNg/55tu06lqg8D
FTzSUWIHKmQ54srGXrQg8biEON2gaD+7FqkoJK0Q0rxteF/V7iVMP16fr+Xvh6eCvgqeC3NYkFiG
QPUTpkvJP0fSTdU8X//+Ba+qshp/fv/s9+u5O+otpQ6YGzQL/tYk+RykQmeniGTlK0dzybVizASv
hT4j6L2ZCxfgAMHdcDbrnQnVMJJRdGAKdvyzcRRb+yBDqrRZc3LLE/jL5sydC5AWQ/cAz7cv3GXd
i74mUrI8gf/+fkmcZRPh0bDgQ2JMYhvDu/JjTJ4tz/9bM4dChaZzS1iEKpdeoPJ9KquJzjLZFM2G
D3Cg2d6dl206ABsbcxduw7u1lMLiyM5sypc2a6Wse+ieuJWS/Fh2nyJoUA0e/Nc34IJ/4x3+a2Qz
NwrvlehrDevjWslOLr+q0CeY6s848ZzrhhY3AqVVFN1BCqIjeDkcJYVuyoJZm+unpL/1o96uhESL
I+GmRkAE2KM07zcIUssSpJqdYECgVPr3HsyztXTIjBUXujyQX3ZmTq2HJoCu2ki0W2SM+wYeE2Xl
Lb0QhFNrU7k8aYGSxLkGo9UWRcbqM5KkiGBCC9uNLBpfCyu9M3XIJL1GWHGjCy+pqbqnEiDLxHjz
W4Gsa6XXHu32iVDvLA/mknoDXSCt406qvwSdBXHo/m/shzOTs/0QNqqUFSUmLRWMQk1DXrKyUIsb
4szCzPUEVioncVjietrm1IY1sD/BUfp3tVSsHKKlCJJ7m45GsBeWjiDJ5eYeZD2rwvDVP3RbgTKA
txW2pgDUdxNvOie/r/cwAIdb7eX6JC6u25ndaa+eRSdNh9J6GmC3h2MxiSFAUxPoqawoeRTC+GMw
dVOmprFVKRVft7w4uWeWJ+91Zjmn61oWkDmzsxQylo+JeSMkN1W2hstdMgMoV+Pe4vmGNOWlGcns
etOIONSZl8BM9V42xp0GNY2w5uLXDM1mMutVOTcb3tc0j9uN0ByHvKbxKt/2sCdcn7rFGEyS1Elb
g5cvQ7sclCikKahAPAji4IWt7ao9REF7+Vt6r9k5fVEr5pYc1rm52UXie3HseyWeV6GmYQry1pO9
I8oPk7yvHcO7Wo4nM3nMXTJo4k2MFp8bQLDbrOlJLWV9SaH9GvdsMfuu1OCLaLkCnG6L1FtrW1B+
2gQiB/NhJMc6nhBl3w34Hsc6rqVaV6d9tsQg/SO3nxx39EE9TfnJyHYPxh7D/w2xyqXb+3yss/Oh
hRoMZpMPF9XPUgfxMxJ6wbfrK7toQ0brHaFDkffWLJYfwd10g0pL8UT8Cl03hHNOUKylhJZ8DOiP
P63MHHVZQ/RbKGyfzNUP6ABDqA8pBCwo/imJUP4szR1FyOsje23rmb2NAbCR3JAIuIw3jbhQ8kqG
UDC00hm23tcI3uvPsIg4Oh38iOw6JIv6qb66Jcu3kU/9j3i1Sf21NPXmN/ADdB5K1Ajmx9TXUtkq
Q3SR+l0fbNQnoC8PEEF/CnpHcmIn2YvPjWOcVGfYubupgxzO2k8QI3g2byn7bwTSxAM0J09FQ5WK
2qXTUHTfg0JHRfBKr5t7L4/MLZoLa8/dhcUGv6FxTCepZLA9l1YkI22UvDKmVEh/+6sesabe9drx
8mZuCTZQP5PgkZy3dcmFOQCI5OLKfta38RHQCFDjO/01l+Xbk2h8e6DZW9z58JMdSzTPOaWTMFyw
qrK64Pk1QFXW1JBBFWZ+d/eth26JyMRaSeiQet9EogKpC9Rh8e8ru3qavbNRI6WE3MfUFz1VQrU3
uxpazFjroLSjRlLeGg/c1na1Vz9rh2ELEQOSssmttNVO0waiR3Zf7LpDubv+G2ajffMTZk5Qqkxx
aPK0spXxvvOfG+VjUD5U7O/rZqTJK1wb6sz/RaUkC+LoV7yYRLv7IDnhTrCjm4l1QXfabfSobCcZ
P13crO6ttSFOn5+FJgG0VNqoMsvxUdz3CAVnKDDY8MjtdQcSREez+6d62/HmjbfDDVI7FKdCO79d
v3LmbuzNbM88tKtk9G8jEWFLz9EHOJk2yVaCyNWJTpCvfp5A7jBD7jNoSZ/kWx3C5/UH+PJs0KjJ
i4VYY+7FPL2sPTWAytiA8ygwXgoRMqTWDvqVmu5rfurNik8lMjT5qGjqs3BbplE+zqedFR5hnTmp
T+1u2Db30Va4D+x6Gz5AJlpv5R38MSoB8npb1ew6/GOy6ctGRh6sInXBy3U3BrMti6Co4McP7rxI
/8oOPJpx9l7q+v3Oin7kcBhuP1pj9zOPzZPWQOhTifVKYDzzoH/8islFy9OLgCzL5a9Aci6N4NCp
bIgyoQtERflnAm450apN0X7Pivtg+Lly1qZ48c3M/zL5Kix4tuHTbOxb2NHK17NW3VeAZdSH8h5y
XCf742L+XxdsKtUru8o3ZC7LwPPr2f/+113wrcwqHPN/TH/25z+7/KP/esh/pM91+eNHffc1n//L
iz/k+/9l3/laf734n21aB/XwrvlRDk8/qiau/837Mv3L/+6H//jx+i0vQ/7jP3/7+j0JYOCqaqKt
+rd/fXT8Dm0MuXEm9k9mmcnCvz6+/5rwl8//9/9k/3j82sTZwp/9+FrV//mboKr/pA5kWRbfBhIS
mfvf/tH9eP1IU/4pifQwGVAhTMnEaWOkcGv6/Jlk/dMg1lFQiNMBxSkKh7hC5Gb6TNb+OaVLJiFW
ymN8sfHbvyfh8Y9N8Mf6LJPhzLzBlIkl+yeKU4fjhMCbOaSEtjxPbiziKpgpo0yeuI32Jvl5t1sJ
Tuf4uH+ZUiCNgnSGUGJ2A4hCFXmV4Mn4A5Dcrnc3oStSFCa3SEjtyidCOC/ZTXddsOoLZq7gje3Z
MIOwiHvIWumuhF5r6J40/2MBefzZ8v9rbs+JhZbmkgIcHWMGdUVACJcnfeygDE5d5lIVs7suEe/5
d5+UFvGBcg0YOtcGfR3Qua2Zb/O9Ki1IqyFLUNbv5Cy+Mzq9glMZ+rjSHzNbT4J3Iehpu3OTHeyW
n//GUKeOEhC+r+2+l0OFibEsgwLzsSQ5NbIqI8IJYpVvAhj/r5uavVb/GKnFPcWMotJsypemDK1r
zBLgKBxb3sc+zj4PurS9bmJpd1CMMKdErjH1p16a8NUMWTif3dHWn/Tk9675FEQrPCELewNkEUfd
JBmEpdktAObNI7ePCRNhCl/tN0P/LhzhrG7Vvz5fZ5aYuMvB6AGg+ZjTbled6sguGlpoZl+fr3l6
a1oTVIqnkJV3gYwburQBraCkNV4s2bRHbNMXa4dkxUfv/TeoaR77bW1HDzzYV1KSSzOo4EOJWegu
pyR2abMSRqQNoJy3JTfsd/TwQsul1Ylt9lHvtEYTr9ibZydeB0nTMn6Rlvm3XEJGnsTwHzOR3Sm5
h6cQYQ/6Qvapk+0jGzWfk+7EH3iQ0HDxo36/RkOysCcBMf2yPovL0SPLaemYThhc91L/rZU+T6zw
1xdyzcj0+Vmg0MeuKHWZLtoeFMFo3ijPlVJ8tgRxJQaaV5rezOVs8WKjR+5whKiGTi0H2tec51y9
0R8k2z9MBHTW8S+WGt9YnDljKckiUa3RMxIadx8mAwSma6WStdmbuY3SlywUHLjQqtpCEm/cmzLJ
eLNJ13biLJ77YywAgyFJNSiky7Pj1mtlJERKL9lImm3H6PcsowtWhtrTUO4t0yXlMt65LcoX0Emm
ubCySaZhnEWTb6xPj9izTZK0Q9mHbFTIIwb03su910K92ldoyWTw5gY9ZJSm+XJ9Zy6edk2d8j2Q
htGae2mUCl5LRMLOdGHFGTwECVC5g1vb1YyV4Wmz2UVdm/CLbBnPfdoPSLRemio9OK96iHhhPvAM
BMO60dhIpSV+LlKo2CukXp4EPYz2TSOWn1D8EEiv9cLO7NXwEOYVHDd6N2mhUjo7SqaQ34uVC4VB
JLlbn44xuw4TPMUo54iNydoh8D3jSTUV7xn5GoOmN1G+U/260LaCH6koN+XFTe1XKbKcij481JWn
mQ8hqfWj4YS3N2kbwxcQIszqp0V7Q7kzjLcCchsnAIv+TlRgR1HBHm/kOJRuIcYYNlLSFTtdjNxH
WZ0EqtK2P2SKnp9G9HZXTvrstn6dTMizNW5rxNipjl5OZhhW0TiITCZ5hY2ffy+0FQPS9A1n2/GN
hZljVJFabos0VsgEunfuu+AgHUynBZO/ER15IzhrjmTV4MxJKmWeKG7DkLSHlJdscvDeRbxfJyk/
QBLr79a1KZztRyIFIdN17CV1hhobcslrHSPzZMwfc0goQt4QylMeH5erBDVL2eRDovBApNvgFrWe
W2vT7fsDVBi3OOk90kw0VFif1yZz5jLfGJ55ss6CsxXVRQznHyT3pUIBz2xWEg+L83c2uNkWVJW8
BviEjToL7dZ6trqVWG7ODfNmFLMtKLhy1ZcdFsRTcNB+T2An8O9pgXSsx7Us74KtqbWHB9qEJgQ1
MxuNBz1wOQw9ualbd5/v+kNwa+3hV4aHZg1SOsctMq5LW7Nxhe0gR+pkq3aarUyhcj+h3uAk3ymn
iYUm3narSPSFvagQ0EEZRHJ5IfM7hEMtCkNLw8s7CBG2CqQPgI+eBAhZrScdaqxsA628ZOdPEEcf
s4/X75ll8xSF6fA3uWHlWWCuKkUNJT3m228dfdfqCTaDQ/g8ram+6bcIJUp2besfPWetm2qeDHyd
bvCn/zY9xxJpcaE1fTOZ3nVwHzZb8xR+1iekIbw/weZF2JbbnN/QB3Z6Gg6mfX3ob88iE8+NBw0Z
CToi+ksnIECuplg0zNlWF2ufvAJCckEsGztIO//puqnloVIdhoJAhvZtTqUyaJYeKPqo2sMp+aAX
qI0QTqMXf4ju6k1wjGx1E95PVYYdSm+7cLPuVWcBxetkkwbUwOVSvEKU53K0qhpHbZ03qu1VcAZC
dz7mz/wzBBGztYDizQXFuxvcngylnyZi+NISKkBlL0YSG9q9VaIvPhz3Ho1d12d0YfEujMwuCZdU
jZjiM+CJfykLetaPZrtGHTgvkE5zdmFktkN6txLhHmckUxfv6JC5fapJ2Vp7AO27f2USLxKJ59mT
eX7ojbVZOI0WVTqK7TRve6PZ+3a0rTJgVfAEvBe+5jFUzLUtchh/qGhDONenc2F3XIx05gXGOB/p
ScN2L31I4vxmAAfre2hIoVZ03dLkQy/Dl2lOyRFxDl4ZZy53R59BXaZNJ0FBfg4VqTJ7/9cNUBec
Ensg3C1jtmi67IZdPkxHjc6zCHhvKX/6n1mYLVTU5skYKFhAumETVrdtu/LgeXW6s0mC6Jl7T+Oh
Dxh6thyZUVgWlEDwxu+7LfJCD8EhexJ26bG4Z1+88x3IgRwIP2x9ox+RBH2hGojHvs92uW05ubN2
SyycNuQNaLWDAppXmDa7hCFVqKS6qnVb75Nbz0S1z6qf5Pjl+rwuWOECxIIlKuC25jCvrDHTqjZl
ylHSTyQw9iQAdpW71m49zd1sbg1q2DQJTH1u5JEvN6DsVjDWup3G3E4dZtFe2fsHlNFW4vTFwfxp
hgzzpRlNb+E08XvNbjPri1Q0H9E+sl1NXvGDC9E5UcOZnVkoS+dSWbqTHR3ynsZw0JzatwRJaFxX
t6JTrnJZL7gK+DYIyGQa9GjWnc1fJap5I0WtZpvhs98ckFS0A2KzYA04v3RnnhuaF/gHv5S7KmKh
OhtEXBUQIPROdCj2SHlJTn6gCN7dhvQ+//EIQRnhsNYgvOCsDIlcNvhzRqtPZYjzp//gxUoNVAht
2h79bllBpeDn9T0/TyVOXv/CxMxddZ6GwmtcTdsxePIqSoTtc3EXIzJ3FyACaAun4Vl4RKFt9XZb
Ghw9fPBsAq0EpDc/1EjlpX7lskN31cl6CB+TQwwZegCZsiPsa5BXaxHXXHngdbDnJqefdJZKUbWx
80nxsFnfFV8RUNx2++q9d5NsszttR+RHSfxb9ym+zx67B3S90214WquGL23f858wnduzn5C3deSR
aIeJsKycxqufjFp5F4ZFZlcqdfHrq7vkBCZOe5PYXieROlvcUk2RkAoRu8ibk45yaeTuo0zYXTey
uI4GVshU0Qv9eo7ORlSMSj+gPovWl5g7np44efL7dQuvCba5z6Rg9acJ+XLSGrW2lLzHRL2DZkGA
+iAmC+w+ui8hSBSb8/Fc2x/lR/Ss7IkIQfisPl3/CUszSbYd5BO4FIrqs806wm+V+y36ntAhbsqa
NvYGAa7i+a9boeBI29OERCR4uByn4IGVkF3GmbrRXq4EZ+IKa9eO/OT657MJ1gUeDvwnHS6z2cwj
MYFNytd5DOin5s49fhvtCG6/NRaapa1+bmc2Z1HlQ3cWR7qtINgaC6NjtepRxovpgfXh+sRNEzMf
kgF9A7cqjxyo8S4nLi5cZay9qTgRC0cxfJcWUF412YNKUS7S/hqb76sXmdoLZe5vOkXmT5nBtXSl
EnoZIWprG+iNIxjtqcoz5/qYlgKFqeYGPpPEsz7va7XKKqwaEMWT8nl1g65juk99L7frSR5cgyl5
Z/kyWomhUb1L4lpeSeMsrd5r0ZxsoqUB972c0lAr4rTLZSoEtQ9xly90wUMLE8htIlHrSTx5+HZ9
vEt+5Nzg3DmX0aD1IwZ7MTn0snWohTU6voVTbE63DSGeMXmrWbBi1S1qwz46XmaGTtVdDYmK9uX6
KBZNgBvgaT9VZ81ZcO6hdJl6cOAgTZ4XKHS3GWLiFvKwdK7Z100tTJiJl5j6uBSVjPW0gmeON2tp
IETqTUYxr4ZE2Ngo3efrFpYGg88D5z09pqn+XlpQBA2ksiTLdtQBGhDIoBdoZQ5r5MTT18xOL32Q
EzMQSSDY2GcOCVG1pDXQk7ZdE2y+Htt6+xz/btJFRofURl9DQiyNCvzs1FlKhYNum8tR+b5fkhOy
ZHtMM0RjabWJ3kvWGlJ+aXWgY7cmUiUYj9RZAJ5oqCb0IYNqqnDTme9jY+WALj3YIYJjaaYOB+tN
JIwviLImxemh5tVs/c/dh2QbbL07ZBi3ZK936q669fjv2tNiKS9xbngeGQM+VkP6GmRi/ikvIW1i
x7jnEsnv5cNavDQvXU7eFqgzvhZCDqj25qDqLHW9MRRymQD1/5F2Zc116lj3F1EFSEyvDGfw8Twl
zguVOIkACYlZwK//Fu6HtvEp893bb7fLaW9LSFt7WHutPgLnJIYkscin+Rrv/gVJjFvj8etDf+Yt
gUEAZADMWVj9Vo7PkLRz87RGW5F3PGzG9AGKoVNYqxFlZsfoY8r6jWTtjK9FFwxKFCYIwVGcWE7s
u5sszSZAcwwmS6ajKXP3NrCBXEAETGzBObZMrZwGrweeg4TexoDjLuseLQhyuvlPwrYAp+cuGYRZ
MNdIwaf8aRCUgW/SaHONnung7t3BD+tiSiw067/+WGceSQxqL5GM7aC+aa52zpk6ket+tnA6/Iv/
ZNN01+y3PtC5NsAHO6ttc2UJxv3hzU7wfenUdGEb578XPpxsI7w4e69BTAvfDjg2eBhW7tCWwmVN
0FpResWvzQSX+mI4iBMEZvYSY+9ptHTs0X7YeE7OpYJY43/trg5+G0ApeWw7C3Fht5OX9l8QB/IL
cGA9zNcWmAwAFEXHbZOR6uwNB2MCvCRFMf5TPNWN0sqLEmwQxRG6nxjW8k4sKaMh0nF3bcbi4l85
MIC/MJi4vJuoX3y8by3GsBxVuYhtjvm1t7MObJ8+LEz/xT8nanhzYO+NrYJ6yC6WBhS/ERGIb0Ln
IcmvOr3hs86eGQRPgExCsRfNhFVVpM5tDEWT1HrrKHZH923grQWxP98vqOY07G/yG3G1NcNz7uX+
r9lP076pq7nLKSAYTOhdLVwIMF+V3iWfqsRvgNrnG+s855vf21sFcNIZGpQTsEyep+CIPRoQnZdO
GtVg92r/RZwAlwJVPQC1kT2v+V0Vn/RYKnS6q+Z7S0fIqaZJMR6/dmDnGmAY8EQWhmYFHvN1rTVr
5OwGFpqZUxNCEOESqMw90Pk3buxdTbv+so1TDDQ3AGi7GwO65w4NsgsXEx/QhEPvceVoxGS2o+ZY
oI7epiRDOJpf1a7Y0Rf7sUvMuIwnK/KA2Nxy22eCI8Re6H1hwhWh0Vp7ya+Nugv6ikSZX4Cb+Jb2
377e1jPPHOC+CPJQM3CWwOHjDbfToPUHA63UuSkegxQh2GQ31yCtLkKMoG49dm/J0McIFm83GvnB
Mp6EJvHqjjt9U2HuyyJR/bf/a0IUCV3E7mD88IMw2NtxlmyFRZ83EAaxMgAJQZNirSs7FYAlUE5x
SDT4YxayqXwGU+nGg3DGBoR7wYGGEuHbkODHPeyy1OgyhENo5Fv8ICq7iQGHNuOvv9SZZwfqjktZ
BSJVLkU39KOZ2RxtpkeYITfZvntdOsCYYmNhd6EBg7bChfS72pMX8vi14TVlLxwzDC80RAtDLvL5
lTPxHTaUFSpLmD8kr/LI77PjEE8/ORgg7QiasgkcNWBFIUrZQLtEVSRARO9/Ny+rzWr95zDm45+y
uok4w1SKBn+KVfnHmZmPFDoIKJNcM56ebJKCYRYq1B03N7zPebsL0h5OAFj4lV0RmCBkHXwSAYK7
F654hZRYHk6ItksfIuqcPIgycMOSD/uNzV+CidWNQYSNOj7m6XFP34KCdyEv1YOr+gIrHnbuxRD3
hx56X2ByGEH0jo/v/OihgFv8nOJ6hxkVxB27TdmJc+fbx1+ATNDEbOPa86ZNloK2NaORw4BuLntk
mhse9nMQjPh34VcAvA2XcX1LfdCh2ZaguEGuC/KuDOyNMiLG69d7eWYduDcU6Tn4fYD6Wp3jboKO
nTBLVEF7jEpD41qKDQvn/NsHE+tzYrpdCj33pReyvBTA4D4trJBLYCET47gFzTizbx/MLYfn3eGQ
Piustoa5prsoSgvqfC16+FsEP+et4OUFzCIA4dMqQ9dW7dadw53I8sZ4lGOovTaU/UY4f6aPhI/i
4KGDa0Myuy4XBhASHznnfkTK/G8JOsvZ+GlznPWpj2sbJKw/tF3FNfdjTRHNDH04YQ4c0pKR1aL6
QW+KpvqlG+hBA02rpQyddBPl9Dmuwt+I3HPBeuJdWV+FBoPgvePlYFQCPth7AIQxMr6xCx41ibzO
rnW8wITl1abdz8/0gicHd/xyfLE7q3dzakzMc7goEXfxQqoRzY/Br8KIrV/5vjx218IJrSdm/T8s
f74zHw2vKltzz0eaFzCM8leoCP+OsvvGpdla2+J73x1itLNFI5xlbfzJRpWYePjKQ79n3hx+7QA+
H+QPi1lXisdAB95UwVJTPSLpCZW8cadNtoCNLVtTO6HWTAiui4th2RGl/LC+a5+y3QLFnJMW7bof
27rkZ4Ljjytb+R1jqrOqJbBJ9+ygLoZbVGXwMKP+DdGHnY6BroiqK3rfXW0Fx1urXbmgYQC8PEsL
7CnwvYjEjn2Vb5SKz5lYZtkRosJvL4NkHw5Ii2wO/I7ai3LjwRa/hmZLaf2MAYyZehi9xIDzEgZ/
NMBHmRljIfyoZhjoRk4mtsg3z/iNDxaWv+DdGbeaiXesgYWy0FErrifntiJOFMgu5BbZOOZnXiEM
O8FFeSZICDCyvVrPkEP3Y8CcKV4hf79Mr5V/8j0Ny0eJuWHoACRfX6szF9jDxCCQZHhUAftfXeCx
YVQEPfWjmRuJ4zxxy9tDbVoUm5WXz2k0JgrR5EdICsKktynF99vYeU46NwhUogb9zTE2E52MxzwB
2c+hePbD9GDcqXg61KetGHg9ZLMY/GB59QF7KRnRpbVonWFu7gq88vcgOzvSBHoH7EeQAJCMuFOA
SqF/yOMt/3/u+Lxf9+LY3h2fMh0EGQpY5/bLYD465q3LDr5/0yFv+vpbnnGRH9a5ygfr1OoaRbDD
nVMcRubFJjeOc7YVT589oqjZEUCnUDFAOffjimqI/ZqzPcHOzt0vLAKgdTy4UJP09hR5wxZP1Nll
vTO3Xhb1qmCwYK4HlFIXf/2JxE62md6evQngM8GlQzmSrkHQrahtwji+k/MwJeq62qkriNk+enfL
sBmIOI+xsTlAtJ5f/8/RBKAAAe3CyLlmrnSnwATyGmsz90qEykj4fYDEuo6Ow2m4yB+r6/w2SPSu
e+7B0L1V8T23ZPRuQDCNTh6KsKsPScCzDu13y4us6ToX+zTLo6D5aXcbTZxz0SEIRxcoGMKgZT79
44GZS6PQzmR6EUjAdeKiIunvq9iJx90c439ZYbHL9+lBerGDHsRvgA4erI2/4UwBFmKOeChQLVky
QWfl6DoMFqm8IgCaI7ovXpABvgHdMYeQQrEsXD4x//X1fTwDxUGkaWMsG6lfAK+38uUi77p+BPtQ
1KItAOxN+2Sg4tsdrQMoZVD9euwhkeNcLawQ3k+QMCEylU/TVo/98wuJL0wXfk8H2S/Iyz/u/oCS
t0k4Coi8dFNwWilvbw299Y+dz2IFOQZeYTSw1u+WPejZIAoGfPVqye+9Y8SolSZf7+jZpWAd2EqE
lp94JSbKLIoZO9RC2yoeZv1gy3mjTbVlwv64W2oggRg9L0W1FxSiGRra/vhPJaFw7bFZ79axOhge
6A9L3Ic0kn1xy0cDp76hQH66gxH9ix3z0AJGfu4jSFp9fFtj3MwSQRqJaSc8N5atiP83C6ssw1Fp
KYmBbzLOPRiLhPliempjFZ8dFfYLXZsFNYQ+87oDJkVr00FQ7JdCS5tMHQlR4Czw0AGgaM1G9j/a
Wz055axGFKNICvYywwv9LCjjbhrqsMrTSzHVW2nH5xcOqKsl3rOBRF6awB/PHPh/tClrHAfiog6u
1U9XN6Er/3kNBWYWiBnq/QvMbOXuZ1A8e9rODBxtKDIoXjwqkR//+WnAZB76XJ5ro++0slGyxqdj
zYwotbMrKlsSlqBj+hdH7r2R1edZ6O0cHRhp5JnFvYEJd9WTjRNwzg28N7G6NwbrCEb2sY48a4JQ
lsGdkW9JP5471e9trG5OXgOkkZqwMYFcrHKLHQHy26TPs777+qN8DkHx4d99lNX5CtJisJmJ/cq0
FU7twivthL2/F34ZuSLYfW1tY+vWoBDPzC1Lp7A2CuPQyXrnq+zlfzOxqgZOiGbmFoTtkYQJbumd
rMyfX5s4eydRPEfuAFipvS6cZ8opS78ojKhp1HfXYrHRVj/rmm2csy0zq+emb1ph9k4OMxP5wZzu
tZPFL9fzNlZz/gT8dzXko4dxqo7lqYvV0KKqQzKqG4uoa8+wMNGbXRXVvzkCiAaA5kaz/RNiwZsL
TsGRjClmnooETTD0GIa53yDsO7d3QIwDEAmUE0oAK18j53YQmPkzosBLQy4xmEtQX6NbXIRbZlbe
JmOGm2cOzGAxJ1V+y2sZCtPdKKF+To8BcFpgJKYNjhyQ16y+0CByWjWwQtNUg/lW0md/gKBb47dR
33CVTD1Y7aEnnyVfH/QzSKcFWrXg05Gbfy4BTBTNo77JWAye6ev6uo3Gk/v4qo4qFj82cR/Lef7Y
EvlgbD2POGY1RUzMGAqwFUiFD+2+3LuX+ntwAUaP3T/vIH60tvITHJJSc7UszfX1LXpDV8W08RSd
abB9NLG6wMCJeqhbY0H5s/PqgEcAtQ0NFrgG4jORFbKERxZgXFbU3o5l2CRTnO9B8JoEf7fHRs5k
5h//mNU15/7kQskR6x28I7q0zwAGg4Euj0h7r+P/T4v2zBMGapa3QXwHTC3r8h4az4aeJHi7BeKk
pkgfTO3dpjQPoq25hjNlUshAgp7atwCU+1x1mINqrtI6x4ysvJGQVIN83XDjfPOP9MYF9/Z1cJVd
g72xvKRZ0m02L88v9L/WV06AG7IoLAPWZxAhhYObXTLpvFAe/JhFutFRO5MvY6kWuhVA8HqfQY8c
WmgYnE2N/3Si8rCI2V33UD2wJI8uL9WAobQi7DBXmvQHhcb7Fqj9jMd7b3+NfaR8LDs0w4wIxSpr
1hEhj3Qzpj/TE/+wyk8EAZbkqlOw0iYEIGIUQBLnWxlxpOR6CMGclZ6cPu54nF1sVT3PH6b/7vC6
J9wijXWLBrY5ekHN44zm83N5kRU7PUbtVXOYdibUbQ+8i4oRjfmtw3wmRMIGo+LjLFSkaJqunL3f
F7JrfGywYiC11YBPl5sFrbNGINSDujuKL58aswqiG3ZlGgj3f9p/p58LP7gbq0sUOj2wfdIDBII2
gpkzw/0w987kKqKduPYbT8KkvoCI+CMDgQhAIkFi7Yuf3TOgs2G136qvrmnKlmT6g9HVyxkgA6VG
BaPmxVsx8oIep527M09br8lnHwA5SaBfFp5F9C3WhRQvmDvf0UYWl5aNCmQVmuZz5vuh01cbG/kp
XEPghEzXBV4WKeGnWqQARUJB1JjFhZDhlIHhxD66+VNGQW/p57uvA4BPt30xhhE16mG6BDnb6pFs
/TwYlcshIWukd6VSV0EwRnWQbsTs59aEBjTyePBTItxYmRlJp9FICfA2+e1OygMxHnP7G9jSYt2N
G6/yp6OPJb23tXqUScMFtOBgy2ssfmV4lrE3cuvvP983QIaWqA2n4VOQm4Jm3fCbmcXKdyI7+6vc
X3O6daXOruSdkdW706BcUEEJiMUNzb9BEQRyfWJDAPqtsv0hJlvCdMuD6gN1UBl9iyredSgGS40j
810W20NjX7lg8rsPBtcoQ6tjfb+3/MIp88iH0KJ1ATa0Un1DPbGOLJMXbiJsQz11rWP/lEKZr642
p2kPVJqNbLMn828KlBrir2psTFAv5ukzkp3iBeyUcgc2/2oHMR12NxT2j5w79EDaFCViUw1luPDL
/Xb8qjpJs8iOFQn6uyBos9fRc4atIcLPnmvZAwBZUImn+KLru120Rm5rwPDj5pVjuu8R8Fweevfu
pXszipD8NMPyYbv3a3+K+hezKPu8ibgidlsFbDkxewA3WBbPnaZZmCsFUcGxHU7g1uWXzkjN45xS
dtH2Cke4mryboqTerq9aB6JyVpfuZuZ5V63jZI8VdMTmgo5xFRTQ8pVl+pLnwuWhnKr6mM+yBSzD
lOWl3QbsVQLX+ic3m/RKKHA0xXwKnKfedCH+8fU1+eQ1lyWCXxRCexh8+aSmoK2m4jVFAq1wegtS
R0yNe5pCY2T+9b9ZWu7Su3OM1IJ16FqxOBPmiZPqkAJu2htpaJLDv7AEMkcU0uA4P/EfkFR5bmM4
LK6bAs/3ZS2Sau7Cat7i+Th3/eGcMWG4DGYiXvi4JNtPAXywZsgm0CFUlht2bGMpa1Z0sESAGQcT
GSAiQW/wEzRRW4zh2abowxbErq+sXIMhvRTUfy7Bi3YyM4F5DW8sxn1aMPNnnqN3AFxPqrtQ2oaO
3Vzr46A9L3TsWkZOO/URGeYffAyquNK29S3onGmfu6y/ykvKj73BxQVr7fFPqdPmrwCfaLOxqHNv
zfs1rbzmoFFONgIba2LmPqUv0jFDWSSjO8WGOH59Fs7a8vF1AIsFWyVdrvi7U6caXqFM1GWxTYzQ
ZxdN+adtxb63fvvl8PtrW+eeavedrVWogxJ00+Vtn8VtrXdVU0Rj14bU6TaWtGHGWfXrHEtIy6iG
LM5wXXvUigWrQFXCk69Xc84zIBhwgDowUS1+c47vdg6+WMq8TrO474GGtPMxGlh24po9gVGo3jB2
7ia9N7baupk5BrCnS/A2OK2OLMPTR2vKxy13t3zu9WPqAW2HwSp0/T7jNwpwXaLUAv1IXj0ZfRfW
IKiru3iCI2YB3xu02/+bbfQw44fGGODFq8CK22bh9DaD1o9PLlhPHua2fKAdlGQcf/e1KeuNFfrz
+jAcDsyas0xxr68WBVKpz7E+oGGqXUCgmhGW1NEXVqWCPUTR9KmCC9mJoamRpA6YjmoL178T5Wi+
4GVq45J5wT6zXH7qgnw+uJJ71yhuDTvRVxBmmWaxs4fJ/zFntt4bxexdVTUpf6BXgSoia83Qnszx
xDobzDZulqe3Vt41L9zpegkOAAwMhpWbynicUkVCU3TdZZPn1ovf9mDoJHUj4ykXUPUQvg7ntAvc
nSZOtRekhGL8KEHW1Iaq09aDB2XHpyaoOBoAge6faWo0/RNPuakBarSbIzRDeVIWwFeHUOgqTr3n
6+CxcUavi/Hp0dPvGhoyQG+POmDVr8BJxRSWflYd0Fl0nkuvpMbl3PdVeWt5Ys5/5SNp/FdlqAYD
Cp3L05AWRX85Oi25gnwFYMuNCq5MRFlXowkmzqzrzO+tBj+n3UHyGGwTRWJmVXZhy0q92D1ND/nQ
DAnLnfQe3y1VYZuK8TILVHnFc1LHmjXQiyp1e2fgmxyZMTsnAnqfAymLdkcqV12aM6Qo7aLMkxoK
WoB5kBpa0XNVxr7u73tTm8ecgQ0yAGPirdUghglNPmNs0bLraHYrL5rEYMiQ8tBkw6sOaigfoMPV
Ki+IikamJ9dq7cu5oXovUp7tejHlyQIs1LvS9rvjbAuZNF05nIRj5VFR+uLRG3szHkw9hcNQqqic
+uyusEbTSwyEIXPse2N2qTMSYLbDbwAoJfhtkyrcKuwHyY8kAJvjNDDzjlZDm1Bu1w9GquVNH5R2
bA6kD0nqCJAjWqALn2i/vL+l3uvR7SJPyiEqXK898NRtEjUH6WWQul5E3SyIJj8ti2hKmf1tqkyo
UYiygwH0xqVVFLeBGIYoHQ0ec9sB7Roxhouq9mpMTYlCAoZkTdOpstrsuuRzb4JrO2jd0M8r75bW
Vnk0qyBLyirL9qltpr9SF/wpodk4YPmQU3cR5JkVswqaOYjowHJnjjKWk2nvUm36hznrysuml9ae
DoMT+lPAY8OBJBLL3OBCGq67m3SvQDHboqhuNKo+KYOSK2Y74E1hgRW2vgRlXZF7ycT68qSBGEsw
cVntKogQJGQwi0gGtvfsOOUPh2tILvXNsBeOjU6N8q1HB/NNkZ02AH/xgT/bXd81cSZN1Yc5uGj2
c6PKxAAF6T11VPY39wYJxoOWAXpXqZ1ZaaBy6qkOu6IbLifV96cCKnIPBVS7Dv6cQXqsuxK6nr5j
fWbMKK3vrNa1rxXKlA9p74ifUtnjE7Xr9tkuh3lXSpXfZnQyjqPtyzws7WA8cp6DqAXAFbCOtx3o
ARvB7pDcVi+BJ9XVSIbyZIvBrEPX0d3P0TLoregkQaaTGk8dl2PU20YAFuKW16/wj0Ei1WDEdiXJ
NcuMYI5nKxt3YI9AxWnKighE0Gw3VVkBFbAs3am24gftBsNvd8JcHYa/UC0yTAvzuaz0o8k1iocJ
sdPvoc9KEWaGrxrwJLTDY2p7/aNp5bhW1BzFrq3I+HvK1fzQ6Ub0iTPQ/DpPS+R0ttvxH7Q3zC5s
LGOsw8KtxymegwFyBrPNH4iZtVeAr/aRcrg8DmB2AfoW8fTcOxIKb1oe874WF1yk5T2gLjLKOzrd
o4KrrqnVZXtFrfm5Yqna5VOR3XOrzu5YU4l7v9Z69/ZfKFRhPCWVekdzgeETePPvCkD8e3BF5ydT
tvgB6dMbbuK/fA+Rj9lIf28o/N/gp0nMG+3v2eRiTFUP0GeqISQI16IfW6enT17Z6d1MwGvdppmM
334fDypvJ9N60iH8X/6M0MBlEfPNcUemyk+sIINgWNOJGwNjxK+FN/PjmE3ejtd5/11gIvcHJEmM
vT+n6cXE8iLp4OsOqE97PByNprydO7e+LmfLfEDDw7BC7mWg1XSJsfc4OdCcWNfwH+QUgOYecsKq
mU9M+b6M3EYP8UzJeAN01pTUpO6+M1Hynwizs/vOgxMP84WcI3RHo/9bGZ11m89eFQZ9ADJAFOMx
Ve0b/jeW19OdI2aPX84iKBMNdElUZj29FEXK5TKmYRxZjXczbA2/jkpXYU7N7lOSFAjZ7ptxNC4H
vLqR387mrW9mxjN+XR/7hgl5Ollnc5xD9KAJg7x0s8irZsjd5MwOWza2JRIvyKCEvA7owQ94jb4z
41ezIPQeTPhUQhRu9O/q1gASyczFcAmhqfbaBcfVjQjs8UGlU/napqq5aWhrRw63DRIGlSqeLFGN
d1XdAXNIOhPOmc3jvcZ8yKNBsv7vONIKExusTh8MvCZd1Ay2fGhBJpd0nqQPkz03380+/90AVZik
BkB3wMD1hzZ3+N/G0sGfrG68JvQGt7rHN1E7bomuCtnskEfmqeKZGB5/aHlmJW1d1OAqMTsoSaIf
EJvF6B4tq+IidKQFhR3RZbclqYZTXtbN4zCoqg1L/Loizt1OXLWlnb46zuT8RYxMEdng0YvAFFpn
kRwHPLJjlp5GfJmTsIoyIbltfJ+IASbwEVwwIVo9U9KYQQd3TViPF8k0oc+AdIpNLb+bZNrGaF1P
LwM2bj9qPczhPGciLLLWv/ZrxCShleXZEaOhDISH3pBdITiub3OjMmMlWvPS6ZXIwMQi6UVDgqs2
Gy6zlt7Z2Q5SG96DVczZbd0peUUykuF41eIwWy50l8XRl5b5NIMNswhYlJG+uK5RZdrZzK0TsIEO
WeixLtiRcuehNNSMEUix0SGr4BcaYjdhGqB+FNbCUN9UqfwE5JPdEd9CxtrVxslM3fykbUVeKMnN
g1JTetPmVXDJ29S/pkD9XjB8vkSP+GlnIPYJQVKiQwdilTWCMKfZdzPjTTj6Q3+FQWlMgWbw92gM
YKI4c8RuRh/rzoSPSvDP/ITanbxoc58+DTM0jOmEXy6JbdxgbIjOEMFEyAiZE3k3BX0Jh9A2L1Ym
NN4T5f0mZdUnaWOT6xKB6CMaus5dWYk+LtyiPVhcsguT9AP6S2lQxEPuiRs55fk9yIVAYcoLmfhm
EVxzWwsIS7nztEPynfOIDXDRYTt6+Un5jbhngxgfaTvJCz1LP+H25H1riSpiCsqWG90DChi+rcHv
sZHtVOYMrPWtuG8hp/KE3iy7Hsy+ucXArqJhPfPyKJSyj35fBTdvS6YZIXHbtlXSzOVvp2rYldGl
867xhRGbCr8VOcg0I9mp4eU5/K4qHLGHlInYM1DKLOVeeUEzf0Z0Xgh4BsbxLzVvsRDtlssfHeSn
/zwSdj/ix1TsDZ9kd6XZ2UfeeRPIvnQ5JiWa/QfaTPpgpk191ZW9d0S85sYNU6hPDlnzmzFgokN0
SLJTOxHU7KeayDxpwH71jdV1nYhiyhJmDfyWe4tYVAOemdowilgZI0t029HYtFh6SHFttCGbhHSW
vKJphnDLZ+Z9b1j+KR81dgFv8C63RhzNofQOHR2qF2V15MGeZB8xWdBfkqcYNOKDPOBd9Xa103b3
pWd5l71qxgMSHP4HlBLlg11kVeJo2T7hPS72fjZ2F1wbjhvJmVkHoXp+7/cNXr2+TBvsEE6mrlqo
8/W4GVxA4SJimZrLhKdz8VMXKfZW1ZZxmonZPTse4lNzqP09YoP6QdUZVOGW7zPYGDgOqZ7HX6pj
qNFR3soL5eA4UcfQjxrlvViNM4kp6Am/VyUyrD5Ifbq48MKEnxiZPLqtbvZVV1Z76N+oXQ2vFJe9
rFAf43OYNoW7c40/jfqN01IilFRw1yMhDD/K2V1ORDUhAaNzjYy2xx8+MiJuuzwbntMeB7+Gutm1
gGT2HqejukBDhv0pm0oC2tvY6pU1gX+f4W30IiLEuG/GwL1z68I6jVYv69g2oUceaS/jd7M71le0
Zt5Tb8hehoVnsSsZZOWrnaOnH5Gsy+9ce6jm0LYNAzUkRdgRvLueHbqugUxTFLUZt3ZlP7q5GVxQ
ZdFrR7jzzYiK2w9g8cDd5uogq0NLGYgpGm34vzzeMBBeWRgDzc3cj0HRMuxIa7Z0ZwQBv+w7RX/r
IWNd4uWVqBNU0ZzfoCQKwE+UBQk3xfirrb1AJXzM2W8264AjYEcZF8zDvA8iSlL7xfSVUR/MtgnG
0PL09EokKqRH0ysnTMODnvPRR8IA4kfW4orMxhL1O+j93shsRrTlDzhEExf8uqi77gUnbfwFlQEN
OIrnDSw0SwRXdMkB9sqYjJPqgqY9mYKBP5cqVVeRP0nbAfBHpTeQOuz7iHp96x6MwlaQgjVLKCW1
1QzIjo1w3hlTVE9bzyvZ0aprxLk9DTgSbavyEd4OOodmU60sFoJFY7obqAnp2HLIvjnZWPFEmmnV
7oqxnjzM29fgXqZOjr9BlSMCRKcNLhWDk4xbrWR9w4hV4e9rsQLfkdjBPtBqp+mE04/F4Mz5M5/y
PdxnWkZt305WqBCjkZBDT7YLtUP0ozKkuK+sKkDRguRw71XgDGDwp1kOWo9JYFN9L8vuOLSERcwM
ioC0grffUduu2lPLhxGTPUal/7hV2bxiOICR2CeIg1PqTKBlLXxvugbsoZXhXEi6VM4lqQ+61oV/
409V8ZP6dfbNn2uog8JzTmXCCp/3MV5h3zgMGvIWYDNmbXDhVpRUl3ZNUrzbGbkZQFV9TGlGNUS4
UtONiynFPFMGNggddV2TLkRbUwr5CM6CXWOWwEFT3mQdToTfqDit3rQyTF8vv8BC+lKX+FeJqSEM
tHMYyNYTo531LQGv2oDp8iD/KzWz67BF1+wxAKcTdOKm0bv1NJsUop2c9xG35uGbAtdqemQdx/5N
YBRnqD6aPj6zAYY2+FMP4TMW/KsoMO+y72jv+wedVhO70hzqZjsd4IfMbXCEUVJkF+0M6YyDCkQO
XVwk86BWmiatD2VJDMSqFWe/wXSWiktEcfjYNkoGYa9z+0ln0LPAUXbsF11YODs8K7oj4W9/qcLN
Piph5l3SViaOhDEqce9Uc++HuZjniwFvMokNk1T2fu4bQeOagpktJsVgXdRIdJ8XaLafzKh/zHuV
pw4momyOc5+jTYct05QeM9R9TpMHKGromWO5k3Omn+3C7V1kgW12b4yOuJQo6pMdMwR58cdxaGIK
935t0cZtj6kkmLhrVeAViVzOKwh50iDBIcNTUAb+9SDRIUXk5eNkzNBGtaJhRE0gxGSyWYZFNeB5
6Kn+43BmQ5955O3JsA37BT5ncQcmTh6jE557z0rnMhysMb0BUqb5PmRwMAYUAknYyHqcD0Chcjcu
a1AMhQVomZ8Yg4QZ9brhde4HiBZ6ysQ9IWzUf1TtumDlTlMjBvfK/1F3JttxI1mafpU8sUcUZhjO
qcwFfHbSOQ+iNjiUxDDMk2F+m36WfrH+wIislCi22Fm16tgxKKc5DDbe+/3/5YgyF3ygNKzhZfHy
mDepbKNrm6/+OTe98MZ3u2miLlitd4uoOD/P9B6re9DEKEhiPXGDysLRrXaN8uiElv+UcFo9GYKp
uZrzub1zJy3ZTK7qPnWWVTxy9ZG7lmBrsgpxbbODXjW4mFro8oKhC/3b1FwwID/NNHYtQiNnXjRk
h77Dn6Jr2vFWRV6ydTsxcYay/Zo6zJjQrpEo9hdx6VjXVThxPRBURe2DbE7ro2eF8qUZIKn02ErO
2tlzv/W2Fw/r2Gu7m7qInevaticW4yH6CtUxvHhmU6+F4Rh7NbLeJWUpowAms3isBXuvZoRWs45z
Y74Q3TA+0P3ioLwe2TUqkaCZvGplsImcE0zxGES6OJWjle1ez9AzoqsVsTau4yNkAAe8gZACV29y
UBwTCt3dOYn0D9VUdddR4tcXFIumPnpVttqmDsPyIJPBfaBcjNgA4WHklAq5HxA5nOdTNn/iuMbE
KcPxMk2zZmVnDtkZq9VqrLR6JoLe4VRQi/oAzlZjykSYPm8aFbRtKQ6e2eZnfTg6RCGmctcmU7Wv
Z0PbVE0T7fy+L05j05XUNhXdUXpteShaSRxkqLHyXoQp5mS2563I0qNrN8XOUbm2BTIx14Ruxddl
6SbeJfRjmvvUFJW+PFNuyKpAX9/30syOkV2HB3NwXFKLnbUeo2zeuIyXtRzGaFePnhMkRIxWrTKi
WwNL0H2c+IRbGr0/JDPWj62d/UFe77nwreZQ9UXNJIkZ8bYebaLcdNaiLIpVMYX11ai06FpMubui
9naBg04FDiZCl68j0I3VlXwgTWxtlZ2md3k0hGfU9enO0gpgwBEp5d+YNygLyCqjLaCGj97zVZRl
tMmGAHS8IsxmrvpsGK6qVrsv/bLYNb7ZHjo/qTeOybU/WS5dad5xMeNst50InyGmoryqYpR4slef
G2xCwR2FT82QSGS7ZInVEHobXmYPK7Yg9TV1UG3jn2fF2D65k6z1QDctb5daVomhg+ftvEgNB/YV
61qv3Hk95co9+O38LdaM7Djpmb0xmdqXruIK4+qkH82iFPvRLVtehZbtMipwcZgIDaVWVVmJIItd
/dDUuf4S+2VCVYFKDV8GXSs29ZQll63eyVUJ/fCp17SUwoalUVy0BrWtOtf6kiUcPgxJzdY0juJz
ZfTWw9A0+VnjFzCcra0eZW/mawqouTdD54RfJk0bN4mXY7KRmfm4d8jAB7Ia0RFGMjqnxpp11pVD
8W1yFlyUBMBJcxyKTlsUqxgJmlyYiVmcEVIKT1Faq+exFuPJGt3ukhcj9o5UyRW1l15AJLuj57TN
jgvZtC/alDrSWRitMuHwhWx9Ost8A61yXDSXcbYEbs15wAayaTUqI/cs7CXlZR5V7bgPdh3pG28o
uPM2Hl4Eee3E0SoKfXGMe2K2rqQIV1vpT8RanH3XW/Z2nG1nNzWOey1qcwqYwcYqTqZs29eS6Hdu
Zes2ItptY8d+mr3ZO4PVr1ZxyKmiYVsLpBjNo9FZ1AExFvXh2EX7vPX7XW8n6UbIvj3nXNQf9dkg
HhuPTHeWItTBjarXWEzhXmPO05mdV9MGqHn6qlmG/rVprekPrRrHLRdBkpZWalYcY1oC0pwy5VUW
Ns5Wlok8MEKTz1WiFWfYwjarZMqzOojMLFtPvYjXta6hMDXSeIflRf81ttWTMRNFB88OV32bl4dp
1tQNJGixz+noMuj0rvfXTTHY1GI3maVZO8mj1kXNNgET2vhhY+9zMl03ZZt+qCEw3svXou/CxQhb
i5+rIJPCajnx5tG6ppY5JdQvppfxrNmDFC714e29+SW+/Qi7e79NbykCAa1O9vHHtDdZngnOt4ZM
qKrrTkI+E37c1g2b5Qc5x/cS7MSUAWExAEX89SbBnmTl0OuKAZodkiuKhuf1KsahfmrXDkWe8Zxo
gmiEbp72GrUTP3J/exfR+b75N4njdqjR6lklOXcU6xbF0yljGzSHGDzqjpKUZ8UlYqfz5NmDYC9v
x52GldPIhXg97sb79Lb78lF9q/cy2d99oVce8vu0OYJeP5roj6ZfNk2ihunNB13+Xmb++ybepJQ9
vekSNpqly22ihcWW45k6pTsKYnwV6xaIvb1R9Z6I54e2hUt3vs2ff9+0+eO46ovRlfXythN7M151
e4JEx/CY3aKYhUiTL/qtG9ifZgxN1iwp249e90dP/gbIKiJda4aW5jmBrZ24ClK2Q8v7lM75B2n7
dyfQv4b1W3Oo1LRH24zp4yUPp6dyLf0cSOXrr1/lR60sv/9usEymmSIJWFpZiKv0Sxo/p/gz/s8a
ecME6AQRsyZmiowWWWUP1KtpTk3hfKDh/uhZloXiu2eh0KbK7Jlm5rY4DSV373ibVc321w/z0fR6
s9z4mWyHzqcVlwQzFUUJY/x33glyPEp2A12Zb6U+FaGwPiUMTeVczhtWUI2Hznj+9VP8bHoB1kVN
+n828naVkF1jlVSoi9ZWkB3MP6qtddZcyk24np6IJd7hnbyezuYTEZEvH1VZencOoTeEKcV0DK3p
j+8p54IY6h1Nl1YZ+Fj32Rw9ZVevXSLSv37Md5taKtYZaNuX0pY/NlUKK3HCgoA9WZ9N3edbX3Aw
bEfrSZf5w6/berdL/cXAgGvLom19szZ0Rugk80hj7RqxWdcE9dmyJ7SHaksMrN+Lu4qVkfKsw21Z
BMOHxdTeG5nft7/8/rvx73FcTjqyqGs/vM/yl+ojo5ufdSeMme8beNObTuJXrt7SwOJEVGzDh2LL
ncQ9sv7vYG/sjbutdkOySmD6D+OuPYmbj3jnn9Vob77D8sa/e0g96oDdO75DdmCv97ZLIeR6jebF
oWi7/6Fk4b0B9P0jv1lT7LLySFHRnJGkZ/ZsXjSVTrQ0P5oy+2CsLr33ZmdDo+hhtANpSempNweJ
KqLQj94AQ0tzDpKx2zZ1FHCN3f96mH7QjP/mYGbXM+XaTZrxqmQVFehqojkw5EfU2UfNvDkixHOu
Yr+nmTjUMZD0N55VcHGS218/zTtj/vtO898cB1KQmMjMacaMbr0G7w767dctvPsgLg72eAvglOm8
GQF+Lh1niGq5VkkTaEm51tyLSUWr/1krb9ZEE7vJxKtohZvmSsf6h3zkConJv78TYyTwr4d5M8as
qtEzy6vorvqlyQoiqhdTaXzwLO++k3818pMVm5nFicNdb53V66b75sEo/Xc6y3NcSp0gR3hLxYdD
HM6Dk0nEX5UMrMi4jUvcbUfv35aquxbOYahebYPiI4DcPy42nZuN6VCTdTVtDUHdeC1r96ON+N3e
ggXFdQYP4J8cWHPVdbHjtAT2jtG3xflb3fsXal08R3t1u5SSMw6/7r2frW6Wp/quxTdzZq4sozds
WoypGJ2vP7vPUJaH+NDna3vrHzG7uf/o2P7uQyLq8XEIfkeKLWHwIshW4nxevsqL846iqr9+qvda
oPewHUYX+bNKOSesP5kDkcS6PZc5tpx9/uew/o8fqkOqf/wnP38tq4lcYtS++fEfp/hrU6ryj/Y/
l4/91z/78UP/uKxeitu2eXlpT8/V23/5wwf5+3+1v35un3/4YVO0cTtddy/NdPOiuqx9bUS+lMu/
/H/95d9eXv/K3VS9/P235295DJdFGC3+2v72168O3/7+G+qBxYjjP75v4a9fXzznfPKu/PrMHyrU
O596eVbt33/TbOd3bOkQblFGlVs4+sjf/ja8vP7K0X9nAr2WIqWumGAY/Pa3omzaiI85v0PF47VJ
eTcqoqKXYEVSJXkYfmdYv5NV1pf/wL8xsHZ+++c3vPpz4/zz9dAnf/38Q21PTOB/3GH5ToLt1dLx
iKGSC1/ox+ksuX54WSVTYDUy1qVFdZV1MymisQAaECV5L1INk1VN3i+OyZdmp4wrvry19Ryt3jUG
QpxmKMWu8OP63h666SL3kKwFrla7Z3rl4Ds7E4ZbGf6c7pE+549VOFoPflR4D240u39Mve3eGaKw
rjBgKc9qafj3ph33W88Ph3PXrUrBOcrtN1XoWA+YyndPdRcWt/Sr/eg5dX/N8UtsoSPlEyQAQQbl
zz1pemlfRN1Uf0kdEcKyuj1ZJmqUNp7EzqFJta2VLLmDvOmJwnr6BdUKowPYo3ETlqKl3EDhGdua
C+eq4Sp73tSFSAMrz9M1OW3gsSkU226Q8tosSw+Rc+JssyEPd22P6wCn72Y7d1R4j2LTguXsxzOv
xrBC723jBuvWepOrftqNI7QY4cvkKe+ncDoMHsmCMvWo6UdkMIitmGBb2JWbDMZplfRwe1u3Uma3
LVpegw4tJoCHpV7oRE+txj+YmPCcsROQItIC2ASMheFk815Vj10ZVmcqSvPLPiS4WwD37KURa+vc
NVCzaAnUiGhIhDha5MFwpJXHUYisH3leO3pkjGY35LwTmy5W1pXsR+MiM2Zi+qFXN4+sINgKkfD2
7IDqzdWLVjr9zhiAkPte1pt2doqrElcxsH5V21QMmpku8N/nr7DQEMPU2GqeKF7VdPYUYPVi70cg
9TtjKLqtXxXylLZ6elWXPptPVoTJ0TTBp2w3nR66zISmy2uDeNZUtMWZblTkHjtHrPpicOJDNifm
uJtts9jFYWecwlaoEygMF5OBYhDop8G9NlUXV/cqA3tUyQh4OVvRIwOKpD8OVPWtLk3ScEtvkyKA
GyFvvtNx69iIpIyuSdD75wPBkKOOifWFCP15XPCZaoHmwI3IlK3Vkg9IXZmcDW2dYtLuzVDhjP37
lJzsqqz0sdyGiw/DJvbtqlqLqUm6AEvEFtYB8qlrrRyVcDWHp8qwUsaH6KkL4wwzRUkHMwH7MnuY
LtLn90nRkNRpDAqJKgSkIVnzXWmNYm+ofr5Merc+dOlUHMLcnsiPD93GHvqMGD8gl7smqgw1AfFx
K/QakMyvudu7rWF0Gx13nBHeQELgjkmZ7gpI54NQZanWGNuRF6ca55nnju3eko5OUn1WWr5Ls9JP
/mSv0mGy7w190Hgx8HyrNrKbp3aIuCx5Kp1BBkkgBF055o+qVTABY0dnDjhzP9rtawaWp1+X6I/p
wyHV93bLW0mnxp8u7DIH5LG7uvdXhkWia18kaX4PpOM4TymFCQ0mRD2mK9GN6rHXzfCpGV3zM0Ur
6mcVtnGzCzUv/wQf5r0gEzfyYMYszN54YS/vlIr1xyJ3mMOI2ka57xIzGc4j4Hfs6fXJDwPPtKtH
x02GgyIJ7WwESKt/bErI3wU5zGBMugowfE6jawRX8qqvEm9jKxVeRqOYxXZSk6i2dTGnL1MRU1TO
0xIdy0+SyDaqscGK11krjHNZauau1pLoVKaNfXQNp7/P7KHapE5EgJn04MgdA+DxjuGsb3QLmxmg
ktz7/CdIZmtgGUnmuB603EyJzT9pDbJU/vmfMArJGga/QyKpDjy/ia+VBhqSdpKciCin6LpMfF6U
KhkhOMuIC6AwqLuFKAQwJs09hKM4ydkWJ8PWjMuo6tx9mZi8tjT1v6VFwfpVxj15agRoi94B+NiW
oFNKLwCxFibPztVryl3PKRQeSwN8T7n8rqmZh2omr0bxwghqZSIxHKiKSTn0SpyISWQ7XV9YlNdZ
OeQ+RB2Ay52Y8+6SKaE+p15MsrAulhFmUYgo9XT7fkit8JJa3vAhTEp4MShUcRrEEF4OMwvjSnlQ
2XboDS/CFECVGc/IsVV+E+7SmoxzfT9EHZ9ZWMpUs8jF1xCRg2CkDgD6Rzsm75/WldiVriLlz1sH
MK0KXl0LP6lUDqsmUyajHmvfdGnZ69CDhaUkLPQFKw6uhDCCC1IpGrhOkS1gIuJw/3xekEIc/H0s
n8ksDrHBCzDTEf6Gf53mgIilq+HuH/EXVBJrsGy2AXIU5QgfaoDDcmK9173RP2c28GVi/uArhCgH
qgKoHCcsZATjl1SjcPba7pmJqccA0GcLsIN0Y/PJZn8M0n4YAyF4SFmy9r1+enAX1lExIc5LI/ED
SmiKHZhpdP2aYH+l3F/TpLZd6XsC68P2FdQrJUNoyBsQJaXzRSWOP4GnIDLAxdkvE5A8lbmMpmGB
TTM/doPecaiVZGct+WzGEbMOgM+tWa7b1L9Y9udbDuLF8c+Hdqflb8M4qG3vxssyWFQuZnZp4/IJ
xwaCLuHbyAeykgR2hMpJOjbLdWmAkP55gsrhulSkeBWvEKYk73U2JGp5Ys1neEmqOwFt2gvIWugO
GpnJGSSiGM3eua1obwphQUKS/L0dh067ha8iczl4EFTZZFykXIrvYIDday2vrUuFg+FFHgJbZpm0
jaBKaomGQRD+KdGc+kPhnHVR0e67dCgPbZrUe9dIbZisqnks3Ci7Bpwq1rajmlXUF1OOEKwqQErC
/rlJ0gdpVv6BypblafYBvmcYwx1T2dh74WBuQJ7lyqkKiq+NObUgYYIO3ZC4Z41t+ddqtuGyqiL+
w9FSew3sZGDemIPlTsCtino9G2sRhsCytV80So2sWg0RU2qW0co1qJI4GbPYVCS117A2BqYfqnXW
NgKxbdOqdI1JiDgHma+3dV/W26GT5jdzRPbEOc5fp1onj3E+xBvSkvZK77LhIWPTO/n94N9obIQd
uXzEk3UTjS+VH1NRRJPi3qnn/FLBCHwRczN/ohpxfW7YeawHU66rs6xrmr1XpSIPhsjwrgFwzCoo
ikK/BgtHyhDCX911GvGkoGG5+Cb0SbCyqfQPg79vbJyGbdCoGJa+jdtb0EfJ2K8NDIK9AKzEjVCI
ec6yREhrYzsNBwDpVNG3fGrNS1EM+RebgUWQWHkEqejx+iYDT6N+DRvE5zmMu/7gTNJ7LkOnytAc
2Pm9XxiyWSEMCB/crG6b1dT1ZDoB18ZsXaHPqLZt2aOAz+e6uJexrglQCT28UmXWHJzQdBdFQ+mU
awd9PaO38xZSb7Tte731gf5g1WDROI6a80bOI3cISWUFPOB7lb9oUZ1csI7NwIGVY8ntAOivXbwu
3sNgs6QXlc8RlYoO7lU+z+qJEy1Lkl76hdjLOkbWIl4RwiwW1l7XC3Csqki6Yt0bRr8px0mcko67
UhAVYduty1SZF6nsQaPK0INCE4WWEAddVDJY4kPDSYNs+EZvZgV84cB4AVtGJUkSRGvstLKCbAo9
AIeCzYKkQ5rqi41RjykolEy+S/qRTDwGCNWpw0vlCr437YPU8uRlqrr0qpO+d2NC852MDp53E7kW
LO885f4J/VokgsVfmENyXmfJEScRtY+MfN4qR6K2nmetXE2eHOOtEHXCzuAOtNZ6CyMzDLmAi8sd
3rjV69oFdq5efcxUavf041DnIA2WeoozI3/pYMnaVU9kKN81AlFPELpOuos5sj8C9Bj+OvP0tgh6
jC4u7VKbN4V005fesdpvCu+KQ2a3AwCaRSWeXTdUkP9ZY8SHvCVWsnewLDxUdRXhdlTpyQk8q/hk
KYlEzozNZoM2Aj1cLk0YmNSDLnAT07ZP1VDUDSIdEcVc6bJJW7McIHmQtZXZK6E35PVUkTTDxpOm
9sWA6AAdrvwZOgLfvHQFt6p7QdWqcD7mcvQBIQZAyRUHaeKqpZ6obJURJ5NfWETZ7wehZ9PFbNh2
+SSAjzOszZRU19TVRmpgh33enUp2HW1j1FN6Rq0OLw4A0213Y4OifPXLwXgabG86gddQYGC0zJI7
IcRetBPtMN9yoVX9Jva6Th0SreGhmylD0TF2RoLD3uBJTGRlo0kEoilMBkOgyQ51WfbDdZwDx2yk
GZXxXp+jsdzDFtnxdrRDd1wlOkfhVSJV3G2GOPOyVdXOi1DXHxWnMRQg8aqtpX4OABXlKDSqibU7
6dA21UnUHFxDMLG0sNB2kWrmdp1C+RcX0zj3KpiHRR3bZJF91tee+zlW2LGIss1QJ/tj9pJ7UfyQ
can8POO8w110dPqzfOjsr73vYyLbOd4MAI6G0Vq3GuIHKhPl43hA1EBzkR5D3+ZD+0KZO+zxhyor
zirWvXAt+rR47MfMQ2lj6fGakdWfc6k1dllhN4faxErhMLSdvqn6sHyR41y567BBL7utkjx7lHki
EirzwHsGE5c4lBpRV4jAGtp2N3JLfXK7ub/oW2dMtrryoHvteHpI4o71b1ZASiFWOAkmH7KPVmEG
Gx6UfTEP51LUDqdU5s5qhr1JdnlVLEBjNRHo9hPHuzTLyYxBPcfxyqWM6w1CGu0LJTqr+yYLjRg5
oSGvGyxurjU0zzfE3uMXZoD7Jakq31upKBtXXiPgcgthpveT7vaf4IK7l3ngiGUJ3zyNqpMJEhgO
I7ibmHMXhFPvXXJx9T1E1D2G/+DaZ7Fhyguc0KCZ/ZxiOAb1DKcAQs/9PM7xcEuVXv3Gm5R4UnPP
kuc5/TEkFHmdspxQ49ax1pNsxD6B8btvnB6UvbJG69AajX85pr2VrVJCM5eN0oZPdWWbm8HTbKyb
jDL57NV1tktje7r1Yi1+apLRXnOzd5BdI+ugfqVGZWgT+nbo22PtK33tG9CfeRKy5iQZZgISNCvg
MGOtOn9+MquhC6qGnTsw4iY6oo0YV6HhlOdplacbV6A4IirQlnvPFP1ZZJbji13a83XYyXpr8ibQ
HjeKolF6JbZzWjZbO7TGfSPD9satqnadTU6zgdr3r7M2857GXMaPRh5WR5E7ydoJh/5SVDGXJReP
hSBboOe2GU5MleTaRDm9r0ZI1Qjq9dIbDegqP3fWTucku0xv1TMFYOtj6I/JAad/yiQ4CD6KKI3O
i8yIVoPWxjvTbH2OgoVx5BSuzkffQsDVVLNzzhbiHuNJJLdmBHLdj02M/Ao83i/DMPA9zbvR3Uy7
HSSK1FJU7sHNmVLKsLhQGyiDzaekJchbNtw1BoJnF9U8zEfiZ90xpBo1dHwdnnSuvZfsWe5VxCr/
0C/XZ3aNYcuCyck9RwxKNB4i+VU1SuExUP1+tj9Z3tRu60i5MK2IANgT/eqa6egj0GZUaJpHLXK3
N9Ym+jv4vyRZGXneHoaostFF+vOVAXh/VFSLOyEXoFhiXSZHkEC5lyIuL0PDwg1AORFVng0rSu5E
GaLvlJPDVU7v2pWbD1C7RZRty0hm+3FoXRWYTWx9CR0HsVXP5bsfwvlMSzX7zIoL8zQNutqbosz3
HKyohq7HcXHrFyV6+gz1jVfsxgFdGFLlLq2GgF2n3obcU5EbxcWmSPP0HBVgfWc1LZYMljMPd8Zi
IBLOCkpeaK78ZFdS20QjCr+0UFRnmjPNOVlFku2LZqYssZTTqayG8I41t1gLp+QOoSNIvdbb2T/3
nJxYSmja5RAs/o1oGMfCwYhxjL8KL/YvikUyVNRuZm3ztEkxImom2w1kZrsIpmPvxou4bdqsW0c3
NOOTUI7QzggELReWqTAeO9Fagd0kxaI79TlEaPGZVS013ZbbUgJyjWHglDwXtgl8WszcaKxmINhl
Ec21Te1hjhriXyLl+o13PZJEgkpcguKz1+AAm/j4RbDBQeJoiEIawLZrVVb8mSZRfLO559pslzrh
Gi2HP30N7+kpUsUS6fo+RYHFTWoJkxXjyGWTneeA1Dy8wTtL3jjcVc7TuHM/O2UR35mEXz6LSYpN
jeoNY2Fbu6PuEEHihrArcbVkZzoRFGmKBM+rxoJqWUMdsdMVzVHq3nCqvAjhpKZRHcat6nPuhepO
eWKHX1e2yq2hPJdDZZ+mbJy+NHaGxA+q6nMBvbl2yPF/HstU26WFmC/G0WShtUXnr12iCneycuav
7uAzxKs84sImxq8prMcRurgILJ8wrsKmiNI3LHfPQMrjXcpB+zaNGAccdAh6Ejfcc5ttD72Z0GtN
aqJLEolZ3yqqg57/qS/QMFVHasnNt6kJOdhi4Ogcd6W3x8q+QRY5RvZfDnT/VoLn/7fUDXZsSwb/
/566uXpu/vf/+j5t89cn/pm2cX/HpcXVfcf0yJsJnzz9P9M24nex/G+K0eskP0nQ/Ffaxvx9sYw0
l2yPbpMKcUmM/jNr4/8uKL6AvztXUoqHgNz8G0mbH5PveFrhcIpZvNBxbCf17i5Zv+9oD4NoaTOV
XhksQT1P61k5EDcSGfQ+fdcp72SHlkzuv+CL14ZcTBtphdYc622pExPxnB8SMQoqIbDnzYtrbM8u
sa9ptqpNsawxPjCnXnJNbxrEoxXw3qIXOYksT/7dk+UEYWSPk0YwlyRmGtf7lnXjudDlrVQVdt9Z
vqZS+PrXT/lOo4L1y7SoaQrK8LYiLIr2roKlLwP2ZFsGdW3De+V9heDbyw+lPnXbnCXxsukwzf91
0z++ScaIsFwPR6AFQ8ZP7O2bLKfM6XKNi2Exl590ivp585Py9Kd/uxXf0aljKZZc5E/lqkTX1LNC
XhLo1bdhRPuffbY094NU88+PQr7SMhj2FmQZgZcfXx0xAMdue0w/+tY7eMmpklPQzP2/x53QYUsr
tjApEOORUX2TpU9aAjgI28pgICY4+YRZbQ533getvEmJ/tUKZqVU9zIWGO/HZzEqbnnW4FLfyngg
8HzRNcOlN1zmHzGNy0T913BfXj9P46BUXayhcKJ6Q1IkYTTmVYi+urD8M2fylpN49sF7eTWi/KkR
3jrZCaYWTqI/PsyI5EihDiwDY1xOF5jz2JwAbHUqUTdy8W85XId2+k2Qu8CmQHmE66O7WSJS6LGo
+QCD+XmYOPD2uKbrnukxy98QUP5gxrglmmVQRDEDpEhmhPlAy7LIP5jWP3cuLRFEsbCXo1Db27y2
1oRmksm8Ckozns6lBo1dEof6YMV6rxWqVFKCDRNQqvEuQ+m7FSvmNmeGUUJoZ8b8iNvLp2gsHn49
f99rw3Jx8Sbfj8z11RP6uza01JH+xPER00SOkZV+LGx18+smflwDl5G4VLMSFqFndr6fXHrrMpVD
brDSW1JWB8TPyd5rR2PNlb15niLCMmmT9GFgWEX733hPFPrm2TA48uFvf+xBP43C0RiJJub55G16
X0PTr5R+9+sHfMuhLk9o6Lqls43pmEJabwZez4kUOy/m2lLINN7b6TopuCScOB1TPiDQt+Z5RP0Y
jOc7Cglspng7fPlI/vHzusJ3MFFoWebCGr19VOxKM6tEgR4M6az7a3I4sxGQNydwU2RxzS2Eg6T4
oH/febXU/mE3hTGxdCCUH/sXWqyVVc7CHGnG1zYSn+kgzIXqtT3hMsn6ExBd+WCWL3/zhzWHOC/X
cHMpQQ6Xp79pM/ZiNfsTbc7zt8giGvJBgcyfVhH+PqabjFScRC1sJH98JmVU6Ig8tuy+ztJzrIvI
+BhxvE2pUr399cB5pymWZo82aIrJ94YMRa2aj0bLXjA7aHDbKrzMu/wJu+4PXhPc5NtOw5N7sbV1
2AwWY9Hlm3w3zYcxccOkYQ4qB2+MTQgewV0FDRhXS34WHrr8x6L6lFtYwbTfQkpBjNhNUnUnqL01
yZPO9wNtnlZZeoktVqA15qrLsYM4ZkQ5SVkHlnbXoM6YCQPGObU/P0v8hUWCpQAhlDS76eYrUerb
hnSEji1ZKMhub5AQOtXBwnKgbNFo9ZdmgZaoM7aD2urxPh1D7lMg+eM2RBfZKOdcqHgj/XNN31r+
cy8cwiAN3gmYkozw8zLaTNEqnY8iVkFkECrNMWtw2wDfnjYIRXY+dEl9zKPxSfOKQGqfhX/IgGCM
MNl04rOEBmoAgOO53MvOeXTK+6HdetG+nNbcbQ2c54z6PG0PxDpEZwdZaBO4BzFPzBX6S/ziru3p
LhQnPbmPjH1ETn1yHoxu2Mj83u5RuxJXya+H8S7Tt0kkV5V5g9ngyvKOmJCshtrC4eXS1S9DzC88
8nHlHzYZx268bzR2mObYanLDlXrtReE68uVWhF/JMgSW+wfeI7N1Qfp3bsxt1KGTGYjeOru5+uog
1k3b57S7ccXGH4iapzW5y2jV6jVJyMfWr4+2X6znNL2s4zgwBPGG9NRjp9ERZBMbs1shfd7048wu
dExxjPGfCAgEvNrDWGCyqqjFQq4xMfeUjT922s7OtikZQpGc197KLbZReBGF6mIkXj6QmW9OxFz0
BOCpTNelvHd4+eGlMV8O+u1Qn2FGpftfMD7X051ZEoztu2OUliR8zszqWpJvhFYyypuRMqlufxX2
+Ni0WK0gBNCu7M4kBtAFtvZkztvZfzAbb6Wnt/HwPLob7f9wdh7LjSNb130iRMAlzBSORhTlKakm
CKmkgvdAwjz9t1j/5Hb1jb7R/6gH3S2QIJB58py9147f0UeQqVrN38n20own3Q3AD63Lbh6PVvGY
5KEoH/QikjVjgAxIWdZEQ/djSVHe5589XrNuxPqbMfpTDhJEW20fqn6/MTy33Zt6AMJVlmipzq15
sMvCT8VIT5qipLToi6yMFn6I6VyAIarTfebq3rK+b+53I5/y7KkscnQL9WHJQybmTvlDlIJpVHZ0
6J8JobygZwiVAtumcD1RLEdGkvvWCMsRlRRoEx7vqLWO0n1IO26BvNIlGs9aTX9jnqeU0z4DCjGa
Iuwx05SdDEbrvkBQIyvndmEwNUK1SGszIhibuTQ+SXrSQaN46uZ6zEv0eLnvJhlq/b7WeD9Txi7K
/1gV/9taha7UclWUpVcB4V/XKtNaHdyhJWckoc5wufR4wtAt08N1+Gmc46LftEs3Q8f+l6sxa6Sl
2ugmbU6HnBT/et12XJ1rXAtntZXRUzqzzXqpk7cXCdv7XybMXUsGhkS2fa2HfheRf1zM7Ic+bam7
JtsaJ978lEYOAQRjjv3b+l+50v9to+GUzWGbUAHQ3398tcEwMfE3DR1/4CJHvNHKvq0AflTxv00f
ZIZwFYEgeGTvxP9q/CF4F40YdVEyQh6Ts7rB9uz/ZfzT7yvofBWbcxo/l/lHAXB1QpKkQaXjdlog
81dj/aAC/LdVxvX3oUGDhenaUvmzW6BA2zGQqkGZy8BSvK+A0P75afv7Uw7A7Pr5rwdBwMR/lBnu
qveo4goYTEMjWU5Gx7NtCFR2F7R6FmW0/f/1V2LgxUEQP4IOWdz+owbA7EJIm6QGqLFSHraOZrdt
w2j75+/1t0fNYfZuwJPknw4Pg/HXB1vtAbhUdHY8p//MjU+t733xr0u06zVMKm3TZb5AvfvXayyo
LRiN4mVDXIwbcEbMaxwWSqh//iratW7/S6nJdTjWctM08k1RTf/1OskgTGukPeMNFqu/1A2dHQum
wt6gCj+gJs/287CgsWHGsCsqwH3eputp6k9T/r+OMn+v77k+x3luLfW2eZWP/2cF12BTwXxBhSXt
4lA700vqJJvXltZBH9uvf/7i/+U3ZAxNuch7rPJj/vEbMnPrmQHypKwdj2JZDkuwYXAOcltp9/98
qest/OMWU8YjFL6qw6/dqr9+rSQr7JGljw5COmGJsEA9zyrFzf/HVZj2aizr9OL+PKBpcuRNK64P
Jcu/l09z7Zts9/98kf9y13hDDSA0fBVd//ONNjZ3RgbKkgG9yMsKnTnCAkT285+v8l9uGP4Y2hwa
1fz12PXXGwb1Le/s61WADIclAuwcntC/vgRfgdsFLJ2UZPePS6xJbo56y0a4quJKnHNuLTXb/ctr
cMoyuVvsgIIu8J/bxJzrzHIXHjG2x32bOCN8TtCC//4i/8/1yvtLG+WPNdZYZaWpGefyCqHgKa2B
98B+cf5HOtjfVnJMw1cPBi8nniUo83/9Rfp0mBZb5XY5CCO2SQ9TxD66yYM8vykAdP75O/3tKeNq
FA4aLSGyYXhD/7iaOScxBKLr1bI7Yjf3vZUfUyf9H2/Mn7ZPdlnNvDp4fy8ANJCvz+F/nBg7Jm6D
UvJiLp0E5dQM06cpUGNCIuB+0oBthHkdZ6OWteJ1ec7tXviTFLmfaFv3/M9f+m+LnwtEhLWYPCSM
F8afjPtFsH/mBSWhSLTXtSeUt00w6YvKeC7QXv3zxf5sasB1pXdOp4LGBr+q8cdTo0BFy7nJ7C49
fZTVhdJjrGdpWYelGk5yRNplt//jGeKX+/13/2MppKNBHDQ4DZt/RRH65/qBRcwdBoPzayMdDkmz
nIyaYSwsnLBNy1bZ4eBGzU+dP49YC4pEbBcT4QEQ/Q4Evop8qx7aDKOGZiJ476Dk6ZzjUq2BbaPK
6jJZ8dKCGst7Hal7KxyyUtAJa6hJRbtMhK7DGeaJYhxCKEcGhVx/1NYuGZ7bzRqwPNSQCz5ziMVj
2DorbUNP1paz2V4lcBxc0l5ZBr9Z2xhKBM3f5K1EWI0pwjXa9paKp11ukzV3x51Wt0qeePmaWNkJ
kpkt782WWJpLlQvURE02xP1xQsDNwfQqQ0sgJCXH6bdGzf2tV3N/a9eMWSD7VEZVy9Gu5Mu9Gysr
UPmr5A1vOAaO30q4JhNo7K/ixMrLfovl9N/COUwA2628qul6RDKIuTezE6EJz/cgiaqBbKrjPR6g
jr127mZPTlAr7nJFgDk61Oetbpnxp65TBn2M0UYMfAbYhusgD4nCtuorIsacVCKkQn6pQhdD7Kem
qzetmnaszDIPbd1iGlzWJJT4IHbGIMUQAaA+iQESkzYDdBcwu5uZ/ZMzpbdXa6denJcOG007zshi
+hXkillmUbKmdZSUgng+hBWBkQn1PDjKFlQj1+UHTA9Tl3R7RUvELh4N8wTJFFeAopq5h0aAsUqK
mG5yiJJwyND0O77sTach0VM5bGELkNWtKBqCDjq4LgJadaAKOw31JMbIUxtNOBoxDpRRLb1CIWeh
sqj9FyYRoUm//K7pU+MwwRmMmtjZDhjw6svq2utOE4gRUTuWfrJ1w0Gj4LgjfLw/ri43ZB2a6r7V
pHLLSdDiOC60ME+hNnYilsG1wXuzqMXiVw2ND3t2111ZbNNta6S1b4i8AhuhJaEyC/3XsJr6U1an
4OIEcFTYzi7AUFf1hyYVV7cGZUFiKBGFe3vDL93q3jq5n4PbjcdBqsYVdVvsUOAUBOqMmi+MSb2p
SOuKtAa/ikxlg+EF6ZObT9sdFDErWOp09YGUby+u3gnSujbtaVlzIjCMsbypbGwaelZoXkzOBXcS
OVjatfbZVLAg8eMpx7ka1dsEglmApsOkpqgH8rc4wNspNPRS2aZdvlUS7lGu3idJ6Z7y1hyPZQ73
0OkAN4nEBHOa1pKIC1cNUYK5h8ER856H6pplkLi7YnPdm4mMlJMd95/mbMQ76SzVmVWSO9cPaego
UvdBS2+3cLDobeem9cjfqI85YQmPrmKqj1tlDntXVnOkszJ86pVhHzhR51FWzPmJYZS1k0hrkNzm
yllWnXssbc6Hm9UPZ8dJu4+qRcwu9HF9RGAynDccOYGSOvp+oOQJ6e4bt8paD36WWdkRv0EVxoY6
HLYWQf3Qro6ndJr2vk4VnSosV7ttWVuaJHjJPBf6GK+h3HZrUazvykQ3sUl660appixQFrUNZhLM
o7SpxaVdTO0BqJP4ju012WlbI49lO2eBXcoiTFaagIzhr5K4bjjlikx3kjXpUJL6cdDGRGGls1K6
ZLmxazStvZElVkaRFPZpdcwZuBWsyyzJ5ePQm+se9l/h9QhpwmJuM5+5d3UjOG8g20qWMOum9ovU
CMgLKvkAJJIjE77XqqL8cFMrBYvq5NpRbl1/YyYLg/TJLpwP/IAD3IREu+cn6m9ERsRkWznK56DX
4pC380bKRWPKYC7I1GzisX8HjEvkudmDTjZTkueozcqfS5ukv8QmVY3933DPzWCDYeadekVi7pAX
wjEoSrcB856AcOgtLU5nb02N5FVhrQUirkpQaFVlJjeK3aOrNTpQ7nuOqPZzZqTiMNSNVYfs4yww
WuL0z3BH8zOKwlc5uFM0w3LeKbpOh1TrzJ8o19AV8WDYJ4649duCX+pFs93h0kO8f9iWDbIaJ+CL
sk7Fe0rUgfAgPFtXonYpI9x0FYE1YrrMCNrqgG1+GwLDzGlfGp1jXhiTZC9jXb2nWbI+pWms3jRt
umun9GZr0HnBm8UtqvagHOzllkbICRWNDydr3zXWk5mrM09VEVEkHjBEfBSmGjmukgRrbN1WtRkY
U30qS+e8ldvgW8RJOMqwE5W+t5mioj+unEgb+2ekTSi4jGPs2FWoGVl3MxXlK0bPKLGdO6tEhZt2
juJl7RJuKkCZZLNCkiTqQ9rVNzLRKlqpi+NnrnNjkQ3gMcx2QqxvD1rePErRydpT8RTATxs+puVQ
66UWkGkGzYlHLpmRWcqDJZrXEjccjEPzuqeTCFFnJ3RJ0oe7Apm5j7rO2astbir9Ruo/tSuvFt2j
2DsmF1d6cUMjokAppUSNmyJtN/GcrIE6Vucknvdz3j9TJYTGavNpkqMWlw9IkR42QzwtZbKD6X+w
OeIqWRfBnd+75XpaZ4dUs8z4lpM4G+V8N8U5OGp9iXLrp6H2djCYHZRUAXJZX92ST5FQlQqlYdqQ
hmq9hTyt194EyR9qnvOBcKrmSK58RXEcpBLdB8KAylfS2gGROcCYa+u92ZE5qyvfCyEj8HOSAAQg
LVgoGB4W7m+8cAlZO/q7rk2/5AD9dExo1Gp7LKl3W8qyReXllSXBuooF0iLDQ6rV8q0vsIWoQnm1
avIK1rZ6zySdaK18al3s+lYjvNYGPJuina2+eUUgELN3Z4l5LBYYZ/hqGbvYr0g92MGL7nNoRoTc
c1DGcQEnNcNepjQnERMjoS1X8D7OBnkNzuh2ZZJ+QmsnY07xZkITvBFjLB0XdO6MDbGU2gaNcOwe
3rqN0GdbmvQYr/dxTxZPgZRFbfPTnLQQRvP1xCMZbibU8OmqJCz4kWf9dpzMg+kURBPQBcfB0Xhx
R8SUgiMWrSFbaIcL11idj85xw8mUN4ULvbLr4BJhFSuOW43OLs3ayJnFUyXdR1w7YItSER/cvlHu
XRd7V2z3JyKYTmKt/GamaDR0TDJdsLpfc89TqGa+Vmg/FESPns26j42ofVz08SfWVcY+yWz7wJHf
sCE+Ve2seukgwlWWESBmpKr1fOfm1o7cAwTtG7/WLO0vs5MvzUY8sTb8XGOqN1B/R3362RsS4V6R
7rbkZMa94emSMQS7VYISc/5V1++YLzZW7KcaS0lN9Fh1jXaanypbXQKtSXyZ0QpkOTnxHzyyKoNa
LNp70Jo/ptK5bLBdA/YvYyeyhecwU9/yQruTi408U/5K54qZZe5cgbriuXXan4vaEL2FMNin/3uT
EIVapSkae/CSlrtnwb4B9e53/ewlzWhEaa1fSrX9zruV3euMMpLcIBA841ttISMd7a84U841N5kk
kqOVm69Li5K9h1ut8wPYCjj57HZI1Hs7mb1JqW4z+izGXF4Te1ikJA9g6a9ZH6jbi6XNHq2nnTna
nqLcrOldx7dDHB7kFI0Mqfw2ZrCResLU/ETHZz5AE286Pvq5TOq71eAEKu+7qsZNXO4LJKBbt0TY
EPw5lYeZGWoyKHTraJhpLFlbF+pq+ewO5XFmkdOAuSKp9cpU9euhWb1l5IHsR6aV5oMKQ7i+1ubD
/Zx8SLUH5fuiU4305Pq4tXjsZHEcdbKTZ/WiLvlx090ov/qPLYKfjCU5TdmHyB+TmNeq26JJX26m
VtnbS7UvY7yNgryCzbx1zK8xQ3XGhK90yb4ycNQzleztCxxnYoyyJ0jozuaStTI/r6X10QElT8qr
7SrNoXxbe0lmAWxwziN4VGv9syVgKV/oRfYsLMlnzYkFkHqQVi9VPj5LbBVrUgJUt/dFJvy8KHzL
jXcwffjxNz9T9Q+67t5U3vDRACZzDlmPqn2h0L6t6zZa0w+q8UjQp14MrHoNwTgDZpCxCgEEepXZ
hbENiAqn+FIknkPNqE8JHrDqqFBylD32izIDWr15rMsvFEYHSQ+/n8lNd05XYKlWWP7owuqCEcos
y5vXAX5pE6hL6rf1J+kesMx/ZbpkNB1H2jzjbU92vTIddfVd1HW44nVtzD7KDNPDqKQYKK1tfn7J
MOwZ26knWQzbfqe726HhXETYw26yHVirrM40+Qdt2HUWqSfuep6aC+4SHE9xG6TpiXINV5bx1a1s
e2wrbdVxKzGR27thfdKnUzk/1SRfkPfjzpCQD/nSBQLAKzG2gH7ZdvDD5pSQTfKTJq9XxLEvtkeF
B1tVCr/X4rCwjlvenB2zjixgQTg6fyBQJEPI+GUyPuQ8lPqKBtJanwj1SPZjqT2LqsGH0nNqy4Fn
a5P8Mlk3EwL1VFlSPtCI0sY1qjrGrYu+4ckZcmr/mOHz3B5lYp8YVt3TRUg8LFi+3nz1/Xo3LLBw
8YLL+Ea3lHDJFF9vCUkwEAas+P3Ze835yY5v6PE7jAFnfb9cO3kz7gRTC2dS3fB5Ia6nyJxhg3IY
Zk333cbabTGHtUHge5kOZQsBFuOyxuxS39qTqn2M5uwVCTJlRQscptKEZlBW2Ptt/BjdgSGoe5hx
No0XIUrWx7u0WOm4BtTAkcZbBHb1NLgAPwn1okLtSLUBUf9QSCsw2ruxO0r1GYqurWWByUmvh4+b
fORJz7n4tW8OCr27bH6YKS+S+2V4qYvziA3BtDcMnD8RvHstBZWjhQnNPolnXxtnrxQX1HVetXiC
caxOIkNbIabmiJkhElhIYtXNapc2YzQkJuExfFerDaoV4nJF0FucBbpR8rr8NCVyBIgoPS6pPl13
nC8fzZry1T6pdkQvvsATpaWfW//aWvzImxbECb9Iyt3NV78tMIQZu607cHrzDExLM3ANnVl59UMt
b8ru1K4f9ayC37W9Lfnl/IhhcIjsXGeYdlcf5YinsQlu21lLC7y3OC9Ce/mRqTfEfS0ytJYosxi6
Nb5N8B6445jj3K1t8Wine04QEeGBYMJH/teocp6H8tnqA5ySnjUoUZGx5A+cR79NGlMGZHtm5RIr
Zg/LAsPkmCxHuoCeYnYHvQAXw04xVi4NgH6XW0vYu7CeDc63qzzmuu4nhvXVzwWylCTEs+Qr1J8t
rfeaN1tncv1lIXHYijOgm93iKD5aG/LBKD4EQ/1WsltVJ9M98M4txMJdtRCjafl05l5dTGuqXuzj
biBfKGOAXnxjGvXHpv+e8GEkuorkaenGe4kN2ZOt8Wi5m98YYOukTNMI29qMk7Ys9s0G1kXdyJVL
puNW5rQB0soXdn5fw/GrMtMnG/o2M1DALDYEjZ4sewjhtqSBEzmGE5XuPl0fwL0fGuPZbF8cHgeN
An7Tn0CU3PRqHnZWHsGACikzj+lg+Go/3ttUkmlqcTCjKJg5BqUYK9U7hzOZ9jwK6Cq3Ft9aH5y9
gp9EbD+WFc62qdwWzbvUbrsEMpZdRJXIXoeVtb3tMXm0N0I+KbkSoliE+6wFY2YfLTdK7SUggCiY
xZtqr4FmYkHFZGbPQZ+FZgNp+c0lszhGINrTQ8Mc17yPyiuEdAxZQ2grGwZNh9uCHbnD9Xx9y9gv
kqc2vQj1TcXzHZ/lTJ+SZFJY2zDtp/YBPnxOF1Fbj9Srlj17LTwY82dRrgfRoWyh5zcszzCpiV8p
DoN0Ix0iyu9EwQp8IUFCpfk8bfiLH5vBxZWec3xrDnoy3Ujzp9ahAyI0L/d1e7eWyS1GsrmFPVuw
yzUL7TnuV4qUavNrcV7rfZ292M6h1J6c5s1g5bc4lGHMtzDBxU8WD6DID5sWifrTNHcmySLaGwfG
eNi5TBi3/MhpwyOBzsevL5c7LLD2/IJVx0rvVnMM3Am28RRtWyjoAmAiM9I0JOduGx9jxBpC5J5b
ntKOxnA4WPWOJ3Q21DCebZpivPhsqDYp7dcWaFm7DA67Pe6aSMvXR8I/FN8tMM9ZBpuXkzhv2Sjn
wCh4fxawIBn9EIyh4VK7L5shH1QCITX677EyHpnvHzscwGN7RyhYqFfkuaVHEnfuK1JM0kb1F0xn
JijvfiGzGKOuVrg/qjn/tK/hu4kdlAoKs/V2U4l6OGjzDUo1f+gtL+sjQcxbQ+hpf+nsXQKwfqDg
VO5n85R0z/Nwt1RvcObrso4cvfyZpTyoytjcLOg8NZ0owYG6Ua2DuDR2dMh/rLMVZhORZwXCotpp
n+2Vgg77ImFEp7EqfjkaRx0xP1DYHRVM2T2CTbZ5n/jlfV2NwawTjlWe+nYmToRIRoWmp+7QVFjx
30yIqrrF5+8cRvXLdFSSI6yD2lIEtesXOU+PspaXzUFQMGw7SwGKIDtW3cb4TOzUT2by4yrieRSt
53HIkcpN/hSzvtjDdsSA5hHYCCqu/06U9n5aQ63l/rwv8Iws7LM6eoGRYYyZrIeyezayl7ilXgIM
vXZ3xrL4dfZwPSzjCyaGPQ9J1QmmZb9V80euUPwjwE2GOlRsecRx5idj9QpcwJ+1yIWsNUiW1xlN
9XQ/5BUVeYfGzQVnJyv1nCtELsUYvXP5VikKW5DYTSoZoua3bG82qmy7ut02fWdV2M3Xk6K1oSTz
pzvQGwiKLfEI+uD/ZmqqDudyub7IYawTnHpUyN3kUFisxgnUMDZf2h8qK4p224514W2YvDIxP8mN
nSTdwm6c6P6q95o102zsXhTNPonhLLQhHGf7pUtesIcSNUXTlUBEYSgPratczEnd5RRksZ7uizEU
9XzvGumXqbj3TbtQIuJ6lzQMsTcY9uR3Kw+r3pGbkewoS/stDiiOHzW2coJY6DakO9KHArM3D8pc
hgO1TFP8miYrSoc3lQpiQVwqxkc3PZrKW60SiKj8nJf6oKtfyBD8EkaRQkeib5HgXRrs4kJQ5pvx
cc6sk34VQjrabp37wzLKUDqsmfMrs03ftfWovhrQ6zKs+c/SDR5ZSj6X6RJGOe6rZfarPj2USf+c
m/FjNt5O7Ub+3xcrkG9rzxyHwzbbOFVZVN4l+4xyQgB/qMo+muTDyCahPoGSOFwB2c5PlWKwGt+G
/tIIfrvyUPQvKViDjPqTgLNT1SXPcTGwGDQ+Tu+wEDPiwukX5kPUiYS82WTZUt2qm1+uFHxE8kxI
zjiX46n1rp7cEmt2B+J9nN/14Zzqxz6BrdQqh2ZErZYE2A98UEhretkSi4qGswjTleu8QEHyOBsh
0WSe1sm7abwTZBfai3McOMFkhh1kEGNW+P9gg7Hqh7HgdZTcqRlwjqE0z5r7uIhgzV9G/QC7hIP6
g9JwPNWUXSL7sG9/2MpIkoTmWRVHd2G8xtzqGkNk/enYDw5QhQ6xd93cLS1apfIydO+DvkHo4sle
3mYMfb2G79cJLGJjMmP9JhQiKmrBCmLvr3uuk/c0Z+X1zEXVgmeL7awP1ln4YiY2sSd5S4U94tJE
p4GdrUPU0uUf15pgNTMoDOLii+2sZvq+4tQFIyzK7THkqM9RqmLdagCMMUbqrV08UZoZ6q3crGd2
Cb9MFUgR64m+82GejLAoYn/q6LYgtiXdCIVv4+VOHXAODducqZR4yEif1rrRc8Syr3jBG1YgnNIs
1zqhaOYRIxTTgeTUO/FBjSm7mPY1RfWUVYPPcN0HGhB0Kxo4GieFOxG6UoZpjzDRdULSSEOTt63V
h7C2ihDhDUPSL5Vyl82lCpeB8JcMOulAkNA2UEJre7eQB1kRF+n+EHl2d01QS2Zkb4JIbZTJm4Hh
gB1+NQm8c9SwaojEm03fyLNDocbRFK+kAzlPuc3amCnE9uU7GzlrqTsHSy3p+iZrcrfF1s7U6mca
HIZvZfmbJLTPX21OC9D4eOtc4tFGp7R4uIvvDjduPc1BI7PbQl9ewCT4hV37StGhsnQ9QjJ25mR8
KPlXbdWXXmzPZfnd16QQ2/MrlmL2I+OcEO3akUikpsRHzsNhFO6vZHFf0xrTHimhHceeLb+XLiHj
xeNQsVwK9Wu2pu9Rk4FjaeG0zgDV2qNm8gu2nU9F4yfJpW5AJLjX7qhD0UbELJ2IbdcXE4LYJHBM
In7kdG7G7tKvPW2nU2GOZEBrtEQaX1gR/hdFkfstqY/g6vy0oYVOJ80wtR0N/we8uOFG4Tqokr6v
8WgOOF6X7uBab211LyFEuO6RBTv3xKoBSEki/K+hucgj6wmYfD4jC6/aNt/dON4VKXSGrWRYy5NO
7yHncziUKCVRjpNj3haEThbLrTa7kjxanRp5+dUon+lGB9fJ7fetKU6j/kEFVFoMJKqvlWDsMleC
dClfRhaTVMvfCShhESTmS01sMn5Jt+dP5vorEfQ0OL5HUYyc6TlIZpzFhHWctkuGVup64FkX3NRa
geqZJDwoE9z6eVJ9lJH7MhkGj+52xMxl11fjvrFE0NQabMOfsnxeTI5M1hU7cKWDWYehbQ+QNyNs
LrfLilWwKYO8s+4BEgTE0h+3ASbeYu6MOQHjOF6k0l4hJud5a0ONXip70qnVusDu6a+16T3gGN+p
lG9amRdRvOTuF2jNXCnPdiwY52V87JladwjM7W5thYFc8BpraAam+tEa7GeFDsxI6/2et30r9RtB
+6Aekshe+6CxaySMOYSpfM8OEszbHMlCnrJMPxaQ16r5YZnyg5m+MN4iTqnj1mbUZ/jEkoxonOxm
m+o7vX/LCPJepuUCESuS5N9AZzwpcEq6wn3qpf5AROme6O79zKE7lpyMCPYalJ8E5Bxnh+phMo6g
cJisp+ORGQz2dnjp2fBoGJQCHPp7ei8aZVMN8JKdTkH/bUBRIhiel6wNyxJqPM2SqFuOxWQHrRUH
XZOEIgGZoC3m7VSKI6S20G0NXBBJtHFMmoTXO/RshfCX6oHO12MRjzfpZD9bCLlz/iAmiqxDqjAw
CaavB7mX8aL6rsIy6yzUFAsZ8crIKT8fvKngI4yKyRx90h5UUR7J4PoutuFzyuVn4a4G1XRl70hb
pMdQMZkqjAIm2bT+xL7w4C7TeeZTQl0i9bl2OInoBe0j5jkLvUHCiapKRL2NIj2ri/J5rtaBhFv0
oGnXvDhmF1Ua3jm7ZquvuqdSgukb9PHHhMuIfRMbhlnHa7gUxvOaJl/E/FyUtPi2mvZCG+J72VJq
b/IIom7uYlQXGa3bjvo1b7XPeVo4FlzVlEitp9DoZhkpzOKuyUliNzNuI8woiPmp234SUQqnipN7
U+7QBp1IE7yzmP8Hnal8GUZxb/VltttwsdRt/FhxeglQbFj+DErec9xk2dWF+aLPLL7rDD+SGFNt
5642bdWJpqRRxyXqxq55nBOD9gep3b8XiG4gowEOIfW+wQRfzmd7ABXUJzaDftVSfNlorj/37ZNK
x/raFbpHVMKCKAweFSHek2zdOUV8P9VllGzNcezVfaqz+tb6M4M9JkDGTl/ss8UZOtC05R5sRhBL
87E3aN/XbIXm3P1qVPspSfQLLIu3Vo1BE5Ic7QtVOaZ9/TxQ9HrEO/3KFOXFmOdXPBUoTYr1BfLN
S0W6W1BPkDW25t3OcgYa2gQmNHtBwfOyNfauVmB9kg9yJxz0LKjrj1O8RGgZDjVqA5ri9qM1FSep
DPfZCi63l0cGNntkjs0ur7bXjCzqqxDxWYfoKhNOkVKJcNk9ziWtx7iNkLh/OHN3r2hjaOTuvbrQ
NFpqqgN4JsXyrlHYt81AB0a/yWlJGql9QAl0Iafzthz7B3Q7tddqOsJa1T7py8bQUY8W3B79PPsO
Sxz9kBeMxycCrh8bExvEpDKO7a39DADNp0fBfoaiItCm6skBpyuzpQl63blphvIzzWgcA15B5fEI
lf8Xs5AfZrfum3kKRqN9lXg3ktSgl1aIp8bYntaFUZm1lbGnWMVJiVlxDKQdEIyov+JXd9YeDA2v
kFPcWVV1kWV6O4/JRzX38IOWU0/7M15IeW828j+mKYp1WgHddJhrNRy2yTcy7dzqyS/6rgEMjQM0
gMNgr5yCwbjOC6baYbwmrlLopJNCK1A9F8x23Vbfx0n7ADDW01r2Vy3b9b1zyJnUVspyVAp9j04x
wE9qeAlMLvArnqI7J0WZ3rPSeulga7I+FDWtQrpoHOIwTN6tesHRK9sNUkbp2tw0isWYFp7rqh1T
2j5OCy+lJJAFoNN1+MPURy0eNz2OasbmifzZZcalmPejTEIyYa+EZBbt1CsBktTWreypfbckoH9x
q8hxV1VY4h39zhLjc502h0VWD3lBJ4UqM8GJNGnKfdl9Z3hkpIhZaJ0CIJMI07h+cNbyjpVpr2cT
ciDj7crBUxr7MhXKvm+e7O1NNBdXnZ5VVYnaNv7hKEnUCPtx1u/xMZwTY70VEmoukz4Yg8gGyhCd
nb+t9kNnFDDWqkOttMfGAoC/LQyNnfZor+u+HBvfhbSRgF0ztgC+cDDajh9TBwKt3ukK/qfMOOYd
afCVCUDfOiXZp35t0ynd0bAYcGvPg/tZr+VOH1GGMHxIUyO0VwosXsY6RuLrMjNz+Tw0S8zHLeGc
xGSvcV9VxsM9PQOa0DzPK64B8ziSVgfl0TNrPYA06E1Wu1OvkJr4u5rcaCnNqDOUXTVRiXTQaP6P
o/NYbtzaougXoQo5TIlAMCeRkjhBqRWQc8bXe9ED13tlt90tErj3nB0N3UY0DWg0IN8BB09B7l67
UcktybzPl/anVOUXsVuYOWZz2xgH0fiCSbStDhKa3G30XyBrMy929cfsuGmku5wXfs1v2urXNInc
l5OyyXtsWF9p8ahaNHuz+qlM+7nnq63hGVBxpmXqRQmk48gIXQNEopziavFm/IZj9hYXKtOzAkZg
ODLUS0erIBqbVVAq7IEvd2LsVzIy3Kzpr3LHtSUJmymbthZ94ukw2ZKQs7U1CAk6h1wk21T2Zv5p
gqi3JSzwgg6FxNvsIi2kurLWKXScEEQUr7IRnKRkRss64BMud6bcopU9HutVM3KA45Wai1XZfevD
HeWF1+u3F9TUm81KE3sv1Ky9RQaLIgr2Qu95w9xfmrkXFhz4/Xct7dKR4q6MX718G/A8oSj9yD2+
vmQBMoRdqwOY5Q6dmo7JUQr/SWl0lbTRLeJkHy/1IV8iV5u465tgU1g5jX2kMMZ/pKcnY3XRh+Zb
CNtVOVpMAwlUbrgygKbQlO5MvH60gKNLJF+5UtYopp3JuNHCaRfc22ZskHGG/XIYV5aUb9QEjR1v
sZFmLOlfffSem9MmBl+hbdaVK8SHr6ll5o5sgcEHRlT6ynJkkagA9sjEtmEkO8vAsTrPT44whxt8
X7fhXoSiRjQXKh+I1ITxfaCvVQvJzhJDb2qNR51MX6QP0QtTddtZeUiz/sfpuBVhGNpEJLo18ToY
Kzm/SOOfjl4lZJWZkl1d2C9tg9UerBTme76JTFrl62stS59CT1KWcjfT3gLI6vFaC6E9FQdyVsFi
X57cebYJ6QzpxJbuk1A8gkb8J3W1F5c6oZ0lStqhrwEvpfdiefnviJc3+LB6YfQnufkbBfk763Zz
MkFNEb68og+UwwJULUnJgF+2baatwGMygr9MwCxC6ceMwnvAR+TXKDkUlvz2urSZv5DVFi7021V8
uYpkZzDjncVJRMeXmLxuwx5YrVkZOTnLOuMXCdf3vkjsyRj/EpX0cr3emnAhPOlEZyKYtB59iVGr
/uRRf6SI8Sq+2hiSe6zjm94qj2CaeS1BtzUK04tgTYIdJZ70zQ4E1qkEmV8L1R7JMXv97iAMuyr0
426fYBTGz7RYfsqWQwwWNp16JrZjH2Gv7EQf6LIlFEzyx9IWT/qwqq0Pub7ry0c+iDxosFMUNyq/
GtSIudW1s1FKLmgJ51dMiStYaCcCb5+76Xuh3tZyJ/lLmg+R7g0QKlC2kL/zWeJmN3IyuXj9kACg
qGGca0eyJyav4VRUisHW/uXzRwZ60v6K5p4QFnAA6Zz2e2VYB4HLu5TRcth+q6qNshEN+mpmJ9Tn
u0z0IaKvRbsJUr+Ssl2gPtucWXOdw9bFerQe6YElP0dCtVvaoeb24s1U/k0JCgdsCEdhHPzWeKJ0
EAdHztpVbvUbmohQdmYfZnHvuDCFguRH86SxUGqlL09ENu+UfN0LW8DzVaa7ZVKxDK7VQbQHcz51
6RuTF8nLtLUKaGOguJ9Cc9Hjv3K61Nq6Ltexficd9mUOzVd1ZhsYUtsfgYbQ9l3P14Z4YCzMl28z
owIVZ7I5rbphnSn7sQC4rN40pF/5BYUAmXi2ND5GOos7t9B+4pidaK/VrBNCsUpbgkDf6wBlJwk/
L7lQvdMCggA3veBmJpnOnlx/sr2KZCQEdbkSWs+KF7cpH1m5NsorgeQuwrDC3OA/bWGCzVWOSk2g
IVxo3CK4L9OfIVFIWLFTGfUx05xJuhVoH1FYGcZhbuB/PzKttsXRlUtkzadMfnS0QTb3Pv1aDOAD
87CMh0LaVfmX2BJ7SiQ+DL8cvWsD4S8sCQW35jud8CTDHvIh3OjCmUazkjxyNFhnYFTuGjt4C/GZ
K05mnfspAbH3uTyh2ZWYyWpd6M9JHdfIAldduY1AKTJ+UQc2JEDoJJ1mW0pojyiy04s0fSAO6tpN
H92sZcWrFc6H5l8x4nLc03XQE+ASSB7RicFw0st7I5OshurJ7cqUX+rl0SYXfJrRVx2Q/Uf1XqS3
QONk/WbJ2ehQZ6hLAtR3ih8INQ/AeXhr0zNPioHfwFJOgM5J5fHn0pLAy1h0NOa20Qux4SflwWgA
0JF7Nzsxf5f505Eun5a/fQqQDmtx1qpjUSFjiXIvkjeE03ctTvezFMTbeXZrdQ2RMnCJRwNR4z9I
NWPDV7CbI68Hg96nZfy2DLacofCbxp3Cl24x/KftvIJchw4lkwApFXmNNPWtRD6rZCdxf3z3XDLh
Vim4eo+TeRcG0qQcFEbRSUABlhHIyYtTZaxFrkIba+OPBBAbxaGdLwrol8TOQAXHYxLc4HWsjYAN
+WGAoha7tTbuO6t3hq9w+SkwD0R/UCeIod1XsKgF+kjwwMe4nOfWz0F5J3X3erJQCzjj69yrHhba
tkZiLkR9LodONCNuQzMSMuuLE6zDm9bshvmpCO8jSppS/VWWDVKOJvYKwy0wBs+mYzKFtSFhvxsF
dQVqwIiPgwckNc9SuJPKW97j5deP8fydFPtG3udTwLJwEFWI5G8yJol++jajWzZ6MuzMsIr0k2k9
aOAWKFUEJh3/Ut5/ZVv0N6tfC6KvS1et3+fIoRi0LDzXEdFR47YjHG9G5JYyKnUraz7MxiMeSRfm
JPSK4Rb3+1HdFtpX1n4alTeQV5x8aooXByzcrmbcqIPGH9XkXzNPprrmH5WLo6fBJUg3lrlBsZ/R
iZSq2yTaDwOvOg0dyBUW6WMsD2RB22pgI9aZzU2JHBsvBH/Zojx7AnrJemhdOVmB5hTLozCpJxC/
xfnTaHezdtAsWNHTPP+M0b9OzG3uToItSms9yzbCswhddu7k4n6gd6AQn+DhemYrJvEIqxcCwvmn
nYj3JWhUZOm/DfGu7n2C0dSErQgYA7RqaGyD42/JzkBaw7LvVdwJUMrfSdcBpdrLJ86Ol2iHiXkg
FNAFsjJEsvK/9RCiHGlgL5zy8JFXH1UErgxbM+TLMSm9uu1WPZghB7QVPiP5H9lsRXbU/r+Ndik8
qXW3lLdFRSDsgsuvhGizRDg382uzfISQUiS57eU4csLkErDy0961yod/LatZ6KTZZk4OeugT5p+X
1F/3HzPP9RR8ZmSLiz+x8pXX6DnY1Nrwvas+DQgZ6zK9bCsgu+h+iFjayO16CskZexdk0gpk0RZ0
n8cO7bozKfcUGWej8lMMfCDlW/QDQd5ek2ncmkPhcSW3wz4v/zECOZr2taQfKsQq4qL8O8EMClSy
AvNtQk7n0l9q0tELywm006TLHkwi6nvu4Kh7i1LDkyZkmvNnOHxqw+BOy+R0WeAkaOVbBZdhuqwW
Yd8tbwUH1wzSxwCYSV5i1aiv4AbHhxUaDBCyG5qKW6LlNFiimgJ9ouam1bFCC45uJSv98Zrp8gna
ohROheYJJJJLyl0nespQDzAWyochfic8h5kOiErAJFzJ4M4dzl23g6ZCj28gASIMjtB9PffbFE/M
2UruanDSuxvKDOK7FemuU/Lb7WokLVBC9Kkjj0vh90WES27IyRun+4Qi7cIiSqTnOvmT+GoAdOww
28ntDaU3AoVbl9nobdfLZK3qcSIdXPvjw4uSk4pknzDqjod0VD75fWNi7+EcaUILjkF+Cay7qFw6
bSNJx1E/N9V7PtJ374X5h7ocmpz3z40XZxJDjsNVuqBlYEGvyr0QwlQqthxCt3M5++SkVMa9qD4l
hs7QEgld1UmPPpHn3sqV0yND6biDJYRokbEdOuoqmk3S/QnD1xReKsBz8uSJzrXbmDR41R00F7VP
OhIaDNmXwBKLzkwAS+wSahlr72ovreo+8mJGpaWV0KX9tZDBg3nhcUJ/VfMtNhuaym18Dcd0Bswl
Cry0cT2uiuEuCsSTkup6eolcA2DtF+FwKTAgxCJRrCb94d1axH0jMYL9ioj3smdv0BYDL7f8k8Yv
C+Y70pS13u3M6l0HQhFJQHdq0xVYwBgICWAAglEzBOtT6ozCupDe5vKTXHE7bhBeJ6cgUZweCloK
+Bc4ziNuDTJN4lsXfcjvWeupOkxFyg0sU0niJOlb1cLJd79Lfhvmry7bNkjjwHsilUgS66hU50X7
mROyTg6m/u9liWrP4/wPQt2OZko1NtQm4A8iGh1VLvPn/IhxvkcsnKQM17YKrGTaLxEECjp50087
EYV+ouxQIVjTX9FBhApssrULjRYI4iGOExukGhGZw65DxM1MZY7q1+D+pARlxJgL6DHD5kiVtDWL
jtzMdq88UJPFkS8gsZvAp+meoWoEjqehF4u8Y46tWfIC/R5Knzn7KxqKHv3NmP7lzb+lFRzJ+Jdw
RsmQvODIvUAwzwDSdFCrs0RcUaQzLfBY0MLZOZ38MxEQpuWylyTPEVylpvKG00nE1ai4Y+In9ZvZ
dzwxO6ni1hyZYEh24Xwa33EQzKorLu/AAmsQep49KM9CuUSgdbWv1099OQoWOO+qED4lyZWn1/+r
V0nqd8k2FnkxCsCiat3UX2lykuLjrHrLOG764RN/Arll+IwS1+rABFjosI1FFcj2ZNfaa27uVxQv
i/JPiU6/Tyj5I27DQ6SxmnkMWh3qKz2WwV/C3CelmWeonlGdFXRRzfTFsaHzL2vuGHK2EyRTOuBe
y3uX+H15j0N37pHTKg+z+JRZapHrRfWbIf3J1bm1jjEUGD0hXlnbrK0tMnL5PQDvwIYAw/eqObzo
iZ1Z/D8I3YL/THUc01881E6KPnk5lhJn6Kcq7NW4pPKMl6rHMEjHCIdlFhM0ZYDJgCUZfmE+qIoD
L9T56OPmrkzfeXQ1DKrXACWCi/mJx4ie0zo7NstvSIcrS3CH/aV4Zghaq+4RRlzf/ClY+q1lZH6k
9ZMrnLzPG6HeaBInzRuuFU9A49QIQHrNrsstRqFVEjuL5ujtn9p6Wb+R5I924RKxUBC2x8JwpqOG
2vOl3pQIiVocLeSqp1y513YTR2PAigBkEea7eOZcHH+kZbMQDDDvk/TYsOFkqyg07TH+TSIe2b+y
+K6QsBiLtEnVX3N5Rt8a6giZFivlGVm5p+XJXu3WmNXc5vVYvyP3NAUKRxyZbclETJl3t2R4DoiJ
VAt111oyD/N8iidH1z2NRH4jWMepJyJ1jsc1x4ok/kGdZMIhELa1YE/DjTVkgKVulmNPLn2dEeHU
YqmJ/L6u1lYSu0kw2zq+DrYDSfrVw4PBr+mgQXsF1e5J1+tVnfvmvNbDd0LxFUDowqCrmOOe34pz
VE09a3lmVQJh/aNGu0EilytwRKaSOHPiAcorGg5R5Yv8QGm6Sw3XWg6K/taPO6s6i+EugMwIHtoV
5Vw3fugU2Yz3jNICbfaKiKULlvZLRRFlIo3TJ8LW01v9Q3lHoj+j4adUbFK6yC0LDiECVwk99YN9
pH8lifkmbTe1XcOrDOB6KAzEp6T/JhWLMBSNrQ0Po/pptDcl2fRNaOv9tuK1lNdFcNOWY9T5VgLC
e5CgBAKVMeT1FSvcvTdj+ErirxJR3PBq1/C0kuztPzmweeUhkY3pMWYbrdmIEce6K5k22aMjltvJ
hktuAfq0DZf4ouM3Ib4ZIWDKYcrTMZcb9lVaBmbL6durZuIHn54L9xOfnshBndLeRekFEjXIWP3G
ijcEfynAujwAq22DoPNUTOQ8T1bkpdUFYSqIrp7vlvgYCO9R+SkM1LDt1PQW5ZikiueQQT/cRBGd
41rDpjdxrjROoxIFfzbV4yC5RH3G2aWdr1BiQ9zzWv2miOsGYvrnl6+JAzIZYi9ofSZxjUKVdj93
vxKeuIbbveGlWXpgqa/XAUiyilPGAHr1g94h7m0+vvoFerLY5k8j+ldJ6VanUgeIVXnZDqAg7NI4
FywvmMBWVQ2jzgWFFKPxBHNf9+B91HpQ6+JVyHZ5lGB9UbUn/ZcQoKbpNkn++//QdpfMt4gyChX4
2smJ+Go5c0li5rz5M+dXMluKGppdPXmoCkamYw8qSPCaGZEOzvUPWSx9E26MquiA8VnJfas8t8Jp
4JgWdmQYgIvt5ZaZArWvxnGPY303BdtY25JXP/7IxqqvfheZzoAuJeYdaA7wnNVSRwGcPmZYiehn
mX8MRAE9w2Re72UFQerkI/LAvAyRyivLU7luy7PBhploPyFYtZhItviY03Pa3saCrH/kkH6gXAoL
FYR1oU6L5mWNa4QBC53rQE5+X5fOMKE0fUUVImzAatb8KfpvH35oy00LB/70pAW+VjxQDSEiKqIV
aVkID2Fux8DvuMCozjxID9illJev34Z8WyhY2HwGrAIodiEVitxTf198hWLG+HExbCxogVZx/pbq
rmzZarqDSBg1KH6CXD609rAYl2jZpOGhMh9Zvy0ZHwWniz5rNuV8InBUWYlnnF88F+YZnrIn8y1b
zwGJ9P1xEP4M5Rg/hABHDTanBlkMVGiiIj6DMq9a7ppjgmx4Gl3cZyxWJoXBEOp5A4Hgw8WVby1g
eZfENjZugbMk9K0L5D5mIpEO42xrNj5Eqo0gFzs/v6CVH1V+K8WXqw93g9sJn+QXJsM6InywoEhp
5qFZyDO4FIgLuCf16CCECLd/CScIp12IH3sqJu4ZV9LdGUaxugWpiQMJe/6XqtyqaT3DE2AKVAGu
sSuhnEIlKI67sOS9QJW0mg+J+dZDlgRY5Zjr6jvqHUVndHuWWKKqGUHnn5h6S8YG4rfZWrFQdROz
rxwpTimPuFy74TJ0UDLCoU85Ap2muMLTCZPmCxZrCJy05MXRhuiKVTTvI+OZKF+R+t4u35NwtcZ/
cuWD4xIHsILVtHpiUlX8wcyyQ/OU5FvUBQBMNjQAgB/CW6+td69+HA2SuT+psGRaTLHaKsDoo1GP
ZHbcbfLNgv+Oqw0AxtDThaLxN74ZrwjHyDo0y2sBu1O8FRflRuI2gY6MiV2zwmCzkqVdHnlB9lPK
HsZdRm0J7fjWuBkIf8aXU/tbHA51dyxhAIP6V5ExCgKQsoSLsMcKIuF1qD6IV2RszdUfPq51z+uk
m9+V4CbLZJsUJwblhUuEuIJF2o39PSGzEBWMja6vBiH8bL/S5hznxyk9Fcs/FXGDAtNVYVfZRoAr
xk6rL69o6pnbOIETQuky7Fo0KkAfChbDc6VeKcTjoPNlbVu1bjCTOQmbO/hhdR6if0MacrfRdkKI
X4IM2Xy1B40/Wurj2hjMvYluM0GPFYTzaoRojMzRoyGhU5jW8z912tXUAWV8WtZnPROBZaKn3+bp
Saw+qGdw8/GIgl40uTE2Me9cOfqtKe+N8Zwm6wnRSCbh0w8eBX8EKzsK8eG1+agbc9iAmdEJMkuY
Z7ST+pNIJerNizjgbhfxDu0ofl0FFW/cPoWhEDeUHDBYmXiaLqN0Zp+r0nOMiwsY3dbZoOSjEnhm
6hrkVVrdaAvWmzz52LQK/btkCudOXlyBI7HC2NHDC9AqWiukZTxKThlkmXn9J48uwjSZDXzmkO/b
1hX53w73T5LblUrQ1+STsdnk/GxsCBR8V2iC03eGJhHeNvj/lnd5/3oFpk/iuuAWa1/ofwVN1moX
Wl460dxF01eOS32oetTgXDeo/FqU3fdhepuV0bMyGfWVnWpuoqKRCH7E4Z+mveXGRUe1iuyNeQls
rHk3+Kf1GYpkQE4BPbo4fcPRVW8XnUbPqlrnKUAFWos2KJ0qop828dOo/tbj/Cto9lp2y6aDDszc
cP4xLX6iXdHUX2qz4fQ8U91lzEOtD9o9iC7hu0X4R5IjYwNu6BD47BAs50XmqyQzA9wj2EnDn/pj
zCdJ93TZbXP8C3wqv9avNie2nqXrBMXxfGH4UwBb1De92bcpT/taH6DxT3rjS8qIY9rtCnkj81c/
eWGCoQ8Jd9mkvlVRlrk0b2iS0tiZY8XhRpwqbZW0XH9NjJuWs3y2k+KrS+gvoawpZ14fpVUhb8fk
mRSkZ6BJ5hxTt7P6kMC8X0q3LX+8lrFNUzciKrhNgXzXLAEE99NH1200xba0PfxQMPwzs3NBFigp
DnlyS82TVD0g7xDK0m40ijcOD+JrxZavYGfl52a4yuVGGjzooypTXHM4A3Ar5o6POIjJ1Lg2iF4j
jK9LtzXEsyAeB259hD9wNyZonZx+jxJmCpRiKMfD6jDSfawngx31J709poDsUnuK+8Mcc5QCNOTJ
t/g6k/ZgR133umNXXUzm7kY3mWYQfBRYpJd7oX3KWgXolqLnJOogfZeSFB7xG6ISvdhnuGxM9HDY
KSAOdyEGWMIRTE8cH11/wG+/agtImI+KoicCdVaqxld7EZQzAS+I96Ap1LM+XIhWDZkSZPmmftTa
fRm/5GAl1+7ADlNeo+ztRcyS98n5qYak1LhR+S+WAr/QRNjl93p6RMV1DK66zFzCArnp6ttMyjQp
v1a/6kfsyKslwtiwWgaWYUhqAfUwCqjxHABoF+7SQ2SiLcg2AeireUmlnTAfRsJNrXurql7Vn7qm
Bfxl6P9JTGAXycuK30xUDp0G7gX8jxp+nyiTY5mjKy2VneCwDFRWZ7NEA0lYLONhrRq2THYv9Umz
Dy+M5Snjc+DsyM7GeE0kZxbPsXqqpH1Phi1FZ0WDtd3NFeSMiW12dqJ8ooomT6ceamf4JRoiB/Rl
pOlRhlNGvKp49KXqXcZ4WAebli4oZuuI2IKmjemde9PpBV6oBIPyjD8sTp15vmjFD/50gk4ovOEL
s1HUy9UJ2r8uI4Tlj7z0ZHMdMCNxPrdcGy/nzrGQ/pHPgO8y7OkpPww/izSvLH3ZqhVhFy/f74O/
49MviECdnwbdRIFaAr83/ncTJDumeXnH869x3wT3yNqJfEHcFpG+6pK/6nVE8ZY3yW9ePvlQ4YWL
8NkBw6X92nxpCQgSL/O9/DuXMLLcRGhHFXSdImTznfQx/PWwXVAMuJZAHrYGb5gKmnYpLQ4fjiu8
UMIXTyZhVMYMv+pJtW/pVwHAspF3db0WeelaPKul7OPhSzE/JhpyuRcUul+CXwaRAMBDy22l9OsU
TaODEnsWuP0AnkMCEvqh9pWR9eluVN9KqzsxpzT4xgQUMX7xtpFooah/cA51vjMLpA6INHhTdwBX
Fi1f3Se6EfY1OuUKcL9yOxuUWNkZvrRURqkNuJrdS8UzxKvBD5IYKBVPfQ84TQZSxk04uHAP8iNq
u51lPaXs3qQiAFvitbTZzccoOlXs20JOlDfzRmT2biOeYop9aFLvEQxIjmJskhJlPEoGVIXZwJW5
PBL9kUznJfiwGq/It2H76BLGx/ISdYCw6faVIZRUTxF6oqiBBbpu32E3TLR9Y2yrKoZWujVphbmd
hUW8GXDHyUOJ3vBRmyIk+7EV6FoVT9WCfuqKNMBqcLyeA83rX3uGfFb+n3j3Yvw2cTSZOvvH5KrV
vIYTNElXLtmKkN2y8r7HxkMGjZslUCJ+Zioek3cxPFpYbur6t1l2AZ8AOEGwI1uAf0s3OXg04rOY
PwHhqMUMAj9OrhEeuXz4MOBnAuQu+sNEp4iEGCslFywh2WL6FMKLXB/V+mFOl3T2KnMzHpP8wAJD
PMgYewv3U/lXoKUq0w1eRlDOMXfk5ZKTJ6/ScI57R4aS3EJvZZSJ3dGdKbq/6OuuvKqTm0ss++6k
QBW0AM/ILMvhK0eREhY3oYZmBorWT9BUQJUDFMe2mH5nVDXThTQFedqo/dvYP+UCFcwXgWFB5isg
12F9HzUykeTF5qJwNbXd6Op50t9EQiBE66tMMSVc05xhYnK1Gfgav4utflhsdVbzRy7yqjLvWXVM
VWQzG2X6yQP/ZUzRZt2RYn+efi18dzliUH4HvDYa9Vt0zHE2V+lWxiedhv9QXuSMEToCozXjr2Ah
+h6vSobcvfATnD9Kuymif6hgY+OavtabNWEFgXqcGKz5gJPkrxn+oa8iJ/uFc4b5YSJcBNQoMrxq
Yv/GX4pXdMhOhfkmjpeAzzZHxK8ixXfRscLuwPCQ0TZ6+F+C2LW0Qwc1l4ApNzYaOFt+dqymEbaH
oehsgSiQKDvHqPylliihD1O05dydX2W6a9T2fXI1wh22v7iiafhbg8RGMAjVr3Jct/E6iu06ttXE
l9XbvDA4dugH3tQYu6/Xf1YJiPp5QkPcoSwRXzdb7+J+GMNLHbL1bGblR0nxV6FkBQBHP8KC2Ge3
NjoMPUcIGYXBDQxDNeqVWV5z1DkV1i8vj32cjlN7HrrAsajl1BVs+39oodbtWKHiasmNs/yG63IA
6l/Sq/mSqLdP9eWVeir1C7Yl4j4Fvg5U7vCfpn9UxA6phHXGrLKQNbQWm3xdM/QLeBl/mk4Ub91v
PO2LxstR1wyfYfo5MnLU8VkwYFEnwtlnmZ8PgwWBA9Jnc5VDSOFHe8sS9Mh7Q+clZefk8lN7TxD3
/fQUhNLnCmCYFzlUujVLMwkjTfArgyIZdqcc9YXn22908ii8+V+8+HLEiL88yVMR4O3H6Z+q3yNy
LOfgKSRYRYyTIOzN6dEwx87reHAFzSNIOMYpot6WcgdGOqt+yw+ifMfj90Bciczsmo27Uf3Mk400
fwRkj7TqIZScBHn0a62x+xFLEMox81EipKxPLxN2/td+1gVdjCjAILDk/qagDql4BFm6sthd9IOq
H2dlmxofeQax4KPnRq6g3MFog+LU0cgGw6TS3QuYjKZ84b00MUsLjwKW1OC2p8h64XnVi4GOFRPX
zUYwMBaACrynzZtqAMJ9LRnxD8Gfku9FbaciTMAOPaAijO54wpTpISu7ImMW5RGI6S/nYmx8NTpo
vBip7pmvr/NHKfftC49rd7gos+iqYAOTGVwmJpwUYnEOr1N9q1KqkpUvkxSqcv2S3bfs3P0WiQnm
3zwsVlRnT8pTGg3Exo7+T0TUTMZKN5+SV6dy9hEV/xLropVb9SPsbKt5fzU5kCyp4qQFDpBypOSI
DGU+TwbLZqJQQFiF+lWkFbKt0WllXNBsxoG8G4doOwzAxZy1fWlLCBJfyvqXX5FqPqcX/VnxhPQc
lI8SveWsXjQ8AQmKf7lw82In4M4itUG15X+y7EuscfQUpMh/C+HE3pij0hbwq7XfNdGOMLIFcwEi
PqiGk9Vf23HXtMdO3yXWB/lLxrOLLtkirhuDNhh0XEQsjR0FtblnzgPhh7tF3EvDTy1cy8SN5T0f
Kwrsfl7j+Fg1X8KL/xjQzgL8AW32PAgmljUtdsz6Ow9cfWTCCX+FyR3VH8DjLPA0AhwUiZ2LDSeS
vqvaWulIbnoACPUjle06Ale4Z1wRSM89DATSQS0IBLvPChqa6mEI7wMRC1l4NdszNjGASG14ayZi
fh6pYQBwskD0/oSyQRpJacAFF1pOyH8ZmeDrDCQ+EE+K8mW0t4JCCCE7DOmBaLAR53gWbJX6D0en
Lv4zZ0edAg+Hl9x7kmA5GPb4Jn+m/hSTWTY8hgphqvU2MZYJ8jOWq7WeXWaMdh2q3Ig/Cr3JNp1y
0GWjXb3kivCYVoKbxxHDdUm+nijfu8B/ZUORerl8zGCZLbrFnum13BeTRycAYuqTTKYMpYfN9tWO
CjlhpLtIPcIb4eH7V6cVrxo0sWY6i3RmA9TVQ9kfxsiZ8m1aOYLuhnh/xR1eQ7V8tgCZqXmPtJvZ
/xHqUBnnqbwhT+QwqPM9V3KT8Bq7c8P4fO5r/h2YVtJ9BkpFJETBtV9E+5r3vM1zJ5KvKtryJRlf
F1EV+XN3K7obenVHLvZ1vemouLA5hyr1aWb3MGKrWWWSj4sBbUhuXIfpAohvLk5qXHP5wBU1fuoy
qr13Iqjs+gbFDKUBhRlzh5U2rjJzqe2X3bzzET2pEqjkdShv0jNPr10/2N073VqjyKe6W+pPyeRu
7ac19npXspCyOwsq+zi+oSAq+XmBcuDH0feaN43dLOJVaxFq09qJc7paZaQeFZayw3rHg/2p70Vr
XdSnHtl8HN6CfhNITmHssq47E1nmxCBGcWicqYbZzh2+mlUrQwyvsWrXKoDU4r10+fOjMUKk1le8
zCKlw7mXNiQ0r+i/je+DOdyGklcQPGCBXUuOcrIhdy4Yfsl9aJvB6WN0gyEM30FYLlpPuFh+FfvL
NEG/7rTsX0rgSTb9lto5rbijgZIaz0RA0xE75uYNhOhwTqPPYP7okLBzIH3E0W+jIjIlabH2qtZZ
rMmpK2stMPpRWaLezNdVicU3dYecwUWE2GEUxE9fIrHBDAvjnQ9vIYmTjyhGE6uqBJRdUB+xHAtI
ZtGHTZWto7ZptPeZ3I4BZa9l/U7FdoHFMIOfUfyQ5dkN1cTR+08W5blS8RciLyEdKkKLoQJCZTHn
arIVNHe467n9H0fnsds4EkXRLyJQzOTWClSwJFuy5bAhnLqYYzF+/RwOMIsBpqfbLZFVL9x77oSP
OzrgEGJoW2VrLvcKgh2KX51pvvfdlJth/mZcb/e/OoqKccPAj/4p1Q+F81hTHo7265AeJ2038gUZ
E2QwnQ1IaQPwvM92+pwWjMGJjHF5qmml9jj33gbB4ElR0LpQoG6WeSLpN2yetfkEzmhFU42xhFOw
iLYO6BZ4SlpNSsim5zNYxNIEBIuFXQeqEXPYk2DsU7p/OWUWUwTIRq3DFTJ8t+5lzM6W3XDOkpcn
dznFmGN8TS4MFMbvCsVcfjKqB5fKa0INizShDnjAreRsi72k97dTh6YcekL9wMyndT711zj5Qdet
iU1ir4R8N5uPOvmzYtih55aNB6NBQ92r+uA3hNq8GNzImPvV0Rqf+JIhKlj+eSGdDOzr/RXxSKA7
kHgyHW5+K3Nn8qEgGLG3hr8DqhpqiAV3PSgsmIfiGNonFM/wSdcKNRSnPfOFRXKB7p/zpeI9yEak
B/0diwqJZLfUmbdO76+bUb0azjdGtu1s40byzpNcadbVQgdtleph0rr1NCJl49cWhsX2nz+OeXmc
h4iqy3cXMUOhdU+1V61KwVonBG01sg0XZP7e8uadAPu9re54s5v4Iyxs7izUpu5z7350MQ5OZlJm
f5uYx8IwRUurBzNyAT05d+0/mcybFlGdQWGASnCU085MLLTY0VMtDozNNprP4DCiW29XGpCKCmGi
RXmW2p9pvu/Kp6Y5SawHccxtlxSvGdZ/H/NdrW+18ClD/2jmG6jLDMBAUizEWMNhrrTImxm1WPfR
iFbZohEDKBeFzPiU8WDBVen6fR1ta/ZuIn0u0JH2kJCwhG3n8N80Aiv+8qHBsSpkY9s+qj5dZ+0t
r2nHOBU9ezvKbcLMdoirh4F1I44HeEnpmqRYLnbkaonDHovFEMa/IaxQzGCCkTuXA7GfT/MYbjwH
1QoTjERxhtHj4G1aQfF94CwGR+d8+XUaTNZv7BBAxeUVgY6ypm0zsSpxZpwvTFzWOCsLtnzWFKNa
xOGPdYoR6ghDwcEDSw7HzkhahmZIZ8sTNrJNgryrGN/KwtrNyXWM2atycaTofzAYIK7GOmbYK0PH
lp8uktjuBTboBZnZwTJ9BJgZ+tb2Ww/hHTRt+sC6Ikn2eTTsJ3/bLqb8Vzn9dR6B6ijIBZHgnINs
bmGTWcWzr31o4VfuPcJZXI3Tax8+Z/qHVX80QPPoDuZzUZyj5NMwniuw8ZIXruHWm0ZWkCxXKEcg
FIAMHmDQzswMayPnyn3DM71K9BeR3Sz1OSfvun9qWaNN3l2g1mHlmbDqtutwRd4UlhDm1AbnY8S9
JUPMQg4jl3n2zvlYBxFTr7g9Lf77SqDiav7SxLtNi0o2So4AiH/8ippxSTynq4aW8NDoF9GgYH4e
su5hGJYbDKwHeM5UXSKvOoYNCsB34s0fCCK5zFq0iiJ+B2qDPk92GTPDHp+YwrACSRnCmLF1sF9U
tglYZPlCh7vA0+/33DNGuRnByrNXWIWwPRqHcDSLvqW2diEC2B79ieP+9A0rslZJTmzzsRxqFrf1
PwVkzuWpAFPGRW2xEYzBV9Wbumt2wuBSRahIUvu9iEOkmTu7OQ2JVaPiuOnNTwLhOGvLddO81UoG
cXX1tIOtdsN4CIvqEgPWVnwrguVUbdK89tMmhCscN5/l8qMvH0bbbSbf4S4o2IU7PorVpa0C2gIh
2TcOlWHzRSiAsKr/l5vJubX1Pw01UwTAGYHKqmN2qXkvpnOpMxcUDRcMvBDbVAhPR3zU3TpDjcDU
1PGx0W259iKF+47FRwI0yoh/cUY8VEvNFKFP31v20WBzgCQ1tJ5D993rH62E43YIrDY71u8Gtc3M
IrnE9KpceyXTT7f/36y1S7k5Y4owTnYkhH1rrisQO24KMZvKbdAioODtagYMQC4AD8SN2HhD7XKm
aY7HvnCemShS/LHWfGz1pTd8tpyneCCLlAkYG/Z0CHw0NH2+yq2fsvydRYrzf4Y/uG3YLLfVN2rG
s5a8R6jPtQ+Pko76rPG2HRpf9J+xRFjEUnSvNzxmx0qBAzIPQq012zgJ+SXYV1eoVMSKId1TZdoX
wgjuBas6GhGrOHSS8xI53qzDWk4f7QhcPUNPgSbQw7bjlj9uNW278R+ImRRzRINAjXEMe333z4nM
s2YFvTgQCnxMCxfD1UDlbvJlL2QwoAHUZF4DrXK86s6PWUIOYFgV7/G/tOqb8CaonSOr+gPQFpPR
4TjcEmNBsD4ok+Gbvc7kTrK4i/D+rHkJ1PMc/bjTEwWyob0lHkYiRiAeqpisf61qSA/itUwTQGPU
WnByCUWUTADC/DEfXnwjxZhHaY4QxViXPE0tX4Iev9ce18m0CJYRynqQQrdJ9o34WXbXvnq2asB9
/J2zlYccAIvcg3KxwqPVttiYM49cm/qGONHBf0dOkBTm2mQjGsjw1dMABhprwfmteT3c/+EhYbgF
QyViWcGRlRJWAIUq2qf6PrIdkMf3MUR8BqGTrRXrmF+LZ73Gj1C67dbGIvnpufxJU7LOmfyN6c13
6D4HPq0b6teGf6vDnSWexHTMm8P4LwfX503aqkYusvSybNn09qn6KlB/2Jb/WBZo0J/mGUkHe7UQ
Sc2ZpinpdzqGoZ7B3xgzNVAk4f1adg2IGOPA0TUs3gZ+2p+yYi+9MMsyKtZh2zDUsvIRRNwafCRm
KNd2HyTmqUzMG9frg1SnngqiOYcxiJqy3UwV6xPsAQtFpLd3yN9ypIFSlHvXeI2R7hNsvl5+l5xh
SqnwMSU3BSFQBrU6Td1B85gn7fPXQnvr5PfiMeCfGkGXuWnCQw4vqwULM79o8RYpp2T3Y/IIPOPT
8aqrG6OdHHOgnjGDemYWILVMIFcGVo4JOVKpiWfMnacQtQq5CNwwtEF0vIWsz3O6LHRhmbaT2KKG
2kZY7jO8B5PvfU00Aarv9srPcKkza9IZxkbZnndKmxAjYup6kmUXILrMeDTkba6PTHEnK0g9AP64
RJfBeKwumJYic1sYG5Ioa0we6T4bN072lGWPrnykgZDgzVijYxSX3g7lBHumofuQmYcmkxnmuCZp
wlVANV+6KoD3YqcBtCZsIxMLmGo3GVuDoEjjruFyvxn1pTRWFd6egljFMElh9ty4QrsZVcQ3f07f
Jh+C7asU25FFCztgfC8oM/yKGtz8LnGRVuridPumuCk0AeNfS63d1FxG7dtE2ifdYpWsM5s5XPXT
M2Efm5nbQq0iVZ4yFvktB7Zw/0eLTubHLC5ty57CCAziROmmmdBZnBVzFFhWvK6bOUCvjrvBHDUU
MneDFihN3qak35bNs8zYIsl9VQuKS7x58S0XYTDaVA4XaWDZH7hKRqY6eF3VVbB2tqoPjQ/Q4AMj
tLJlM54zLn6t+n8zeNsWPjiO97UN5XDcKPtWI/JX3t0TDeX3UyofVXxyqQMNzafAfozMi6+ebJf1
ijj6xX10s/VEJ+1UH6YOYVXsuxBzK07IugStmMntAl0Zs1NuPjfmv4i1hKbfqwhx9nDwsTza+ZfV
5czgCgTcJz0KQuQhJp0Yv6I1HmRFOsMVD1imKJfOnnjO0m2JfTt+K9Ndx4JFZQh5d1NSHZjS6eFT
iR4iw06lub8+h8REM9m0t6bbmmCFcYAAMkdxA1UMfCPZQduulUS5preSBFf9aYxP0fyBaCD2l4m6
spsHC1i5dLfk0L9307O0zzVVOAz57VzsYLFgZjJtHHpIVReFXohvPX8J7beZGUfHi8dMHS+1NEBy
bDRHbVFv9pAIYqbgYUFxjHcLlZluIPmAY238I/dmmwwe7s1Ar/ZxxHZeyoOIn6LhJ0X1b1TkPA1J
4NlsELQ3xUGuY2l15OLlRAqw8KfZfHTJRWQUvlucZvs+Ps/h1WtubopEhaRbHhG9vDAwg5qMwpN2
VrHi/pbWMkeCmY7E4y821tm8D8M3Zzj1BdIhBEE2sUw+SvXEumrvvu+sffmROIw9eFcsEqeZ3Pt0
xNg2VzULv4ItRbTL3YMLdbfUjaPUWGDbNBa828mzp7+kIBug6GyVNm8n5KBZC7Sr0ZkhA5hEgOcy
mNXNJqiThhXbr0cjhEv/wUW0wHedKjyofOBEvijMDNxJaG43gHYcNKrOhwW+Jx73oXOow7dxPFq1
9sf+/Fa0BatoB589l0jprYQo15KjoPXSneOFnC/Qv0pk8Bp/aQO/tthH6a8ef3Ss0EZ32nfDoWgG
mtB+6+Yi6A32EtTyMb6LgcFgVZXbMofI3eXtZ6LFmJ/8dRY/Vb4HbdB2kaYzodKdfucZ/n55eqvP
ltnAqBdolSumY/Or8Gi8BUnI4BBndsNG+tUhrKmw8OSoYKyCegMpRhaieKv8P68/JWPHlhATmx6x
wvE3iDu/YsZwoR49KhNdmWTAF0L+bfrTrCaUJQD5mYh3GCuk7awswDShz01lju1xcP7vVvddRS8m
Q2ft0g92ndpqRYO4Hh9NO7ZBjf7EMfCpc/P27Hkpu1KrfS9gJuEPGPdeB+JBt8AS4OgY+TFm5yGz
mqCa7w5zXspl+TIji/HNAfwtnGtKROSNCXN808AFx5OWme0BAczabR3CkeEhQbarlYteepmNvMYz
mO7I3Ug7XBn4v41+3YibPUYbP/Fo5e8jj7/BdLDvvlLB0eb8QWAA1hGfirTDv8+2Ji+Gf5jgGKe1
4S0K83U1OkQ5ZdhP3GkrHfPTxtFKWnzl3bSSmSxZwlhNcw6PFMV9KGFj4vRRI/NH8MYmgv/Y49V2
97RjVOesXTGuhHzMmOFWruIoapt3DU1agzW8Cw9u9829JRG/lBgYsiJZ+664x+y/gKLhqnA3c4jI
S7uFLbsYq3ouZnOV6/Ubztp8Uj+1A9l/LKEZlNiT8tWAKDKNw7WmviYBaMMyHyVvZ+Et6mG5zzho
SjunM8T0wCNb1+TPKObz7CoSrvOeh6Zs8IjLvWKGPqivvHtKreLSzdoq4fJzMX37yKzsZjoXzn2B
LAj/MUNHMMwhpt1u5WUI3VQK68knXMJC6iH96Oyw3XDrH37hc1eaezF/9iWGTuZTTb5VZI755fSK
0YC1TrGQjDdkkaLjZWSJEzlt/KOXHwX4Mqf2gy6LL3XPrC0nSruZjIceYK37FbEelXgxcwZYibky
QdaS4UOiVLlNMaX7/c4pHnsUFWO+N5Nu7fEqi3kn0W1P5UlDOuIzvDPAOBfDT0XnPqGx0Xuc3sDB
ucz5u1ubzrjA3tvODQZfUhhcaM9NBvq6vCk47+Hy8Y78ESnKdJtUtXDqkI+fKwTphTY9EPt0SES+
tigyCyM/ZDPTFbSi6KfK7pWPYd8yNVxQ6j7qAlOXgZY/pmx7NQHHvKpnLDELkbMj7ll/rJvoQhIX
9SACYCidDkHf+sD01yY1s2+eMrpoY7HzGtk1d8ddhUHEQtRYsrg11NXhevR1mt2e7r6OiJActJXs
/uVTNj00XX+Jo3Qzw5DzhU8LF8AsWvttvqazCDSTKolONGRfRG3Vd6zHIipJ+zXEWhi2nKKx16/1
2nyk/39JI6b1HmSHUweZmiJq7SN+KDoidmhTNSwFuVnAZYFcC9ONsDTcat5aM2G2Y7gCutTBtzZN
ba/R+XYcIHdzCDrD/x5oUkOe5cTS/83sxrg72LZaK8+w1+zMMd+sBBbu0qQ9MNP3xK7uEU2mzmJX
5QYzi36rsOKgvHzo+z8Xft9cUzhHNbQI5vrSueikQY/IvjOEOnnOL/e7NXO8rSkHdp/UD3qg8kNX
Ohs7eXEZ62stFeH0a8eQec2fqUb38WV74Gg6iNdmcvJRNWtu9jo648eknRD2jQbaRy/bOCUEyT4o
RHUnUQRZ+zDgZLTkTzmlJOz4iz52XVTVi+O+qNKGjNMCxi4lJAwYP+rZb15d7+SaJfKtT7/JH6oR
z6GE062850oNzzZi75Aru+UeNtHadfcWjRVhKCms6/x1cN1jLP1dbrbIAjjV8ukSaf7vVMeQ85Am
j+2jaIgKbG+dj1mT/CWEsGH9IAwbuaSxWKluZU/ik2sfYuXuhiRkk46yoQYdR8oD5l2U+QqnXkzb
Y/3Cal2VCa3rImrgeoRDbS1Zjvm7Yb6nTKeM9LtzGbUn9l9fUGKNOmAblp0SU1/c7tIpeohUtILV
RP9w0Xnuuw74Au6OUn7NiHlD2U1saBr85aCRoupqFFhuNHuNYgQ/f1H8MCsfax+t72/jez/EkyHh
IrBFH9YWy0RWBexr/U3JcG3Cwja0KKpxoDkd6U0kAbkN3/VOQ+1r8vKYjCnKobhmpOYYIeWavpr6
4V5xVNY9Z/CFNaZg/RaZN5Dytf9Y2VQuzauPOyihe4mOZocwhjCA0mL+/JFgDzdlSPwIfTDb77iT
rMNOvrtstRd90YDq+W+qvxsLpKp8ylPEwANWYM7rJRajnMBUd+BBCALSmdSN7hbOPe1+QucLRKOO
vc1gmDcNPsaMgApG97pnW5vjV3O4l8McpGcY72a22dGy/OXBaPnOGpB+IhavIaaAzhBQ1QeEvdYu
KUBj1+7jHCcHeIXrAUmXNtnstb3ykrcEf4QclQmaegvHnvRBnHGV+LLf6ovEFlEOe3bzrzW7Bxyj
td9s5tL76EldY5zlBlR+qwGcOJKB3pmD0oEzjUbVt59HUggbBr+ziyqIh9HAKDtG15btOv8jz+W3
P+r7WMEB57lmIoth/uBBIGoUgHPxbtEXtsZ6QO1t1+9RX8DOuTXkkLRYDSuMSLXq4V66D1XxPdu4
Whnvkk2G203bRFW7dfAuuDl0fe+Q4EDUWQ+Neb1t8ESLvNlPdkLLGm80FtuVccym51CqY2vprFbE
ycSeQVTYKrdPYZbv4oJ9vj5+mr065J4JBKNbh9hYc/xj9rUSBqtAdKkMaMhG/KexVUyFxs0DDT3v
N95wbHnPahuRF3IkA0fMwNgxTq3dIIt906OfN6cgRzJJZswmpd5zkDQaXhxUJJKFTf059e5b5kyI
tH5KJpA64Fo3JIhPfeSleUps1s8cVpmvrklvrU223h0hiD4zboBuDzEDilrAQhjK86KKTwHslQwc
wNVdIX4QgvPi2TTJim2i0tdcpqvBM4+G122n5tiUT6PRLZkjv4mh70bq2UZcx6R70ql5itmlqFNB
4zv7GoK3ldWvKhroK97w7oFezTYuVUtZ1xvd6vcTxYmvQshp90VqplEVErz6YFDd9djW0kruB2c6
WsILiE0M6qXrgVlHOU9CDPkBHm8HO/JYHhMQ60Uq3um2UKWIbYKwUAzxSyzvMtcvto8MmJmemkhY
es7QAtTUh/l0DQUxOXio8LnufQ3cGWfXxIGW4PorQuNuYLNlPxF39T5hX2ZYeEXDeVuk5Tb8nxdq
byh6edH7wCJ3bQjLJ38uLwmDLavZeLxilfbV5U+WkwCNZkvlGechBgyCM3AS57plHNjk/8Z03lY0
S0oPj34UB15WXIamONTAGQgV5ThFYgfmqGjeUZzSDagrH36CRspCNNd389UqH3uLEsSL2V1TVGlQ
yLyWWrHwz0qGp9BNL0tUaTbSt2mwKDG7su1J0iYYa3ObhHOQGcnWQrTqp2Jr6O5BxmDUaIMFAwGd
mwQTvCuME7DZsn2xKCT81yTGPho6SIjIcahoehp+zF+WOZ4RrwZ8+C2yLVaIq7EuLwNOTQmQpwhJ
a2BrGFqsBiiKXbYbe4flQVWNaAXx79OuC1cQV1IGRXvw0LNmmKwqmFk2bncgH1COgxAujePCYyne
IhrUuEm56hkVcT8VVXr0SKVyG3mikERRF55jzC5WX2yimH2VJnf65O5aVW0q6nJA+8h126sKtdcG
961iKzBigJ4ZlUw5Z3HYbVj0Dz2zEJL1jFzfhPBTRDHwDrOV3Zj8FyLBVq6Z7SKLucoQHiqyjhwH
UhM/lGNhJbs7ivwGpJ98BqnOO4LvrkJH7mFGtX7C+rNXH2HypjNxKKRY+6AYCuBSfrmjMgricH7z
HbKtoiVOMF9LrN62+d0ACovY5g/iJS/WqUDnB5+wt0iLnSkOQ+dptjVGBMTS2MB/UHAsWhF3YshV
gOMyARH7w7Zj8Br28kO1aH5zdI15w6uA1Bk2RAj8o0FYgdxgZ80I2TNKMfw6VpIdbcf/Na3vtKSq
ltqNNM7ToI/BYI6Y0/XNROk/RtqL5hNKodRJhf+66TeP14rLMZFLfaQfXZ9M0+iztV+T2d9I8Tc4
fyTkXgX9xTKvb+t/pjOsJDKJMRPMY81D7dHnZM0GBN/axGkimBPk/FUN89mASz7mbI5pJ1OOCGy8
GjtcqG5A9jp0cS30YfZ9WH+sGqgm0qRm3tEMvTiRjyEM6y5T4tbP6OTDddoCrfCG+d1F7tRjGu30
+DThhKmiMYg0Bpu1ddBNta+y6GizVx2bV6s9dyObH8EYMAwtHNmsUbE7OJCG8FidceDtdKEh3fCf
YQXC2MZcSSmOomGXW/2jZHfspXgWYoyzhoeZqCAfJdy7aD10gWS0K/ifsnbTZM3XPI17l8mK19eB
M6NJczuuCz7tiVwFQAjA0B+nvr67XnZIvPlZGszQ3HhvYQMvITD3gnnlHB97dNNimteGA5LBSQM4
zME4vklveqHoY0IqNqkPrdZECmGVcCBiu0C/kOFA9w4+rBmB+V1iwexCsjPKBsziyCBIokplOYsg
2Uh1oPftdXLOHT1z1vP6hMW/Fmr6Q5mYz5IlX0dwScukM5vroKjEU4rEofON1Zj+xPKVLXngatgl
IDu2dYP6d9k9wJrpHWhy5rHhV2st1lFwYqw5j4qVi8UZMSDyHUYoK5GOpDw9t1X8wkt/nubozbNT
7gnDKVajfteZyhv1nWHTzi0BryKIqthR5Yi1tPq3JPDHo38D3Ps3VQH87W2EyC9SH3SCVK/ygUIf
YxEy08sQUWqbDoqYApQRnlpcRhm0+8Q9lvpPLfcNdyPP3NGevBc9l7sGOHQ+8gksUYZ0CeE8H3t/
/FUpA3vsbSnZLBGZlLrklATfO1G3ePanquKgZDM8lThbRxZL+sMSh9O63Ebo+aKk/i1Gsjsdmq6s
zbYTvgPBkLqPqEc4fjxgcrrzb2B8pE3yFMJFaCAdkDZ7E/pC8aSlBhpnWzdkuXhK05UBZl51dKdo
CWz0wYn4tRF8SSGwWtZYO+CvWubTKJpgmcIWhtMFJiUabiywdRL2xcuo3gTe2hgeUDgd9Jp6V3DZ
V7Bb2Gw+RrypdW3fSQZ5RcT5HCq8OU6+HNoxND2CwcvuyU1g4bH4U+bapVDVCO1hRfagC+ZWBiOD
guFmGJmB0PTTyHkcT2AiB/cfKc8cyvxmNhYIi7UzsIwPyUxgRNhHUr2FTryftO2Yl9faZ74UTfuE
9auPiTdPioO02Myphl1zvlJEgxEwjEKr3uc6yXx4TKeB3jpyf4xiuDccN7lmUHAR75uZ7j2rEThS
X5epXFgvLMDqoymvBZyTQvZP2WxtvDZ6l0AdvTI7Eit/7dkYiCnbaw1P25L/UKOXMdNXfptb637V
83iKGpeBULUCsL8pB15VJVYlPD5jnDYD239jMQi53psV0biO1aEAFFFnyFNM/09ldoxmtQO2416J
IIzxtOlhfm84bogiQFAez49WCtaPz7CUguCvYlMN/qnDKybm/iWi8J4nfFMp+J8KSF655ZXZu6PE
t6DmIM0rCnam37ojtsK8K4sKTpf4DzIeCKdFL2c04i1pnjGa+amzr4YSvTolYaZnF1Icnqzhu8ru
Qz8fa4vzsbYffVNw93wvYS42UL7KWusjlj+wzkL5x3mc9m5VA5Pz9c2gGCtFWPZl75MVgE5RKKhE
+VlBWfAzH9sDZXNd34wCQUsRB4KIvTZFGuExP1Xd0XQdrhBJkklHoUbTYKNYdZLkpZmcnSMQ/DoA
iEjwjvK7CJGiLCkiRCF0rn8rwSXVw4SHYFn0NVgQmUih4JKmvU2N0zA7d9moXWua5z72ApOdo11E
K11Uh9odt1ajjrkqkQEhMWNk+a8O8+NQ8xwul+DQ4h3OthahVubEQsR1tkPV3If0S+bfswJuUpdb
AN8cQ2yZin5rzvKQi2Efp/NTWFUbH90zWyAm3+nKmrF94Ww250eTGVjYuRsuZvRNOWwjYi71T+Vv
fRQEHnTSWrhno2VPkopdh1wlz05xyGUie/J7f3koMPSQngfFeJxpoaAzZpnLHWyfZQKmEpJ7L+39
4MNSZAlTQgypdRdtDmPDKTU4Y4erx85/IJsliuPAIGsJs4TlLl3D4nJ1DqRfAQBnJcICMCLNVpQD
7jL/BJJG9eVziHiQu/Y2td16KLAT2JLdCKVvAzBo1r5zulIDGaYl68cs8oIkcX7kgGZDtDvdmjkQ
N15yW3qQRLTv9FusETKWbR1Kks8KZdyI2HsWw6GKGyTGf1KhyHfxai5SBIX2Ra/6Sy6wp+jiYrpe
YDcVTq7xMNog99OIJAi235qrnxo/3Iemu7H79qrpDsY5yB1MVN1JYkg7O9pZzF7Q6WDtPgq932QV
hylKxYyJYa9jqS13skUJS8lt1813Pnw2SKQL/8tmtN2V84s/s952y4DwOFKcs+wz5UaO4glTzhgd
o4EBbaK+HSe6Vazf15nTYfEJWcBb+rDYkFIM0MK+u/3Fq4qT9NPVmN/cxVKPKdGLH0WdHXIcwj0b
ICAITNh414aB89G5LaSTAs5fmuzK+j2bk6Orni0IMnE6nTB7BDWeBt8ZL1kyY+nECYBo3LQGTN/t
Khkp/xawwOB9VEgGzG54mab86A7GzSBmS8jqbkXMyEZno9ADPUwCniBQV2dADUlhGdr54vifr1E0
A9PIr7pbo2Ws/rQ6ZNk3MCdKfvS2pPwbeOi6zgabk4zvqOxIQ5LMhdrYY9hhNSExVGGQxAQpkWbp
Aq8oqzQQaFHm+lxPxbOpk3GF+qRI8iffgEPgnlIZg69qc+LvUo1ixHqs4l9ZuHSziPoitjS1nW2Z
4B1GHJJ9Ccil1t+inCnm1C5qYyAYEG+tNCcEAyn/+NtZTNOh1W1E2B3E5DD9qYJ0khjiAYEr41S3
+IX8ch0O0kBHQ5U2+6eo6K8WEuCEo00T6iw957lK47Mrpq2R2ruh6Lg/OxwWLvE1F7t8ncMnbaKc
Gd2L8nSs/7gI8uo5Kc3jFLV7D/fWjMa4NbQnzXOxSjIYJurS7LtLCnG6iWDy+7O/nySyRhOw9TJz
Jnsh1bBg0k1pTXeSkJXjhRYIJA9iNBd1fkxHsWr6dz9TgbS5IqHHDW6zUqQixhxD/HksmRBxR9lx
MaLXlYDsawTU5wviW+fokkHa5Xtbs88al/UgJU+9E2hgpOIcoCQZQfZIZ7jo1bnkExM9r2AwiVaC
fHgeXnvV5ouWHO2cmTBeVJjZOcB1ua/F70RohMFeLUvE3oeCkgIshj9Dere574xpV2v8lrmByQL9
mQ3/InQB9k4R6K8BLG4ZPc9T8w8R3q6N7deojlumC/RimHLRpw4oHKH2dkZ595ZY7wSxZoeMKln6
YNxLyh8uVH5oLTCX2T5nFx/rV0af1i5uF429RqZbn4amHvswfNHK9o+j5DI19nlKyn+WiyqoQJsp
6BWdGYJUyt60dLxN7/kGgx6DYWVH35hzQ4BSBW3rztzbXmzyQnff5SLAbnPsj0boEDpfAdj1cC5G
dfTKIHktS4k3C1jwA3faQ1dhHIo/e/29mW51NQd9mLKnIyh1KPdLdBM95YNpRlvXnf6UbDj1KFXr
pibSEyq6XlAdc5/0kNAhkaOBaekB55iwmSTf61X20rhvhskT01A8mJYLUBk+UgiVyUUiMrYk1A50
rprHNjxuvGuqAcozkkPPWTXBdnAHebQy85wTuAOmyULNzk8eA+LrZf0xVcbd8onDpt3XcnefKQsE
CezKULeD3NN2DDBX1Ng7GypV4olAoxBmvLcdjOElKYxlvYeDAUMXJ66WtYc4mVhgOAybirWS7DMz
dWtZ8G0j3vxiGLYTR6lEejC11rkFiK/c8qtTw0F3aLVzez1n1SmHm2ey/C20f2H5khKFx3gWnzYm
HaMg5ndG4EPsEc0XA0Pc/BZqT02BbcTNWSQ4OqvkpSPHxy5LwlqLQxoNO6/+Hqjzu3Ze9f3Nobah
W8FZjvBNpdcK/xaeVEA0d68c38sZLdBA5Ll9o+v9KPH0xboRmFiTtaxi2tPCPcbdI+FKcl9rC1CB
DquPH6VCSpYswo/1AKgztMgDc9RjK6trmgw3p9CvWgF1eDaBkoB7FM7LmA1ftux21bTzsEfWjbau
OmpAm/QNLfyoWmc1s5v1GDiIAbMnY6pk0pElTHzTSmfakP3Gmkcs0uITEPEvQeTXfsJ/3une61D1
ny3csoeoXQDp+hEWJ62ShGs0F+YV4ezVTZDEayOOPpsSRUevVpkO+CoP95b4rHFIZ3yAOX7YUh9h
vs14cOrqqXXSg066keGGPxDgH1nEw/2VVx9zSGfxbRbDc226T7VJ3AqZRgaiahQiz1wMI5MsJloa
ytc4v+R2edWZ6yVTqzEpDwOrKY92QdpnRXtYIo1GZmJr/mdjoq0W4kVT+skzcbANUhFwFAcmmpjZ
tM5W4QUySoLWR0qEXMceqLQS4wWI/3+kndlu5Ei2ZX/lop6baNJIMxovuvtBPrtcrnkIvRAKhYLz
PPPre7Ea6MrUFRTArbeqykJSzsHMzjl7rw3JCDYZHZvzaNLZzBWLQxcy+zAjzhAwb0RT38eVs7VM
/VhUFDZtMm7rLuCM6KAqI2slk68eigC8XR8RxxPiR25VFypMtBPuZ5jrWWxJzgpIWAKDsHcfQHWw
5A51kbkkb0Mb4WxE+Ve0j1YT3Dhefz9QhNLQBL0oAMONBTJ2yGnc+10DpKmlcUctfJ0hBDGTkC5m
c/J41KWRzRejRyCeDgqqw3Rnte1GcaZtYuOWrgURgT1sYayA0/BcNNTMGMN7CvxI9ECWOPYlkkWx
jUNqluGZWvODChWfEAqzqqQ5VkHMRyFP55Eeves8VYwrUnyX6dj8Ej2zT0GOSjWvxhQleTCeBLNO
A34xN4diOTtM4bhVubcxHYnH0N2EniaYGlgFlFmLcgWR9HqGAGB0Yq3w/rhQXh2kKop2Vxe590Of
9utML7FgaFVK76WwwQVy7FBNw/ypfmOHVass1IfOqqgvcIpHoxfjX1+Q1JTFC0i7Ccz7PkWzW6oz
TjzCb338ZAVgjN9NByMrf8nbkiObfaqd6bIp1WXZzOcyS2+zPtn5GdwxUTuHyH4IYQHZLUJYReMC
CbrDNHY11QKBgivUns7ITRPaq2LpM3rlFQPvj7QEg+uC3SoikuGyubtCyYnGPovPVQhCPScAIDU0
cyqErwVr52ZunHuXdTb0C2SVJZ5RLMkY7rIYQlWBGjp260ujbm/7ojkTdLctOUoAjbJfyhS5RBl3
TOiNZFXUGj+ugq8hNkVfUafa+b0a6LYO5TVdsTN+F4wC1lMtOhNNFsu621E7FbGilszeWluVZFxo
5rVmdZRG/1xM+U8vHtZzri5bO7qjxU1PCTwLCZPAfYMt7vf33mNs31aEMTZ8hpi1+Q8uRATpFi+i
nI9Bl3zkQUaYmXGZoE2XpeJViG6dHuk//5DhBR2ptvG3lkurKAsuJUeiWCNLrAwGECHN9wZfIgsk
MSMCqttMVnCTMHAysaQFIUdazVGswJVtVf7PLstP6Pv3NTkGgY0cVoQfZjLclALwb2HMOytBwexN
zkOoxVsvwWfGyLkmjmlh76JS5CQNanyq6ceQI+XOyrsYOzqdOayYXHbxWpvzYbAHIqgxlcmGQYMH
nxg/j49VrWrzs/DLKzVmvxO3J+sbfGwRlJtEtAT7yWqbD8SLGfExI5aY7aY4ck7F1YD0w9KHnJpG
1T9StIHNHFzXJnxrFxIW/S0rJbU+9VaOGz9Uibkj6JcDPrRnh7TuqqkfGB1uBAxvwpVwJYXmTcYs
cXa6tWEhD7LUWZicL4sJS4moDtw8RGTGZlicUUnXbGkvXQ6zOPsRchkOrHXeXwnTvi8iFvwsvwoT
b5vl5u/EQNdToQbSipB10QS4wsutB80QyQ1eUYvZGmeUQaMjctGo0s0SiNjSW4mwjGzAEBEIgza6
eQgQ8d7P88PoQg5sAgMjvqm3M6frEaGUFUeXrss4KmHyZ1oVguLxPqrbc+zdWyI9BGZ/GUXOO3lh
m0LFl6XJhlyZV6Jl9G0TZOWijwNOGZT+atTlj9ALH6pgQpUmT4nHnH5ioE7sLZoTAAWIw538JXPn
h+VWFQPwN7PY8hlgj8Xaw9gqoXUZBCNG2+B37QNaKI3iujP66xCTpeGxRcT2lYTiHPfzLg49KhiB
6SX83RfgtoVj2xj8Rs5saHHC4jwa8qFhjmV0DEsEzsJRQx5BQ3FRpCm9bk2d1Av0CBy0QK+Jy8ky
d3aHYmgiAM5hJwlbedtNCdsUsJTRvCOk9yLv5Zq5+V6lpLRxTr7IierMrQ5gOqcYFOR9Zz37HgJ9
5slEVHt47XArQRrOVH02JY2NArObL6lvR87pmK6JUmzlOiwxo0xRdmpMjNCtRJ3X9hgh80UA24TH
WbuPWUygHRbNxeOESOXQ4PCpTeulssaHTi3KlcLfmd686Yf+1VUG1w53rhueU3i76BatdY2rC17P
ndExfG+Uc5/71b6d4W9ZwVF1ze3MfS8kqpQMGHTohEg03rUEfRVN99LWnLtEzmAvfexKWq7K48g2
XKdewwqY33bUagownO3n910QP5gqPE7d/JjNBoMo/Ddlcp+BTSgc4BeMrpnC0FIGW2cCvCduDjsn
AAasI0NwIJiQAheWDPqs/k5i96fq2upgoboXex3LjT2kV5LQaOEBzTM771VTgxgs8mEnPQhwqDTH
4b3Rz6wZL5bf3VuaBjEBIdK6d2a1igqq8MG464AiTRxNpapvNQ4mlYsXNXk3IS23jFDwiioFBcBB
1LdgZrFP1BvbeUzAp7D1wKliXIQ2UEzGeR4RU/S8MWXmPkYMjxTWFOVUH0i0nkM3xrf5KAdxi0vn
w2YlLqJ7ptXnKpYHOcL1j37IlO8TOUgh2XkryMHOcLIy9C9R3lxa9nhFiCHu0kfHSplwRujLEtWd
YneJeUElHkTkCZBe5pk02x1EoMX0s/KZAOFttaG1GJgCmQDfjBMvlatWY/FkyAbXXUotDS6uEode
+IfA+FXAB2zbYj8poOiiazisQoGYG55uC6ut149V8TIm3KJgeop61NF0SS1ALEVKgjLm0tGhsVWE
5IwQ3DSxi3czjjovg04ELyTJAWGAil5mDfOPKEbu4asPabFW5gCsElCBBAoCRtcObjDzraYaHvC4
J8NE7HR3KhJQ4613heHx7A/q1WZbKAfxoqv8oobjMOj4cbIc0trfh7p4dAMA10MLKxM5MLMiK+93
xuJzak6TZCImsJLZHgqIJC3omabHwjJoUXkLXWxTEoylUwJBFOEwY3wVmyAjjNrcG6oDtcgoIyIo
dPQhQc2cVOFSX8c1ajSpo9shaM4yQEJqdZJ05I5oTmbwzGBQtexE1FxGuGtd531ehi1KXePb4Hz2
sxrVr0S313OxtKlRGKSh9KiI8DpV9FOG4X1C3Dy7RJxHhnNb6ppp+rT2IUPYjElgTDfMXm28QW0V
/WrKHKkkj9zrpjOpG9sRuRrd/sOE9LqNSE7gFTFb/Qwq/sWoycXCF1Yg78ykt6QuGhd5w36RTeo0
92ht25w5fZvvUE+Z63pidBIzic4RcV/UdpHj3wAznWQR62EO8gZ2u2H8TIMJ6aHn792p25tRe+mZ
LMzCID06m8drY0zBHTWc1LJ3QyvzlJdMzNSAGbjI0YsmAfmBvdeQOVhi3TCb+aU17bs6bQ5lh4NW
cMCtm9+YNu7CkjErPXeCnjy0PGndE8NQeMhZ+h2WUDxTqfhwJgxrk2u81ijiOQKq7GJ5OTR1DooH
ZAsjMJG8p7lp2fQPWCbv5rwhNtA9ISrBfxBG1/WCFLMqJmDmcHb68s7uaLXTFgDt0F4OI+SQIRNH
dhvqlAkR9aCYMwwiOQMdcwFIgG6fs/mnUZTXItd3ZUxjvqr4m1H/3cZZeRJBvndKwq3d5taR4dEg
S122yVMDkmHASpQRtYY0wPsh6YbVHNmbwQD4FVEnawcycKoUVjOc92T7LVENFsw3u+W+xxV0gMks
D3OKCN1wC2T59lVkZvdeUL15qOQH18QUYeOpA8OlAHgRp6VssoPTiCLDSn+BIV7PyW/d8EgNfQRQ
djcO+RvdgxuCIPZxyubcx+8wkext5zrIzQD7MUOitc1+4jGoiFJ5iNm8LwbvzQHSLCEV1Ji0XFn+
Uo710iXzkU7krRzLXdCGD6Wet54YSVQ16HcFvcaeFhyT1OREZOBUB1FFmMjKj9sHWTX3tsyuqwII
JadVVCmEFqMci2ei2DEFjOg9PLbPRDivcR+sq1TexzXK54mTwgQWKk4GlHUoU0eL7DxN9qGFRVSL
6kFE3mMqoFPr0ntwTPuRiIePgVbH2GjIqdAi3PAAxOOkph6Ome6OtTQPIx9/kGanoKyvGE1ttInP
1TXOg69X2sJ9brZ7P4J7F7N+c7DGkkoZrZyX1AF20k6Eo7HIl35GA1pi5EZzZ6kIIl6MbdqGgOiX
5LEb/j4pwkthJteTsJ6TnHi4xtoSfwCRasEhgnG1XbrACplB2ddnr8OoCj4wsuL14F5b8BBH+j9S
LEEMZn3becWOLX8bjupQ28dBSgvQSOpcKQtiWx7eEB09rXqyqtq824oxJVOLribKVGtCgyZR4A5j
TabEFG8nWxJA02zGtDrZCWNvfiYJreFNl8Ky9G1zg/kzIcILxqUYqRyCAYT23C3YLkLQMnrM8wAG
pjJpfHJemRCcT4XxYKPwmaz4VDdgi/MAsYXBWbAkG1lSAa7FBL0vMeZjX1t3Mp4PuUXyzmShtmmS
mphM+d53+tzW3cNogWBtcvOHaOwXnVEHVgskfEBZqgo8X16TsKSWKL7HqNg3+bytCwa2Isr2PmbC
MQuc7VCreZ2F4WOrBY43lnkBp8EfH+MpfbQb8kSY1bMIaWOhzbBKNUV3kKH9OsTUZCB/ryNO5Vtr
8LYzC5EyHE4BEJ3oSxSbAn/BRWMlP4tAvf+zyy/ml8gmMzaYjd+Bpx5K02s2hYG1lBjMg07HS2L6
rpJoftOmj8hl1o86w6ve1uGRfNXdCJmUnQ8T1AjlrAjd505Pr+Uc3NLj26WkRlZDtw+p1RBWdveQ
jnwwpv66y/MRFj3MIxPTcmGXd47KHo2st1Aj9q90c7P9kjTf14OJ6mo4BDWL6aCX2jpG2tGO9LQg
FzN5oZWbJRkmRbNEM7fQ6/J5VQp/0zrDQ5HFmMdjWBF9y9zJyTEUhpl9x5l4yZkr7zMlmdsiZ2rs
y2jQz/2ExdFPkmGJVmNta637uml5gCEssTLIr1Siz046yBUHCqI6xoFhxYRPBrSmaTKhdXuqiHgx
wVa2dRd6eX0aNJBxrvw+2Mx2K62eVM980ho4v7ZU+heGVzxlMCi8AaJAM3ITTMOotxbprF6SEoY8
tL+MDDv2gAMGQA8gG91VP1GJPETm5KyNaoTiKO6MfnjN4xINmEW97QThPhgSmkn5ZR0iu4hQuc9k
FGbXnV+9Ow5HmETg/PaK4aqx5A9e1J+cchsGPxVoJP40Sgoe66gnHAgSyGAZ0f2DhPAQOZ17lkjh
8U+lBtt/Cg7NjX1UZRFQJ5G6EJw7szeH68wKObuPfsjskDZ6lIFLyfNdTrc3ipLfPag5gzyvrOvI
YiA3CFCmWTJgciE+a7K4r4LiieTHjdTesel/1nQvfBq32Gkjn/Nf/ArEnmlTzJDyFcTMbUAut5dT
v84svQbVe9c1DHFyXpMg2OYlFua0uDK76c0lAS1xSwDzHXO6a88yz2MzbM2uuDZi3CvojwIeGP+e
e69pb8xKXkDKL5tp1fTW7TT1l8odoEy/Qc5am4t0gyH2LNw3J8hOxAfvSkzxPdkCA8LbtSRt4tiE
Vrar0NKROtr+rJvqg0MxDj+bTJYeP9mmi2BVNmGTH8dKMR4FyKS9rroccXPe9BYCE6cBT0ZPCQEE
cPG6VNPRbdP4rlJViYG4QJOVkl8a3CQzeFxw/m1Jt5ZQAkV4bLfAO0YWmBbXiqLgDE3vzsx9PMCF
+J3NzLwS2B41ZBQgV3iOpjsbyRlKLUar3NLTSDWjz+UiuX9l9TGzXQZwpn5Rw7qrzu18ttpFfkIR
IfcxwecJKqUVWL0+3rmpsYFkuor7e5D+IZN0wTSlepzdg2xebH2oCmIXsmKj63ztF29FAH/U2AoA
2iNJUG6wBza5tpJs4zfwAbw1wuEBKzAJP517oxlyoVJoXnFlMith6nNRDk+YUmlARu0WPlrZXYG0
sgsQ7/uZcdwSnbGw/3mHELzuBR4BRqdhfm9PDFBRqS4pCees31G04/lNUIXkwXMADdtX6LHvxmaj
OzhosHtmQAvwfIoUzywyzujMgTGl3rfl1VS+RXirQt+j3PxtAJ8kUIB20EeAl6jvs1WMvk7Z0TWt
TT5Zqn5WU5c5n8frawfxKq4ZkxtsEy3frtGeU2R/CsdhxDUjbAIgUVCz0fQFu/nWM9sinbA92TW0
4uJQedwP6NOvoX1sjWcm9USCGf6lfYtxdM30mv472auM7lfC3WUQT50QKjCmwOBQgDSHgRM9T0rt
xxoh2oV45fFYFQHIelMguKSEQwt/OdIZd9hEGfFRaRXR9TL8r6qnkuSAkMk0U8aCyN6C8yFhGYDe
mbUd0nwTOaiTOK9QeONuYdPpl8bzKkfla2ZPMJ0tvgUiy3T9IwyPvMZdu6NzQvKZ7I9jv0Xzc1Ez
QQsvDM5Kefmx3NvmssxP0lpgWkX5I48PdnvTQAnpsG9EdLhW1ch4pFy5+VWf3oTWuEKDZX3UNHRB
Hwj7mpALs/s5zmg+zs1wm9hbR+xkYJJQtqPIuLB+uRTxiqaw5e6Letuj44mXKQ8S5eTs5nf43DyA
gpS0IdzXnMCLhn/1c4KeoY2Oy5we8yry2Vw+Ve3dVH2UCWaS8aMk9UBTWHj0e4gWq3mESXlo4zOV
WY0twfcQHoDSB32Z5xcO/RfqHWQn2WU8DXcWHMYiMo6KogCHDNsg5oRLzV8031fpZe4hJaVkAB5U
8TvgE7j4hdUzZvrZuas1jIOnBhuksSm9g9Ed6va9S6/n5m62L7F/IA/lqwg4vd0BeyJOIaPnZlRr
a2IN9mGPzjAT0wdBAAWoDwaIdI8w/rjALd4wNzThEyfipQ8+7wdnEwXrsUDwvZ/b3RhwkulRZ18M
pXmBSYUqFb37bhFmMfVIFXsDb18e0VdGvijWoqGXfwcDwoZe3r/58b1yLzNL4Fd09vmCzHByXDDd
RjO5bM59/MNI0928QPmt7oKgDrQyovmnrXWJ5aX6zoyrEg5U5V3Vy+tHP0WtreK3bd5GxZ05/sAj
meFYRYkAjG3Hok7IRxK+JdW+sh/pC0oWktHhXQIRkNzw39bKxf9SIHSkgMPakVyZEYTY+pT55K+v
TcZKJZWy6vXWa1CjbCwUpsab7P37TOw6yb8Ai9/kALjm1IHrjsHTRTSdJ4ZSlGGbJkRE14NLL+/x
264rEweGwxApImvKJcNxJ8cfkEi2AANWGvdbIDnAKGrJm1reFtEm8HYxEIZZ3NrjoafrMS9Jbc2j
j0q2nWv2z70ylqHHDzbeMHkL9bYa4QuWT43zVCDwMh6yZKFJ4HFYZbq8qAJFGfwTGlrUb2PAn6q9
VOwxC9GMWFn0DvYewgf5NcLYCPhgAkgEteMUgVmBz6/3bXGOxHNEP0HAlknSM2MxFCZHY4Zlal53
bMhjR9KVs+7bd3ChTns5hlcMsJMCldKmGxDARwxnVi1vaHYbortmexTer3o8hdOvxn4DmVqhzS3o
tCTjKS3uhkGgrN3HixN2PFYTsL3wPHb1bVCeymFekei2S2Jg+rAY/as2eg7CXx6ehjH+EfBZsWz1
wCbM8tSJHbCBPnxEz+Ncx/KGlBuPXw4EyCu2Fv7CgPtT28+29dvkJDOvPfuFEtaBmi0uzfEasiSa
g2zcTikemZsBReDAcsQnRrTllDyLgHYhyW/jjZtzpuWOJIeKsopUkbSBYPNcLxsGnV96oxcJ73fh
bznjHSRRQ+G+RKIznavh0aIdL38aGLTCjtzSewj4F3a9wAtSgA2ldxs0N/m0lZzYfcB18IPtl4b4
JgbktUDpiYhcHnG5ZPWpRgFoAAAERtq1+xRrcjZ7LOvH0Lps5XttvLrGoScOIybfTjpMXjbWa4Mz
xkTd2Bys6JcFRqbLbo3maTZs3E+AaySbB24XZq85X4VDcGbYHhryYQ3De04mwjaAZcbz3lVgo2nS
cnQOg7XlPMUFHIJjrZvNYD+lhkBcdsjVS9vclGSVmC85Ehuf8rwmfA1NWk+UzrTwIE4jIkjc8rkg
weVORsnahm6p/KPBxwsriEJtbbPBpN3ZF2iiaHaxtGRb4dW7Jn9QSFf76G6RVvB6isDGmLBfWFId
HEfagNjTywFJM14HQMfZsaImF+EP4tWK9OgC5Izju9h7LC1UXOaj6JeWFd3b0CNy5dYE8cAYHX7B
njkSC++rNFNgWjYq/qs6ehizF9d76mrGQnuboZxmIZMD++7wKumkZ6D3sXZQ7ZQcKq9UWiJA6taE
wm1bXa8QI7IyQLWcTt3UM40pd23CNHRresGhsaftROeWqpRS/6XgPazHPcj23dxkuyE/Ow7mYfus
c7lvDCDg9r51EO4Am4/3jvuy8PZj6HXox2r3xUqiDfLFVYMaFjfuTJiiLphZdu+WPkssMMjTaTih
msfiy/6HQ6oGegAGrdP3RvDWChxbGDG9CALHiAO4BlCI83oRQ6nhyYXjNITuXhTVXWGFrz6JOboS
vDyL0QxtEzoCC8m41oQgMQv2iwJ/vLhoOu+KKSfxFuPRqIz7tqdR7uHmSBe/RqSiA9yLXUjynBWh
LAaSApH3B4pdSr8MPqiZg7ctfMnaLdeS2YZJDHzI1pMO6aZWiymN6KtRmeVVURcCOqWPnsVLHtCH
AOIFBpWZYhW53r5d5EV5GN6jWWZuitbDjnDAeu5ugtOA77y5NCVQunHhHhgMjFeVb++k7+5S7RNo
5scfoUsDsOAF0m0aHDpZPUwVUjePrvBNJxv/IEK4wFPgEWhfjtnaiLryOW4rDFsTdHbErRNnLa+L
fo7ePzsg0EeqyTsNnnsY7XLhH84YrCVfgO3wRZfkRzRyDqHBd/IQ5MaN6wbJ3s+66ti5iNamJkdI
Ks2rolLP2rJGkEW8ckNW0mILlMUqDr8c4kBz1vy5F8mgnolKZsjoDs5WjdJ/QubAYMFuQaiOzGQh
INK/cY9zBtUfnSTnuXk8ewaGnay03eVu3gyF012aRlCtXIf4KXfARq+EdabJSz01X6V4HTy75rQx
TJcRB700E5hl9LXt0UgMOVqtRI2fmsHivsRK3Mbmm23jouzYPxAOUKGWK7MWap1VDGoKph+Zwycr
om6gkQ9dBI7bqAhPATOQFNMx12A6J/muDXTqwDLZZlu84k1l70Yh7X0d1PsxWqKJ4qOULiAib8Ra
4fB7qqw/j3byHNE8weurDzPFzoRAf7IqZng4w6aFeshW2zAhLzTgybpbsgwShlQllEZTKXIsyCXA
IKUxrUxA4/0w/o0al1RgUlw7eSdI4jRiSMxRC8IsJ2VtQlAuO5onxY/I0Xc92r8QC8K66ftdW7of
+Zy8BxXzEf42Jjoj9JPGeBtD7H0OQ4K8Nd/adrGHG79EHHyEtvFYSHAoHkd727hKyf3q0Ao0ogZ4
V1zFTnRoQ564kZ0zHYLWCEmjZI2b7UPLwT519BPiHaSPXn7FfEswYcfR02YHHIfb3qUs18E+Bg8c
xfipSWZzVIOpsznabrOzTfMpG9BKIv9BfBat4xqwY4uBYlZ4S1R+pjiGCKfi26wmwTxpH6KGeqnx
YKxAHDQaChjxmvpGCxrFwo3e+q5NYrCK9eQRlcWkqP7td/TI72ZJ754xTxywlAWtifUX/qMtQzDj
xM9S1jutjAb2ilr/mjKrng6JNBPnRcnBb0/ailzzPigzAZpGVx3wZCue8O/nOXYGBXFvQIiGOyUs
TsVsz4qXOsRc6TiKJMXYAWfCajTieTeGDv5akidYZ4J4go0mDGyZS4otaTSGkJA6aeNrILWdyu1m
TY3WR5thSDDXxILjxWZq2mzgkDE17026CJLiRnvePkzBAfO+MDXaQfIQA9QgTfSIF6Ul1vdZLNqA
WGFAlE0msn3axxPsLeHjULRk7M5XrNt2S5SZTxDjEI2VfCi4NpUkDKyYIzJz+Nl4KzHUEeozxgPf
S8pOxq30xWjJOzOSIW6xPqGa8RicF1fa6m0PGG3RCrQC2gFkiDqY07FLny1Uuc83atpQK3apFTrO
Va8pMThdzBlT2ZXjeVX1y7XQhiMmLqroMvO9cN6jxZvz18kRDhU6bfMxuYX4S/qmEU0SZF80qcG6
yeKUWR2aZ7/jsITMvEWlxfR+uAx9hYyDFqAbVtdU+j0UVVGYE69t4pv1pVZp7KEdb5PUhoYcR9rE
iGAasjxXHeeqF61oeO6Cpp2yG7ir1FONTGf7nGfWHMGumy36ZU2DculZp0IbMIWHKBHiougZ514O
Sdbn6bqZ2mJ6oneZETE1DCSYQVzmS4ykLYxTptHQftCaptxBDWOXq0YFJH0Moeccc/6lsL1b1vXo
vSkm2+0hPiaK+thFrwQFKIWGPa9sHPrhC4LtLj+lnWmzlcHkxfuQGZqaUHvMzt/CnIHILW5wq33N
e8u7G32sb+VWNcjlTN5gpG9mgEytnAJHUD6GJo/NMRnc3uW177a/HLct8h9dXQT62jKKqdkGxdAx
77UF764cXEeipKxLcVuakDgBfNjx4O2iqh3IvzaaHPRlxRiCvIcpcwRumkp2x15hDBsozAQfE1lW
MnAFdSW0S6/iXgFsn/Ezy8gto5dOFQsP1e48X/7OG8sMr/NAdB4IKSON+1MRofuhn1wteuTSLUbi
PCoVxuzgTLNy/2fQjC3ynokHWNwJ6fasneDaSgZcCVoMIl0HnxKSs3lnsCEL3y3piPBZ2M91VaLV
HJvAeWxklnfsE1lKv5D6oPOTeCq34+BPnYtAUveU0et//Mf//D//6338z+CjuCnSKSjy/8i77AbZ
W9v873+of/xH+f/+18Mv/pvGaW1aSmkPYbfUwrX55+9vd1Ee8H+2/kfnR7boOvTnfrazIJVVxWMD
0y1KjdP3F5JfXMi2LS2Ekp7n2e7fL5QO0ZwGIRjRYij1lhPysJrKDgJRoy7/vSvpv18plJin7ZF9
xW//WTYVGkEEaDuRmP7q+0tZX/8qrThtma5Sn2+fjmQ0IcwlvtW7qE/FGW/JOvoIdsRD7siu3ve3
5l5vvr/oV4/MVp6ytO0Ky9PL3/SXRxZEkR7tGlFQ0xnnqNW7rGdcO8W/OKLdfH+p5VZ9fjscyxHM
1W3BD/T+filOuUVCe5/+xiTPWtHJo/2HusfH05B08bGqCyqfYf/9Vb/4gZaDAccypbCF/fkHJghl
UBQxPp8iZ9U7J6xotHqdFfvaxfdXcv7r77Mcy5WeaXvCEeLzrTSyOrdM2tpm9YtpJKbx6A9XsKyv
LiEsXL62UkJ6nz6wSWaWawVcApPc1tUXaP1P05ajglgZ6/gP7+MXr6MlHUto6UhTOp9fRzuacnMU
jEX9CPyQbUtaKhF8fDNNyj+8hcuj//RqcCmHN5Cd0tbO8rv/8hY2be6KKERYCJN4L2fz3RRLn83e
e0YGSZ8jt8Ds15jOH9aRr14OyVhdMVTxXNv6dD89W/p5EcBfGYXzJNuCacy0mUR/R07r+fu344u3
3/rrpZa35y8/seo5hMwtl+rFjSAtshQecZT3c5deOQnhUPr2++t99dOU7ZhSuQ5fnfnpazNrJ3R9
PK1EdaG9DTtnuJ9jW3EM7mgSoGDa/jeuJx3lCqmZ51mflmQdlR4SVsJIGd1cGKhjDc691VgdXAZe
31/qqxfTNT3laEtpybv591s52ik/YpGhZgOJWw1RRz7pYnPf/f7+Osuf/OmtRBqrTCWVtjldfLqO
3Q4uUHh+UmlQqXoLq9aMme7EWfvolUyXPemMf7iNXywigkvZLtd1JEyKv/82HfnNOMPyvWAQWxcs
laN3QsngqT/cwy9eD65D5wsJjLb/yw5qaPbvyK754qa23WYqn3YmsOd4cckVDpy672/lF49MUEd6
2uMrl6776e0QfMN1b3dQNKAAbYgfim8tX8f0Z/z4D3fwy1+GbEhIh+XEcj49Na9NvEp7eECWVrxc
Mk7bVTo/ZGhwv/9NXz4q1xUsHHTZaQv9/VGhxENH5/CoKqZptQKI6Vx/f4WvXkAsK0JYlm0r6/Ny
byvhSICSyG8z6zSHKaqOMChnuNP0D7G65aeCjJE//Kyv7p+Fg9vEUOewJH56VFmG9bqJGZE6kDFN
ploGPYA24gACOOz73/flpbSt6XxJbQr96WWXlueNXoA+SufnHqh+lehD2F875Et8f6GvHpXlsZeZ
jutJXve/PyqRW26CXxpzeh88dihNOLYfv7+EJb5YLf56jeVv+MsCbxdK0LQyOVqDf/K0uA2HXoHU
VZfuAikhwthL5p9zVfkbWTDcB85c0SL7/q/48o7+5Yd+evmVpsOVhcsfkRBc6stdlPwca5+2WLL5
/kpffdF//bnLX/KXn5uEUxfW0AUvqOCpJkCTzM8CdNX3V/n697gshI60UVN++sZ6zpGxb6LpjKHD
xYh1qFDXGipz9qfF/p8b1OfVnkPA/7/U8nz/8oNmWWdDHvCOFPUUHKFozYfRzXEuj4Qwo2rxNjJt
mh1JJDUGZAefvOknd5Y0QVHPXgA9WTmclSRbxdyX+F4mtOgKx+v2+1vy9Y3/19/56V22Z07rCFOX
M8spEXpdGek2G39/f5GvP5h/XeTTyzzOcWijD2MRCK4EyoyYLv/3V/hibVPatT22cEcK9fl8gvUb
pIZimcntAm3RPI7mj8HSzqOpRzRzY1BgNc/qMDT/8Ep9cf+U1qartesJz/68P/hz69cc7zikdNFz
NFTJutf5PmxQ83//C/90oU9fSMeYAjslF+onhbCowbqGAZlx6b93mU/rtd/0SaMiLsNNRgfwNjGV
QuD+37iIxzcouHdCfz7dceqbzS7naQ2ifIi0/SswkRG6eHX+vet8KrctwyidMbRJ+2KAmboPRYH1
zvvDqf/LB/OXH/Np26F1VLXh8urhlWlUuM+rcu31fyqfvnrBcUBodMumx6v2aekKZVTWPHHKQfMq
Xfy34e9ZPeCC3dXDw/d37YuvlRPIvy4l/r50cdRPogQVLHPmehM3N/+XtPNqjhvJtvVfmeh3zIU3
Efech0JZeifKvCAoiQKQ8EDC/vr7QdNnhkRVsG73mYeJ6KbUm5nI3LnN2msJEZ+5rSctaJZmMoWj
Geoyt83ryYONgi2zPArO7JnVGs9/YxFvTCyuS0ELK/e0+dN3zs+pifZuC0n7xzZOfXkPr0OG7mqu
Yy18J9NDQVkB5WNiuviixPm3in6lVptnikYndstRYT+Bno748KgSYFkJo1EJ32Nwo3yvwSnM1CuE
2R8vZt6QxYOFFcejaqMjGrB8GzPPTvLIxAptXDQnYx/SZLniHUORD/jsx8ZOpK/I1ID0I0M3iKAW
X4fxBEPYIQPQBqD3XZ0N0U0VMJEelJ6B4Dj8LxB3OPugORsCnLO88G9dEXst5IcVj2wqP0VppF93
FhVqJwA2AeFcvw1bRvcayB7OrPnEZ3QZGfAs17JVxgUWljMYG2T+m3q9l89CTFvZlGe+4YkDOR9D
Y/ZGhuctU1nKuk3kanTjjYYJYJFAUzZ2zUsOl9H64w94wh15mqY6huVygbVlBqYwis7UANILXaPB
8l5O5l02QKcMkftwWTmNRg8tokv9sdUT68MqVTGNNspcSHrvmfIMsHiRqtAEDwUEDZ88F5F5+Cs+
tnLiQ3maTmbpkbVwSBeutrEIHtQEKzZMly6oogBGqY9NnLhsng4DEtVt+AYZ/X6/kAFytMbSCUS7
mR9EsQoVfDosxxBPUXtT9L9+Lt6Zm1f8JhiNhea6XUyQ1yF1D+80M6cxYyH7v7Eots2YQyHb0hcP
4UTRFEQDVsgCJUNmSHvm9mci2E3Su88f29JO7SA3Br+L03KOKhtM7XReWBAiNxsNGhDgR779km7t
NaM6/vTMPAqCe27jh+tzScSp4/HGsqO+30xT2o0CIAx3zBR3r7orrdd2H6/u1Dl/a2JxAjtb9zot
n01UwHEaiCmDGpxyeOaDnVvJ4qE3KGZDh8EbqWfTzyTAnhi7v/5GUvc06eJ4lmUaS5fUWa3SKyHP
SpnkN4p2V3vTFUN5Z3zryQ17Y2U+LW8OeNvnsh5LrISDA5z6uRnzTRr++virnNyuN0YWDjxvApK6
FCMaPFYQ84grPWn/+lv/brvm5+vNQhKtbYpo/hJwzM6UE/VVLMfHv7EOngnVcjyyJW3hfJzeIJSc
e/xx/csNXrri4X/33194G5hL4gyoFfrFRvvJk+jWzWjXj22ceMapMv5nDYuXIBkrPEPAGmBPRllE
arcqDJCjBumdgSAebx/k2SCpP7Z66pjZHg8QIYtmUqd7/3U0aXtw/WM1YLhESxDWUBm/kOfMnDpo
b8wsPYwbyDozSzawGF80lJjU4MwpO7MOZ+FflKjPFJuuP5OcUEWZlxbkVF318vFmnVvFwrsUMVMn
6pwZ1+5L5URrAvIzh+DkI0B/0+UM8944y5CK7CG3y9m5UD0P7tWN+sq0Et0lxQe6O1MbrMYruLF9
yFlUb/3x8k5FQPSnHZ3Ose4d9bP0jiG6NJ67E7OKZAxjc/3dRSx8Cp9icaZye2orHcqNWDJMk4L3
+3MXtc3QJkPIdCOROG1B5sKzM8s5dSRotvCUshqXWv57E201lkKJPN6CurxsJnUbjNDud+2ZSOTU
s/3GjLV8PLUJ0GiGmTAKDgx3sl1oNmTjQUniv3HI4QjR0I+zKTEswxFn8gLTrPhAbu08NUaOKiuE
vt3faB95b8wYixW10jbkKDATy3gDymSrBd5maNUzIcFvr7zIz97ZWdxZqbSjXsznLWo21a/6CvCS
j3yK31mX3q5YM9l+xuLJQ8f0mUWmptMBWRgMc2Y3GGEEvqw81f08hphtPr5C85k6WtIbCwsPIabS
9soWC46VfRra7Brqo89thVRKzaCxpThfq75wZn7kM/fp1Cmk7kQGwXWi2bI47GGYuKLII5jdJvQ+
azW50FttD+QLKgIkTj5e5bExl9wdBAKtRZvuzuKAlPqU2HYM0xtOTP0mDfjd6ngmOOQuiBy86zyr
97HJ48uMSYsWGbTPKk25hb/oQa1ZxBFQoTrhvesglmBP0zoHUnrG0PEZcSni0Il2uAJ0hReGTC8c
ZcCg4Apg6u0Qeb8gmbLO2NDOGVnEREUqRq8QXUWob17Y6T5mKGUDfddji04GdCXoKq4Z4TsTuJ5A
R8xrI2GnewqOYNmvtXulUKOWASFeYoesgkEHY6VkgXpnIor1YNWa/F6UmhDQgMGTwxhensBmBfPG
KrY8ca7+O2/l+8vCPtPbohAEKuoI7wImzzKzHswy/3dBnGOvZJTeiSZ8AOqAbHR6JtY5jrBme/SO
ObMMyBuLXXeBmClxBV+OnAL10p3R8UF94yoMq3Ds2tuhQUUvM5z0jFM4dV1o1VEVAsBhHzVcAa2F
SZhzpArDOyDvttKYY+sjFSqdcwCzUwfrran5V3kTbEdTmZpdiqkeWURAIcZnWPXOeFHt2Mmxj7pN
2c7UaUou+7pWzfgstCEQPe7EnTmsTGjD4JQNUYhNvKtsZ64HX/ORne5u++mqseSqt9GD8s+d51M+
YUZvUHNTcejLqwpsz2kcmGoZZ3d1ANNV6w9leKWcDf9PGpr7vbPrAb83//zNrqLzMTXAEInCggDS
NqYQVgkS7yu60vmZO3r6TvznjC78eMvMYcxq8AyxZNyrGlQaamArxlDuVEa+m7UYJCS6H3vXk1Y9
E+yBS4VIXz6M06gp6NMCh1dC71uXOLc1GoAjEci6LeIbQDT7j+2d6AUDTcHJguObsWfL2Iy5D0UU
joRNI3H0G5BUIUNiVXQBdQTUi2VUbHorjb8ZWTf6c8vFBwxOPDo4DZJfMj9zQU993ze/zTKEyyYj
gYSU30ZN9sL7CqcD3NpntvhEtPNuycsanCYb2B21Bu/DyOaqhU7at9QVyFRdW0cQCfoJM3Qb4sgz
Wz0HNUsv+3Zx+vvDiwCfJSIHu1D4/TA3EIh/qZ+ln2whZjzzWU95n7emFmk4mLQw0mxMaSW0yw26
KDltsTMLOuVNqRbNeKO5zq4v1mMpDcUq0PgQwNoxI65T54sW9bG0eQjr5FwX9uTRAFriwBRjAHRa
vBnZ1GVlOPsYu3aRIVSqyz6CTR7AuvY3bj5P078tLW5+zVh8HVfUaFMv6ddqUKUbWanDWoHzSQz6
U9ja1frjs3Hye9GqmOEl9MeWTSsaWVMIFQ/F9YL97Ef3upqmrx/bOLmBhBwzsgTc4jJnqdU0j9p6
HkpuZ+B6+qJCBpYX8kz8e7QUHiMaL/PrbgLVXdYxnDZsKdZTxKoDUwk3bWqLhzbNu/TM43fSjqHC
+wEax+LdeX+biJAcEObQ2oI+C+CuMJBsZGq9bKvrj/dNm4Pod/eWFTlEDfhHj5LwsqMchoXm2j1l
AKEGzbYZixqu2i75UdiGuExsxkFbK2ZoeByhUraZju9zRiDP/BJHzmP+JXR9joUB+R2Bg5HBEsCC
2dZKQ564zZEpjOucoftpMPd0fuZR6c70g0aDH2qaiffszoJvS9HPXY/T+zH3LlC7VsFhL26ipmp6
4+YZ6ljSNiCLnxRUSyJEaGVkbIoODRY4WmCDRFpnbxH/PmdwIZ/5+keHWbd4/Q26GzPajMD1/ddP
OyMGVEbE2nRMiWtuf9FY+cG03HMYs3kxi4//ztDCyfWJ16S6hyEQBKFv5sZNBVWWbffMSMVI2MTu
k+VAK/Px5z69PL4367OOOxBBaTIWahvVSu8SZBEEyZWdhjNbjRNv/lemlgXBPFJCkZqYqiGGKbN2
x/z1BUI+Zzzc8av7+4v9e0nLumBVti3zVcRTAQKAVjWIqwZGu4f6si3HHmXuNU+/7juJXm9KDi0g
VhUVxWjM4BWuwqe/sWgo0ziqrnHcOZgkBEChQwKidOqn3hp8q082Y2vcf2zmhI9iOILUFTg/Hc1l
NBeYgzMYmQvLioYCZP8yxecgNactmKTHM0b2CDuN9KtRJp0NZwlibalG0DIJ+frxKk5d+LmZSGdU
Q1UDaMX7y4ZjURqnnI3AiYHIsNE/JHn3yRRT9ABy0L0LGXJCfhWdvnvqZdAwaIPsyjMxzfFNhJyP
KqLKdQPR5S1+CyUTU1G6LuowjAcjFG3Atqshqwwuc6dpqKzm4/AwnQUtHe8w959z4jGhSt3fW5RY
0PTTytAM6lXbpeJLGlG+zNvI2368x6es2JSLeJeBrQBdeL/FAwhg2w2xMg7lXRAnT3BDnTsrR7mF
PsOaLeZ16JjRVp9//iZ5SkQIa5wtUFhAPSBKETfwvnh5djWNXyfl58frOcpM59tOB4h0nVErz128
zuPQdHB2EkPVtR3uKm2XKc/JZc71r1uvvAmlN67gMlW+fWz2pN98Y3axxNIoGDxUMVtkMJXPDA0Q
ZM70oh+b0Wavf/QqvLGzeAJNGTA6PU8tu2pJzpBDIjJdW4V3kwbJBppDSHRS9J0HfdsH1lpr1UNa
1mdq0Ke2mCYBcBran3ME/v5zmnmSC2kRLjbaE/Rm1SVBK5yo/A9StRxGLBemFT2CJIZxh3NjMEex
P9/XUUGC6JifA5P3xvUsTLtG8jmnTPssDc1E3Ch/aJEI9b0hP4cVPr4dWGOIyKTEoZtgId9by/Rg
bLL5Oazq7Mpz5eNUZufavMczbfOSDKRiGfg6UVsIMncaY4Yo4SitBeP7tlVej5oKp4iZFFc90KUX
m0HzL0pUDNewqKkP5tiUt60Nl04iIAFwAkIxvc286yr18oePj9yJy0vdw6WnipM4hjWWukCtTctm
jrOsvbKQh2WGu0AygogPCRVKvkks5Ppjo8f7Pr9eTEgaLo4XkP37fdfztlHqGiYUJe0hsjAmDWSH
lR0+tnLq0r7d+IWvyHqziGTMxo89NEaDBMlbf4pC70wcf/LIvvm+C99ghRbjWi5vfj+zUtEOoD9k
rYHWAhUdhjM7d3JNNskJrzJAxCWaKELhIm5HXv5WdaCWrDcxlBrg+f6OGYdavM0dNI6ejazw1IqJ
AQIMSLB4/7Y5/LfC+cv4vflqvDEzr/bNy1H2cT4hTAUiK5k7Kj1aZSMISPCPxeugGOfKicfHbjbH
QBhAKVtXl2VNR9NsXY5etYqT6Ebtxk0q4uiMCz95GoBizZHZXLxYJBCVQB+pUqKaoQCh7awyeuwc
9SpJienbONfPfKfT1qAmmZNV/Wh8JBZCrxRTYUXIUa0iLfqsdMmzMKxv8q/XEuYYycUxz+kqjZrF
yqJqqjJvEui9dBCNOSiqSK2tNh/f2ROfCM+Am6RxDKxz2R3XIKEFY0n27Q5Te5FI6N6g9inPwJ/P
WVk8s4IRrCDLUz7S0NxNxYCfFX99IcCHCGxpTrvUfBZeQbRZqsmIqHKEX8cOQlrgzpl60olV8C1o
0Bk8XeYRsjAoc2Xqe2I7tflhOE+Bfq5TdsLZYABQ5kx+o4M8fn89FbVv1ahmDbl4SBMIBgO4+5To
zBk+XoZNv5tiHx0iYtRlvEFSVvHYJzwG8UMlfphWeuZKHi+DmoJqczvYLQrgi5hiZJID2t8RBdPY
MW5aRTHX5qiaGxEOcvvx8T1hihoKvRGHErtF4+L9jqGARnPToLGGApJn3VpQRuvQ4H9s5PjSk7DM
zsViilynrPfeSKvGjSodj9NbGxPcVGRvBSi4GqESYeUMVQ1TFJ3prC0iU9eAZICjxv6R1jISvTzP
aDxV3EvyzMJpD9KBeyaiOoG2wD1g9ZWA5XeA1DAep0OtqFsX+Z4/kX//5x23QvOba+FHUY51jOTN
4h//+zr+URdN8Uv+3/mv/fuPvf9L/31bvuaPsn59ldcv5fJPvvuL/Pf/tL9+kS/v/mGTw8g/3rev
9fjw2rSp/B8WiPlP/v/+8B+vv/8rT2P5+l9/vKCVnq/jRtbxD/nHnz+aaSOIdef9/jfPxGzhzx/f
vGT8zceXnH/j86/rOH858VdfXxr5X38opvtPYA8O48ecdZr3f/yjf/39A8v4J+wGoErwqN7v8ZU/
/pEXtYz4S7r1T2CODthkF68OQQreECrsf/3M+6eB/1JBHYAsNmzD+ON/tuHuX3nLv77QaXKM5YAZ
V9wB+jrfdo92Hjn/+5M7QflTCVRf1+bO2I6v8YXu5+vCn6FPyj0oIb+8FjsVRZ7Nm9368xd5y8qx
cDFLu8uHP2uiUOaDWqyTEWJTo4ZcHGTWmTjwdy79Jnk7srLwM9oUukE3r05A2reStzQR/G4F2+NN
9lTT/El3YvfxuhaliyOLCwftRS0MISoWp+wJlaNQXDRwGzWW7fM4+F18xpy+qFgf2Vt8PxHLcIzj
tliPF/0GsQVvC0nrvtpl11m0D9ad791nT3CC9Rv1MshWprOyz/ihk1+S5j5efG7W2ItnldrA4Egd
fY6R2eNNSqQC77Vx5rjoCw/7r3X+x4q78LDhAAcgNPswCW0SeHu23jbcG3v4eZElfoLF5kLZIJOy
VnbFk772dpafXuSb4Roy7HV1JhufX4yjQ/XmV1lEXdDppE5rimLdg028z4pebFRH2vs6MpXPH5+m
hSmaN1xwAInk/uDTreVDHCBfgipTm63DOFN9W6sDGOAiHTr6YPr5sSltcXJ/2zJVjSoDRDnzOMF7
T+C62QTitszWct1RW1ghxtZPK7FGTdh7yQ7ulvpHtWbvfUQCG/8s08yptb61v4gAUweifV2JJJpi
d4ny4EEfbzx+vMZTJuAnAWNEddMA2/R+iSBfNDML9Hrtls+aeQjKp0L+tcPxexepuUEKOPMXHFVp
4XMra8OEA7xK0mtE2T6hjAFT1Lmkc3HplmZ+13HfpGnw4aY8G0UNJ5y6H1To5jTrjPNcFJ1+myAR
pCYA7IRodlGJMax6zPvYxMRBHrS93PdbKDD35xzm0kf/tgM5x9xvU0k0fiNf3iwlqrsSJV4v5QXq
rkx7lW4LH+jj3lyjgwsm21f3xt3H5+B3yvfmCi9t/vaqb2xKc8wT2OvqNXrdxb7dUEKjSY9CpX5R
3GSbbFdu5tdP+swsIke7Cdf1mbB04c/+/A2suZsOsk53F347MtrGtrsRYnLmb1OUOfseIURl1Z6H
N89PzvFi/2NqceqrXjWS3EAKu/dVf1pHfrULN4gir7xdt0NQ+cwNOHU051CHqvOcAS2HkoxZLrHw
4L0vYqgf7Z9T3/gff75l/e735oGbYW4MHNIceb+/x30AbsXp82ydXrUXKbpya5Qhd8013N2wpPrJ
3XiILtwz79yx87ABsTLcSA11HhtbxBIULUnAQ1RKp87ws/6+DFLUt8+VD+hKzY72/fd6b2gRQiC0
irQ10rtrwu6xg4ZCQerQLZ3pUz/I9M6SFrRtQzH+VComYOgfjpepNwFfd0cTuafMsH+BPSg3Htg7
uoqu+K70sXeRQJMp/Nbr+oNEzNMPNCX11ao3Nl7qyq3TRmJPTc3dVHlbX+RmHF1P85BCnjv913Rw
+zvUj6l/Vg0s6HmvbAGqFggBhvGXMK768SediKKEndIMFQ0qq85FPYsZEURS/JznUtxVioUavCyA
OFlRAoFYGoW/GgJU1LvRPndHvXrUkV/ep3bpXSH3Asl/l/Rbrw6Tq5bW5fdEFTBeeg36S7Ehom3I
FlB8F0H3OWVgmo8/TNtWrVrhK3PdFppQTXtNKrtFQbKdoBkWzi2ijtplq6bel2ZC2w/2xiL24TvN
1/zqw0aJS3EQdu1ctsKOacTaKGqaiWtciDixr3IVTjxTn8V+hzh7GPMO9v44NRn+TNoJ3vO4VB+6
FJ78oK7iqyAEh5z2vXcDvKvaTrmu+qU2kiNWecR0m1Vc1GllPLi92lxRSGw3umHnqNmViCeURXCo
ZtnNyB46Hw5eCPNTfVb8RjJ9yCCpbjzH2cRBnV8piGNv5SxEpkPOeAk7IjrBjgjdV9KNZFsEyXRr
6bNyUWvAAGKihZBMnfa1MVRxTfnH/ToMfXI9OQM6u46noGyRaUjLEICAjKEp+KB0CsTNlaN9E7lM
12qLEIAyoJZhFg1khmndqijwqv11Fjpy48L190jLMP6upIgx2EM8PEU1xHgxU9t+7/SpL6xUQH4i
1U9xwGipzYFES3sSOaM4WVG8OHSDL8YQ+ENzmYh0dCCkRglnNY5J94IEooTyWAumnZcjpFv3ZeR3
1UU9tkj1tu43A755j15+Fa5T6o/rulaK3WS49XXYeOqh08zkNsvK6tka3AFVljq+qiASpvEu5U2r
atSiIqllv5RSFbBQgvbGRiMvRaqU8GzPPL224kKhrthoonnltDISRK7S1EGoTFTWxtIG/ZvRQKFs
By209EngPI5p7fhlhNh2OJifs4EBQ8KUCBaWOu8gmo5SH+Emax9Nk/l10kJ0AJyceCvwUOqbx19A
3ABwryfNTxwD7Qf4gKMtA93upk9ncRe3bqJLkcUSLK+VgOz38rG/8UDOQPQbJtpNaJcoAQiDYfZZ
k6gKrzu90X800+h9U7UWSZLOnpAGmvpNNqGyA8da1V0EuSV2WdnmB+Y/p0u+Dvjkegziy6ktIo5q
pHYXyAM7D5EGUyqEuPFzA+vlnacqDeLlYflkTEb6Pc9achS3AoWXN2kR+SNazxuj1uHrlkiVGIOc
1qMe6RduHslHxcpM5NmQqPFNULHGOpMpjMl1CrE2hDyXqEobv+JM8I2ZMXagVzKCeo1SnUmiMGnq
o4tq814vzU/GpOIzXCQI6qhEKj0p+idDHUwIg03U5kstdp0WaUN9RL9PdD7S0u4mzaJmN8Cmv5kY
P/yO4hyFcbp0KLJoWot0h1t9H624/qbXbb+zGghkYzv0U2Gb62KUuT/ROLuMMw83KnpHydam9dgF
dXNdBhpiUKlRPc5zfLsCT+vTgZklbRBlmuw6Qpa7gh0/CnLfCRXjwrUC+SDUCG2EXNR3SaBHV1ZV
uIhGuOmuUaD7bqEX8TmJuW+mZbJyYOe8MAInR8DIUC6moGGizSpSCD6HWTLDMwT6y9m4z7PMuKnh
weWEFNaaa9nsbIGaE8II7s4u23qnFKGxA98wrTonDLYTOtMFYnalvo5iZdxOuuJucQXFdUs2uFcq
D4SyDmNK7urKOrIbeZj0wELz1ht3fSkRKjVEBQmBnq47+vv7oKodXMaIBETv4Fo9pdjbViRuq7zx
1oM6lOhsxFr5qUNB60rJjOY6DgrtzuiyZq9FffA1x236jEhkM9FN56dlXO/1qekfZO0Me2h2070b
DO5+yIvhwmuD8Y5q87grM4DFdWqivSt0tNHRwbuWSu7dNEOU3NFAVK44OeGmGYzo2u005XbwUrLq
oZSIyFTpbnC75qk3B2h8lRHtk7CCZRtO4voVztHxtlbq5DMCtuZ3Sc24XxVJbt8qklet6lN34xJM
3NVMht8ZsP09VErrbAq7rjZdVXefUVsxP0Gk2r2KOpsebX0cd13URLtABAA+E/WrRLUJRUKgYT6R
BuM11dh0uyEti29tr9j7BNDaIZAyvUaj2vwcNG3t5/rQwwVsRgjjWAoSWyT1F94Efbgr+B6ejYJD
VzWIDhjo0DJKPvgjICW0uSfHWVWeE1xJCNVvzawJNajfLbGuOzncwA6ZfSV8KrcOTaSdXjLUHOqa
jVZsMq6SrlT9vkd/bwj5PRUrnC7JlaqNnSb5xk21ckZhgitBfyvnm+h5KvYaKeG2gwj7iXAv3OWM
LunIjabW97jIYHMu7Sb9Hrp6OYvaWU3la0KfvtY10Y+ZKI6KjKdWPzRdON3GWpJs4RaTvwpRxQa7
1xWfy5y01588c5zopCv9TRTQVSti1UDtom2/KRUc7K4q3WilKcK6Z14G7R+v97iOXnZriqH6odAG
1sHBpR66AYBjHL9DuPhzHfAs1JxbyLEthNwrG45cqzO/tXptXHpoiqDBN6Vwm/ZlZaxQUnMva4h8
f5WNyr23O86KXQiImWW0Najsbk2hdZcCea6HHJKLbTiK4FbAIrqZPwGE9p6KElQerDNv7Pd5OkQM
surBJ0bpg+d2CrvLSrO9bccA8kUdoVYFXWF6SCO0mgte/g0TVMUhb+Nk5WZWvB9SNUdaICG1zFhT
GFoTv1CLBGuqV3CDD/V9MqGA06oNN9BJZLtmJE9e1lPXXOpwm64VoRmvHuMWQ5egGhQ44rKPDYi7
w6GZLvQGoVBZ59VjQZv/xrKjfCsrrbpM+pwBO7swEBCCuZmYz0bvp0rG4EVTZ4wzle4xX6F3iQsy
k1Er0eJ0h8u4iRmkN+L405B5rVzZeRpeiTaqHhgMFPdwKYlvMUd9x7SJgpJWH94kdp88CuBnfml5
NxWqdp+tkHyJzlAV74IKdTLThVSh61NSw1ztqPbYhFVKYaU4EgfhirISzcNQpsmXeQgsW3Fbpuuo
0zkMIbzj10ERWXszL6Jtk3cjLM8l1CC1ivp1X1v9k65zN1fQK8oXCf3boUlT+OVNjcguGKqfWZBP
6EK4zaWWF82NSKYCh1t5nd+HPeGPrNsmW1mZKj4nQyFfYG8vki1yPRL1tMSF8MsSWf1pRv03CPp6
Tb6trcZEmDKqjRUAYjROFCNBQzxTcvdWqTBSh16EpHUtXuPGYlB0ylBLqV1p3DLJlOx6zSMz0br8
h5M1ho2ARO197etRk3B/6WgdJI38XipGt6ta/tAA2OC7tHpxb0wx0IUiHxQkUIA8t1AiruHWrp6J
/tUfQe+ZSD/lobqaFCn2g1MNF/oAImGKaHS1Jky5RWdYFwDr0ZmZYvQHBkdfTSOiS86g0xJLZQZo
YRJIXSS/+pC4FVZudyvg4H1WEJVbi27od51mDTsn4qmEpAwATZEjvFKgUN8UIawZnuwebbIa8p46
v/ZKg80qbSqpHb/FNNTJlVSS7Cbv1f7SHTW0LmM2Samks+XXK+9rEgnUvgMVwaE43WhqQv28RBJG
Twg2BqhoNlYCiWxkimhjNrV3JwY0v1FoRL4sSBhUikPmBSCXWXWGMuDHBu8Q0XPaKZNLpK4hjaVG
XX6oTFWscyWz1ygcMJ4ccItKq1K2RsXK7T4ON7UI0b4UQ/kw2u2wsWq1vPQ6D0USXRBUCknU2FTm
Q+m4w7UQFSe9asttwAQMYg2Vg+oifPAby2xMRFa85mvl5i4+NUq/xRAv3sBXFX2Crzx6Jg9BWCbN
enIHQ/81jN34M1IMZ76hhnbfmNLcq7XFSqZAue7NzHtEIosyhBYE+xbJ6E0yuhGqkjlhphiLgzcE
YgPBG2rhfZNuRsWIN6y9D1eIR1YopYHfAXuIrjSyhpz2ICRLi/SQDxdZVPikPrkPmlK3l2WTs/Fj
moc3ViXVB6QUqIOTqX5BkEcAWLNRNOnt7/2EeIXlVcahy9GdaLqpuUe6SNkbEiRuFWn6Ta7YHTzz
gxP5KTh3aEEM5GGkZocN1M2x/ijH0n5R86HcBZODODliEhuFsuqXJJjCC+hG6/teNfvXtjLQ3NBl
k31rZ8XGmdXn2ZGdvB07XUV/IvXUlWiN/rYLe+VzqEZJyyc19G3dShPB0r6OH402Lr6TJ3brzsk1
uabZkd24QaJ+jqbCNbcyDKlUSGEiE9Rq7rc8stu1KrwJFtwp+iybKd8HDvE7yqJhs6mVkXqvbSWQ
EkyOVtxMRTRtxmqSia8MInswplFZa+C9JbzcjX6HxDUKV67mfR/HUPEBD02HgrNDVF6O3PEirv1J
TSOYaDz3ZqDIDV1okD5qKcrBq6wQ4XOeFAZCq3q2rXUC+4Gxo3U1ToR5kOkWfivyaaMVmrhXdHO6
cglC192QjLc5/PNbhJzDDvFMVEJripg/XNzooQhltRUlpMzw+AeHIHSHQ9B68B/2og9v1VD19l0W
j7+aODMtMEgmQTB39s5ziwlJecgANl7U2UhtDRN7qNukWlFR9ht4p7OnlOrLLiiTqkeFIy1Tsgkq
Rr4jjHhdAxPcJAHX1+cKVls4jaZfk1pNl3FRm/5IW58eVKHo9yWaC78CtCxeQ1WkG0SFiKGGJAxh
buxRiqwS7zV0NWoIihZ6G3WIlMfKMFE3SN2UtCUovtbRBNPiEJBhFZQFJDHAk4YK0HayRo9IsVG/
jHaTPCM2gaJpb7lfDETlH5XAyuFOzU1eDfTXIwhvcnjAMmdOy4bYWVsCdSQD5g2kWh2DCosVym9N
WKTPKthYdnYovxZOXtxUOSq2URnp6ADEUU/kZfa/zDJCQy9KUDOxu1j5aQKp3bheCqO6GtZhiXSQ
DnBZd6RzLS112nt0y/ZFUOtfbFl5q9gT+W1A4rM1W7e8SrvY1FaGmmR7u6VWYSuRtpO5huprFIMR
zEJtuhRGlu6TMVU+V0WKTnU9jur90FX9M5G/i/hPoo9MizC6MDIs5pu1VhxawwrvEzV27kCdJNd6
aip3tZYP2wRKIuTHq+iZZLbdDoxdHuI0SPd5O9lXCFm7P4bB0m5IumLy86C7LAozvquqHiAoHOxo
MAdUtgxddt91Q7pPGbIa91YQl/feaMurtBzcZ6ULyx9D1yK3pHQifU7dHr3RRhIUZMxUoNIAMWpq
lDDrUloJr6i2ieuGAft1zWu1yb0c4YvS7l7QdKB2klXt98KU6g+Ap9FV53XmNjIS9M8QLto0lPC/
dV7R7FBDSjflKMpDmqTlTcnbsAnadDhoUzHdcXuHGw42QWrgjZdVj16dpPpqwXsAZ8DaCxJ93zVN
lqzrKjMPvciN2lfNwdyVNCAvbC3skKCJ25siHGKqGqaakadZ2aviRIRvDDZeuFkl14YjBlIvnsRV
rPC5V1Qfhu9I8U13LV75a2GVLH6cNMS4XQsog9uvmb9ADdGkLmeoEaCXsTafUtudLjy9S2/CKMse
Esaqdy0cY5+QxerEqgkDuZOj1F+cdrK+IgTffwXLG+wQjGYKuxXeLg0N6UFpPTZr9DApI7Y2+oct
UlGRUg+P6LUPX/QOF1rbUtlVoJ8PU+W6d0gX5RdOnOlPcDobB2MK+gf0LK0vGeOVvoXQBR0ZZbiq
6WofXKSfUDkywvHanYLp0spEQEKkaL/wfdFOGxRxNQrXWY1JKbepogF1x/BeKY3oOa519cItNO/O
6/XorqkYymxsdfg05mZ6sPshObQ8yau6HCiLRapo/QBONUQmR+XgjZZ9I4m9/x9755Fct5Zt2768
OjLgTRXAwTH0TpRUQZAy8N6jXb8Hv2N/QDf/uyR4goibr/oqGZkpSpt7Y9u15hrzJ+EUXHEQi9zI
OULpaUjKW+K72PHGUhVdEfktX6wKE+95zLo7iFv1j1qacELo5WpfpwWbihjjncu5mO1lqZFf0ItF
pyAasn3fTuGEZZlp2dqsd9486ZGXSBk7oQIdTGET3mklfNy86otLEwedu7YLglupyZo7C5diG8ca
TIZ7kP7tPPAQwKLkKOLJ/KWSgTCXM6anoDEUT7EG9anQzf5HMyjTbdaWyUOZSr0XqGH2RTem8Iro
UrQvOivBsrEVd2ZgpK+SNl/6c5yCsCuxnotb/9SBonwIAA7sKgTjPCU4E6+VgMjsFPAgbbiju3I3
YRZTaos9bhqeuGZZ8K0i7dQJKt7gIh7NoVjPVxMxyptw8Z6NcVDZdXNtHrAGSpzAEMMrMSwGfs6X
ZFvRo5qCojZfzDxjB3+kbm+G7Yj/Q5cpEliH3ryI1FLymhB7wIT3FhRdqzlqUii4qI6FQ1SyncVK
H5w4BLN7xjE8qEIquBa8ADuai5SKnuk3vAHRVk0heUSJ+jtHzowz0dhxaR+481rBvJ/lWLgKzVa9
0owR+IHJte9IoBpIgZiW97Iwjk6QSYScwQ+7U522DkHc7Gj0YnnX13F5aTWxsYe92NjyIC9Ww4Th
+0khVSejPcLmWL3E1Yj/poKYzYDpOkYfqq5eGYHDjEUigC3NXpfyX3EVBve9oNff2nYOQJ5YqhNp
Wrsr68Lwch+PNU0ffsoDJpXEw7HDmmvrWkJisR8zYThFYtRfzMzjvaEQ/BaITLpDUuv7UbcUOwhw
QCzHxWwG8O9yc5p9DMMQinlRWOQXXaINtzXWRbuUt61LVql1Ipnoep3WA5ERubgMMwnD19SqDp1Q
to6v+u2t0oYWekiuH8lQd04RKdEtDuLDoRxn60JXCU+FEDuOlLQlG2nZD9khGPioIdDsqFTlkTt8
n/sqI2bvgsVyzfpexFVbf4VwwEPwZ9tvtPQhkfe+pXWOuU/RCqSkYpgAP7EvGsWvG2m8JWP2LtG1
amCVxitnEulGbNCA0O/n8FpNvqqK7ObGK4hS7HoE8hcPmq85gtE/DFtFRiv9nG4sbgIqBUa6BKFi
EWKtRrLNks6Sg8rVRPWqmPwrkSOCaGnVUeuAwbtRpdeR33KkTweRI6psdp8PwJkBhp4G0OGPCEw1
lhzxmyw0yTa/Fsj0uJqUZ4TKhp+Bv8XIPTNdAChYXHSQd9HRVTKxMKoGp7WxdJHdw/KszBdZ8r18
xGG2L762dZG7/7xT6NMX2eiSzl8LdQxqV2e/lABryinBhSE9KPV493kb5z6dIi+SNUNlBXzQ3Itj
IZgVF7l/p7Qlu3KyvbYTPWU3HarD5619SPwyO5Cn8yghn21gI/L+M5WQfxotBBWqJJcF9dTKadY2
BAkftDdLE/zjqEYMVLHy6iupYV+JPiwwd9Z/ljGeXsF9kJ84ZTxTFNy226qols9MC6TjEiU2ywia
iAjfTb0imEkAlmnh9j+CF+XHiCoAGM5RdcC2q3bidJ6xmy8Iyd8Et/NOtsOdf524zYP8bLnFxjL4
U0G02gfe/TLLOnmzDnwtbEET88vUbvFl0Zr4++FUHkuPW8NN6BHKsyMyBteTC6TnzrzYdhU6sxIp
T6auEgbcGVrMnFQxOluSRsBAHxGqfA2jzvnHswg1JwLkxcUCxPwyy950Ms/CMiB1nLt5jjS4v9aS
h2DaAl6c68fbRlZTtZ0bteLaTMYZZUBr4jlsbcFSzkxVXhoMEjQf2ALKSgYRtLGeYEvHJVObf0qF
GpM6nXAKMp61Bia/WMo/2lrcGLxzjbLMKUwh7bYUNr4fvGEIGrNTmCFD1ShOhDACk8r0YhjGX0HR
XUSS/KUv5I3z76PMhA9mLcgdaMi0K666Cp5VsNKwXDSHrYAw1vLwzrzVb0x4gIRGRDfzAk/b2D83
W10vzVmokTrS6uAMu5ZMJBo87bpxJ5fby6E5Ysm46ar1p7xrtQQN9je2HnpqYLz2foCjtpAjYw4r
1/8uwXI8qA45GvEUPmJhvRccw2ncnXyTBfvkOO9i24nc/po9YWMn+KgFWwQ2KKU1uBjoesTVd1ba
TJhmUav+aBCH6+EpdBPHf/DtwMm87MZ3tkb7g8htaZA3Pe4kQA6AsL/vN8WTiR5OUYX4LDg0e8Lb
nurVm6rgM0cIFVtg0Q1uHZQ1rxb/lJg8gIUGE/QS4/sejx5MAs0rOa7rf75SKEVDa75cDz8WBVQG
rlAqoVy3EC18k5WnKB2uuf8+aprM1XYuB+6KW7ZeZ7YdBHwgLNnXlnNs1b1YzGZRSRnFSJq++Er2
JR6Vw+fb57kmyBUq1FRRyi+ti7hircEZ2CgqV1jIaLpsfSHVv9HGua/0to3Veu/1sKCyCat6WUYm
ExWnsL4k7vl5R/6UZayX2mJqKLN/gli3Vq0IFtlJrUsrV6k68baejfS7WuXlS9wHyLOyJnO7DqZH
NRLCxR822hGiBFxUzKVTosc6meFAprZBgERCYPSk1jQmJwpyy7DT2EhVp7UibecPU3XQhT689Cv8
prR07B4FRM2m00W1+IqrjHbNztff53Vpuu1c9zvcTuSrpM3lzJmkWsCeTcY+1KobJ0syzt4gQUst
6djd+Jruwa8OfptQ1C+VImp/iW0oHgJL87/3bRjetkQNdp3vd6ikBN8utCS/CkKr2LXtlB9UyY+v
hbrMAtsfVPFByvGj9all2pOznk9VFNQ8nST1Qi6Qg1CcnT3MMr7KVdObzlRX2ivuwuWTNKnkwIKi
DG+UdNAPGKP1APV06YUAb/wYDoRC5sm0TnoUK24+BSjDJXIt7Ab9Vx2ZwO7zT3t2jhJi4lfDmvCD
8pF64Fy3cr6sTPqxaLnGyRvaynW5xvJmWVCxCzmIIl1KNt7vV0IeAYsFOen2XnLdXirusI9d/Rue
Pna/s34Hjn6IXMud9v+8Z1hikWjnvshNafVS8wVZkEpIv+4gCd+hPp2GYvz5eRPnFt/bJlbLotQG
dNPYhbiC8sUE1mU1P2bp63/QBpuiolNzxvNhfbxk1dg3iVW6fqY6evajTnQbDwz7P2gFaAO71WK8
qa5KFVLTqiOBrLubknZsGzuUboJ44wV0drQAG6J/WHgVfy4Rb26TeiL1+EUPpSsjfZvUUzgTxtKf
Pu/IucOR8iSZInmcpOAOvJ9sZRxyA1Sm8s/hKB2WwzE8lJuH40c1NpP6bTurW2tSlsKgVgwYOrz0
OLu6U1zNx9STb7M9wgHHOO0GT/SaY+YNzygi3M+7eW4sqaSD0kllJeUWq5lHElBOEyJbFB5c9u1d
jcRkSh4/b+NPsGS961Ouyazg/mqxkt6PZVfWUpcuF430EryYnZz0o7IPD/W+2zjEljn8WUOrpUrk
39cTlXKcIA1swXo1xKfcBARv7act/vfyXT40hfXSn1c4JemrzagI0KG0OgGiPi0RHnZ2X7/C/7J7
4tCfD9/ZKcIV/L+bWrbeN/NdEVu/MM2odv0r00ns4HrYRReSpy+vVnc8WA78DydwzJvktrlF2rLR
/rlL+UKhpHoY4xARN+T37XdCmDJD67+Wgj8eg1N78L3+BP8G4RhlcqZEvsXZKvpfurUaYZNrOaEU
powMheN9s/Lgt6pa0WyObCbWTj2MpI2RXWb3hyaIbrBhLbS4dTxxGkazQbPDTrIPH8dLMtuMZ3ns
rqOdeUROf7XIM+15h9LnpnTSfbHp9nxmm6FZqlmXx/eCGXnfybz0Z7EQc+yu9NAxEZ/lOhnUpney
prOL8KVrsHvTt6xhz6x6WgX1w1FAnfP6LIBGMCh+kBF8q3Kcrc16PxusE7kWNp6R574hcR1k7HhK
atKaupUMKG0p/13qIeo9It1LeKnHzz/imri1XAsAFsFo4YyWSb6sdpcBE3cjQDnktt7szRSzSIfQ
E29VSjwKt/y1VeLxceyYK1z1ScdzEfngxmEiwvTrQKCssrPsWNib6uDk84Z35dlGiMmzJYvycut4
Py2MRqcqqCXGJ5Y/RLO3xx5tQLCBHdhqxHzfiBjqLWpiGon9K0OK7UJFMpUY//hGwHgRJgSeszAt
5VUr3Ki5Lypot8DeXOZB9Dg3wkW5GSVZQ4KZBks71N2osqzygl7t/YASkdcssdfWjR9VikRkW3Kt
5+QEJNiJnPSlctFEUVO1q532ydiahR+PnvfNrw7SLszMyehpXt3n5BZ97v5u7vUXultcpveVVxx7
pwcb6GQ3W6fex6OIC7GEty5uJBrPmFXPcZ4xcIHOCjcrSdTVRfZDigNpV1ckcdTB+3y5nWkM244F
Rci9iAKu1czUZi2efVOpXLP4Qk2M3aaPdTjupq1n9ZlTZ/EH+buh1bxR20ST1YplPXrWD5JhbrTr
L+pD42VHYV/bpPOfrJ+f9+18m2xVpMOkhTW9dP7NSStYA7pihReGZvfu8EVyk+/9AV8PZymuVXbp
LvKK58/b/HgAwCjjqiyp1Gayf63mjYpnaW2pXUmczTw1e/Oo7ZcgTPOPb0YWbyeUQKRbqKpfZyZ8
KZQKbSLNLRY/FARBLVILq6QGsL/mbbhxrp658NHasgi5LXC2rhMvlTKMnKtj6qbHkfI06aAe253u
xafNAkqFL/L+BEcW/ed7GTCcPgTN0HzWakDCnOEbI1veoarZSfvRwR3D0QmWbzF7zpw27xtcTcuq
nkulSmiwF9rdbFEIoZQe2gq3me4Mi3KdIrWb1LeTod8bfu+ojbaXOhT8n0+bM8vwXb9X94bA72Qf
1Uzq5jMvXioO0i7YDYlmB5t8j4/F0WwqynLULbAi/BOXb/BmVYSx2o1SVKd/VsXsNlgHmMf4wQDS
v1cf+p3i4LT9Kgl2tUteP+/mZturu684ZyT6A9rOL7k8UBVoG15CuWq5U07pfbsPr5erb41H2db1
8+wIv+n1cnq+6XWUmBpsP1qOtR/9jKOyirAgeemsb5938cwp/G50V3sOsKxBUFXambgiGbyJSsE1
m02a7YdmdCKHCnkLuEy406yxkoE+KtqQUgjbusPOTEgwUWX8mNrUvJuUJezyU+SSA0Lp8nn3/oR3
361QGoaTrBGpUrh0rm+4iV5FsWhitjM41NMIu+Z3dzL36stQUY9bOcGhu/K/WU50NE7jPuttVdvN
ybG2S0fY9J37cEgvvwuKZ8DNCndfcTWbkrIf8nRBCkSGaMtW6M4hBTD6CSOTg0Dl4eddPzfkb1tb
zaBptIyknolpAibfK7V/lyn1fdQ2D/+zZtYTiPKnsJZb6qv6+DggUkP9LkQO7p+//pOG8CnhBW9w
mVvtOWECP66uxsyt5Js2/9LKxzL88XkTH0/g5QvBhCGSCLKIdOH7VYdlnx/1c5AR45Md1TFu0Jd6
84FEyEG4K+9jO/H+IY0FB8n3Ta529ESUU2nKQjgTRvvFmCYiuVvvrQ97yaqJ1cjFYpAjtYsyF8i6
Q9iAj/NLRrbUhlvxt42W9NVjqCT9YvUa49flv3JmgW9+iWsKS6ctM+U/6/bDuv77S63v24MxT4FZ
MmzNbvlGnW4HQMq95mU+RrvQlW+VfXKb75Z8NdWXNyMpw8Rjhd/2O7J5TuQZj5/PnWUQP/uFVjcp
Vhu0PYmuq/t6SdztOk/YbzMblj3is2ZWp2Efm2OVZXzLuJWuAAK7fT15n/fk3MZBJhJfDEJmKk60
7xdBbvplbCEhcRVz3hty5eJf+TvrqXb5vJ1lZq+7stxmCC5xNcTh6307cVyYU1MpHK5WalfpUS07
O9CeFf85bH4H2ga09uNZTsCWQ0i3qMBH67E+CajQU/A2Tf86glRQS+VRusSB66Y/hHh0OgoB/HAn
/BRut87yM9+MlomwQC6AVLB+tJTjSGVlQ8tCmB0Mrfo6alsh/I8Xw6V33JSAZ5kaCNPVYFJQinDN
GGqXUlqMiY/JidSSPX0lR8T9JNq8n5zbKt81uJrvrVlKFeLSbGlwYVtQwh/aPDkPhtO544t/sdyK
wo2Azpn95V2jq9k/mBRe1N1yjRjjK1+6qbrQrWKWf7dBnDizmt81tDqq1VFvydfSUHpcktMg9vc8
aTfj72eW2rtmVkstamShGg1oFomPFFS7rhHldu3GCb05N5ZRfXOXDEYNSgNJHtd4iK41r9r7eOyO
J+UkshMGm4+UM9cc3q4L/xqJCoKG1SFKpDPI6oHpTg3ATpQOAWEBSaAueHyZgGB9volsNbY6PnPI
mFROMw278jqvEwe4sCeYt1lVO364aWR29nu96drqJIU5UiU5KVmXKtm5sBWi4I3zh2zmFEd6vLwF
oput/WOjj2tkjt7mg1oiO3bzjFxT0pg3YtKeBM0M3UYoj00uHT8f1LPdRKMGrAmsGMHh9xMGMnM5
IlXPXEm8lnu45beSVW98uI/Ss2XHetPIalYmaLiRMtOIfCfivXZde/JJ8dRdeaQYzZae64Nwlc/O
dKlcda6081/D3dbAnt1O3vwKq5kqyh0lOHOV8/T4oVG2VPOA1iN7LLYcp7cGdDVL41mGsdnQ1yVv
mKbfYhDTSShsDOlWK6vZGWg4rwUSa6EsH2fAoWZ4nxrPn0+N80MGGEHEGwxB3WoHDinenImt1OT0
rylDsed6dDVc1i1F2H3e0pnrwQIJXywzCYZ9gJ9jhdAJkw4oykjCV01MoC8Lu3HwX5ompvr8IvA3
bnDnjumFhIUcB306G9f7WS8WEEbTJahB6YFTycCa1C1Y6bkm/rjpEFhHq7DmhubBSNFty2MppcD3
OFRqdi3m/ri1ts59pLfNrKbb0PR+o/g0E2bdKce0QSmqU1skrlJ2G19pq6nVnNMyy0oiKeN93ac2
OxWleBz/MVm5/h/y6ZeXEphDJFZ/Dd46iBjmejrBvm9cStVOQTYfx0o/fD7nzn4f9jyCFMREyXy8
nwKFMlNi2fJCryz5WzD3rR2n9cbm+jE8ufTjTSPLkL45jtH6GPpo9ctLQT9phyXEOzsdGfatyPy5
cwOpDvFWxPZcfZfevmnI4hNM2LdzRZvkl9YcDkogjI44KzeRnx91tdmUE58fv79bXI2fbBUTV2+6
1nucjUAiYq94Sr5zy3YFR7WzK8MRPdmVv2JcxX3gsX9aTszw+6aa8ey0fNP11RhHkE2iZPFYzi97
V3Kp9xlgHzjNU7Rf5JyaY+hO/yvdo8n7fAYtPVw9avi4Bs8m5pCJs+r7MR+mcBSCjIbTAMLDkJ9i
TDAj37r9nzUjv29Gm5QJ2QTRsxqik5JJbt2+4jq+sRw+ap7+TNW/e7Pa7dVZL9Dz8D0nzmSPIp3v
SzBkdKJbSmf3nWvC6av3gSt4n3fv/Dz6u93VzJUoky2MjHbr/NEooUGlqvt5Cx8TdkvXZLLuMsRN
Bbnx+xGUQARo6dLEQt/NSbUIsaMbu8Qpngw0L8tt37jt7IjNbF/qzn8Q9oEmhuQRxSiH29pjEyIF
XCiT5vG1tgP/Rko3ZsjZIXzTwGoFaAlgtLrjTqpZVyV6VwAQGyN4do29aWF1e4onadA7lQBj/lU+
qU7oFL/U7F7k/enMu3yXPQTeDHHEd4ItZ5izi+xNy6vzLU5zq5pqDh1J1cl0PjbGaxJsxAvOjx/i
K1K7oEnWCix9Ql85pvROja6SPnPGdtqYgud78XcLqy+kdCAKuhCU4gw+L20HpxFuZuU/2pAWqcCi
IeTWttqQGkHNtEAvsoXfdc+LbFo4IAeha7deYn8qZT5sfRYlT9rik0Gg9v2K6pOOYuuarU++k1BC
JHeKq3iNMz77x8wRj8XlN4x66CnzgxJVj4zNBKbn30US/wtG/69F9EF+/c0q/YBGvy/yn//3/+TR
y1sq+n//vX9z0TXrX2TRiEYuFQewQhWm/r/J6Lr+L/Mv0iYKhiVTwR/9fzK68S9MiLANwBRM5wZG
SuVvMrqk/Is/g6aOR+RSKoII4J+Q0almZK68mUsk9lFrIK+EWQXOlIP8/Vwy277OZ0VOoDFB3FGp
FwfsMsywR8ruCMooxhcxiqZvKL2pQk+sCzWVlV3WSyYYjXp+nnpluOrNKL3QlLj9ISX19GiQhdrV
ZQHbNq/TS3xjqO9Y0Bs2+nzfaXAOtUMdgFkpHPsAqprGHwLmivV9bfTNfZcZNbIePVI7OJI6csWs
EI+tIBgvxhAou0aOwJmIGaEiRKJIqfLUa7Q0ALGZKh5kvMBF8WI4EVKOS7krNNX2NXm6Us2kdapZ
QwuVsX6vzEw3HCnttYdGwI2QC7V2UBRwVUJGgtTR4Ug8BuFgvIDga3RbDob4u9mmA2yRpHkOCt0f
7LIktGsDdlFf6wg8kjOmc+yVvu8TFmk7waF0vCzsTJKmQ5jp0REj+OB1lkUym2Or/8iUIYZxhPus
A+QivTYas7+OFW16KhUsOJ0qjsuJTatuXou4yWAlDrnxNfZFg78FWuyhD3LTgbqCYdPYocmODVCG
cp4r2muimRG5VKjmGDwV8EjyQtMbR9HbOLG7oQoyKrKr3jOCev5SBVN1VykI4/VOnPeD32VOTeno
NZCX4qgHUn3VREp+LPNBZ2/R1QryaGoShInyiUpgctJKJRGkCaLOVtQpcnTIRNeRrJaO1ZTGns4b
LphekWp4o72iTGOxW2mMvQQS7dCgUHNwb67w/Wnb45ioxd5vQaDYljxpjs4Xutdp+2tXiaWtBZ16
oBy0Os0xUCZlnEocrsruqW1KzSkgFexrKQ09fLZgrYmltBP1mgdumFDmTFG40w614ARiDS2wLkOI
6mkT8uukgbQ3srnyAFwq9mz4Ei4qclv9zsFxRnZI+siJlEG5SIcuO8LPnC5zodQO2LTFz1OmRPtk
kvkP2cruBA3CVSiOC+aix6KpRYWI36lodVdUr5hXVJEThOytWX1uNC0iZxQ2FKObkdOkwXiD4iE4
JZOmPgaZbDgm9xg8afwBJmCPMWuZVkcZj8sSIz+rgEY3z07YtAGkEsmqqJE3wxtqYnECAQWXvlBu
pR/ESql/gyqunhUz8a8ioW5SZ9ag2aiCHO/aoh8eR+C0hW0Cc9qZmZw/KlNm7YxJVS4S6v1OXSdZ
p6o1mydDGeY7aewjB41NclFTBd9VXj3G+URNh5ZTBAhBdi+aZRTYYpHmi64e+gcJEQrlfWam3SgD
JIixIniptYPXBGF8ocptfhqG2twFka+QROMPSHxa5OSXnytqc9+EDf8kPragBQUtfhF9n/wah2L1
INb94CXyGN41VW9dIuKrv8Ju4seTYfk9THjBlwnqMa5Lcal8S0zKJ5q0LXfQnMPnpqgHb2hhTQa1
wu+ujvyg6Uv8nZgfLOI6vW/SEN1xUqX3wyAqf/1lfYojstgpxTWAYerighvHD66dolcU/gDSz2Ib
reogcYdWKMH6KwAbIstC+5mXOM94xtSNB2Bx5WM2KONhAIf2XBTZ+NiSfIOSJOnDhdYJYILx4r0I
ybk4uhbNbLx4sTjVYBUZtMla2GvCyHWwzMKbKMyjGV6GrzyI0wDcSfSxoMqaWXziraodo0qXT0AS
g2cpFeMfkjJWh1gQ9O/g6bXvQBlrzfVb6F6JBC0nUxUhdfnCBkikQjuBB+m+jkma3ohGYd2ZpuDv
o3CKb4dRYxxlKX5Jsszcm37aHv8a0YJrUZJpjGgc5LJmizXDzjQen2szVu8aK8lRwBdmUd3gUquX
u8FM5d6G+WdeB7LaWeAmJv/G18vhTs+r8JjMA//Yn++h1kP4XKgQpBzVAsKr+qmUOHy+8HmQRv9m
GBT5mykM9Vd1FuaDYDKhkk6JAPFN6lNSWXNmJ+BCLoxRhUYZy+UJuvGkO4qWLQGdEGfQdFJccy6r
B7J5mkFUUaMStJ7k2lGH3r9Re3hTajNYKLerKnwWrbn+OohZl+3/TOwAigKksGbKT0Gi0BtxZo0o
SiQexNgv6VwHoPHPr9dwdSh3mKXUX0G7tscYOPRPCJYI0Kd65LAZI2UnBlSp2Y2sNGwYhag+mR1r
Yyq5U9hZ1JkvRdzlpyaU1CcxAl1nB4kczUCHM87IpG5HkG/N+DpUhuIEqj5lOwpj+DWCYHzE7sHc
FcnM/6lSOsV/hOOjmfb8K3+to0QOl1VdWQwB58aD2Ie+DkcprkqnMHrhIqDG6gRXaXwcGt+0G/TP
GRqUJqTPYFFquLGy1mdcXoEUmq6VJ/Fl1U6x4EgQa5uDmfETQ5UpslOLipzCZcnY5mo4NK5cZHrh
tYR3fmQymGBH7RT5UrIKdQ+0ycIluuC4GYVeeTarbkHYInhf9m6imhiGh44SgeiOekW0HDBEM6Da
eX7QohbrPCpEumucmkMH92e0sn2Ytl42J+L3uQq6ky7OpQyehMiLXfqJcQdFlV8OcBrd08pZC0jA
mLMj5JXxpInF8FUXB+FLFLSJB4+c8rWoGITqmEIZPdaKEN10sVjou7JS2m9NrpeqTURRe2BQ/cIR
ARAd8Ek0uvsoMsZplwt5d4cMVD5WYgFtbxya+7yysnsBPsYvQ5mG15we/BzDer5V8OH51taT+BD0
TMqUj/EcjXULd3mMD0Moi7FT6bH/6rO6NKyfReWCQj3jid02gFcxgMjkDqTIR4QG8XWZyC37CQjS
pyGbgweec/Fl5rfWtcrW+n2oZOEYtGaMyCjs8XDsuvQL8uY+t/0kZe2GgY9rqhh78Kjj2CEHnVag
srLhqlBK4ybHFutJikvrdWZ0DbtApXYpCxRdOm0C0N0uKAaSvcyXmhPwnuFmGjXxmPn8KBq58ksP
Yg6eoTwCBRpjTA0CdhmK1DJey1auPXZNXWi2JkLEnDEUPxWzOp/CXmm8pClVpNFcYrKxLj0U2S1T
qPNh7vNizXonbsSCUslI/IIblTbYdG04cduYZddoq8jpYzQ/ajcbxwCm4j5m4w4425QJ0ewo/1ax
/vupq2N5hcu6CYNeKXmrjZH/tdWFEZ+eGk84txOihqkdaPDT+N/BD8tMla86hlWNy0lr/DT1Rg1t
WMt+YpeJWIBtjPUrPSv9m1RIy1tuMcZdlsTVaRCl6aEzrUm2O7Evj8oQls9yPCeXmpEOmHCbom4y
fXVT8JLC7L7BGk1hRMe1DvZTyiuMyrgvPEKZMe9DdDOVp8BcvIL+h01pJDXNqz/myeWUSnBgK6HY
CV1TvHbhLMDQ1wbTq4K5Ul6nyqxPshLx8UuDPcDkASCmRUI4WWBTnMXxsq+T5FUATcNeApbL4v18
X3I5+omVQ+9UPeg3nyrEA7cf69oHFYnCBeBUVbFTFWUhUf9fGPtGrbNrucwWD/fBEG8rncCgXVVl
vcdATIEkqHOxzgVb1jOCobMKJLuMH2LolxflJFMWErXWXlECMKjlMKWHSk7ItGtwgeI+bg9V0jSO
ZErRRSGM0IJFSbiF/I6GIdQ0sPmp4pDDVm4yrNUdtt7Im8TBPMpBA7QNxPyuMQvF9cdMupizUvzG
QpL3MFfb0xCEzSGC9nYwi/SV6R7clW0BQlPqs+OQcfwN45Tf99ynCjtVmmYfgua5j8NeuBvgm3/h
6Kh24sS1sDDK8LFBPu7qdVDf1looL/WZ873v64Bdo1F2oP8Ve+qzRLfIJv/Ob83+UpbTycnx/4JD
oyTXSlnIe3lWg8dwDsWdwcvsivkTKHajG8NPAlH5bKeR0h59Pw1uYgv0tZYMwiGdhXzXE9Q/QJuD
cDWgnJmNfP5Z1bVM7wTdq4fpeSHFeH498g4LeuMqaqTmt5jL8y8hnhArCrnxXA1z7eh6c9TZJ+wK
+hpTp29+lMoUvJhqkLJOY+N+Hof5oIk5sE4/yerj5IMjwwmvOuqzWad2x7q+62crKveBrIS/JTYA
LAIoVv6eNkaaOUjfottEbJh88QSb3m4bIXyNEzPiEhqnnZuHPSeyUg4c7oJmYPSRpv2vuZ3Dm0Sd
44d2yvT7xCezylmuquNpygXlMI6jem/JcfHd97WxstVaLw/Qq61Hoc+HH0LRVryrxuISUkaPQ0Uf
VbdJxySyW7kqQQIprfoYR3N6k6ezquySfiSoPo+c+ILlH1K5KRTHint19GrshSe7K9hm7UwF4Gon
ZdaDdLcqiQIBGGG3nEltg19GCvJYiqaEG0ZdlY9SgelvX2nyqYnlKrDBf+WvkjLktVvHBS+NiRfo
TayV/h0P4PiKs88o7quJkPteCILychpS8FnFlD20YBnxus3EaM8xWD1hN2rsl1rrr6Y8zb4tTZFy
XfhzjisXMF4JzEmn7jodOtcYdlDme5MCm0gVqP4Cpl96mVCkx4FC3EPMZqKhelaa2AsQOx4HUwx/
6/qE+QdeFWTbFMs/Gb4l33IZEk+aljeHIq20Y8Yt4rshF8F1jzPqoe3yxpPSFCPJEfIv7MK2U793
hFdOdVkNoQtq17r0uRDkFGRJ2G2lIgEB/ArKmxGR+10sYOtKCG32X2STHcyf2v7nCCEos31/jNk2
Jounl1QISuHEgt/94LoHuLezAti6QQOcbSeUs/kNQ4cYRYOeAFofgPc7vAGHfVrLstcsNXL4X0kG
xK0maEO3SPv2V6t3xgWDbHV74GM9F2L8I+8AavM0pgCYQ9aowyuU6UiPjEi6kKxSPAjWArfMWvyl
A7ksvoEADX6LaWte52aHnrNug9uqZcftc6noHLnJWxNCUyCfqlKkrqXye6RaaoXXgWoUo0etfPEN
38/mqUznrMACoOki+/9Rd17LcWNZFv0i1MCbiHlCZiJ90lOkXhAUJcLbC//1s8Cq7qJSHGXXvE1H
R0c76SbcNefsvXbOWfLJklMLYn4dKacobgUrWYf1fV0XIee8vMnMrSIJaQt+hOB06Icut7q8D1hw
Me4Qp3bq9Ca/BRddNR5nISBRQzsiOG/z4oum28F6bMNoQ9UGn16gZLAt5YRUDZ5qrMbyMVG7GKV6
LIUgBtHIO21JxsNghle9IvpNxjn9vlcL495hdZDU8GaSIWVKXfsgwXLntFzI6WsgDHWrsdf7HvU5
9WEHHOQVORn1zDWPrppe1damFiVrA4rvnRJH5oMPJf1UEyOz0XV/WpK7GtiAmWN9PaqcU9wkLTrB
Su6kh1jWm5WlWxDKQ3286di/HhtU59DVRCSR56Bn1oEznUy8yCgOUagEGzlV45MRZemyAtq2TobW
CoB19d0qriRo+NSWjnoTRQiBo3E5ximo2FZ3WL7qbtf0hrMCKRw/gq6qdoPUktRhJ6p5BwIof2GT
N+31JEv2StsH6wJiipeMowqYwdb2mVFVV4YU9x7mmWFwpTDKHjS/Sw/6kNekl6rKqlAEAHC/b7YY
5Cq4wUbGQldEWzB/1rENTfEli1MTlp3u38hNay2Rh1fUS8bv7JjCLQju+Daf1AnoeyyOvdqmG4V0
iiepHMzFgPfiaHSkF1RKWm5rNZS3I2DRB9bNfhW2xJnUwL/XcZqCSs7rALYiBbnxDVWgE7goyqJD
xpfitc2YHsAu2Me+L8T3VsmnjW+q+l2t2AQHDsz8uHVIHQ9jwng1WQhv5Ph4bQrFWJeihb9hFeBo
YlVaT2SnW64omvyuoOe/KnrVuRknO7imRNF4dpSD/Fbk1osjSKeU/pV4nUutscqGHr6zgZDDBIzo
Rdpo3446BQulkknvLqnWLqZ2NL7W1eSwxjswsQAkb3yKS9ecXCBGzQUpsKTWymiZZWUF4LM5jj7V
C5G8sgMnqyez6ytoKPVVqkqYULSSfLhlG5IHAki38NJ09NFUM+5jGSbRrWbUzkMUAYPuO0d/zFTg
9nyNqvkNNEh1ZZe+dVISX1rrxZh4ueJ0K7ZX8QqLKpsCs+334xT027YkXTiXNfyLg97skQrLN5wd
8nE+5w6vWpHU20YT6aMhZdLGcMiTMCmiPkmi1L6HVcSpOvKV2ywPiI4BE3tTCdU+AtmVXd8xWg+2
s/ZFbZzmewGq0fNBZR91FmV/gWZGupVyUVFQgiTMHldJHuxEDtdm0UYVELgsPPpj4ty1vhrdvpf6
/1Hn4/9d2KuB2e13HY3rH3X+kn1rX4uPLQ28XfMf+6uhoZLLOicZO/TS8MUqM0bgr4aGrhDZCmMN
65BKVu/cPfmrnyH/4Sioi/iHSnsP9NHMAKR48Z706vyh0y3jf+MPzgJl3f4n/Yx3gd6HboZOQvgc
fQjjTCO8xpm7Kh+FGGqnW4bv5JTGcb84BLcAOa/jfpXeWx6Q/Y208jcdLnrnMZ+IC4Epvc4XlyTz
ytzp++lXwBBBj4moClEI3slzqY6iCnYV1pO+Tm61jblN3Zm4pG4C7+JQs/zgfx9KP9daKxaJQpBE
OBiu+D6io5QtEmJC65XqNdHTZVX8uaYGluRs1sQPwHPmDp+bxJxkSvMktJ4kn7PUNMEFT5iPXGtw
4oWdpFtRyo/s2NxqUveJfVFu8sutPRv+7AEjF055xd6v11+nGnqTbtMthlUMdeeimXJ+Th9uLjpu
3mikJZqBN3sGh/38NgnhB05n+E+ky2DZTNYzzOLyLZ1/8u9GOXtbNMmM41r1nwyY2oP5LEmXRGpn
7e/zyzjHchSSJQop9+coAEQCG/2qvUSPPGea/TLEWe8bZaFSFZn/JO/EqbiJVn2zLN9gWiM+ytd8
Y2vo2h8mp+s/78/HbOWzvuUvI84fxgfJlTZvyAOZGgplmtJn/TWA1983luFW0b1RP/x+tHMY5y/D
nelzwpRtV5/6T+mhX+mLZBUvnZPzlY8MTc4lq/Bnz0tnfZ7BA2yLz0Fq2lBA1B2kJ8luVm17lE0k
rOPb7y/oTFLyfj0fxziTRDRFahZhKz0lGn3DZgtVncME/MnwAuDgfC78ayAaErZJ1w3M4M/PKWPP
Vfdy8NySZ/PFoty/NpqSpDPSynvCVBT7VqM9sxRqwaOjJehQiJpI9xKw3/8ZB+H9pzgmnhQImO/T
888/hf2UQgXFeUqqN1O/piZoJzf//K7O8EZ8Iax1gDd+HsGglZbHk/XEoWo5EJFXN/7Sn3tCUuD+
fqRzV8hfF/P3UPNL9OH9NwQUzzq0n2aAooo2vtVdaTFTRH2X9vwyufNXlxabz96Zj1d39s4Q0+Ob
o2U9GVq9saVTJ1sQ2PBWqtriwsV9NvF+HOlM4CKNDiy3xH6KD1CfwLUKt9vOqjixnmFJ3SrcV9v2
fjpetlRcusaz15VTdj91gf1kC8tVo40MrUk2b7Xg0vP7bNJHYmIjf7VmzfXZfNI6lSSyyHmiZeDK
zoNMvfL39/DzAbBgQRchses8oZaqk0Bfaz0VSo5RtI6+AGe94BH6ZAgEFPAeuQoqDedhsf1U5LWY
/CdLXwn629Q4LlzDJxPhTwOc3SSzUvKwYI53oltHvyrSr2l///u79MvChSkIBKduvpOy2S+eLVzj
1LfWlFBnzN7Ei4Qy+Cb17GtmQ2V0o2fjceJYRqzHhQub39+PS/48KmIhW+bWvcdo//zx0lFVSBoC
z5C07dVQI5lViVcb+vwuVaYrpfmHaDt2ojCAoI/NUFsQ3PbZVRYZsZQlQXs0qkr5NipojxP39nzh
Xp5/O++joCKClQMVgkv4+aoKh/OZZs6KiqVH+Vzyn3Uc/Boncrga8ajeDtKdQdC0BN/+wg09fxXP
hz77bLsmojXjzxfodEBru6pcNaVpeReucL5PPz83TJoAunSDwz4K+flnfJh0G9Us1FYysN8d7B1C
jZkXV6+Gldot1M0lUfkve475oj6OdjbFlwgarMphtH7RLYfDpL6PN29Cs2Apby55dH5Zqt/HgxrC
dGGjYX/n5364OsPPAzu0GC/eEo13F6wkiLhk4d1e3vNeHOvs2rosqQKuPoSFF2xq5GEeLkoMwygi
LkNRPnsxTXR4OnOhghfqTOOWmJltVCbak8iSAHjUROZqeCo3FG7Ym7ZxeYlgOf+F5+8J0wrkQBR1
qDTPBiSCVZ6cigElTb0phvG5LhplWVrhoZBACwskodnkrzqF0nR4Een86+wyiwMBr77vRFhgfn5L
JULlfKWBGopjG1GTYdwq/lXl3xkQNeaE+8ww3aqr2OwdsZL4M3B5c+FDufQTzr5HkxpxPAz8BHUt
ko01nfxxFWxSD/HCon+t7vXiqiz2ExuVy5zzcxLFPNtx/Wzx5ghzPtaz2a6eVGvqnH6+/oHvhsgi
N8q6l3kyMpfWOs/0LzpN1q0OrClflafMS66nR3pwZLk/gIC7dDPOl7Hz36P+/DxqrUSdEpAt+o7k
GB5Kr1jTOF0NjxlB64v8NAi3XF/8nOfV8ewlnLe6Fh5ldhjoO38eVtdFrpKmGbrm0XhKS+IDghVt
9Cf7VT3om8irLr31nz/0fw/4Xjr4MH9kdSsDGmVA3ru35hBtrE20Q0649TfTIj3Fm+ouu8sX/xTV
89fz/nvcs+dd9Lpvk2YYuiPzpLyaPTDhHYAR11oXnvzlH4Lhfhnu7HF20tTbOk0jsH0D4VZ5fO0H
yjHFY3lpGzz/Tb95gu924w83dBqTpKpaLqxZ2mt0Abk3b3/7JZGX/5e61S9Xdra82c6kpLQ/5kmZ
/FUc5q/Tojx1HHEvHSU+/SRIYqeYqKCmsecZ+8OVtapa5AgFWdqGmD61owqkB6NlIBXokmT5+9no
ndz7y338MNrZhEgIOKG0GR8gCW7ehGmfrqQR44AlM5nXJH3RwArHG9UbhpdiC//rVvactU565KY/
RM/tVbWtPMRBlytM8zz4u192Nk8mldqEWcEvm+Dser6f3A9h9iplIdGo9GKbpHYW5OFd//6GnCdj
/Pmg4egpYPDhyZ37nPuJOEfyUsOZ5FQt9OQLQd9a8SzKa6feoAdLTg5OiQqxB3M23dH3g+Ucgkdr
sAhXYxkvYewsxiW0de/ixPXJLsugjvvvX3f2PUOwiLo8bMnto/C2Lr3QixatvZa9ZvEfTJOXRjv7
nFMnx+Dicy/ibb3NVt0G7vQqWMSAiS5RzPRPP2hU/dTOIetgivr5tdfqpi30sf7zg7aI2W62mv1q
Z1+CAbOGdWsRulmaiFVRI8J8jRajV57STaceJfLHNlRck2g5EfN1N3TfStILORhDdzZdpD6jeq3g
EH6L6K5wnLnubnSdeT64CFf6bF+KZfPvqzh7aSMnzZReofMy1x7AH2Z8R+UKZ9Wim9i9XXwfPl3I
Pox3tpBZeS8c0q5CV19np1QsZ6RV42J+nRbFdbGMvH9aZf7z+/h7xPOKadz6zahqXKG+Tq8zMmNa
by5mzuysSzPh+6nolyngw1hnbzupCYQXxVzdXMGnVHarP87PnjSKQ6M/W+kmM3WPhMYZwHv5YX6y
Nf74LM+TTuwkHKsUAQETcf00dMrKoY4vtBfqL+7vJ51Pjtpsy2j2mIBcOT6dExCjyQxTOpl/boMk
/fHPbdC0CBC4vTW3Gp2ai9iPz9/VD4OelRCEMaEcq9/fVUjK0t2/3h2RLRxt9x8cbD5d2T4MeLaG
1k48CgL25p1v/5ji9IjbvRAs3cHKwc9Zg09qjUM4/p83mh/GPjtUjX0zGRECVz7MySudeJaEuxqo
4/eJJPuiaDdwnFNl01y+0Z+uZB/GPlvRc07bDU6DkMN/cyDwLxs1NxXSyn4BdgkgJ3fT25I8R+mh
UIe1+A/yXT7/kgBRyjoqMkc+P3WBEBw09hHzC9YtIQr0869JD7LJ3R+Y1mVPLjtXne5UV3aDZXpp
u/bp/vfD+GdfMkKS1vRtxu+84pQzbyhe5iysjb+NMGMjfCbuZim96ZtL68p5U+7P+erDyGdrWJxW
hRWEiMfmGbKlSNp6+anw/oPW5qcr2IeRzr4nmVjqPJe4xnjbvswT/1xyNt7QFiyD5aWqzi9F7veT
E4UyLGoAzaCE/7xeSkEFSJXoC3hj/vrrWD/+eYYbvXaa/wlAFXjgpfXmsylxLstiGiY+AWD+z4PW
jd1EVjWFbmuH1Rd7UGp8owPWF6fSV/Yk4tWFifGzHQhNYkNDbKJa9twe/7gZNsxY15Bvha6W3peD
sjSy+0LB4Na1dwHxjUZvXZt5s9C1R4Pkvt8P/tk7+3Hssx3J1CtpjOSFLX98mGxl1UtXSoFiCWmL
c2EowAu/XClgD5ONg2w4M2v0fYn4sO3P27RAeoZhq4tVI/G6QG/UhRqMKbOSZJff8qyuXgsnbHDd
5K31oooqom2PGeR5qMdqaXVq/NDyr5S0sf+QFZz7ZQ7d3BSPutaa92MFwnTV+JGquSW6oBvJqktr
GfpysG+EQWYuWRaGtjR907omHx61UdQoSMtShQR0mk6tru8r8sa/V5jxxCI0rP4+JAZ6bYKWURep
o0iFmxsRrdSSKsuGAIIsWiDUM5/sNDHepqJvcWSXdbYZlUHuV7UfhJhwrb4pdpGmhQ/Eg/M7rWG6
j5zeENz4sdMxRgqD9T2u+qMR6NqpZV8QLHOChF8mzS6yhZQoqIEbWeRXstQOj5rQsuIINmZMMTsG
fermQ2QvRxVVtZKayDQztY7IiDVsaRGmQ3dj48djIeKm+0spD2RtE9tCRHjpYh01Ej7OK1KlyTpr
EkRwy1YeR3vVD2p9PcWdeELt0fbu5KvWtiiN8S42yKVfUqHMTz1GhcSNy1b+rjUdEbMt1DCEnqWS
VCu9c4LHAOvlbYDlKll2QpP2U0BBGtHACOS56ZUdcKT+vgzHeh11nYlF1LIqgrfbCCVaWTjXjaGP
1kLK2vLRN6z2h6J1ysEwRv1b1AU1ne2RD8Sq6vgmrMMqIc854eUoZPNNUo1yNof5Rn0lklK6xjid
HhNJlr+jW9VS15nKibKUNBibycz9vWkM+W0xpVa7SYuIU3eXom9CqZ8TNWGSjUhSCVSGGN8FnrRM
fzECLI3ET1hLW5LspbDU9Fnruze/k4x97kBqabQIX6Oml9oPU2Tyqyhjf1doFZrzocrp+JN9hOXE
vutGhIiuHpnOY2ppyBpDX5/2yGzNfZrlEXmxObHM7RT7qisoci+NMC2fMBHEO5NQgQy9ZdfliyEY
lBtLWNm+JxeJt0ZX8oeyxORSoyY2F2Uo289yGPQ8vsLcEEjVbOJ+0CVXMyLOFkQ3WyjqhugGM8R0
MBpLueaLSjdREpvMi3WIrCoL6qssSu6baoTV3VUV3pZG7QC/jmOjzEnG6XM9FfrJQuj11JmjtlPC
BKNHicAQCxjGnCkZxsXIhLhQic/daKVO8GIVYHODi1WeJEXvjpbcU78zEWN6o2F2JNKTQm8mHXM/
NlLsMsRmIMEsy20+kNgk1JZKAhnCjtuqhR+5diYn69ZKq+fAlOvajTQ0YVonizsHPfpy1LvuKCVR
c2iNEmq7Q0rVg1VVKKp7FOY/AozOR7UzJsyuINAQtukRXrtycOoTkjT/Suh9eqiFOS59K00SV4TJ
8NxOYljwH+nDlla2znQjuR7K0H/uM0v3Enuw1n2MIDLrfdws06gtulTFAFhLSsZLRQi9i8jGIe84
zNVVimv3ZNV2u2yNxGGZINTVRU9NF1bI2taxSj6YUUmfByOP8EXYg/wcJBHAZqmJj05QGT8S1bfv
yUlEHgkascOIHWdUAVU7K+/xZpD8bSnjt5gv4XESRfhd86dmGdhFHy3h5mnPI5v6zqVRJo4D3o5T
LzTltgErOetvbRDjSh5s7SzSH7AREbLRVKayTBXIhfzaKtiNGJ5XwsC8uGzt1ABhiGDkW2l7MbPW
QzkEbtOJH1mi7uuGdOrWEt9xuiw13+GVl46mRPiTHH8L8oKUdRK3u/oUq9jGzP5hGtNT1nkYva6Q
YC/asGCRXhEDtpSZGnHlja4Zam+SURPiSPhFgTti0dTKSpjMdbhXuBmweo3kax9UO03PDo4VrdDr
/5BSdu28SIr1XdKsms8G32/WHlLlXk/qRV8rj9gFUT1Frhz2i0YhgLt1VnJu78Kqv3LycjXpVPrb
dFFM9g2v7wF7/ZdS1Dt6ddsmbLY0Vw+seesmwAckhzdlH7lW7i9mb1QcBtelcVLSbPYrerr9VY+k
Y1ZivBenek7eGkIvKOOrVOvvhf9FlvSl3EZflf6Ln/FJafIyHZ7TEVQfqp8x+kGgsmtKlDXCR6Mf
sUVni7B8TlXlxcwSL4LF5aunxryyrD3uExPLWoUPTuPhxNVritRdH2IsUK25kgYJWzk5VoGpf2M6
WptOuCoqkhUdaYnEHXd/8FYSup01RrxUUQ9jbPYpZTXdbe1MxtKyCU9v4/Z7kUWhl1mId+p6MwEB
ISx42SGbqKdvEM82aYi1RNFXznTdOMh+5dsm11HttqtA9b/HnZy5iEoOziS92k2J2zx+5PAVregr
r2hzCTcGZQkkWdbJ9CrxcDT0I+maT9cmNuklvlpc33invTi1H+TSuqnp+gNBXwwiJPJHXuE+OmRy
cec75d4YlG2fFzdGdN8Z2tp2Yi/RstuS0O92wvIlgn2bZ1j2xUJNgkWDZBwdHMFtarCy/RaDrPpo
VDrmCdtjNS25TfmOcISlpeZbUsDXmNDwwBjfjQGtcTnp1xQGXK1WPD3KvKIfr5Sx3SQd787Qw88R
yg8RheuxG/DKlG9Knd3IhtjGWPG4K9qm1YSxqEo/3iR1Wp3SIP8+YrNZE66N06w0dn2q37HN3Jbo
tpdSVomnaZyUld6HX1mwezfttfLFEvJ1JJzrgE5OInLPiHHCYxMYVpXULqeAvTkbVxut87IM8xqZ
bw2Z38rl/TT5+mNfO6teFmtsBO5YNp5WmDs05NMykktMGXFD3Ls62g9j1oWvY8Oym0OhXxDR8KOO
IgohuGKIy57hPbImLesusrBm6SG7vpBrDUptT257whKCDgXxsv3gR0L3DOKArrAehYjyKaDkiKRz
K3EIaxbZRu3aaIeyOVsUhM0t+ilp3AxPdD4AhEj9mPBFHWNJr/Vo7sOtFigpXIfmG2beDf6Cg9WU
88aFGQrbSuV2XcnDNXydaXg0rge/kTxZs7/LZY8HPcU+Dg4hR+0/+5WLqh6+yRmmZi4nZGtiT+lO
jpNV7osSK9cEhKmx9AOml/JVmxxnbcu5dq1xDtn4vS3lWClzs8f+Jls3jUY8ejgI1K1FTcNFS6V1
GBbtWmSxgSDTzyZv0JNubQ+R+jVWSuQ6um0nC7vsmm917aRiPZSRuoqGJN9SFybIQRHNInMm3I+j
MW26QjG/jY0UrUNfQWnZRuMhRXZd4Wqp5RvKGzrbkHgk0NmRC7zUTRJSZSiwzLcV/9KA05AD/jvR
yj73Ww1DwrOKql2WrZpuC03QJu0HX33ujZJ/G+RlvpPbslwlem6vsRnZx5rt1CbNVNMrsIG7NI81
d5Dl8FkbQrJf5ErO8MQLZUOGgL6VuUekidRW/ZDIffUcvsOZzFRSZFdRw3oTVBpLilJE3xrclbbb
YA/eJUlsr9vOp8yf52PpoVgOboaoQTMcNelq4IG1MOsn+0G1sua2gzh2YgeubLJKbVdWEJm1SwY1
6DM7m4B4sbdtjTlMYHjqizA6dVkRCA+CRbALy6F4U0u/2ftwFyNXl6fhvixl83vTTIB8EpWPTPEd
3BXjbBmu86C8wt2qPBayZP6ord4oXA6SLcZjTQ5+dFDpMGdKyWGKMEmFnKPv+opb7GZVNq2luJX2
edlph6AVzmPUiQr3YqGtZXa3L6o56I+mVfiPhI/W39IaWoQLYAWrFJvsZJ8Xir9vHQnUdiRb7AZ0
GCQOuznL1YJw2jWYfp7zVHeeebvortSSvlErX17rcamyrGftmFGpbcrb0MqpP01+cCXkVPJsSSEB
ryCJVFgV/09ZNNMx7609ErpsnykQIPoS+zcCXVisfSnHBiiOwcnXITlznug1hHXQM+2QVQa30pIl
OpCupBgoQ9gW6UPSV/ZzCRSEVb5vkChPMUm7ZZ5u0KLEt44oxaEfxfCQhoWx7yQ94G9ShJIvjDSe
tl1kp7tmsNrXOoysZO0XmvwNjZO6HwTGGzctcawsHDUf96yAPY+paqOnSK6mXdxoFUcYPU2WY1K0
3ysMNxzgxj5YRW3Q3o4DB80NAghjUWat+pDVY/laGbqCCFOu2lOAZ2LHNJTfVJLKeGnzyl+bf/Vl
f7y3RZC/BLFiLSs9tqLFwCFl0VACYpNRmoe6qGUb328CYydopu5Bap3sagh0CfN6yCoS0P2KFb0x
PXD58ZOuhOYGWwtn4MIcsEgnUmd+s5tAOtDntLeEPBoaAPtEXYoSBoZuFvZBbgp9lwwmXYvWxKS/
wqma3nTJUHvUW5ObqgDU0I918Fr3dbNW+iz6IqmOchtnnCmn0pdOve/oJ2MUzq1ZAyLPW5VfEMut
Q+eLWshCksd2R1Jy/CMpEgOQi94+RGZXbpwyDI5aYhocOowCI/Uk9lVZGNUuHRTLrWx/wlTTO3vD
DBG0On3+3ZEmmiqRGPunhoMF9p/KP9RtiypzrHX1iRNptgYqkF+bRVeySVNtTstN+uBUTn/IDCXc
G6qZvJDNCyikyeGO9AWgEDNNcd6n8kawlEXUdmfZEcOuwqgXb91U4Tkqq2cR2TKqA0k8yMag3uVT
I6VgAiIlZFOrsp3pyqyZFo4+znWNtoUo0YcmLrfaGfMD7Q9CDivJCl7lABgKfp0C5WqfEcE6WJnl
SqkWEFAeO9K3oGOOduWhlElL6QSwEnXUH4SRoPCN0on+Ge93vwqUPN8VzSDt0QFFe3myZkyQnrcU
KPUZnIHXftLcIg0jc5kDNfvSS/QkXYAiprPGc+rr+zBI6gDvfDyOW5Dr8VVg2t0r9N1CLCahhveW
GJvcHQwQNSB9Jjnfho4c3se2jxPZaqSiPTqSVt0NaWq/GSz310M8gIPRgnZy7W6w1V3YdyUWbz/G
2a+FhuD75D44C2UwrJ0V+NJjJttRsBol365cLIy1zUm/S41d3pXATxJfHqtDyi7HcXlXo/3UOCYu
U7osV2PQWKc27fSt1NkTp/xhatlCWmLf1rF6K8aOKcPWy/wq3WxiXUVc27LTC9zeRBroREV3zZ5y
vDactH9rjNH+OmWaues5Ij8UURsdcty26yLpplMT6PhAtE7DlC2XD+yfdC8II3nd4/pVFiGVp62T
s/hX0WCc4JNgkp2mMuxdP8raZ9PsKqZBTk+ja1hafFNbGpCjdohhaqaqUSw5getfhzqRNhjou21X
ataXQqTFU+3LPQdCuN1PIlbqHUAfKcGGG1qnCKXUV1Npk69ZGyUwfnXfzVSbxBZFJ9WMiDHFWcRa
1bCICUpB/C11dqtC1d0Mvs70iXkCv+ZY7uI6Fg8MLq/jhCPUAjBKczThSq3TCqaGW1sJrpQpnkEl
cW1F+y7izcyHSVs2ASgGd5iQYPLSQPRyczXQnic8bQe0jK9RL6unYSx6tuIF35o6AbLgv7OPHR/z
j6K0+/tMB4ckKlwOLoT3bK1A6/Zk1im3xtDGJkuzT0VCU1vYQbN9R7XE+MO/6syR34sWkzTnQs25
wWEbfM1nZgqC1+ZH6avTa9HqPdUtR4yLtgir8IIwQfm51GwryMNIzAHyplsyRdFz907rt+U4RcrN
3EjtYaItqkWznyG1uicOuoeteJEeLyGy3//WvzuOv4x63t2U1Hb+EpWbamWv1ZV4MTbhkm9hDVLi
Nl/GHq7gRXZU1sbOIEFvWGdXmQdh8jny4vVl2eGZZ+vXn3PWNonzeswNfk58YB+15Bx9CDYhGh57
mS6zo3kdbZ1dfwWkBq3BxU7v3EH43b0465worYaJkMH9I82aTbXAEeaKZXz7Z4vor2bvPzIOHqPX
uhDFW/Pf8x97LSB4REHYvFP8/v5P/9/shbRoZrfDf/0LRvgJMLF+ibKXj97Cv/7Mv2CJ9h+2jWfC
siCQI0yZwzv+BUvU/7Bn0i+sSzzw9MpRAPxlLjT+gEtoYEez53AtBZHn395C5Q/MgPNfifzd1HF+
/CNvoaLAVvz4spgaI+tUoiF94FZES3r2sgTMuKAW6gJMIjGYC+qgLCzBEGV3FZCUL8KR45eYuuub
6J1m14aduR66H2Y1eGyalGVTaKhbWzitXRCzyHdOy7E/Uv1xQUZneWOTJ099ior7UW0UoCKDJnWv
YsBDPbR6J7n2FDb70QiqG+hbOJsnlYkaU+8PRfGbL7Cp/B8KbZMTIazSoQ/67A5orKK4rRDFSwpd
LaZ2a5ZHH0rMsx86ySkCmXAXJXQ4FlXeTXsV5KG06BS5g0UzWA6GbKvbaXI47oZsqJ41qqlHNdTI
ckmM5p5skiahXj1opG1WKU5uqwho67CTynw12eughW/DopI2dsSOjA1ZeHTqLriLmtg82ANHLNFO
wyulaP816LXiHmRBCWHFNqGLxZ20aZWo2I+1GZPu7Psdh/auPRpSKAbXTIv2Rhqibq1JY5m62pjI
kitZNtJWm8aRlzqNvAjakDhHw+bQn+cs/qmep7fxJNje2F3hmUaLmz5uU8zaZfLVySbKPpMurTS9
bu5sNtMAgaJ6lWmlerBIjrqfwjDxLEgam1LVJy9KYCQk/qiuOvzXa2CF5G/QxvEyNbC/dbIi7pqw
a16E4xTLYLJqFF6yrlCIS6S72JEN4kiqKr0bC7awLudmxNBFawT7Mk/624mOmSfLkfxQl5nG7iKi
pggU1ItairGuIfv6EoCn/SVutXaZFe/7oji816LG3OWBmLwiS4BSJbYwl05o2M8TirCFrPryobLt
dtP7UbQL+LJW7H+c20DS+lWjyNODrptU/CowoOzFbTXdSb5jbrNSYWa02fyIhq2gTto3hRtJ2k6t
qVz36iD2AjHVJpXCmHTUAW+7hfd9lcZmcFWoknzozDSgjVanXlXYwWHkfLbIY1tf5mUjbxyzbldK
6+CI8Mcg2uR6nxyrCov+kBpiKTDFu8akQkDoTGoxGRvkVSRqkGujzfkwHviDed0l160hFmltmqcs
64Pnqm/Ng1S8e/CpkFRpB9IgLMVto8OrktMq1d1mSCTK7oM0HnsBNm8bSz0wnNvJFIi4Oyv01fLW
1LXuupd6n6phBvesoFT2xc4NoHCtQzjDO1OugHT6I5lxQXIuQNo1jf4A2SG4Yk9XrEVUhTeyLMCy
aWyG5JJdCWQXGHfCIGExLxJKK/n/sHcmS5Lb2Lb9l5pTxr4ZPnen99GHIjJyQstObEASJEASJP/m
fcv7sbc8pLpXtwZlduc1kUmpjExvCODgnL3XtqEPwmubd8UAg3+aXJV+8vKgd6gvthi71E9mQHu0
8O9NxEQNgIb5NQPQeWqnqDuAhWBCCdTvEkCTO9AjnX7WrBggj2o6guezIWLJ4t5zzbjnBbOlOHV8
ksqqHvMEuKFdLrxM6cI8YgnmKdBFyIoFDDqJBOCsuZXhfLy9U5lB2aMIa89qGub7ddWMGcdZ691I
of3GJdLbyszNHtaWKLFNpdvk2U8UX9oifYe54Sppfvdqubf8RT80VS5TmhRFvo3KiY6dJ0abEK4y
fLQkRLI+V2QX+wPNh808N+Kl7dbwsV+G4qBGiwzlYBLTq+2N9AAL0zFyASeXUzm+jN5QpQuE08es
N979YsXxlMZB0V9k7Ybe1u341Ok2RNdOWhpOVnSLlG9flnG17zLtEr5JnXnyhrml58cwlyfcHvLT
wpRG8p1V4/28rhVVi9HxVfWuJl1l8sQTjeDleySXtjwFurJ3QTRPL74iZTLLtD4WXRU86zIgyYwb
xQWu48CsYij71GI84TEsX/TbGFjq2xp/Si8Gy7tb6HXtskw1l86nZQvedNrDP2Rba6tgyymK+JkE
p4uwYJrJQuXPAAMbbwOixzkp7vg0RitIRZ0gLLbEi7avlq5/DqaR17+K6cHxpYKb6wTNY9t1wSM8
m4U/0kG0GwcyPrV6MufQFPrV+ONwiHMoTJChhEq1GuMHOQv3S9Z0Ii0LGp6LtdjbpunzH0tQgTKx
Jh77G5AxBaDYAX4V80OgA56PPg5bdlALuR1d7hc6Cfb7iLqIr3zVWyuyh2uniRfbGAJYfgnBNaXz
a71Hs7Gca1Aix2SSybEaIndXo7b87ky2OHrJEB0h0VePdZ93d84Q1qnMqvzVrFwdlaxVOgJf2bja
Kw+ctvZpbSDg8KyywUSWCyu2cy4YLqMtUHTrmlklIYyTzYzKzZwTHTjxEvoiOhduFe+90dQnIiFU
6tFP29vJ4n9ZmqU9ImXErmw6ok8wap2V0vM5qYOV3a7w7vx+aUELmY948ZihdHhGYjR5B6inkkZb
F+7pBSDHrUN3t4xLch8AB0otZ5ZUFNn0kPe6SavGoYkYJar7GTSQ94H+hoO3AfNlXbyGUV839P6l
WbvkkGWNMtsF4lSq6VvsZzjHh4wP7XVNoPXo0ne3MDumbBNGHntFG2Lrlqt5YDIbpm07G5KZut7a
xn0yPkBiqw4msZZvJQPs7WBz4CWRpXfSU/XBHZklLUVU3rsEHl2w+46bOm7X98JWzhEWZnVQbmLd
x0wxUreX1aMr5PCU1ywDZTtFmoczDo3bwK1s6/ls5oacvEmH4YuuaEpu6mlcT4CMwerMldTvqywm
TGBxBt7Yhch8AxQUldudgKkWh2zWFSjj3t3LuJEPFmMtuGHtuluYhPJ+c8d5tOpeHbxgREsB0fq+
8Ez2VNpqPcZFwIOZhehs1y5WeNySYnpdndJ7HVVPtKpdlN1FFj49uTxzry14zW1m1LyfjHbkJjE4
dA6G0YLZ0MZszwyWJxjtjX/iCQPMOw4WDJa8QxAg2ycj2WX9bMFzvkqScVstnbumbQ2x9/XKNdoy
Q11vZBara+sCHZ40G7Y15MmPmX4O0/NZy2NUIfXZwGaCdFTNa7+Zh6TBWW6Y+NEmn7+yVbmAneaS
sSHiKma17tOqVbENdOIfnCL+unDpPq6DXJ/WSaD4pXa4J2PFu/eS0fE3K0fE2Vbu/Ic9WMkfhd2u
B11btOxkaV2SwIoO4br0fBXaeWmCZtghjlhS6CETdXHFrATMKEDrIaH5FPuj2XsunFYcBFmyaZMK
rBUuP7pJt3/9s5/AZu1+GFqC74CaaM543uw9SpiIR+NzmsbUGAe4WlLtPjGkIMbznxbQLOYKFmTk
wXi7z4GF6Z0OlOkKAVaXnHmicwF6+vWtGRaj9LjCwuQXTNbRLuBPAdxaOvyrQLUGBQpknNEzMGCw
pyekJBzRt0M/boz64sM0Gw8wdDU97jnLGUeP4Xwiaazfxg4ig43d00zkr1VfZFTHqTY2P09Rd8Ah
B4kYwl0az/wnkiCAuirkLxPauuhBJdf1BkSuen5CrapLwajaRyrc+pnEx+Rqd7y86MaFtUMcWRsG
UMXTJxU31lQcftGDtis8PoSKP9qwdd2cvF36iZ6VK3PlfNbml7JV8RTDGDp89kciG0py7gLs3RhR
hBucpQ7pDXMxf6efCHA5BDW8kRZ8ZlhlgIAtfvKTCgts17zKng69dKhZPudConH44ijOsgdYt/Hd
nCxy52i/5Chuuu0MjP7sx7yy9db9lCVw2c/fFzsdg6bbeCkGkntXOKH3Yg9meqSN2cyb0l1act0z
RsnwOO2j6aPc3mFn7gCW8A3nVHqXuAagXiFlf7JF2e4+p3LaYS4fE/mSqtr3f8/jpj2vQXyrJroF
gleYQdYN6hugjDKoNfCnfRjHNl7f+0+8NG+cT0YHvHO98pI1Bo4DVOfiXfg3dLTq6mdZ8sMm4Vs0
mBNTINlQrnu0PZ8PlHA5HPPWMq8GYmjaVmUCeQrEr1IWdaLPB63K25fq315+3/FozDzonrveQO+3
/3tbTCKxNBuiA/T385m2b101u+BhFkydLhpK8YufzbxWW95mmg3Pj1hH//eKi+0TI7fsQbDbo40K
uuqbzwf2vYL1x3fXqeJd+R4FoBGhebVy36R2NEFuKmqLb77rIB2LPlydrd0l1Li38pYHgFqR544L
4xCw2kQJ3ziOWUvrVIb1pqjigqv1MsFsrotg2lN3UwDT+OfrAe/U3/RiRPYmai4ffNh0K5KDG1OZ
+T1gYur/G4K4BdYK6jixd4iRwqdgGvpDvlCl50Hfnv2qBEINcZ+1qvP8J6BqlvXnhjI5CTKcwvCV
3EjPCiTqSWvLCTbRxHv4XHJS9RAhp7prgHY63avRt2ecCeg2xjzVbOTCpgNpn3fwOcy0BYDzz2Ur
W6DiNMdZynVzw9upjjuEUODIPx9utfBg6jjKEQPclqZXMlZYXT6cz68krli4RrI75Es3fxea3/25
cOXM02TTHB8Aog98GHrmj0T4xvgAyuVtzQ89jVfuf7f9jR1D656P8nN7NIQdHITl8ZTrxP0gfKVb
uDlIXtln+e/L6LYTK1eZVNvNYrYE3fB32AFPdB5QUEibp1fYVfE02dkE8ZjL8kG0bSb2Am/mvZ0h
U2Of7WUNhVXx4ZGJ0MzpTCTE6xCKxSLagHbsRbZabRMrQfcQOVXxyyGUJgVeHHHEsk6KKzrGvuAR
D0Gg4uZ/qJ2i5PDOLW0OpY6mCDa8Z79FZT6GuyXroze23cbdBHNmi299B5CS6QHr7k5rL2+2xucn
QTbPVOaCgeSxC/L2oizGd47vm2sIFBopu4tRdk94Xs1p4RaMiYxW+e9r0uQ3I7FAmGkIPNjNZrG+
21wXTzCP7He70uOy6aRdcR0W/ZuAJ/iGSrK50m/uz37uNw/VsgZ7L1clfovCy/9YxYpqHfDkfRzM
w70YLfklkYn7XTnt/JZhqTj1HgmsVR7P59xf9R0cWtrr6+y0jwun0UN8yxrg2tEcVFH53YYaNfk1
ea15GKx1vA1SavMccnQLdKSButL2ts9w1OKTI5zoyRAe8gFnDTFib4f9PuGSdHQhgyIesMVegbw/
JzTi7vtxifZtYAFizVZ5tvzCnOspN2/cbfyXoW/oCa1uzO4Av5LYjNKYP3QGrlK3Xvvmxoo1Epno
lacLaffKwGuLkznZ8WRkXwcLwaSexRpvkIK1O6791rGvuuGn8LuJxr6QB7sbnVsgAokTeb4iuxzk
RYlO7eo1huM6FXm9V/46PzgQ6bxNUwwWIaXA8n4R6+Dzxu0nm6QJ6+iYfniyhsy8VsZmrazkxNJF
cDDi7QksuZ1LCWjYjWEczT7j1kwoKktZ9TWiHPvGtNqf9lUVsdG17LuEhdxI23m0tHnaukPsEcmq
2EYHrlEbfMjoj2JXV9/Qi7Rnqx/j6GSFpfdREUFw8rA4kRPbDmxmcCVds6FuAf/N9L5qDAs8Dju9
3APgNuO7xQRYgAktWcttUXkfVtzSWPl8FfGg2ZoZPLNgP4/u6HZUtiHgPCD37I28CMX/iwefPcvK
Jzkd9drClGday86obnNeucy3/d7QpyRzJbln4GJdfF9xmnyeQvxOtgkkkXww7TjO39tK8gKskc0v
NkP/4hU9/z3MxRofXc9BV5FxUUFD0bUO6TIj9ASAneQw1BDw1brO6xHBLl0Rh+YZSEE+hSqhsMoD
Ohl5zJHz+T5bFxyvHMl7m7KQYaegms83klyFy0SQwfGznzIZSgwN8TNkrGviu89fXG8ZFHJAXjJY
85zmapwe/TKLtmqy+UjmekQIOHqPeRGB+7pluW9iSf3Uo5//3YTBdGlHr7qrMu5sGorsD99CQFQN
tn3ogta/+G0hroz+aWrxqZxj3YWpML77RyQWJ99m2s6/q6gzuxG78ps9cimZzJK95IMfHsjfGNN1
QO51wxOkS5XoNIIBeg0dw3grvtnHqyxq9k1fc6NBRrINRMdjFyEEyL1ebwqolFfTsKPOTt0/tFOf
PLW2vaauWnvkVEmOcDyDcJk3QCuUy3RTsejKPDPnrkIAtinX3N8F2lfnqObp1gK6fztTlCi1Vt+c
QM1f4OqWb+vcDKfW4pyW3M6ztI5pWW9B84PimkMUS5t5KlzDNXrOTmhE3S/TWjUbpZmD7irTZ29J
vSp97Icue7HQpj9iUx3vx9YG6F3WOeEKKuHQISI2U++U1Hb44CU1lT+LnFXOURHMf7Kh/jOZ+Yfj
kob+7yYzNG3+3//Vfx/M/PUjfw1m/OA3zFQMZsKYsGkGIIw9/hrMBN5v7i2DMnHATfgBQ8z/GsxY
jvsbCyOEthH8V8LVP6mPzif20SUUy3ZsHwht8L+hPvr+v7hYsOkA9gDXezMKuXAm/8X4pqXoCE/J
w+1CY+JDFhRbqSQMRwKPAvI+cBpYrNd8tZjuRU7x086E6g5BUI35xcpVhMF+9pbk0GhFJTGMga0B
eBk5PSN+nyFTI9Dol4tSFfnrFth3FK/TCvebc7k7a5jLN7EdO/zWU0Cx8Vd0CSoGayaTgoCLmQG2
kj1FsaZjumunuTYPIK+pDlGOjCGRSBgx6YKKQJD16BrrhxeRfr0NDecUIUFQzcbzn6eAz1kw7QU3
1Pn76gHXTv0+4tTxBLknq+qnBZ9jX00XcbvXxKRUdalFVMD4gjSHRSXdBZ2Hmj2KOkHfjzOOP4ag
D+bCcmcN9k35Ecj5tQq52zBdYsVVquNc9NeJLR9NGufIOtyOKX8Vfra3fDl/lwtahR28gnq4+Ito
OaST4Ytv6wnNfS5d4ommQbKjkPce3cfKbEqsHtkvqzO12VgVF4mrzQwi2KLUroadVdLLv7pZ3S87
r5IZoI4mE5T5lNu/J3k957xiYV4RnTO8qirP8vb2ugRx2s+LsndWmFnRA9Vq9jVzyqjiNlFJ+rl1
sq5XGxX/k2KXfhQRm8w2cuL7KYgfSR14nGNCzePMI1gJgwhyhi6ef0YW9Tlap7z7Waxo9dO6DcXw
nFGkzfck62Q/uWVrfckSAiaQepEEdh5qt3ef2iAa4tMKZXVJK+Ut9nl2NXSSZ/AHsPdEl7QQj3Wo
sCqgg5v3fVfhIpllA0kY5f8xWuQoNwgM0b02vFtaIehairOxMLcOV6vAL7CRORLue9sExXRP5WAV
+1YnJdGzVVK55ykekiyVk4j0HapsVd8NZFzYKevdl7zD3JAM/acIkwfOnk4jHnVxpfERkseZ1VSE
n7dRbh38gi8CEmToad7uHMZht84HfRMNKWHnd5KmephKHCj5CTZ0hqJsXoageAyYOiIYLyMKBilH
+PqMgz9DYyQqI6LVa/fBG1GycNAlTTWe7CpEMFpBXGreURdzsVzDEq28l6wJWWqeYHX7ztQq7jVD
bx1azd+5Za1xUCSEPYfb20htTBeEvly1sDTUx8ROBIV5OyJgJ9aso3fcOj44jdxvM6rbjvZ1Fa/O
tzxpzIN0CNcQcV3QhvA4MXeZFEV7rZHpRFszWSDRMc2w1RAb9TAkkYPnwVuUewlQNtkbHYrkPqrI
f0mYLVY7p5Hqtrn0E7phhEHDxh+7zn8p3HoUOFVhpW9pSeELKY1fTFtVymzcJiW5HAf2n0q/92su
gmtHw+it4/qCM0Wx/e6aAWg9THTsxsNa22T5+aTaMWYQQbBtZjHKpwaS+puKrBjyfknySU/nF19s
OWiicHCYDzHvHuj9vgjnDDZ6ryQWOnj7VpRWod1Uhz5Z0Op0brGqJ/w1o/dFr25/8VUcWcjzrGg9
DvGIX3EiCcI/ypYZ49aHYYIftqde2UV0m++9wg8t7he5z5hUssWm82LYQmMfQni6oF2uUTZFycrI
StvfRTSVMGX5Z44vqndrfyuthOpaTuRiYqVu2NdMkAwo1+hbg/yeOgMrhRkkYIAwWt+tkCIdxb2f
7BEwLTPjqxAbYJkEknCk1rfvFp+d9kw1iBfRpnP6M6/Z7g66byhJ/ShOeHiEsMiOsD12Pru1/fzZ
Z1hdnz8v28LQvPlUBX72AGV/CytrqR79GefDXjeWl73GxZj/jLoyevYGGYgWGXjIKgKiHZEPwCAZ
d5vr40WJgwa1lH9bLN9WpH7TkzfgKH/I/EEsx0jVnSSUCvnhJnAo2l6SAXdFcaiWmqbzNs4LUV28
uWy9+yLn890wCZp57mHOcwEE7/LBJjZO+2ZwSBjDbYo7pCVRaMt1XutvM0W+dsMeswxTVzE9DwTb
LQyAVfXOAJsu8+AXSJKXCuvcoWTwvnzr/FEUKX6BLEf7NXAXmlYZOVfCyjVdnWRp6gd2BeXyIj0t
N2FVVMGb7XYtiXXJVCdXU6K+OwzFYk8pYjHjXFdh5iGtaqeNL7UruNLaOIzoyFattPa4nnQJVRNq
bv8QFY41H9Zw7tUPiWjNZ/YY4H3peuGBplc0n3ZNZZXrhnt+ubygbiujTdDWnEXj3MU3djzJhDWr
wBp4wQjlEjJJ1iZrjlGt7HZLTpcaNtA+uc8s0uK6D/xu8gDbF453N5mEjKM69kydFhr52iWJ5e2T
4qnS9YOK4rg7FA4ZwTXeqxZrHIkzTNasnnw8TGpNh30op/h6mCzXoLAqOTDwZ7k8feEwTzhE12mY
NnWhzHBH9HRP4hFC75+RM8z2vWVNgfvixquhv4EjiLOg4unbKGoGdydqDIcXMw1rdrCttvQPY8bA
5RxYVqseJ1Npc+wJhnK36+Q55qnyg3A4LVM+5k8cmnF4B+Cx76/T2N+mYdPahnsuhoQt6KAcw4uF
d3FE604YF8+8Z/zz1I7L8BTFDj7pOJt4GgwV5Qc3GOoNg/mBezQ5X+4DA1THv+drGyPsEHlePLbM
tZM0cJa1ORGw12S/t7FhXxvh6KdtXEqS79zaq9/sYJmCY9KqyE07yxVmV2KqQsLgqVDhMiEsokBf
zt6KmB9N8ffcXTyytIeqGY8Buu8apy+X5kds15117/g5XlhsK8EVBdKw/unv/s/V4h+Iqv7dxeL/
/FC//n6t+Pztf10qyL9lLWKV5VD02apjtFZ/XSoi77cEkITrYxG/6cD+pvayot8c5+Ye5zYSkCSO
vOtvci/nNwSV+MtxBHAPCLkF/FON9vin5E//y3//nS8dfgaD/7c0kBxqopxBU8VBAAOfv/FfOAD5
HA0iMQwNdDWRoKkdazl1whCmJBMZWhta4/k55tg4Rtzqn4vGbq49EvjjUhXqNV9H4BuWLKOHIu+j
d3L3OjrNN6NoH6Lo3nIrwAkjmb+d7Ygx+cR0FQ157ilsd1ZWHPuWDjn7d6cZo8jsWvSOc0iyOboi
xRXl1k/wmSVdEtzZQbFc56aKtoKSc2dz8b7GSxj8WuMleazz3vpBLGfz1hEEeSZfqtpXJK+kuO0p
RyJG1XpencdmSvSpwIe5HfqYCAl60fV2UjGuPsDJAzv/YKcYVpozLpxpuNpicq+GYcFTFY/Bx9yJ
+lswtQSCxpny383SoopAnes/rQlwq6RwB9I3QB/yUUzxrhPYLSOKxhNCfPeuUR55D8puPhwRuD+a
2df73EqmJyOQBqC1EKe1CmyCPfyaeK26OC1V5J8XEtYeSknDtOe82c+2l7+hlM5wZiTttFsk2mYP
u/V1gcUM0tea3ZSODSW/atyT6zbNS2APNI+JED17cz3d5xGSh01kdy7peP5yKHK33E1+46K5Kpa7
jgCsNIol2XnLtJ7GNk9SH7Fimq1jhDil+Wpb3eO8uPrgsNlvV5+heZ81WFgywx0K6c2BfAVv19lj
RNZNDUApqjkJmoagsKTu1r3dE7ZCo108u/1q75iJgqTylyUd6GPCBIhzZko63Iqors4QCbwfazmb
s0pkV22SODHbxkItWIcEpaxYwI5h71HHUk6SqqHvYr90NrSlb5HPy3iWrt3s0DQgRB+M3BKAEj6P
ie8eGQaE22GyGWLjHnqkW0MMaFsvG3xr9qMgTvWRv3LYt3x9+4zoq3QOFvsdr7QZngqhu/7BcQwN
sVPUV7L82gRDov0UEXemoo8GqXrfpwGKo3JKOUeSrt/yK+1EoJiRXuvcdY5lgSGa3ZZ9HT1EW7NY
npeSPmZ5CcU4C+exS+boOFG973g4iAQdAvlqtXab+rnw9zRpnd9rK+qexlw6uCZmVgdRN6c4LId3
JOhNtzGBnTxC+YetpRbvR4B5/aMvCuJvC0GVz9z7VGPFQyeQKfwigsy4SXnRNfMDwoy4I+JCMITu
rEIjfan9leyzxH1EpCc+oNQMhxI1UbXBymBvsRx7j9hCCDUMyPE7BEtPItMsTMYkQhQESNW2eqiQ
BvZn5p4oqNqVM0wOggvHgCrk61SL6THrRnFeSQc7jVHVUaUkLdeZOjT7WUzVuZoWLD1RvjzhfOvu
XN7hQft9fZXYN1uykkhlozmLDmDw1Em4lnwxiobHMuJWNt3ifqVqYphjZZW3iVwt7kQbyBMaKVLr
SozknJEdZuugYbZsI9YqOUpHuonv3WQj+xOhpW62Ty8/OqKMKI7qImk3C6GYv9BZWb+3jVM+zVWP
Vzawhfo+FFb5YUoHQ1sudfcSERq9QzU951jOm+onzIqexw4ZFvld9Fq7jTdH08Guq3FX4HFgogjm
YKSOrkIrxSSn74uoKB5rLPhPSbyIXe2qiCi2MJB3YmrrJxfBA5oYYoDIoyoAxO64N5Ip6g3iO5nl
2aljIJwWVltcMrusf5d+Pl3q1vOPgDyZp7Y1Kas53tVXKsjwrIOsv3cRtlT7xLXUCz6t4MVZA0Qe
SxR8o29rn9cC4NSS1d3X2lt7jyIegTCyBy1TnqHk5JUipFFOijqnBustDzzSgtoxue/zSr95EdpB
1dMr3oyVSA4GDcoPScb0yWAZ3ZEil19VWzErmYlDsB2neViFRYZYp8FwEujzgxuHOiAxHjaq5BsE
NsJwZpiqyq5wRTdcABuaT0wr27QoGFESfO6xgVMRnUbur3tBtAtRtssMqXEg3NIeunVXECh1xLFY
b73VkHFahJx62H/Uo4JAS6WKLu1+aOzuMsI5e1BrYL4Q+kkomNTBl971u+MM/3+rs6YEEmW3+X2J
3JPeg1OyjxWu+MNm6nVMjCW/hmwBDwiiPGfbmTy+PZbt3bAQGzywHTFHU6V/oXngvdbZMPzeWMSX
b2hLoRYqdP1eE0aKAU9gJV5pdh1K151eKn8wqAd9tffd3rkLtI3hvOn8Ox30oAex6NlkLmvrNk6u
kh+tBPx/4v9NH0SLttsWtMx9lzswree2q7EioRTwtNWXXJWjbDdY2v82Ivw+NDXtDxObmp3Uty6h
sumAIHTmvYQ+2pDWDbPfo9XyD+U8mHhb9xMGMcnV8IBA0phtRI8L8cTgPHneAACkyZvE2fFALT+K
ifiLhYPqO0ao5Y/Rrwwty1ZZHON4F1PVLfIYyoakM9nPsPNAfjytMZcFt/Pqh4aVtfNkUO9c1wo5
82fnLqSBdKA12u/Qk43npHTJUfTq/KRaAC9O78b1pppqosnEBELSDoJD39PdimIaYC5TzvfI0XIX
j3m5L3WRXFAWBExDu/DCQDfaux4BDL47ZTv4bN5mKTJvX0437Vel6nuPuft9F/Ml0XHNTj5TwDsH
pD3hapwWq2U5RHDX5soAvUGgvXTHW8j7wYjVecMyW96vqpkORIi53WbuO26OFekdiNfUQMmWE11f
owOVaUhoIvJylL1DPwc/be1UOx/XFaho3akHlJ5zu3cttJvQaqRlG+vqZ764ya+KbN4xbGUe1tS/
6p76kRZs5nuboI6mFykjlxlcNFyrvDdJKtcivCn/POc7A538dHM7ESybRyfnNlEfTefSZlgBezjM
j2koZTvD6b+LPYayRveMX9j9mQiZTdXGy15YS/3NZkPfBv2Q7FURuoiEFvasKV52auiHO1EyOCuY
tnOrEfY1y7mpUcg175lnmx/hNEfppCOxRWdv7x3G9S+LE0+PQxfNd0nbVE9Y5SlTsibYrTEl7aaj
UNrMsbbulVjx/pVe/hiuzNLDzEYzVxRu8ty1g3/q6k4cAxMqpkvhfI5I49u5IgxJJh2LmcDbur2j
OSq+R1Ye78rWz881Xe3jFBMSGXlu8lj0s2QI5uBnzRNvt2BIwPA+Y5HToXfwm2q9DLHQu56Vyrbv
tR9QVGYYFlV1cWuFFL4TwV3VDsN+4g3sC5or+zVOhl3dO7QWE+7kZbHCxXN6eeydiZOtQ29ez6Hc
kc7onQPPGg8dPaiPZcjkLzwoQblBsOMcZ5rBu9FbSTocszwdmyqh8un+aMpqOmdyqfEjtNE+s+fk
FBeecx3CakYU65QIdHFGRBgFTiqHktEseKmhzIwpKQTVNs9iuKOwd3Yy9CEm9zo7i8HxtjXScObX
cUiLWGATq6nlyWEyB369TU0j8jRoE+awdYHdm5PtTi4joue67s4rnTnW2Uy2kKZ3HEAW28R1jHR9
wWvrUDAdOxVXW6ZvC+G/zbrNHC8D7JEhwdOHUiQoQHpXvIZSsgmOfnvhp2Xq4ZndDAHPgX/jdJiw
fMnWAn1KGJt9uSKmQvtxmTmYz1CAbOYf9DsN6qObgTU8YdeDRh2XfqoQpdG6mB29s6beebLChCZN
Frunz7vnf67h/2D49u/v4c03fPTf/ueI7/Nn/mm9Cn/jiUeh5touxHCiIv5+Gb9lfTkhlieMVt4N
sPmX9cr9jd9uM24jGisMHaCA/30XTzBsxUz2fM++MfDD/5Xzyo1vxqq/XcXhl3MQeqx8dHZRhN3r
fxLyfFMm/QLDfxe2LUfZHsm/j17JC1x4HDMcA2c3l0rN3XbKhobCYVp6b/huY6EhrimmT3eQmSiy
3VgxjP/BJXYov4VRFdVplgjjXqIsnkZkv2vPaGkT+V3UHrNiYTUgiqGX1872OBxpXieSHiCug2Dn
9rZ2v7R0yK3noqTATWk3OTdEigSgU8mQFEL6VM4zLpxK/Zp0XsVcOZpxuNLQC5oHJ6uoGzdZINay
uouMP3EBoCYz5qpoMMYRrh0XQZbVDTTKFLMD9xeDdFoHeBQkt6p1jsLnyvWQo+Sxw0ClyiPu1EXb
W965HTnndvTkGBbKRqnwaYWZfzM6l8yiUIgLD9DCh0d7zFxn0WTZHVGYnn3FoG1zvjUBPd/N6riD
+82CSZx9487UL6lRNEiR6XlFtP5g7l8k+9GdaMpFS6inYtt0skLjSitS4c6Ki6x+dExOBcSAY2rt
hvMGFEdMeEaXZ0XWn1zkdUH0AcJtKGCqlwldfBMVI6ErJYgB942eoy/EFuv24H9F/HcDOji3ieRT
3np5jRtM+9j3de5k1IFTuTwWlq+yI67dce7p7k5CP+GcssKnrveX4qtHJm8HCjyL1m1PJzVo9kFd
6m8V4lnrg5TxWD0rCvfhIyo82hl2wSD3jRDZHjVaE+RlfUefsKnfg5jaZdkKCiks+u5Y1fh3ROg9
DBI+xrSFRCKmboMMy45zTmsfRco2qxc7R1QYhrTAN3GsG/fFrL21nrXPSO2ZBToCalpaCtOD01eR
emz/P3tnst02snTrd7lz3IW+mYIg2KixJfeecNlyFfqeaJ/+flDVX6JS+IlTPtNbkxp42cFMREZG
RuzYO+WxfTDM8hx5Rsf/+VeGHH0pC7VGPUFeyswZ32awfGQwHFTSSfvR5TYjCgzDBHQeXJO/o++7
tlTyP+yxTbrRC5yc7gS610oMx8aY1hEl60mWjGraKlVmhdQ5wqkNNC33lNoIZNpBwFKMn3IL58K+
71NbuWUqUWtukgE6p3ckYHX4s5hTsh2zhjNyWh9SWJ/6UiqYoJAhVB6/FT2C8JHbwAxnvpd5AlFZ
QuZzog9dGxnpgntSA9XcRqfasL9bVdaMd4DwrOYo0VmHqDjoulg7AjvSqqNxpqOQsolnKgUbqKR6
65DVldHs7LGzzY9EFDTYGdecjLreMCo/yned3vQWozzIEBdH9rc+v++kHj4ghmIa9X6EWOR0p9dd
Lf+wYpBb9xAW9NFdpDEmfABoIMnvjFoN2mN10sviO/epkb2vR/7ez77ky32RMw7KIRltjeJRSpni
c2JS9ut8+Kj0rqJaVKYVj9EzJdBPsD8a9oFXWERPyAbwGP2KLDu2KLYPcdI+mWnYT55BOel8oM+F
u0OlNvbg9hsmBS0KiuCjkq0VNjyFewn4JROQqY1mgDR2ph08JWf6dp/tLBiNYYOEehape5PDPX4q
pERmatLONEdCOFyOupuY9puDbjaNW9QGurCMdk4rWfmjAbIvOLYqdCbAUKHnmYkuFbmC7q4LmkOa
nYbwMZw0JIhc1Qwm5McLmeIqA6dOWQyfDRzByN1Yp89/3nZO7Ogfq3Q0xkdzsPVY8oBgyfZN20sR
TJbqVPPvBXsqZKnyoAQMfHyhzVJKXyqaTMUD2Aoz/QSecugPzUjOzlRhyYgIm1ADNqt4Xh8Za5C0
G3XMkmKPJgV60Z4SnqzBzyvdJKfXsyj92Y/aKXmvpPC1/GqpNqcb8A9me0fJMVJ5nQG8hngulZIE
2EefW0NLjk7nCL1kYPnDU4dCPXCyMyOtt0Pd5zBXKEjhjZ8zInFdHALSnxRsFwjwyFNPZ7m+DfUz
iui7zsr53S5w9LgA8ms2FMNHV9V7U6XKmqhnC6iAZytZNb/SGa84x9/V2ABxtqLaMUNjXl2tuizb
zoxOpwJOcV0gc7dTC6glnf4N9B8zjQwS0nUybsz8L66D/59+/R9gTMCe/vfJd/dHGL2ae//rL/yd
e2nW/9UMZQYt8dgnhb+U1KVHwreBKFdn9l22LtFV9v81NE29zNpeki/FRqXX1vknSeq4O/l7QuPj
WiNEIPY2EPNCVlbRZWa8GKG3hdyLum4Of48D+2OZR3e8eKzPDso+d+BfxvfgquJdmjT6e1tHquJi
m/5uyVy2YATXnC2D5Gbmn6sQQm9F4CaWmkRzIgbHiQffh9M3U2Gqo1uTYhM5pt9YEdZn6YnTVqbV
uTABJvewvvmpx6TVVoO+ZFMdTL/eOd6aINuiVUu3FdWeM2ikLl5ntP1ppjktsTo+dN7k9Ttiaex1
buUNf2rHcE8laW/8ur6fqpBGPy/10qiwoQyXUrmXIPIcd+3W8FF4kZmg25w0N/ruPGt98fjdtrfS
8fwg7+M7MKFG5K2QnrzmPDHFH6HOJAsXHNAjRGVlCJrW7YOUjLpnDp/JjuYnE8MrlpY32VBmhT9m
qbW5x3hpCn4euytHDVOb04N9HA7RsftyRqvCfndyVbe+i8Gk769v8pLTWhc2CQ2XNgOGWBMe5Dgt
bYrvzulkHWBmapBh74rD75jiuQabNm/A+RF4acoyy0mWM3wokb9Lxrtm+MIkknvdxrMjXtwPf30u
W4XuAggCXBvCHmrBibHxls81axAVk9sgfpt9asB/AeBzjZ11tP3+pnzK/q2s07NlW58DoKZqPCWF
m0lJoESQng8m7DgTZDAzJYy15TbcpdvAl1bUYRf80tKtuc+rG9DyzPQjl7s5pJbZWRULrUGgTTqT
KrzAQvljBGh/ZU/nzrGwpxemdFH8M+vBGVIOY1R9lqzCK4OdsdO2wER21y09H6ZXlqBFUVBc54ku
g8QT9zCowxCG2Jyi4S1zp9KTCme/sqcJcmf+sr7fasf2drwdD90n9QszkRzJFfcRLg+qBjrMwKYK
wF/RYHURvAeW0JOqARRxy6jzTxPTtD8hu3dpTh97GwYUc+UjPvv8xYL/NgjXC+mi9ZZRqbEKp6v6
hqmT4kOFJm7adocihaHdqum1M8Yd225uwvZh07Hru53TOH5ky8ADU/jK9UPWfLGGH5DEMSyUv1v5
GvPZv/LjROIl89To5VTw41oY410avZvq2Hz6eab8tQ19pCnedX8yAZB+HraFlz4U79V9eDfWK9fq
4jch2cMx4J1SZ8acS0ev4TuqVY2sMm4OJ8XecbzhrRgZEZM28pkR+GRNi1bRlxZ+YVI4ympht3mU
YVK/o7wiUyW4d3weB/Q2ewUJvObArH7iWisBUjjSfznDhVkhQAaTbfV9iPelp5S6xzfH0r1C/TkF
1oqbLxiCqcUmQKIST7IiQEWcxq6ks9NadEQqBmomt1DqbT/dpM7n6y40fxvBg2i9m5qmGDrwKBHo
XkFcM3QFvz8uteCxk6OZbTj2DN5IrpWm8Yd4MO+vm1z4do5BGgYW2CI0iiJ0Ee/IIuqpPUMo9xDF
9+fBXFnUW4c0qCOSXXJHW6YsC0HCODlgLrTMdKH+oKMWG3t4WL8VJhURs/sUqfaekbX99VW93Uhs
Yo3apOEocNW9PgSdHLZlEGKzMdRPcWUerTC6iyX5GNnVvWwnv66be7uJr83NDnSR9DR0o/WhTzn5
Gdo8TkZpZMXXhbwDXwfUyKCFQyFWBf8k+LqFQoIFfILptdK+o7TZQVCDgEQrpd6/XgrKt8r8LrE1
9OnFBIdBzBwhB8NtTip98eSgafXKm3Rht16ZmP/8YrcSk+ILfRnG+0ytB06A2EuYPl1fxtsjSwCk
U8wpsmQYA4X9SkHkpKWaGq4dAvGKaHk0kXlL9blDEUJe49x7Y41sxuQVRQ6qWcz5iZuGKFYP3bnq
mlV/30KYw5RDsZO6Ho6XsyathKM3+2dQZaAwLSNmonCihAPVOimtuFCW3badNkP1ObO1FQuaKgYi
wcT85xefKOo1DXD/rIpwNHflQd9o+2wTQZ8XbXM/f5/7AC/uiyNcGbfag43IbP0w+lDsuOpN/km9
D7xI2tSrKlRvDgHcbIhJcveTNCLkIlxtVtm1bV/D81wAVU+S9FHJfqF1/OO668w9j9dR2KDbNysD
mTp4WEsWTzNFR6XNGFupxr69RVfFYjizONGOnEzjUT0VuVtRg9tqjVz59lAoAMba/D7KS3szgWNd
Ofpvr1d+D5UCw+BCV2SofV5/jBwZEt4HPJQNt/PoA5obHnWHEritq/oZAnnOYVVy6q2PvbYpXOkz
HGWqemwCoB6e0C/x211wZFgAktJd8D7eh8fi38bseZk8c2gFUQSnIvB6manS93oc8GLUjNFNjT+6
E7o53VdnJlw519vrH3n+x17dtK+NiVd6d1bPWXzCmK3axxOToycr+Shl8IvG1p9MHD8YTFgMIaii
63YX9/VlkYZwduu2Sku7mYseTuIPhgxnjr2SAK4tTTi7+iS1U1axtLzR6SYDjxkMx3YHqbxtWoj0
Ih3mWD1g/jZdu3afs4W322roKlOJHFSx7tFUZwmanJinxvOjDroiT9rohwGBtMKXDmvJy9uAMLvM
iznhZIxgdJrGZDedId/a8ckzDZwlD1ecZXVZ4mmIqDND9dS7Z7/falSQhpvoztrqLhovfv5p7a26
7CQvyxJOAlBXQ+8yzMXTl0R7bJSfv+OE//z7z5StF9E9z6C8pbTdu0OQ3EA6+V2VCajXbSxHrZdv
IxaC4JFnrsHASOfnh+hR3wZb5bQx4HFwgw0U2Ixq7rXDf2lU8H14quJmtHCI2rMfxq2JJvb5pryp
vIInSL0Z98r7/9KicPWfCpsAZbJMg0vBHTz4q44AjJEcc5VN81G9kbx/WYPC4WevB7lOwUY1VLHu
1RVpbOUli4Q+3R+jByZ6AIh8uL6wNxn0bIS6tD3n7mQa89G78BG5y8AXITzGWLoZeEwJbhFU2hla
+U1LLfTkSiNc8ZhFr7+wKFy7ZW0mFu2ozlUkEz3UdrBv4eG2Pl5f12LIuLAihAw4QibbqFmXVj5A
GYTEAIQnytNvGDGoiIC6IFl5UxepaifR58pkpBxIpDYBIgLRuBLnF1dyYUTwPDhV+2GKTtA5B1lF
JSTrNl0HcVtlD/1KAFwzNX+6C2dI9Aa4c4WpQiPmzVPCFOsnBBWub9vizXWxovlnXJiB7TA2bahE
3NKgwsNgdIhus2k+occOwO9nUX6QyrVkejlOMQ4yj6sz7W4KbsesYkpjEWJJQPl+cA+vKorU5q9u
YxLd5dt1RuxFP78wKHhgDBRcrmYmy1Eb/alJbp22/Hx9Ixe/14UJ4b4yp7ormwkTzWDdG7F9TGyU
EE11xQPFCvxfkchE8pH3Is9STXDBTulKvc6wU/2pHmWeBrwYnG3rAyRGZ73wE8/xqpU08X/5YC9G
BWcECp3mCQU+FJXrg/xp2hebaBfc8tY/1A+zRQAR17dzdZ2CY8pq32XIoc0+onxViezIC/vM73nT
sYWiZ9pAfLsrd/Z2xe6yq7wsVfBNdOZKeP+fl6r5EBnv5zJi5TE6+ajO5PG7/uG6xQXHsXWTXqBi
cyCAIb0+gVo4WqNWoYBgt+HONKV9mTLrqwd/Xjez9A0Zv4LpgWcWgM+59Xl50tURuFM198fy2wFt
el/b24hAuUg/bZiXhazazVeFxhdutFc2Bb+Jp2gaQMqPM+8M47tNGZ1QYZPBdh4ieAM+TVlfOcgb
njV7zX/m8yakxYyeQ7FBy3Y+K4L/tEMxhkrOcunBe8h9bVSASygDcWKKnX3o/ZGGy870Ez+961c7
LfNHu2Zd8KIpM7MBjPDodpmTovII9engVo4xKruOZh1EvCYjGdt+cDRpM5lK8vHc9OfyZoBT7+wq
URaZK4Fjwc2oykEpT1fc0IBMvP78UiQBHw7OICKA79TKE2MxGy1ee8QuWpkFyU3LmMGPQqA9IUaE
RiSjJVY72sxfV8YWQQtpaznq5F936CXfotQo66YO2sIWUzI+vIFgCcNTdgQfOVT28lcg4e0O+mEe
XMap2Q8qdPHXjS5EB8qBPLWI9LZqqcL6Sh1uL3k2ag7xMTEtD5TtmueqC75zaUO4SQy6ZY6TIE1i
SYmXq+EfBrNJp6b+xCPliDbUXVTFX7qygubS6raJwsyEfobF4fpKZw8VPfjyVwj+Ai2souRlxlDK
MO7m6ZohYIZYrtEk+3rd0uKewjBDoR+JAluswDNQ2CapMQeJEUyn6SpAzH/HgkOmoaoW9SUxxEYB
pCIDFnQSHGg/QGWvnfglx6egrzJ2S69aFXudqOFK9iixXZMRMOH1SUJgx5R/Xl/HmhHBM6I0HQqm
9kfywS9xcQcLr3tGk+y6kaVzBSjZQiScLj/vkNeBAtmFNrdKDTwfw7SKcp9amttIv6yp5dZ1tteN
La1IM3RZpZorK4r4Yk0Rc5pk2CHdU86AiO3AQPAr6v+8bmTJwS6NzAfuIsdtTBl89mxkOmVeazOZ
Vh6vW1hcBpOG3Ku0P1TRhcHiWoikYWEIGR9BdOystwcArSufZnEhDlnCDBxSiOKvF3IuDQhkEwCd
SnQ6KjaDovJaL2JpJZSSLMqwqmkDpxFMTEEdy/D4oA6VvLOj8Vic4J4PzN70/u2W0dWjoqwBytVs
SsavDaXnBBEH1A5chinf5XL7Kc6au7TWPvyGGfSA0CgCvOWIDmZPwalhWHBEby09KuOwr2zu/Cxd
6ZK/3TZWc2FGcDEojySrcjBTV/UvgGRbsOIPZmyt9LvfJjWYoZ9HUd6kNSq2WELmmE15DsrNOfwK
m8RnUwt/BW3lGwlgVzijfUv/160jDF7YFIf2RxgYh/LMhyor+LT0MJ0ggzVXDtDb22Y2Yjq4Aph5
wsFrb7DDuhkR3CMOnEntraYAjtz4tTI8wk5Q/utUCGNo4mgKx0gmWL82llM7MjLIolzAeYyLGx5j
NttTu1KmentYsUIKahkU17EjHNYykhMTGUNiAkW5d5C+ZzfT0PYr1/RCnRTfpjOl4OM8CMWd4zF7
7qRB63maFdPG8KOjsxk25lN7q20SL/L+FlxCOCn4o3j/VwZwCSEU4UtYmw0ShGbQJYwSwjvCRvLe
yUum5pBR8M63CjIjbrRlLtM9b1EvJFG4rzeBv/YGXdjOV2bnP78I4mowBfC2YVaF9SUfW39Gu1yP
FQtOiAkwB+BrSJDFNGEc+g6WKb135fF7bv8BdfauVN6FkXO4bmdxKSgywccBxow74/VSOhUBwHPM
JztFwW3bjZtgWGtILC7lxYSIizHacVIQHKTVi2y64TQueioBouYQPXnXF/M2XcAddJOmqMYUEf3Y
14uRB0YxEFAaXHU879TBeEwzA9m92m+UyrPyxL9uTlkIga/sCX5Q1mNt1wGvqbFCfJ3nHVPumhel
6JXeGZkB7Z6kte0thF7GAwh32PDNbvpkt6dNUtQ/dbP57CSAst04HJIvKFmXqCkoLeQTkdLLP5JU
yu3f+dwXOyTEtrwKchhp2SHdRtyhhaPMuLu+Kc+32Otk/fVHmN3h8nAkRl7EKiaGJ+lJgvQgZHb6
bkg2veFRjnd1V9k4x3ifD1v7vEfBWalc+ab6Iq3ADBaKDK9/iBD0Umu08mpeK8NAvrxlTv4h2c3y
eyih36g3zOSvpETL4QgGDUUFwsOTTPC/iM68rLRY1Fp3BjU2m+oTutjdvttUt+cf8b7w67t0t9Y5
XbjwccMXs4IbwnhmncoRs+apdBk+2Vg1eqPlWjL+jMh++2Vf7AjOg/xQwEALdprt4Elu6Zv2Nmzd
Ymd6KIVvx8NwB9aOCbZytXiz0JTnY3JFmghUEhXF7jBiJaY2jiB6mf7zhkNCZxFKj002Q8se2v11
H56D3puFogAnM+Soy9TxBRfOqukka87cu4Ilfpfsel8HKL5WoFhe1IUdIVPLTwNimw52zl6/VTzk
IX9aXJh09X3JU75dX9TyebiwJnhnNzKeXzd/W3O+xt/qb9FW2rQ+BC07CELq9QLmvFFvNpKCCLuo
MIIiwotl/VRkdorJ9IDI7x0CzZveD/eoWG1Wc4E1W8JmDnrAnVmc5s2UN+Uv4O97QP6P9UPg/fsH
Ns54sSxhJ5tBMk5qPO+k/WRMTx38jrr5feVzLZ1qMkKyAMAuwIqEU322c9mi+PtXL92gofknU+O5
R3PCs9+Z9YNBShV/Wj3k8z8rfrJLs8Ihz3MG8PoCs/Zd+hHdhglU02bao/izTZgo38ouWlKblbUu
pQi8fA3b4tIGSCx8uwDJhbNZWeRx7xC68KmMxF5IFhd/nmp32KqzzV3+aQ1AvXgAL+0KHzLrKupK
NXb7jbxRNyELlbiirB1EQntj5e5dvB4urQlfFB2RNNMbrJ3uUHWJ3fCbutX2xe700bwdfYXrkLfU
LIO6tr1LRwNoDQmyDZDIdoRajTFaeo/+Xe+2x8m3/GoH3dj9f5aSL7rPhak5tF7c/jAvoJEWcwoD
LdiW0MBDy75d8ZaltOtlORRTX9sY5AoOiP45kHmDF38DZvIhjnwtA9Dvwls8bIatxoRN0MBA+Xl1
N2eneHNC/lki0z2vzRe10p0YtOnd8GBQvuaCOHnKvfrOQFL3vJFv/n2/3wRa/z9fz5GFw6HZiSXl
ymwvPG3OAbMakel2feJe39al5PnSjHAWEh3KzirEjDO9l4anVA8Zd853hX1MgbBft6Vc90iGMl7v
oZFZUnbqcJPGcMtDti12ymP4WfbPG16/a/4y+8O1DyaEtFL9H3+JD90h/ZBtniD49stPlreyqvlL
XDMkpL6RwgBxNbKqUffLQ+kHWwbbxz2stATOcZ+vNa/nH37NnpDh6hNMYQjnIiWRlR/NsviBuPpD
XkWrie2aISGA6JI0os/KwlA2NFGVTranA8dteqyezNa1GHTxACJ6axt6PZhQv3jtJal6ThDiwmxp
o8sDARksItc/2eLF83K2FCGUhANc6kguABiSARcoXp/Bynayt+ch+LdAe0oVJrmrY9jPcxmCE1bo
crVpxFtRNb6aCvPX+oqB5aXY88sDsChDBK836zSaKZGX7HzmheoKtIIm+LLTbBMGv3WRgcX9H1PC
6XWgbyiRaSVH+A6tQHQPG6FHI/Ojs3mqvo6+syu85MPa9bnsDC9GhQ3UYODUz/CzueZ48svivEV9
eMUbFhr980d6sSEcYKUe1Q55mDnxP+2Sm/qdctPtg522k33VM2/Uff/FWanWLucgFzaFQxxJOsMl
Fps5P1MVL9oiYywfoMHaxsfqS7H2Kl4O8y9LFI7ymKhtioxj7yrvqKzDtR3dzzOxwXfoKsOzW32F
wzmntkoojvy1A/2/xP0X68KJLluLaf0J63Mozv2XR1zxbu3aXE63XjZWF842MzswQkAzyMecaLwf
0Jf8hNgj4m1et0WKZxf4xiG/+8384J81iiAKZKizUzhXoWYQrPyj6LzYt72GFzI0KXLuSqvvkcWX
+YXf6kKKEDQ9J3L2oVLbwFfoonRvbqTH4A/9PaXl8evJld3wqMXeRF69ux5CF8+lSs3Nol/KKK6Y
DnUQCyYhl1DfPwbxT6dbK5GvGRAW5xSOFRohLxLUmiB1lFA0KFfykdnt3lykF2sQYucg2ZKTdpjo
/Dmf6/bo9e3+gwf/4j16YWde6kV2DGcYiuvzm47BUObCm02UuOk729NdAoz7CWK6fD0rWbwYLowK
gTNFkDOju8bl7bg1NfLwCR4539lou6bZyn6+HW+an82+3Vz3i8V6Azpu/ziGEEynDrrcPMMu8pxb
K2IKMttFm9brb+N97NYbpABWPuNibLuwKIRShIE79IRwRQAJMS2o4KlIGwqMGQpMTbc30EH8L9co
RNOzZQaIXLNG+YjM2UbZO/fQjzT+sJ2f5yHaw9yNX1eMzg5/zVuFIJrDnOtkEkb13aC6mhfQZsmY
9g02w91/8HpcORxijsRUpAOQez7gxDNHvs9RRb6d9smm3Mrx7Sm5HXaIym7UXf/5BNvPepdnMX9/
+azPl8rFqYFhK6iQXZgfXB11R20v3Ws755j5axOliw2sC5d9vqsvLNWROg1pzM5KzfG0o8DJ8OWj
eVtEbn97/l5Bu7O+upXjKTYtTDOrJ212oWqbHpAxLB6bTbFhbMIdn+Sn8B6afyQKV07KctZB34wp
SUbXaFy+jkRnFV6+BgJ+arnBPtzkH4ItuhQf0FxEf8FdvfeXY/g/5izhLh6k5oy2H+bmSmf+zbpJ
ufvhjvINeyN7iQf34NpYsrpmU7iYUHeR4jLCZudrfvMw7JvtuJUb/Of0XIc8f9b+NBhFcPim6q7d
2+/aQ30XrvRDllOel52eGWAuY35Sd0MP0clcAw329YfBpSd6bA/x0Tmsph7LkeFlm4V7DNZIZKNn
W+h+b7hf3NRHLnJvQT+QvFu7+JcvsxdjwmV2HqGWKudK4cm8qaC0ippvcfTreqxbPhyMhEGTA4uR
yF+kSF2KVuCcraJcaBPqsjvF2pbJ2rjKkh2Kj1BEM/CgUP98/ZEQxGnQuYKOfNIaWO0f6OP4pw5o
pPR4fUFLTgnXjUoBGd6LZ82ES2+Auxfl+og+Rm7ttWzyan2t3bqY916YEGfbgnjQo2hMhn+6CqEN
Mz5KnH56A2xu9njORAzSwIVH/r9anjjfhkYgovU9tvOm3IFd9sL2d2pHqmwzXEGHbeY5EPyudqJa
h6VsfkNE+47ARUZ4gA3+y3qhfylMYosIyTC+rJkiMshoLa0q22k+vNE+mjN5xKwKOpiq20ubwHM+
Xt+/pZbyK4NCtJjy2Ko0a5znidrtXJHWw2P0YMOJyPPsp7LTfXVvW6509hJ1m60+mhbOgaowLy3P
hDOGIXa+Ij22Y2BlrLcLngz7BOP1o3U6/yq6bC0uLptyEH8Ebw5WREjWitgs21oDRNF1lVfL1iOs
xL9kuVNcWUsOuQom3Em/1Ur6zY6MvRnHH9Mk/dqgtCWBrG1t/R5OzT+ub//C6WSymslxlQ0AQSmk
ymF7UuqqZfkldMN9j7hcWT1dN7GUYwC3gDcFuAqgRhGdOYSVLLURLjVfR8qtQsfBQkpr7ktv1Ru0
K35jKo6cBskVR3H4tsS418FtkuGm7+zmrwHiCaroTbWzPeMh+jh9Vm/hW90Naw+qpeQfm2C7EUCi
jyo+guO4DSML1kRuovxQH87vI/KLcpsdNJZp7tffwIuf7sKgcHBaI0TuYcLgzLtp9Z9U5jSuf7mF
+05VkIuAcIfYDezx9TYqTqVBGF/z4bofSW99qYvSg8lwf93KQrY9M+lgyYRFiP9eW6kCUGmKM3P6
EHGMm/M+gaRMvVntPc+/VnhEvLIjvFxCtWiR1jU717ybfBXaoI7xi3o7bbQNAperae7iab9YlpBv
IsiRolLZ0YIyYIuG777LE29Sv4ZrF+xbjiCi9cUG2kKqCauck00llrqvlF+2Lf3EEN6CZDdTTJkf
ex+dBk91G3W73oRedJGXVYrXhYOQHETl2C6r4h2CO5VrlsyQnzot2lx3k8Wb6XKZgr/bTdWqFW0w
HoEsUHGRxPpVbiF+hRLCdTxn9USvOIwtuL8MFbweVKyt2SrsaLPjLnxvesPG4iUW6u5aU3jxQF/s
5fznF2+xWEHlIexZ4DC9RzqTAfa1ecO1ryXERRmZIctqWVFcNu9SOfWbWP2VOqq/8qkWyhKvPHI+
GxcrgVMROO4ZO0bgIVi5hYjeo9EMfKXjg/UtYEWKvdv+5+88u15ZFoJJqCFNBG3G35HfU9z0g01b
XfZdcw8f2cqVvgT9emVOiClDV9rKeOaT9Zv6VrqFdZ83dOxZ9wkDqmcXZj4gmQh67q0jio575VCt
VLeXfYYbTmEQh26L8EUHDeGrhujiJgMcX0phPlZ1/fH653zmb3sbOWmyMNYDbPI5hbv4nFpbnZK+
Y1Ond0TOTQaT9bbbS7Kr3AzgJOAJuS1dYxMf2xvtj/oOiZH/pGyw7FQvv0IIqHJvTeWJtXIcT7vs
GNz031vdLffZDmZqP/uGZNjnwhv3Y7jmzsuB4B/LIn2A1Z9kM54DQXiYfMNvdtlmNEhgIJvYJ/4J
VsmVHV8+py8GhcdZO8pTY8xRdUKuMTn/ss/RDnai6591OS9DBPvvz/pMr3nxWXVYlU/ZhBVEuFBu
vKeWt4HSboeUDjDicLt6OOcIfcWPnv3swmCjRz0K0n9/wdyLjqkCx07rKdt6h2T1bxRHeTMxSWFB
tgpAVoinaJrFPaLEIDMK+T4tK78p1HftKTe8ejyjOFLsVjZ00UMvDAqHESLxqAglDKoQ91PtDr+W
ods+AArfgsZ90I7K9vygBbSZ1gZnF8OADUMg/IQQY4mvmDaLUEyY8dk5o0OBqbhFvjZ9ryzamLld
YX0yHagYXgf1coqlAuqpv+7fvCKgn7/MXw+pnT+gmJync9d6d4vxFT4G5mbB8NuK+HRItFiLTigx
UdFSnuAiuZF36jHaz1ip4Ha6OXnjuwRpLeB8YPkQxfm+SnexUIpVL3+BEOH1wTaG2uB5Kh8NH6lA
7jBtF+6zd6v56dL+XloS4hvqsrpVxM/PpO9/EYSySNe4b7yZIDT9Yy3dWPygLwZVEVVkjs04BjZL
m/MbmPxzSmfzq6xh0vwA6s0bv6yGgKVQSs+M0XlqW/xPSOJiqUedp3+2OXhMLzAOnPE0S13j2O2i
D2sX9GLSiDFkNxlV5YIUImnvFHRk0KV3k9QtP86I0+g7MmzDZiYl7lAcOKzEgPkUiDFOBa0LS+k8
5y0+qONOsrJpnnyufeOD/WB91TfVJvTheW1hImd3Z1xt4A3frttddJ4Ls8Lh1ENd76aUfa1ytTkk
z5ohTCStTEAtwQWo4UFrSLFAd2yxhBGn5uScAihLzl7nFY+QXhaIHLrBliSLzK5RKBJ5/8HNseQ2
l3aFU4hc+rnOz9jtJ6PxVVQqoKMMzV2oI/GdOWHGnEFwel8VQ+Oi3ml6FBzOrZv37WnfFnW+ccwm
X0sLlm5pzSIszWzzjCULe56HoSMpYdjzoKw+B/v+rjU38YcBLApT/cZm+MP6Y/xp/br+odeMCgmu
hlRr7YwYVYOPkpJ4BXDVDmGM61aW3OlyacJ+G0krJUGBFV0qCbJnq7nrojx4/B0rOgUamG3hrRQe
WAh9G3bRBiQgQ35jq8ilqFD9rCxlMc3RbJQJKKkj/CPeIdpZDsegyUgDfkhPQQDjc7BF83KDWO2h
QZV+FeW+FAIuDQqbV9hnVVc6DHYx9S7ne9d8PqeJ15Ur27foCjDZz0QuCrTZwval6CbaVRj3rhXs
LHOCi/EjWq8r27foCZBWPLM4kCwKAVRpemXKZlrzpAx301m6bcziw3U3WF7Hiwn1dWLRGDDgmLOz
SZLtSX29V5Akc5tWU1fWsvhhLtYibFjWn1EPd2ZD6Ciq5+FQDejNMkFyaleeZctOd2Fq3taLVJcs
s9TMDlNztzGnYW092jC2jH57CI/GASmi63u4tDRdYzqZGjb/2fMeX9qrMynWrYF3b6t5iS57aXS6
tdqfFXfOdUtLXwvYOp0I7nBG6IRq09h2SPacSFPMPnPLEsaxpPBPlelfN7OE8KFnRHNKpi4Pm4Xg
eIiaFEGdGASHr9nnFJIsRHbA+TwAF/P6p6r2ZiKaz85nRDr9tbxzMW2Yi2oMeqOVDaPV6+00TW1q
lYFhxOBe/3Nmvono3Eo1j9zECzzDW1nrHBHEpOHCnDjlOylSM5N/E24f0MNTvppHmv5exRyO6Z2P
0kP6mHxMH9Ntvvud+sGlZWGXOz0K0M9moXqJOG2duEW8kjMsBZBLC8LpLtGhMewKC5maHaApvhu6
caUMs2ZCONcjMqpKomJCyyu3QvZHWTvO8zZc+0DCcQ4CMyOEzxZoUo1b5IqO+vsZU43mwsorcul8
Xe6XcJKr9hyVsYMvBGO1N4dmHwE46XTrv13SHFEuIkZ6qttkmJdUM1KgM2fzF22/7YcPq1n/0sP4
ck1C0pLTbyyHiofxXCYb5T3qmuV5k/onzwLHE/8YvXiPGOr5/ny3Ntm25hvCZZxaVeOE87hviMK4
1nxWuuI3AuLl4oRYUUVRmZsZFphsdxFM3RQsaI3BcskrAAMw0DJzg7xp1/NKy8ewIb6bjebmqI/p
6K2ekjX6m0UzUClopBUw0opNLNtIpFozeS4NfXWXxxXSn9XXIlC3KwFv6bqaOYJgKmds/g3Db5FE
QzM5tB31XX1wfAM1Zdf2Spox6Gp7w268gVFhvSezuLwLs4IzmEOYOfRbOcZadch1yzOlbhska0Dc
xbLF5fIEl6hRcU1k6Xl52b3G2GbmZnBHd3trOzec5Nv8PqAo3O8Tr31v3qzPly15PVABBy5wSjKG
WBYOmYuaiowfgITGJ1MrP6hGuXJBL++lo9naTODyZvT8nAGO7TLilGSkvmHE9925OwRnZQ1wOAdv
MfRC//6PHSH05l2rgrxnKXP3uP9+zt2Z7aD1VN++qSl2rc7mrS1s/vOLwCifAKwOAwsztADGcfIL
E5A6IWvlDCx/o5eFCQF4rOuzhmQ3G7g/PYTfSqbUQnSa+m8URDdTA3w5+3Ld5DPxwLW9FOKwrmRl
p/eY7Pz0IwK3m9IjwTkOt8PtXPwpt6j2mgeYIJ8ab4ChztoUuGq9KaGU4AvENBD1x+u/aTFTvvy+
wpns2qxUsnm7qdAkP0iWffMQHUKYOyiV6Df9fk0hbtWicDqT9pxU1MUIcl/V49wIrm+mHfybjDzH
W8oXu5UVzhnOlV0X2wdSZE2yXmFvpjOfMdAGUskUvmUfysh8VSVksa53saNi5qyaEFUp88k03tEo
eWwfKUDhWOdtdnK17azEtXbBrxwZsZOAbH2iyTkWz8HPSSWJzGyG6lYbsmsbKeR5lZ2BjprNoKi6
PR2Nm9Cnowi7wflx/RU/n4VrX02IO63qnFJpRus45yrZGVkeu1GRwhGJMG32/MhSf604ykpEEGuH
4ylv+nx2THV3ujvtzof2sdkFvHem4/lHVrrJ+njKUnn70leEIGQhId5nHSblY4OWEswGt8Whe5BW
J9sWcV6XloTY0w0E8rbEkrSfm4jJTZe72bCJ3+VzRI82zs74zBuEeWDu/Tu7WQm3i3trwR1NAwP2
IRGoYCPBIsUhQSwIHDeIUVJaZ9ZdvKoubMz+e3FzTLqsq06Bjdk/y/ek1NvsjgbloT/oP/Pd74Bf
/x9p37VjK7It+0VIeMhXEju9q1nmBZVNbJL4hK8/Mfe5utq7utVLOvuhndS1KCAZJkaMCP1f9/L/
7unX96BVNSyOH9fTjsZnl4xRFqYh1FWgNxD8GYT924/83+7u1wcx1ars1BlXM7HSI+cTuNT+av6p
Av27Vvjf7+l39rXdsrUWTJmMXI0WONFqg9e4yVQwj/Pes2vyXx6MX1+A4MU4clhCelUnPHiaeqYR
//N3/fgT/hJJ/u3B/Tr5LWO6NTBcQerYCdG5h0GdD/vumMET+r+71K9kavYAW+tH3bfOzyPkRjXy
bCmRqbf0n6/zt4MAOOhBMheqQzAk/JVDdRXmmSqMe3HUh90A90HQjrRYQvfFPZKf6dAeYbj4h0T6
9wfw/1/zN82XWOZQdCZ6IN7Wpmc2sruJ3HE97hp/Gqf8LQD0b/f3m9bLRaHI0cD9daEEmb4MsGLa
bcfHpmc4f/wfNj3BQHWgGILdBHREv1CYtOAjSJgCVwPH1h6F1/yfhv2YVIAiAnEtOBD+emFrWbtl
Y3X4ejFc1PzqqCqexrz6BQChE7XhHLvzn0r3v0FNYCajopf8X8vTX98y3I/r1TUxCyshDqRTzeuf
HtR8GBM8/WkA/jcvDI/PgluMixpAx9/+M/YqWan3TQdJKiyynp1w3cIabTeDHPZYtfjT6PSvyQQX
g0UVhhagLJLfuySO282wOcfFBqXYMwVVlvMnh62/HvbHJZCuwCfQ0cb9uh9bXwuTTGArQnElFW9c
bCuz/UO0+NtrQDLz4cdrPway//nMGimssesf72dwDmnXBlDYzSBQ8CeDyL/GdNzLv13nV+aQZBaF
ueI6fNV8c84DqMSG7gr9xGOp7WY7+UNweuTZ/wy4/3m9X88un+W4yMd9wcxpI8I0YdgufjDYs4D5
f5IKeHw4/3SxX/mj7eeWpR0uVmDbxYgf0knQZf/jUOlvj9xD1lnFYdD+gsxMY6GUcEQDDs7y+6Sp
X0qqPf3zc/v7S7jWwwYKTmi/xQeMGd27vWAcl/ZfmStoU778Vxf4PTqANn9mrw4uwHXLV1BFCP75
z1f42xPtQpsVVm6QpzZ/vQwl14Xap7iCOeR0TcOugxNlIfx/vgqsCf9SN4PIDp1eyDz9LyL3K6c7
6yTrVHDizWPjmC/2LFXuwntNDM4HL61B2yopXMviRer28D5nTt/t15Xr47taqpJ9aJaEI423uIOy
ngYxccwW2MBTP5OwhYKchlPG6dLCUUBfW8sz9VyZYkheW7bXTXBGjEYyTu9dry6aP00uf+XzPOxU
ObSnDvO6PQiD8qvPocDnDULpR4pVUcMv9BImejCr1x1PgaBBt+/G3k3fGCk03xg68yKaGmdMn+cx
iyGBqib2IHW5FWnZi71r1lUZWKrK1lcV3oYnmzVp/Sqq2cyihRWzmmBWDlJFbw7xQvLybGuPl9FZ
xjhF5ZpJgHpO3Q25lzMzLyhxcuzCSc1q/DQl6yZVYGEq2doiC9bF2F4lrKMCafTCg8UDzJ2JPp7r
aR5xCaLEpWEoW7Ofste6cUoI7wh771hjc7Ani79hGWey6CCs3OuwAfEKHki9W6HvHbF+mF77RlYX
othGKEEQOZmZA5czaZWxyZZNR9JTyfSBagvHHrsyaYE1K4RaVn1aubDozFmi1MpnPdYxa5i20VbD
oKyti6BNq5vWFac2E6/usBBvVVh3SKv6IFXrUPXdVqvNiebVwjwIJZ5LxHYzBXnfalkip2yn2uWl
Vad+2xkiD4SASD1R1zzo9F7bjpNNKEoybWunjrqDmKIdWrWhxxYZSg8JqwknocOZzqg+0mkSviyF
TieXoSPHeHdvpy67Za2DcbEqk8XKsMNrsfc15xd3YpOvziry88h7avK1oGO55F7VV+HEVtuvVWcM
10ytAaCiQ6tMraPmlOU76OISyvDXStw3s3NFWDYigv8wQN0VfnGZFDCqWLTyBCHyIOelc4S8+XvO
CiQdUaXeKuejPiyfppaRWzmNck+cKT81pglVD55/a+osqGNMr3qlX7i77JrVbmg7EVpJzMWmAXzw
IfMXYW3bqqwDC5NL6pjdNybauj+QKszXIhkX/cIa93Xk0HJpDcOCdK9O9j0zC7/ShO0xCd9cZdR3
1jwHw4q3tJhXpumeA/eCfjj0LMzW7BmOjlgvm+Z44gpdjF22tBdjVkOlNeIMxq/FLEI5NJE6gQac
4hN011hAkROklKPbL/64XCsVrCsiDsLIfUFyXzeA0rSfUMQM0qoNWics4d2cGRBvsOpPksmXkuc7
NhlfSl2FTs+2bTGfnF6qFH1ZzPGghGpBRKObcBsTGKpVW3rDnDcelLBe2pbsdJneG14eVqOKGz3b
Wsw+kdG89Wm+mdf1aK/VV6EvoSLFbczTA7Od6wj13MzFlLUtqbSVYGbOUU1tX6t6f2iXXVv122qq
v9UStWR7KIcwF1Qu3yO5T5Xm6aYH+HslXv1RuueVU1gVd1XoLl6N7th4YW1Y5K9uDQ2Xka4n4Z70
D+0koRGfwkogND617MnK/JW8dR/airDo1zY8Bznc5F6ym3mB9CJqdP7es7uprYj4FwOGb2rmz8uJ
6T6pfWKEDMer9kDO0Zx9+ZQeW/Nht/c8ci9HueO6sVJuFuZPELMCGn/V7ohC3lRVsAC4G1nSDLcR
XFFDgc+Bjda6Xj0lB39AUbx5wTsiVfEEIu2eK/wdJh8+4jU2ioeLLsUzRKyoMl37oYAnQyDV9NxA
X99ZuDf3zlmZci9rpyOHpiSsjQKWaVQ1oSYpfOXd4KCpmZCUjirwBZ4NQGo9CXIRzi98umjNFhOa
rKBsC55TpWy07lyxw5KBLozmfL8S2uS1R9xg7GmlQIMH/kJ3KJQhJPYFTGo0xzdwSbvdTxV0CtI5
HMl01bqXLMUgOMv20LjwefHOnT5SshdTxzae9aw4pYcggA62/6icvb7eMqulqnrU8y5SICBfeG0d
pHnMoUWINNYkhhP0BTWhBYU43Bht4OYSUwk6NzrtjNRznAa2g9GUPtntJ064On6V7LUhioe0l4sc
JmPP2Ur8Jb2OFkhV2urDj9iBqOKMSATKu3ox2s1qJ3ih2tYcKKn8fowcK+T184r9VnuMBisc9AaE
/O96ijMrEggfZWQM1xkbysBh1Vu7Jq04ZEC+pZ9ZMSc3bUJ8K/f5HFvPGQ+tqvK7Pk+0EiExGDiH
tbRfonJ2v7t8r/YxGym4ZtimB2c70iD4Kl7G0m+Xnkr0dLoTaPKDZJTUzw2Gn+TQTtEKKmB6wDGs
vq1yN1teLQI8/HygQ3HCToudg9W/reYdtzcp94qLCpIrPOrriDg+2jbBk7kMOjTfC9bNjMEjHR2J
t6Rvmepn6RZSG8oQ18amcfy5u+gZFdfZCYYuIpP00kM/R2y8VoCqmnD5yJSgI6eU+S3WtLModTxt
3qylx/ddAQtOldbCL18zbVNcBBRmkH/2rhYVVfhg5ekh22aYksCac9hPSHlODLy0UGg2hWMZtZj7
ZtQtdzYUFRgdbuqws8qQoJsmB84OrRoYjYfDO+mHVA00eAqPvjkONMVHrSvUHa/LM7buvLoOZLOv
oUHNDnWxN7NE6RCH/Dx1aG/Go+Jb81H2pd9Pm4GhJLADhvavBjUYcLQo760VL3jy4tAOm64COxuh
YqD9cAVBa5jPs3Nb9KQYIpiltdgKc5OmgfFQFrUi81ZyVFARqNum2rM6UtxjSg65fCLdvjaizkos
HIuseknZ06iFRYYw7OvwH1cTUow+0DKYoxW2HnHN49PBbWuPITzuC/tlskI8nNT56rOAW1B493VA
zvJk4LRl8Vq95L1KR+UrR1FWfEmALEoAfgrVqje9TPIfdtXlDzE8tlIYh7rVfWy3MBNdbKoX0TCG
MMMStywLpn7BCXmGLJtiUXzO6/Xx2N1tn8cNeOkE54vFdnYqv/smUKCoJa48D6ci6p5s/Bc6N5zP
It8aRZC74GLuUvttLSMt3+jsUN5gv9BDzIHF7vQsRjT8s+98Z8ORu4FmerVy7rr3JQ+cjOL/5MK3
pgNglQHJ5xmLKwpEJ1I30WyvXDJw2mI53RZm+D1PMuvqtJdqjWBjBH/WMqcaf+PLtjB2nfWJGx/m
xAVyzCufsDSexsti175pBTqCZk/HqQC3LDGmGON5z1miFnvG7VaHo58+Rkpz0PElw8zaIDigPfbG
jzL7kaix4Z8jn8fZDKc1drD8AldR09a91MioleIRRGl2WEq4BUJHymT+YHt8uIOi6on6MPctNZxn
17kIFxFuDzMylGUODxiykoFMprjXOd+5aQJ2jJc7ccF9XZPB0kU1WKxWxWMUoL7DfmR+rZRrp+aB
0eK5oJwVe7VMoNfvvq/kJyt73yE8sDuAixVF2GTsXNYGDJcuCCoplG+yHPt5u66IMmhrOAc+UfxL
3Wxcvs3HkA2f1fDZ5tFUJEW3tZRAnQ+GFuFFqgb6mFd73M8QQMHo1VV9S5xq8m64fiOPRY26SUrP
lcfFcVEeRtVIgsrlNC/qEzF6P8ciVN5fudv67lLFfXErxipyq+/Z+Gpa/JJqxUKufLTqrWju2vyx
ijzO1gUhFi+DKAdVs07DDD/zqbiAQUQt3tqeNDBkMsS4T1UWtKq2FWsdm6nmGfLHKJD2VsuHgl7Q
atrbYMgwX4xgapEIK+HxCrvHGnqPeblaxq1fNhpTw7b54MgK9mVGBO9WXyhHXR4sKyzHK4OClo7K
qtoUXZDlx2kNSHnC4dDHgCyHrMEbPCyQ3ZHDhpN4qIPOTmw1mUkdLsNruQYqqOB4b7wgKCKTVIai
Cxqr8E0ng9Ok4ZnlE8HOSD9uanxN5otZKHGmB8tUoowLS0MPXMUOchLW9dFqI7j3FvjULf25MI4Z
4oDKRh/QKF7vRsFYxRDwIADLndUpRTOipME4n100auzdNN+09JanFk6i5k3d9VF+gMS9wJ9HBSen
LjVaN4rXQZ71MZDtvx21hckz6goj7MawGXZS9WUHHhTaz2zFo8bKANIsX3fc2ZZTINYjaa9V0YH+
GncqdEbkm2bSYW1oUT5PXUB0kOmGpDRowc9DfutkgJV/G92ASV351cioMenYBHN5V4cpUrVdi1+h
WpnfiCMpti0i5bAdYMqYdXsFozHtziWtms5v8ChHrH9xB0wj/RFE3Z10c5yhIuxcNSwHN8a6P77d
FgsyOzKEiwAzY9nI9TU3D6pUsXNJDcWvWIUZZoy7RJ3sqyVl604vb6sWGmpYIRuiNsz9R8cnlURr
9szekNYXWrEvGkarRzG6ndLLNLypuIhSjDFZ33tkkfpTTom9Spqund8KPMvGc9H+cJh7iCa9ZcoC
f/jZV9rpIJ1mQ+yW6g3+LOYpkESQiNyTq6L1u0IQwutscV4h1+CtoGL4RD0qGqHu4lz1ofEahljg
BnX+3a8R/HdQaAc5pigjJMXemfMs2W4aT87yOfVX2/Lb/KW0rWBSD02zdfoNIceZnyrxlrfSTwm1
ld3oUu7GriI8ZYqQevF5c/u7XuECu0JOuAxqsWsz5j28a356cuvyb9lclmFr6C/KvDf5vrR2Lao3
88PGxZKce8M9s33G6QyTBPcKzEMrrk0PwzJ/hASr0yobtvTRmNdn0iuRDvl8o8Ec9GSM7wPg0CHN
vamfgyn7nCsYCwVt/ULSWEGb7JxdNPSpzXFKLNQQL4VFW6RrQtWLlt4LGagnFTpSTSDuY+ZZfDcS
bDVaKDkofhiFRRWuMmTUWpNy9BR4Fpz16d5NW2d8cFHFa51BW/ghS3Gt7WR9RfUyZLF5qA8lKtAS
NW6CzN/XkBmr0F+B4tZAWno365tZ96UVOtaWVBHOPDOe8AtUi4+yKrNPqKFaa1MDuOnVm15CiL1E
SupetBmNlmdKX/2uSurIDwfK/o3Xjo8K42JfbGAQQ0w0n/2oUKOExkK96z8sm7bbwUCyhz+9xHl1
YZxaUvUbKb4KzdeH/JK9nbAUPx/XIpSPEYe+gTKiZQVp6av6xm5P5BnpUEVzd88+waIbEGAFBVT1
2txnNXIxQLAg5Qz9MetO8AmliCbw2vZKKzCeRyQqSUG7rxInDcnnmvszUsKcCDdUk/x1jUjqETNR
9NhRvc4dvQ4WXtDARi/jZcuNy1jEDwk8dOkRxwncZk3cyUgZInHTa+iQo850PNxvhqbiOn/M2CeC
zkt60burvVyMl2IEi7cvXwoIFWe0MmmX+9a2HrGZjAc1fC91aM6HNg/VS+74OOQLOpSxDpzP6gvj
arhQHsF2ZulhRUGOKs6JwZKxWIQe0A5clOzpbtk2WDbRtobm5fqmUMK68ZX8XujbSTDfyalzcp/y
ozp6pE4GlUojbguPnWAf5o60HmM1SYej85FHhfQdfAovbe7pO9HQuQgRgp9USbtnJY/r5ti8WpY3
f5UDxKbx47qP2AADjar15Ld2rk8CJvKj15dJB+Cm2Zl79F1mZIFvFq7T3Wm2wqUm23C/qbzuuLqh
fVtrv+7P5WcNNgUwAz1S5OPC6wBzeOwvr9Ag2wNPdUpfOKdm2Jbk5qgvGURwU6CL4Vp8NwotbApc
zmrQUzwLeW6T8XM41OQ8TnR+TlX0pUFemoGB4h3T92w/GVTZDRLLewYIRsi470tJs4ZyLNdBVO1Z
IKdNWKc2fnoMC7rvct/sJvYvEvaDR28hKLu+Zgfa1t1Zm/Er32fAudZtpQWKFjlmLHuqGsfuBedz
+m40Os+QT1M3aZmkpKBzesiyqFgPwr7k69Fob4vrE+uipwVtNw564DpAhnRl1MsYAiKaFub5a0dg
N3GbMTszxwuamCGFe+cKz/mAGfghZNUxqipslvCNM1xV++oUMmx6CAfzlwVcW1e5CI2awsM0Bm/t
s2sgbZ8OActPqfmZObcy94b3cUgMNVkXlO5PFttLaFJrp2wNdILI67cggAqsPzGaMoGVq+3CEqBy
LpXO69BByA3uYWgQ0CPvOoSIhVZonXwTpb03IlSf1B8TxC9OXbCsTm7raT2dXqYdoBr9Z0IkvCwj
nU/5fB4lBXgwyAiOmfOGoI8O0ZWC9Z9mPt62q8F+Oa5y9IbxDGITjkDR+tnVwC+whOqdCeBzR7mF
NiAUpnb4jVC36yMMX8IGXRfGj1t+48dUSRrEH5Pv1k22FWUwPyhRU0X7D7nXgJ3hRcNLvaPulNQv
wDS05/RW6x48F0WiOFF3qxfkN8/ZtspPdu9sGOVFNnL0cjBP0CQVcan7inZGg9iHq35X6y064eo0
Q5fsCV/XGohjjqOTattux43r+rLs3fLTYbu5CZppB7AJVnw6XD/yi7XQOj9AWqot8BLaqIFgnkQw
D1oeLdrGsHfpPnvBu+40Dy39o6jCVr40E4GukKCmgDYMQhkJ6hLuPElfRBbsQ072W+EGqNs5Wvk5
QMWc2nF2zWYIq+d2JN+AXayCdgdYji0iBscd6KM1RJ04z+NPZvn8nOpe5ULOTvfxoafkZqao4IAe
RM3nmtEUGRXdPZzkPmX6BVym6t+wE7fAkw+xGM/plcXwcq+UaH4e8K7nw2DBsCgukQdmZTuh5kLS
68qtrX6qKrIOymW/tFavu2Ho0RqHCSDBdFrhdbEGMvczxV8AT0D5WQv6L4nAIBI0i1qBQg8Y+5ej
A7azN+oGbSz/nD96ZFQeTWcuMXQy4o4OlTd8z/AqF97YPU7teqzHE4bX7lniLm1gNDa8XywKaRXA
haPv1Pf6qHxxPPvXMkMxwreC7FX75lRAG8RxnpI24l2gfRiHAa7XSI5wqtG1EMO0gW3F0d4RFC7o
+C943zYoE22y+oYbcbSgR+KXfYSZRK+hUN4MSSX89F4p0KLiWpy6IX4xs4gVM0APZLv4RgPLCabX
R0lInowdslv9vmJmoHrp6lsSYK23XNQ0qJVToeyBA6CEM/pQ41uHn/KaVptsb7QvjvuudqHZ4DUx
HL8ecBgtC+zpPo/A9/vEPvJrWsX6U2VFDKK35TWF0e4HhECBwem1byMZszruUSUIBUFtKfBgKeoq
AuyeIM2wXKNNekDgEzMQOG9QHX8xXhdjU1uvKjpKzM7Xu7FUmzpr42V9UxeYTOFlqYoPeavQWtGM
8zbApAV4JlC+/KJU31CB8Ua1iVYGYMjMaWp3UA2CwWg/Ao0N7PVhGivDZdGDlDh4wbGZb/j0rkj3
6NpFMoMFVjXFyVWWjbEovqHAu1izvMbRd277kq93CTg3BaYzaOvTWH84JuBzs4kIu9h55hFkeWwb
eOnSRJM7nXXxMhQ6XYh+w+gCiF11Wd2PBabH//KnwsIhGODUWDsq1TdtStDV1VgNM+6pcWrkM883
WXst86git7HBP9irIk7quimdHXovX5ugjFacGQuZslA+I9/sFN7A4sr0OtQI2Hipu1Mh9pqtAAu8
kvTVKs5LH7v9Ua8OM7ssS0DGgwsro76CDmbL9r1SBybIzYK/Gvw6qh8ce+8GrBfSjas+pyhsu/Zk
9aY31Dpt5jeRtns5PEtUsHPJfVXhVMOHM5VzYChvznAcqkQ6se66z5NahC0OutYSr9SAzF00rA7q
85Ysz5xYsTNeB4JOJ/OFlRQmjutPiXeiHSv+xCEUbCRsmjYNYv5QV76TojBBNjUlGH0qMjsebP4q
nc9WsGcXkSY1XkmFnk/lMdx4aNVBILaWMUM2YCYclWoeCPQ8q+MmJhnirHS9FLXygOfbQymTZxji
6zdGnFuFUqs10tCsDkp3HM2t7F7G/DYvMuDqIU0tKNq/NFCUaPrhyVmKQGImVJRojuqCquO+IOCl
osNZsECRL09VA36svHQ8nG095GOVmBPsxidAIxBkE/V0LJBcYL8bMoTs3FzCPH0lVrWxNLQrPYTS
0QtBZRgfLgCDqUDAZ8NrB3YXDI42ZOaAadBsVEa9EYCDB8jGm0iPqmJSiMN5PIf0Zt4cyvJp0b6s
pb7A48Mv223d7Nbqx80WfFilJ9DJ2paSWIoSapWIOmbuddHjoOBmurte7EdEmSrVwt5pwspwPLNq
Nqs271z7nNn4w7E8NBT1Y6AS2stMjTHWZ+FjUda3bFjZLu+mgc8UU68FYCMpIVUG7KRUt9mIfqlW
rr3yA3S0fJTLbAlN9ceoe68p69BIy3jR8q1dLAkfEfQXIE7ANfoCv0yTx1o2Ug0z3qX8qKuKVo5D
B6hfTNjek/quGoeCGtURyA5DQ5m309uQ9piHymQtNrmAMTqwrHyc8sAiLITBb5A5I5UrsHIb76JR
0AmmWEbFqpwQSeNisb5VO2S2escfYG2D0YeSZTjCt2Ua4xnUu5mBw6WTSKLp01MYT4LsJ0goJqQ+
/pbn26WEq6LNPHOGb1170d07bzH4He5WVkejsGNnxkjLeJnt/jCXoG6TxxK20gQYYy3N2Rh3mhXX
+aVBr4P335pbwvb5EivsWJDO76t+x9E6av0Q4OWlhkUrwJBTncVqeR9yI66d5r3ptY2NhkMWOLpt
+aku+a6TQ6A7xas6jkHfa6dqNM6z3h/sQb2OxAmIs88L3c8LA7xW+OuaJWAIfUXFV2vVTub2Zioa
3xqGMR7G4XPIekG1pvrBW7hYQ4N+TDXvqjYneo2RlMXg76iwsB8UgMGITL160Wv10hO5NwRMPpoC
4w4sDSyzPzo/gyNuU5lRrEkchgEhqBCuVzs7ka0bNcdS92jMdFws38LgAaVpA6vCotEjxgqUHJh1
ce1LcD2s2oIqAFcmsB4khn6ZBUH52tpayAGL9jL1/aG1e6BKVSD44BsMExLYCbuL9MoJPVWOeVWL
Cc6KNDtWQTkjGqdd7LJqS/ApuaKnncOCjEMMzYhaeZtR9juYDa7mUZsgsINSViz4Qeug8V2jC/hi
zEEBo/iJt9RSVg/+z149vw79GaihNEuaAljFIAHD2lYP1/JZZecs9evan2CqkceY3WXLtiJv7Qpg
jWoAITGgmqon3QgJ98eOOuDErajTggqAZE0NK8qLva4kTptk/Y0zPMRwQOrok0L1Zy1hcr9CM4eh
3UCT4T73xlmpz7zpaTkfUQ+5UEexMFxUY6EXXrm+YYUWsqfvxP7M3Lv56LnNM+veZxm1qPv7wkIi
Ry8PLSPj4HSb1ni1bUlzYLziR+8HX2dnd4ls/kRQxK9thW1fH2iZgU6P32YgxZmOxC6Ayvsu29jK
2+R+ACDkcqevxxko5vKs8MTFZLEA3WeUntVtBwhoD9sM77JBj6pUx9J+I6jcqzeL7Gc9ssbAJD21
oZilfqXLTiM/PUY1Jui/pfa2OseMv0hAcQZ6k/uqfentJ+aBgxgC16V6yYIUAjiMY2CJTj+zto2K
L6l5N7ojRqBO/jYOu97YpjxEmyKKL4E5mZPebVLFGqAiATR+NdE7A+mrEF73mREP2keDykL217Kg
rolmo/MdmMKgPdbdc4FZSOfcGSqjXN0PYLe3oWm8Ki5GecCaDSWQmr7tchSzELbO4BR77tCuQ9LX
cO8TTnlTAjSUN9PFyIQQkJYCbHAHS3PBCXEx17M4zBu6EfNBVNgukDsnLEASYl2GliGnA2Z12TIF
mPXfR7P2eweQvyw95mCrEkV5rRq+grcsBwxK8NQXPBa3rfa1ZvsctetgW4mAKlObq6ds+pqQtiw4
wSsYw2dCBFraeHXRe9CAMKbTMm1B7/Cc6mfUr6t7zteobbdQCwlcZ8ecxCWn2j13y8kGEWgtdqWC
CSNQNPIo4p7IuKkRblNHxA13aGabB9mzozaPjE6zuysqUOeV6W3S2pAJ5ea0EI9Dq5iX3ZutYp4J
vMN0z30DKX1ziaDKseOqGQnAxQvXNo7mYozdBC7Q3TaDuRkotW69fFZZ5nc28slSJ6lFXkASi7q8
TP01O0FaxOcK89xpxDCiT5wJtbJh+gZe7uPXIGAtEK7SAVNlVTqBYTUoB0aMyj/mrveLRwfU4z0p
etj9D3Vnthw3km3ZXymrd+TF5BjabtVDIOZgcCYl6gVGSRRmOAbH+E/9FffH7gopq5oK0cSb3U/9
kmm0EOnhgA/n7L3PPs6LDaiTmBglJC+Dad2OJesn7AD0T1l/tI2M7qEG+uk0a1ca+WU+iqMfW5tx
Bt6vh8uhuBS1to61ZN9rgLVNZNFEyQzKklrFatzpcEutMILGSYD42CrFKBcCWoTuzruppolbUl3o
6un0JeMeiqr7YvtPspdHMwQ/nojoRTltuim9ilnjo47pK3xP33FeOdV29Mp1h8AiMrgSMm/pdZyl
oGE1pAIi+a0Os9SnzbrXnYXe5y9N2G4Mid2Jl3zQhjwYCwdiOt7kToekCXWS72582Vy32mc5vOgt
0oYYVkyLj24eB0WvLo0EWmT4EMt8GzURnnLyk5qTD6f1VhVJszQGuWlQOJgIGnJap6bw8U61iOgo
O/nHCRVDbxS7VqMHSNftc1seXeKPHrGFPVj7sMc7uOyW4eg9zG1yr9Jyn8ALpVm8Uka/yqR2ykHu
I+/D1H6aJg80tNU3hHhLMWWradZ2dtoma3MAep1rKBWtYSGncX+we0LYypY7qtv3tNP4oHVPZgIR
q4obJ0k/OOAWcUdGkJgDIhMb6y+wnbFBeJQ5D/psX4g0PsrJAm5krc/eY9KMl65xUodAb+oth3K9
Dpvx0BveKeB6Siz3Bk3hhfAq0MNqY0TN0tbNT6pKPujo91o/DPKJFynKZd0X8Ao1qL3cpRaUpZzV
pWc2V7kZLsNufsg05CWqD/d5TVs87oCloen3YaWWo+5d0BjkEDfl9Rxn67iUFxNzLTqSlc4GD693
3vApToBBBPmUzJOgBQ+2uuaLXyT7kWNDg7zKR2/nD19zrd4pQVLtVc5LVbbuKtLlvFBNBH9TPo1Z
tm4HuPJGzx8nUgwm0TNiNYqNrKtAcAEOeXGbtXMwjTsxxct+vqv6S1t+q8JuEfv9ijci+8umvx+x
9UD0KYm9NOtSAFqCvtAOvq0fDXrWWV4QjmlgQNBh67Vwqwoxwl6Nd1mUrThJ5qTfSdKj3vMps45A
sTZZBq5zh5F/MBhbXJQDOXLz9TRkNbwgtrrLViBQs9VFVt9q/lNnNtsw3MjiWDeHxLTR/iikcvqy
Sp9qQPJwuImcu5JANik+2zNqjoOM1jZsDVlbj1JSm/BpRXSZcRn3Nz1guyY7FJJHM/7oR6wBp4Ij
C3ptbTZfpP1Uim3WcObpZiBOJdTNw2hc9rO9CkdkZARGJKAiddex6td+sxPzMlMy8GW7LKrPCSBE
SfK+gd5RYLIjnQQHVrtT7Tzz2ZwC5a8acHwr+RqFh7z7OFLkC8TQtociUkEaOgsfvHA8CjCOAoc7
vOe6jvvHu3V13upMXnHPZT730cEe7s3IIZ+jCXNkBYTGXnrd6OOyLmWgEwP5oASOo10b3k0F8WiQ
1qmThCETm76n6b2FMnGVWlgV2igNIW2Vidhg3Sf1UmkPgzzmCed7vfFJOfrhxkBWkwFJufmKqohl
j0hwam+n0ALhrtezDsE+XeDdtGG3LQyw57zYFX66jwWqFvSWU0Yydh2ONKhkqWTlRaHilTZZy3C4
0lhEekI3h/F+7HbkQYtpJMBDbjKL7Cptkl2Z4bSb5pejzDGrOgK3Vwq/uknt8yjbSYSkLDkoSkBU
eZN6CXkNsEnHWXskEUYsiflDuiEJXOk1r8HaZNZz79PnEQiZTns1TsJ6lgVlpAd9h9yoLJdVgmKz
/yZm9lZebFGHH027vTHhAiyDghKHC5qe7dM4EQeghqvKG4zmD7JtP82zt5p8f4HYZqEA4TWxStMv
Rr1z0ZzRdiWo4JF7S12OivadWCaJdl43Po0tMvNQSQtVLNWz7QTxp9ZMe1ebiAIH+pX4WC23aKF8
GnzNyKNPt/ekY1KIRj7VPohYLRFcBHpOQsZD9TKYAADMKhsfBa20Y558n2w76F0VWYhboQSdZ18f
NyoHtEY905n20jupwzokToAuykHHV4PMR3Db7jJEK+BPUKxcyXQ7utCjZlPGn0drOGQDAHCo4zmt
Z9saAWKI8K5xrKAtBH2jcGhTfWAOLgAuoFp+E1IdpvVzcEoauyEmL7gZZ1QjBVrk8iIs8sB1swur
dZepS0W//tkTQCEry1/OI8IfRYTc0s9JW1fRtJSafTVr9TH1nHU6WguHBytI6fvJ/BD3U+DxlyEf
tTJFduiuJFisrj42Vr60Zlw6IdSmGXb5MrbmoEb+FAELG+REeR5uXSnQ4cXGqhuNhZLigJUoUs9h
O6HUw5eI1oLjQXBdWBAuDThVJlfcn3DeLryCx9ioZ2kIeDpMLfHS0DksuqFA7nZUyDiVe2wQB7px
vbJ5HW2ttgCto7XmDGnyKqhc86XIi3ob5eWtP2f62neijVGAM1PY+hz52q0a+ufeZlkUtNdeSYyL
LvNCK7fabKqVA+jXFoRjfVoRLZm71uCi8r1+jeg9X06k0ZmhoWF3J+J72o8v4oTbo22YSVcIf+k0
pkTo2eVBibwobLTbUHZEAbX5tVA6WXHXfLM7+/PUwTNMWvPJ0yuyujm6MHOD679xdMQViND8aL4e
Y+PKc+PLTOofVeNv67a9G2wg2x6wbswlnCJkvai8kwzP37hmRblYW341JKAQ9gFk2WFnrrCtvpJt
bwYR7yHoE7nHe4IsbWi0hXJRBU5OcsBz4CI1x72oXTTwdM0Ipl4cKdY4CefIHs1IRRu2Z7JUhhsG
piimhTtCtzuyvKqLwVxE3nypUucz9NREsm9e1AruM1blrRiqZqlbDFIbCPGL+bnyzY/eHG9lEYeL
Vqtuy754ACmDwK38hVfKbRkOn3U//OLWclX6JnQ30iA/oQRzKO+EUx6degAMTa6GsL2rE/Vck4JW
kfjYDPZV0ovLskV5aBT3oZD3Khb71AntlUJ0nqaovtCbHSNVo4E93dFNNAWxnbKfrGZjTQBlFEyu
DAGpnKf5TdwjlKoTN4jKFKWIerZjADLDyzbaVB0G2p0ifkZz7Zr2fe21J2mF6y+EG9/YbbHKRmdr
Nu1lptnbqci3atC4VwcJPqUJByLDeMziaOuOxkuftdOu6IYCvi86mRnG3KNpdud0xZXtuCShIZF4
LTJg9yh5LrWKvkx26kBA2CVCveoW/54c9nluUPqM19XQg5nRXTNsL5uWmMJr+quptNMgLfKHsesQ
rSIh9urmi+fklzY1GlQT3cqyvKYCg7wftVCJo6AxsNzr2l3ajv4wAEUt54YzLk9m9vpoXNlZovZZ
mofrUdNqkpHholI2f7iqNnU5Z2EATAfh1SZkk117kTcGaG+R73UR3XS6f911nA5mX3/Ti85e0lfT
WjW282WggQzquzF6TBMQ96CePee2jAB0PLt6aNoxuktJ9K4jXS+dlZL9vNHLkIRxArH8YPuuAE+o
ISdMS1fHeXBSucOolvYa9ujc4Ecx3ic9IVCVptRVVvq8nCQRMmkT1iUCIqDwpifdScydERXedZf4
5oU2WOizfS+Ll5pb+o9V4zfjBzfD6eeUnGtVDQWT6sivF0lf5/aWw8FNPptO1NEzrGyEv4rjlP6I
tC5lbXCWl8akh9s8LHUIuIokCEGNlX6ui6SAHJiT6tDm+bjD1sVf2xUn4hiCoQ5W6VwNfojkqRi6
D1MMR9DEKYSF4cVrjaRr2cYcCKFm6fe61mf3QySrHUthDjrTyPf9NIlVlY7+JsZ2Z+uJZqamZIo5
UeUUpLVHsISAZTpUjeiXVddiXeTS8H2LuC/b+kB0q6rJcWt2TqCbV+hb3689bjaz3kyWXa31WR9v
WQsg/67fb6twBstKx3glrNi76SEP2EOg236a2ytzckLksOrR7nJgwimJl5SfkBzQXYAqGm1XOzJc
5s4XEcVrUUC6U+GRo7PuUht0zbZf3KF4siQeiyNK4SgDF2kv6pA4ba6rowOv3+W4m+XW8CUK7Wtl
pDd2od954YwhVEmnw6LMdDTu3V7D6IGQOXOw7QQULjpiYFWXBJG2QKfJ16ud8nNvRC9+5DyV7fjN
yPwuSEWPmRDFKsbCySwUgTiBuunHkRpV2O52ENVNnCQ2Jr6u6spd2KDWBq7RsxdqznVnR/l+TJlH
00yRvxKNHPBsbE8B5qhnqtkDXRPSdgNiLzMvsvhSm0Uor9PICUmXwzZ05b1VOaTYstMGe19mnktc
i5C8CTQVF+3Kqwfb2zS6O5vruMV7/7IuSr9D72D73DqeALb0hkgrOqCmuPI3GY2oJ/60QZ1CaFbw
9n7co2AxXem8zANB8iZva8/Ziqo7XVnK1Fp4lLLPkZ/IvF8OU4Igm38N9xRGreRql8XYb4o4GsJd
FmdDHUhNOtHBnLvimDheGR99b5qNOyuyXZOCmpC4SeI4CGGT2Fm504UMB3Q/FSqpxOjnYZX0Ux5e
WKbd05eh1+bh1sts0MBUNJyTda4subbarLJ3A5MgeLOiRNzGrjJgYtLJmDZJ1wzuNxnXYJcpNVlU
WpTK6HbSwjQ0SC2/ZREJENd1G1VOcTGlRYPFdjpZ+YrePb2/7tvSIEx2BqdaRQrEi+has5qPiRjK
5mBaYU4lTaZFcYi0u0UWEOpdPq5L3QrrAK/TDvoIRInDwmr8dmXbdeburbFsioMsLCrPSq7bbtRb
yf7y++HCrh3OkJauJgYaFQ9AcA5bG4+ioi8rxCsZEoBZFHa1x5x7Cpcp+RB8rKdnqb+tnKGZr9mx
Y0IOeDLtdGsH5H22CsdYha5FjcGUtYLcx9IMb2MQVulBJDP/awekDkwYw1AtFIfRuM1I+BuU2HEk
4HZaP1tObTq2yzgrQVGGIdM/U2f1MGpRoZOBuhrthbyqOz37vJS3ekSF3G2X+rq6D1tcvm+MxgJm
oitTXX/1ejWSVHFtVdu4pdxo1xcdYoRsIpNZunlVFmxeOaplPMRo2PtJzqgTysbVDBKKaXJ2g9uo
Ac1lXJ1UxSWlh3gKtFjfYLCi35hjOaI5l2bLNE2DjHcu6jmHzLWlu1YFyNehEbldLW2z5+nz1UT2
UJdecd+2Mi537jiZ9VaKKm13qq9S7yKZNY5GB5azvCt7U4NCKuwJ9MqPTW0bleBkG6+023SVeb6E
LR8Mu7sOpVe5B1nZoA5RVvBfWTWlfivTpqFtaYj3adCGeevvM5aOWCk3goGAW+kon3dzu9AWeutG
xifN7WBGT702mo3I7PpZ2EgylZNJtazHaka7A+QnnkLlmWOzCGsxd/f2rOEPZtoQnLOyBE5MntTr
wzCfSMMwMWX7Mc07e7gypBdeDoY1XpWDr09omTwVrYc2UtaDJuB9VlGpF81FUYQFkNkgh6d2KAbq
bb3ccWEqM6h2QcFcRJOG0aERU1+bEWLvUDXOxk1ljKjEsGkL68/whZ6ZmtAU9TAnyCoj67HVo+lq
7ET4mM2EqxtzaKS31ecsuWuLNOkvjekEZ0/UOGoLWYcp9sQap2LQnfYXVvyOo6+EOYn8gdLMGUFg
nneUWNA61duFNHhYi7QTmAQmuryjClaAyLuCqZiEQNYyEXn0OZRtYwRGo+tiCZozeUc86+VjQvGe
uKi6xIg+2loxOmui7wGchvLUPpAyqeodpxGNgsfKRujm+6WRPdhDgwinlinVi3ohG5QbrP9sNRa9
H67GNqzMQ5Qmot4IqWp71feafPL7kqtxnGs3Pfp9ZWFHVlEIEAwJxOrYC3Knss24TDy/yuBEI7sM
97I0bIQXhjXr5NhjUq9C3c8QRljhnG9HSTqGqjp1IPErO/aCobaBqIp2NMhMuzEf1rlnhPXSTmQ2
fmzG3PIXVuhRxZBRvglwEUqcpUKRRum2M5qccvSU/GGrwvJQt9qwqdJy2Ebo5NUmytJWW2t2I3G1
Dw0nAlCKAGZBi9os2VO3lsZbMaaygtwvYcna0W5bwh1ir41vtvq4LYyW1NUoraS5tRMG4QhoUiAj
IxviB8I6QXmZ0RP4rMpwDjH1cy2gza4lYD648UgxMBeklm+bOUOOFveF1q3HcGq0fVlakYeEobDp
05CMSfIQpg2N6gVUS0ttEPwmEpHSNa+s2Kg+TZKr7Vj4Q/S17Vsub8o46+OsYvmxjXWUAWmkvPtR
epG7mtI296mQ9CifRX8xkCimuNcVe+Qn6PJ07I2TI+BvIVWg+6fCDlWDxj7MfgaQbCaFyKAXRdOw
oVj6uMV4XM56X6HocGbTQqw9VJPxEKXT1OwIOk136TWetHa+F+bpKs7ibpSXcKxx0SyMzJiHnWrr
eNpA1btqpybMdZepGAcH4Mvr7b3P84TqINWM91leRfXW53DANamRZf0ArOg5F2Npd/pyGkPKkiM3
JI1stQTVexH3wzeXRUmOZZoUnEVyLhC55ibimNzEAH8aC32tQ36trSwBw6FOGY2dPVp9fQNSB8lm
YYNVB0rL9AzGbBIgqKOu0jVGedFX3Z1s8yDNZNQgrFwKa4Zw9Lu7tixywZ6zEnc9DUIOiIW6Nr6u
Rtb0KrKt8Q7+w1q1xawf8J0tl1ZMaohJNDRtrSokUo4eGY+2W88W9R6+l1DhoJAC9rd2mudUlo3+
1JzG7PxbzTFt9VGqPLaXU61ksoxGl+bPZsZ+2XAS2R99nutJoh9B6pVCaEjDetegdDLLjOdWm6Jw
07FKnq15VOFtKBQIfGHJklKEJIOVsrWwlNdWnkAvsDpLaL6uiONcESA783vmrL9YMTi2bhk+DgOC
qPOXzmtjqPnS9hLsBWgmB3DcBumyonhiUT7aa0IKwqSj9mPQ//gy/q/oRV7/8Kxo//mf/PxFVpB8
UazOfvznVfVS3qnm5UUdn6v/PP3qv//pP3/+kd/88y8vn9XzTz+sSpWo6aZ7aabbl7bL1fcx+Q6n
f/k//fBvL9//yv1Uvfzj789fi4R64FY1yRf19z8/2n39x985LDH/+I/XA/z56eVzwS/++B0l/7Z+
+frSPOe//u7Lc6v+8XfNdv+wdI84DQcFCx8NgXPE8PLjI+8Pk04HHm7eGMg7us/LKmWjYn7NEH9g
d2DypmyhY83qYqHSyu7HZ84futCF8H3SXBy5+b1/fc+fXsb/eTl/K7viWialav/xd+v0p14bjdi6
62O7bZ1sLWzDpLcEn79yF7OnZvYAJ+tgbAw08pnhDCblJGYaH4a+H2pEFIXvXhoF8UhaX1Abv5oF
4n/DoFQ8xzpblEdJQEUBqb/vyf0TxKXlQFGW593Alh0M01p1LlR/139pCEGBLKl6itKv3CL72aTq
ydOOoygp0BsQv4Qs/uWshxvKbS651B7NonkY8umgtdGdH0ODNw4aH5EvazO/HpP+eqC80SV7hL7d
9MO886k6LlKkzZ1zk8KbTKQ8pbK+UeP2zR+K61x39hMhKar5emOP6XOT6Ftu6L3m60+ERFdmOAVm
WTgLwHdgrYkPxwtp6dss9jcojO5CH1A4L53bU6Uate4XpEmAOGl/1GN/mat553X4KRhtPi9qrdsK
JC/qVIFXq5uw5cpX+FWT8NO38L6Y5W2YpYdS9Q58drg0vfg4aQkkkfia6tVhitEdtWBGCz3EgyIp
ruYZXwzSM7pnbUxTPWATvGno8SlzZ6dnzbZJmktlAe3MFs1c82Q9Ws6+qKlyRxkgNANKn7IIJ90q
x1szPc+5z55lWm9NB9m92e9GlJhW1q6wVqFhS0nBLIYSbZVQvDU8EmtvZ2q5+nHeVdW0j+REy5N6
XfvVld4CswAtLWt3OjqZ9gJC94SdByoviVNHuY6wvHBNeWcUCerq+kOUIiLw66NyFIxkvR+dgiJv
OA8CyZ2Wlrd6193Ppnvr6cVS2v2m7jWUPeVm1p2V1oLoJhn9eB3CPjVdesmwrl008P6sKHaybmpb
33BVYtrS4F5WQabGLZhHTNyId8jCMin79ppDVOKwE1MDr9zHFNXbGJpIeScU7SR/orkkNV3VWkzp
s3kQTvfYw5A03bwxwnnbluPKyjJYjQYVcbbRG2qy0opqr5ACO1yePmCv89Sa6BI0whhighRxDjsN
MxBKdSt/ZWfh3lJqk7Xqfky7D1aUGzuhIOTwxdjXZrHWa2pEVD3ThcRHoeP2NqYiojLBIq1+2Sbt
wzQOHxtNHKya2zmL3UDXhkdSHioTbaJv7B46rTZgJkXm8T9wa/VJS+jVtcl88+D5TbZp/fqL3yuM
ImqqAmOd27mt0bRbCjTQAppfYD+Cron45LKzSCudXt6hMECA72Wf2wHgMFXOXduivi2anMbkYwol
F+N/Ucxk4E3J1VkWlkX5Z7q2KRnMte4uU864SDT9WNdk462IXsZsuKBC/9mz66VDrDXq1dfWMFd1
87GF7alUiK7Y2uhuCqiJ7tGWPlXkrntINbQV+Nys08rolo5hgW7YaJJjzi2APe9zk+kXxVx4tCKq
AyOFh21ooycTBAXJoaZ2f8zDgC8UpMZI6cDs3+W9dTGa1l1c4DcwyQvRxGtDo/6pFPzdfLo14vaJ
diNLx5ZLZxovEiW2hMCbFs02tkQvqp2pHHDR2TouhTG1s7RQOOeh3BhDCgshgyZrd4gZdl1fXpct
3FRb11d9R20XDlZ2nH/2RbpyyvBDGvXraFD1ItU9XBjSYzLnF0naw44U+XXi20fpgUI7xsYR/F8b
sX7JDZ77PFxKdDt9Y96Opvd5KJwPztiBfJfXRYeU0apq6FbXXvm55aykbVxY/UwFMe9+dE6RSIWo
GxAM8sfPdP8I1jlby4biYdctjmKu7B9GSH8pZDgmVKm08pv6OT74Oc74/y6wQLBk/zayWLXVf/3v
JiG0uHsulXwdWPz5u39GFqb3Bx53juc5tKFj8Qjc0f4VWRh/0IId1x3HojsdnzLivyML9w9MtYk5
HOIHfNJdPvtXZGEafxAZ0vCReIPQAxDsr0QWZ7Emccup27drmw7hhWGc93TSsjTrwDoVBxWEQWot
ajDXV0HXn8HM6+DlvEXtL2Oc+VLGGWaKczwngfdA1d3q1BMrRF61iD+j90CeJy5PNr5AfSsNybla
UtD2zjc4i57Ov4FzFj2ZTYFjviUoPQ6K5wnZ/oJWYC/1Fwqn1frU/5fz550hz3w/he/y5lzb9Qzb
IG4898h0YZ3tvkGtHR7FR3VvEBc8yk/Y/ODQEiBvuMnpDIp95eYv2jGfDyzO5tqKvFV9zcBN8VDZ
V7p1kSMc+P3szpzWfhnjzLJyVLaG29hJij48cLtySVJdAjz/fzGKR8hrIVIy3fO2NpU7RlE3UPqS
S4esdE6/ab172dvgK78fyDgZtr2y8fs+H4f9BtLu2rZnndbPq+gabbineTUj2Ud0w7Rv2yF12rYv
2iWqL0tQqUwt6j65sq7F/e+HfmuZvB75tD9fjZyHkWfizcmTJJD1Mb6JMIgocXOY3u1A/8tLw+3K
pq+X65uWTWfv0+evhqINRhK2isa0aDdWYDEO4iUZ0J+ANo7TklppLFbEy/utys88Euk28PO4Z7Z8
0na1kkgDcCq1gKfLotsl3NrpQgxYk5S2OW8HfWqvaPUYHqtS69e/f8Rvzlu4zqmRkGu43x3hX80b
YL6bQpeyUlB332H6RMuR+vD7QYxfXuRplq9GOXuRM8d37ZmMMq67x5ISaMyYSTZ2FNMu+0vXC7In
iKJ4RYAbvTP2+Rn+/QG/GvrsxfbZBGLXM7StHhVVnxAs72yQ9x7h2Ss0MUKMc4MREspDMwBPy4Um
AZX5/UN8cyI0peCutGnZKs62Ib2BRAEDrBaaQbNEiuDn/un3I5w7xf5YjK+GOHtNQzQg9NAZYggG
biLwxM/ONd5sF7ggHbC5+v1wZ8/NMRzdAFA4dWgz4bvPfXeh31Q+JoBmk34krbWqr6H1/Pshzp7Z
+RDfuz68Wt30tf9ziFSQBaOjinG++f0QZ6fjjyEEPQ5PCMivp6PXtIWaJ474CWG+q5PjuDfViHw8
+zqo69+P9eYT801xAlxoQnO+WXtVe0Q9eorOEK8A3z3Qj2Y3luKvnQk/pvRqmLNl0BUqQ86MEYyJ
vJC8Yqmj8Z0Aon8/m7ND4ZdhTrN99XKGDE8eTzJMj0iuzR+VcvFZoheodfn/NtDZBi1zJ6rCiYFO
9iL9gLzavvQz6oB1/53F8OZ6e/XkTovl1ZRqzSaZPFnoZCGuAWZxE8fNO0/te4+KV9fx98dmA+7p
mDm7p7j05zEMS8cWVFoILTeA0qVAsrHUv1G3vSw2aKiab8m1/y299INxn1zrSxR3y/odEPatab7+
CubPXyHRtK5OXaZZoEMx009KvPPG3lrotmmxwjkZLO+83YOe5jV1kQxQU5BhYDYwSS+oEcb9fmGc
sojXoc33Z0kAxcYFN+Q8OlvpKcJnOwnRxZ5C3/RivJ6v7I0eWGukUato32yxLaIONw9wlVkXaw+o
5uq9h3l+Of7yJc72QRz2c5JpfInyQtuKZbsanuUeAUdA3cqF9mle4d61ebf1yi8O5Jy+r6d+timG
JkPkFqecW/v02l6dutU7V3JnLrKlc/v7x/zW2xTQaeSNHif+eeusuomzLpmpajSdj6r8iL4JZb+1
/P0g55fXj8f4apSzRQncCKUM+xIgTNy4a6yHNmrlbiAIT20z3lk5xhtbwNQhZCEjhOOxp3/eAhHy
Gk8ZDSVE+QKzP3wtaUnofhq/6RcU2i2qW7V5r1/b9+P9bOf/NObZDGl2OgkJCXkac15nh/oIwrNI
n09e7mqTvN+Y5I0T+qcBrZ8nOVSeZgmTSeK3sSzv7UB+onYO2wQjOD3WaBmycaZD+NdP0Z+GPduV
SSeSyZXYqnaoRjqYR298Z7G8sSJNnYgD3F63heWendM9koIo70bcfhxaMzcvdBhHmSjeWSRvjwJp
4nFQW8RVPz8+M3OldENk4wqFLeUODaLuPH/PZd14exiYTdrdmqZhnuW0eNdaGt5sWDp+607mBrTy
3mg0/xm9APOToN2dcvi/3HHC0Xl2zom9gYizz5vfOv3Q+5pA2+2PwwdR4ToW6c+JZb/zCN/a1Sae
5SQmvnuKF8+WIL1DxmFqTApKj6eOVMlerOb9j+VXBu+1jXnrbiVcd0zdcB0EHt+Jplf3t7K6SjfQ
owT6Hkehy1NT9GilFu6Ne4j29v0YaJv5iF3zTm7d62T93vhv7TcbvIkbSZgnTOznBZNUc22kp5Ia
1O6bWDyW5jMis70fvfz+rHxzHKEDoAFtQYKfLUzPlIZu5oxTKG+JxCUo0jwoasrjnei9F3h6QeeH
Fp076FZL2Go51tk943lpMk40gwjSXXyfbOdDv6ho9Xc6s+T6/fZ+b+6G1+OdbW0WbJVrDlZF48f0
Xl9lh1gF81Zb2YthqfcLbOYekrX3zizf2oKvBz17oF1pe0bfMUkD5+a5CKkxnjaYG71zbL0VKuAe
YtNVhgTAJaX+eYEUXZPOSHmywA4xjAmQsRy8nfsphL8IWgTCi5HtvypvqJx6F7M7QypO9+tPY5+9
yCkjyYWyPB0zWKmp3XA84SP2fUPXnhX2PWrRr8KP1iqL4bOC8pO7+/2ifevGfT33sxfbFpyk7sj4
cfQYWRe1f/P7v//m9SpAJC3HtkwCv7OjxhGj1QxRnAXWlb2fl3HQPmi39sK7YtM/DIf3oMg350Ma
h/KeEwc15M/vsm18PzdBmDHsTzaUni66pFv8fkpvDuEboHaWoBHl+XJB49Qn2YAnm8L+d8ZQbxzf
eSlvr8hXQ5ytihS5ZtknDFFeNDsDX8lFstICGxvshbXX9t6BZkdBsy7eyUBOL/uXU+XVsGeLITI0
kZQhJHqe3PoIOj0Tx7WrLPuEDOidh/jm3n411NneRo3G6dYwQ616Gr0n07xu3PfaAb09HTrJOxZR
uXMO5lrj0E+dBYhgQ2+uCCY5srK92J66v6ntGOBo+ghfmr17cL21qdnXOoGDi57GOQtjkW2Pbd15
pyzg1F+y39K7YaM27Tuvyzw9pPP35aDWoUifiNF3zhZ7WgGJGI7MaKvpbLQDToAbars29g3xyriG
a7/1D9mekuNt+RzeqT0dzBNzcerKGJSr/0lj8TfeKoE7WR9omu/+0sZ8TiYVo26Ddmkfc4OKQ9xH
mv6vdt92TtnBvwc516U0lk8oGzsJxju4eR66/p00+RyaP53J9GH3aR0iLPoFn8exU9uYSLP0BHvn
4HvSszFpkXi/MEuOYyryFv/N3nkkSY4kXfous0cLONk69+AsI8kGkpVZCc45rjNHmYvNZ5HdU+4I
/A6J7O1sWlqqukPdDGZqSp6+x3jzfcDAwGICpM686xrIHXToacMBw5rcwAiIl5TJwBLo6B6c63CT
rPudDBwrfYaV/Ca5La+tTzH61TAoAkm7bZhYeTYXNmAmkNFs7owhgGBIXE2O1cgogtclUgDhr3qQ
4nzrQy+mVAw5Bz8uu9K582KbJj0QU7c03ZlaygtFK1XmUUMayS3TMB28XQYyIJfNqDMumxX9Y2fi
T1MQn0pdYQf+E/kJvhRo0Q7+S/lQ7O1jeo8K5Ubba6/MtNFVv2XCbg0V4G2+2Chb+h2Tz6t3eCmn
4XeYoblqPAh9vOfLS52L1M6WOnGsmtd6QdgLCtB7YhmoQwSUD+KJO/UInSPluXWvo3T9B0H2mVnh
Ek9ifDvxgNpErCyG5iENGfqVv4b+C1M0H384TgwBhjs3BAhN7z0ZQ4X9rKE/WTyEYf9f2pj4b1JY
Mwo0bFBMA/KBEGvlMDi+JIc2Vyg7W4t6vhbiMluHFy4gNnJu6h2CHRuQXtBiVWtIpQ8SCg0v/T5F
feAu2QyH6qA/hp+WvtzlM2nIwiWdfLmcXn0LFjmgYdBADHiblwvv8Pwld8AioLyu0Gk5N6CONQB3
m0ehDW80N9hk9OE02KQvH/z5ZfxjZeJKbGYYIDrhVejzr2kwrMvS21y2MJc187n+MTHxIiaML0oQ
Y8J8VNfwndYrZI7XzEZvxtv0sTpcNre0oImvkOLeTaBfCaBH/ytSHsr803/39yeOItco5Yxiw+RU
A6hFi0V6umxh9h2xRCfdoBGqThsrttNnRtfDyKi0YC1qf1U3P6T6qyeHC99+JtADSfuPockJY3Ai
dNuAreoBeWjuDYJt6zT75QkyTpjHLq9q/hicWJuctLYw7I46Q7DW994hvx+vKVF+YshmY9LPo/J1
2dzs7TmxNjl0zNyRIzpYEyxSEPiU0KR9vmxi/nk8sTE5aswmxG1JzX6tQnErXyVP+jaGs1TaGttu
D54d7XCoTNfJA8EjhKo7Ic/+h4/jya+YHEiN2TJNKfkV1gidFkxAahPvLq90JjA/OyiTV2qoqtyQ
K0xAtH4QtWVjjybOchtg9uTb1PJ0g1qQY0wce18PdY0SKWnGDyEJiebHXXptfBu+llt5BwPlHr7u
yysTmzNJBTT7xOLEiw+1XjqSOJSGH11nmXwDaPOg1aD4wR03BRIIPfxFl22+1UAvGZ3cu9pREiN3
cSHVtr7RNul9eSNv5U8AetfKY/jk3kMjtqbV9NA8wwC2vWx9Nkw/XfLkHgYZzBNNzZL1vbK7pf+4
ta4Z9Pf2/ZUI0gV4xnxKdosNA/HxLq16ciPHzgFjpWDXeh531k45UJe5tu8Navfd9dLr/D+sUqNu
arzBkibxjqmHkIg0BOPoPW3tffLdvhIRnShFk86h/rUet6Lk9wfFN4ob8HLSWeLRnobmDAsNXuET
FlRBsu8qOO1bfQvCe8mbzvluR5ZRASUGQLN18hUHUNIaNCBclS/d1bAeN/IVZJhr7Zr5nod6WPWv
MLXdepulKs7cFT21O/mKTe7BvSqJTMu2txkKTM3IpEOKEpT76/JBnfPgp5Ym3pXBhmSMRNCPsB5C
RC8JbAaJ8+0PjCigKW3xblNSPA+yzBzHWusahzK+qcLXuL3pxy+XTcw+fA7lUerbQtl5Ci1Jqy4e
bZEXi+7cHjGvbw44LiUmH2a2czEZntE8lVFVtWWNEikp4rQb4nZ63ro+F01wYGsH8xgd7RW6AgTC
CyubexdOLU389WiGhtIa7B5KOcfyhvHku+5ppHRDhZsbZvwads2R4XTIbG4X/ZhwzVN/cmp84roD
dczLIhWu+77Fi6L8tBULhTWUrjHMMws3bvY4nuzqxGnLDEG3ocRa9QwWtOFvOOUQHBsWQjLxVy4t
anKtK+bVjLbFypBdjwCexh+XP9nsKnRVdEAA2BkCrXyatcSK5Lp+yN/3B2MlqfcGhPmuvnCpZhfB
FBY1PJCa2rSYbFS1FZYKcWVegfCXwiOA0YU3dP5SndiY+KExTuM8o6BFnolsnwNlXFHweNXdp6xg
QCAdn8YBVJ8VDvArIw/ly9DQmv2Cj1pa6cR9BLX37xytCoOVJz/n4UKtcsnAJLjzVabHISBmmdEn
S7uPi6c/OQ//fKpJZNfmFcR1tUgBygGmrm9mAGULBIh/YMWgjQFGHjH2aSdTzRtTHiuCqcocb2go
7RtffZbgir5sZvZNROdZoHQZ/3tDt5+k5KRNkD1An7SGfhAWaaqQAATM+DbUUSRZQiLP3qR/jE0b
3W7VmFI5YqxVqb3BE2sM3zvo6C4vaa4PpDknZqY1lRAGxuiNnj/VXiMXwTWktBhT37UNA3oh1DPw
sF6nhfbk8MqsAi28S0oXGUevXtjd2aN48ksmriOV+k4LRBLgOc13N5Bf48Ze6Hot7enEpWfFoDQD
Vta5+UsDYGWiiAqL2B/UaU+3VCz05Jjwh1MboBcLyX8l6PKq4avMoDqEbwuXd/4lBqOuaLhapgwm
7mF0snqMYoJQde/u812yh4T3GK5QSD4uHJO5PMY5sTTxE3QV6r43IBlWcw+ciq8WEvJsqbGvcg/x
LdpGBbIylWzvmJmHADEL4IzO9HHTJw7cp346rrUOJmBZgrVUDAys9DZWHvKuaJ9zyBkWIofZm3ry
cyduB+ajwrAyfq5vktoZ+kahuFGqL2Gs3tf5Usw6e6z+Y82Wp7XPxNRyZUSDbB1HN3JGrAee3kr/
WvgEs2tyZIVwnF8MbuL8WDHC7kkj0Lm1fTu8VkA10p19rDbOnq0V6TLAL2nn/ElcAnssCTPAF/rE
U9Rg0llRa6UE5PJoom9Sv9pNvPEIDhd8+FyPBXwZSF8KRob2bihBUXKnDnyeiv/gsUvz1gw3KJ8/
e/2WiUggiqBTts1OIY2M0fGB9hoSBnhmZQiRXha2W7ibSaR09nMmAUA1auA+TdxRd2XvRfiXXwsg
B4XnrbcxFtywLqa/JuZIEvjHAMQtUZebfN0h8Iou9FC1SXMVng/XC4Z0O8Iew8xorbsUd4aUUcIa
UlrIMU1JfkYG3vw68FB1q9aK4BD12xFCI7h57OsRZopHv4yGA5wW6HJCfARtJAd1rdlt9SUf3ejO
4HOjNeRAFZWGMLJHAZ1R2y7Gx153RvguUeaCy5/xVaMzusfArMN1YCHu3Wj0EpRQSn/hT+1mNdYe
dVfLNq8yGDU3fd/AzNpDhZpWsQRhF1QonV0MyHnClFTwH7u6cVuY7yTAunpv7aD+QfF6kPtMWSlF
rNWoQsPvocN4oaysEbwJfJdRcG+PtQ2AM4k0ZszVbgdwOzkGQTJ8SxBKvKY/SLQZW6b3KescyHTb
vFaekLXWbm1n+OFkDd360iw2sFWqe60J+qc6DaJ7VXZo6HkI/FYZMLKx09uDAtfcSjFipNXcBFYd
qAnbAWkQvfiRyC3/VOlLoXsWDzcl/KwHRa7Iv3oGft2yUm9UOx2llTlYMPDXcckgrJT7PzukOw59
6atPdaM4sGHq1f0IfQ2EoGEJPxAQy2xbmEpPE2psekjGKB9BsZ7B613Bz+irfb/pdFW5TdTRRHlE
Cay7IMhh7/ZciFj3hiMND703oNQGeW6htVDGpzEKx2GhWbBHce/+tvIur+DuNyzjhul1ZKVDTTXi
rWeDat0avgZRreIXvrELjWIorkdUytVqZxeSh2qTMo4NMsts1C1DIBZj+07ZMUYcIgWsyYn2pZUU
HiFnDDf1wDeD4h1yIjnKEbIbarVDAUK2jH3N9l2PSWQ8hw2s+QXJ/qGBNYnB7LDbG1bYoTYsRY9q
kMYPflKYt5Zpx1+YUEyezKJJN50IEJKi1Z88PVauXAa6doabKIc0MuIHJXT8LYD75gGGj2IbezAL
+ZXWOBBEhyY8K5a9VYPA/upKrYbQh1al2bZMHVgj+y64kowhhH4qN3aSUQV/W6bLFqomCsIVvEjo
v8n5MQrHQV03VlTCrFfoR7lQ0H1iNuKnL6klehhNcxcDVOlXSYumoSY70JeMDAFbfVRsOjyRu6I1
CuvMUOHKYQ160axW2Wldot82imR764qCgr+2aq1Htm2AHyaG2HSvmRGMnm4XXwMrRaIhFKTaMK5A
oeg6tb4fI6+z7vLSbe59twi/SFql3tktrKN2BpFTnSLCAq1NcTCaXMiLaE79LYtT+HpgdRMCYTGz
L42ddtfhYKnf9XRUkbH03Ve5yJX2ajB6/zYMTFRJes+prylRoS0d9H72OekyWGcyNYGqPysOea5q
7KxlfE7UNHhMfSl8EBidx2qQCjInWcGLJzlqQUbUVAc0ObQ7tSmdB1yAudKVLNvplhc+uDIKHlri
oHPaGs4xCWXE1cZSetZSN7nDFw03EowtR9MzgxtdTqQNjDTaAZ4/YGI4wl+F13Y7uYPtqNBib1/J
srN3W6+4HaKx3kI26D+10NRuAq+XD601xPs6i8xN0QT1Pit1aOxhVrvxA0NehxD7bPS87gRzslsf
7TpR1paTVFd+pJe0y1t/p6pls23aoNl3ih1ehSOHOR0g9ILEgRpzrSY6ExOOB6mjVjFrBxlU9SsL
3dFatapvoU4bomybWtJTBxEBclP98KlochSMciNyULAdvPy+dGF2R63F2Q4ofDBflo77QHLyTezX
EAhDXBvd2BDtI1wfjE9JI5WvMrNv3rqJTW1XDeMIA6RdX6Eqlv4cx7j9XAeps6nyuLnqnAy6CsuT
UAkMdP9z18DFGHhSrcPFb5tbbTDrh0ovrK9y1tA07PTQRUVSj188E+GgtNEg+5JyhjVgcVdetAYp
c1AGzfc8DxBdzlSI743U77+WUoKcuaqGRrqOssyBbMyIEvjt6jzaBBDJPQWKrUBuP4So7Q4aJGlK
W++hpxgeuvFrlyfVvpbD/ocup90+HRI/grmgVD57ZR6bm8AO3E+GTbEANXbfeAn1XHnAmyv7uMhh
SZQpxQPide/iDE0to3HRsTVGpd5KCUdwZXWqevRCNb6SqqbcmUrXXOXwZkAXO6Bs47VtskVhydnm
RolGmjs4aMf5bobad15dGbIr3Q6qpt0wDoCSblfKx1SrU9gBULqW5GK86+TUQODVCHa+PYR3hZFw
rMyhTQ8pJKv3OZSIR6Oz9CuYc/2dlqODVcdNe8jqEN3TprZeerT+TDPTVkM4unQSiuJWQSTkUBiV
tNLM2N10IvDt4rLaZWGT3yJW5EKpzAErm8xYoVnWHPEC/Tej7I1DbXjGa5v50d70R/s72EEGJWzD
Rp2wNHFh3L6s95HeqscRWkvPOsLfViGyFgIPab0Ssk7YDL4xV/cty9v7auTdzI2i28YBsldIrwxq
f1+PrH9IfVTqPCu6HiMTikkCEd2HfJvReA36h8C4H4fevpUSFDWbQXLWbZ3rW0lJUUJUQ9tdG33m
wshiW4iIW10zQIRtNwga9pH0c+Sgo0GcIf2VlvW4EKe+T1MZwgcx7YAofoManofhNil5E9pespZh
MO/kOyZaFyzMYEVUIMnADKCzsqlniHzjJIEc4rytlQHpS+OeCWQU11fhhvmAncWsxZZBcUh/dksA
zZmClzAK9A+AE9NB0/TCy7wyzVIZcbkNIidHb7iNd8622yk8DNfh1VJt933OhDkmO0G6v+G5JvFu
ro/gqXrWqCOu3vvXqpQdAhT+Lkfx7z/WuRXx7092MibKEWU8VGIQFxsTb4Uq3ZuF/0998b9Usj6S
ov+ZVOv2e/k99f/P/z4jvfj3/+s/dFrKvywAe7ZMvkpiR6vsH9IL+1+CDoscCxCoQiMNW/+P9OJf
vFy2RkGDASoOCKnwfzgvFPlfv+tv0G3RAgPF+RHOC1EHOEnyKBjCc2Eq/BmGLrhsky5eGPGiRhFg
KP6X9dYI4NStTBfq8SaBca1qgPj1SXjA/dnr2JDip5P9evht6JQPY3IJ3sw7DuO0DJewAdNqORxz
SpZrvORK0CqHqnFepQyPZmnZx7A+wpAAT1I8sCAwY5zy/B54UY88O6RfSIcW/aHLlBGdH7jJI9sM
FirnkysnTIElYngFY6LMNcmbkQCM/HIs0Z0p3W4TmCOa4v3SyKQiypKTD2dbwLyxBFvbu4kcJUt9
DxAOvIt76Uez97bJ2j2gMPO4DKGb+Ui2hSSFxmimSmdjUmQLCoeUrAUUqDlkxF2iaEeIsNRtiWzO
7vJ5mFZjf28e38qEM4RxuylAQSkd2QPzla3kq/AnemnfoVfs9/pG3pXAhnfeLpUWKmWzn4tHXAc4
r1ngW89PRtd3nmfUCXIshu0dBhvl0VyBfunywub20FYZ5SeHfJt/P7fSOwXEqgGHYhi8RwLUI5HA
c8QzfdnMpET2tn02YzeMn8G3x6jBuRnIeh0J2muksOwOerqkbvq/RqditDbMpPyvxM3957qLaORc
tvt+E1XB/idwgcC9lWlTvlE1iKlkuPC4Y/49fkZ/KsNS/XTZysyhxwwMQbB2gOQGX36+vGoYfKsS
hx49rJ37ygz0Wj5mx+5lOGgPl229/2CYEoYY1oCBcrqTFoz5rWcaMNJlDWpHQC93TcHUnds38cIJ
fP/RNHHYWQ/z/AZdnPNVyYh1QSWu4DCiyrkty+AqDLv0R0BR67ZIBv1b5Biwr11e3/svhlE8Ff4f
2zw150YzXRtLkjcEtV26x+j0vjSusTR4OWPEpi5BQcYkjMMlnhvpZNw7ShXZSjKcdZ2hThjvLy/j
/WfCBZ5YEL/gJL5pbDvS3AHf1MWaB/Nf5vnHuO4pCXYjKjH/nbGJq6DeCCe7yimHE7BZ1XZ23xfU
7drYW+jvij907txZlc2I2dtxAIJyviorz1I16CtEx+1K+eqFsXJgKtl+VrPW/8tFcO7jh8EW5EIq
cwWmeCnP7bm5Y8duYyVI4hSPQdL/yLzhg/eJuQtGOpH4ggaUbo0IrE4/lGsaPjo0GUvS42ub2Pdb
ZnfONWNeS5QJ00BeE6Zsm6ga/jH++zSmqUfNirwBmiTVCcf7ptSL1yFOrV2bpNqmTlr5mqR+2Mml
EX6muJfdjvJtryLv5crlwvGcZjLEfCrhlUOcTy4jhpDPl60OclopHrSJnSS1n6hm5wdTqwFmKom9
Z6ChW1M98jYqwrbH1OgQkOjNwVunVIDW4EzMdZuhXmjZskdhDBmyDx3o37+O2IvZQsIV5nrPf10a
NWniOpS7aoOSTJxfIUi19Xx1aRfE3zk5z292mL9m9pQj7RAUndtR/CzJhwbG1Ybi/ddWbvWNKrXK
ppX7cuuWMD70KdKukptZa2voP4VR0F1dXurkSk1/wvRK1YEc0BJDe5WvJX1Oojx+CfjB1E9gU/6m
tyDAdpctTlzTb4vAi0WYzjjA1GJVuUkUNWjWuFq79nzngAj0PkWd+LKZ6Uzev+2QI4gTxhsinpcT
F6jEHaRZg5xAmVWS5Cmc4i0MrCjSDQUslZ4xWtuwcowHv5c7Y2UiUQThvwNhqC8N4U/GozXpyrJq
/bUK4uK6pGZzXwdW0Kwv/9D3+6HzClgyQZYswgTx709+pydRJIe9HB5QugYrjSHysnIhcq7GhVh/
6gDYESyZWKGZZKjwDZ5bkjoUI0dExd/YvXSoUnQxMSvGueu9pK2WgEuTV+63OUIfTQX0w/z/5JXL
wVu0TRKlK0a20kdBXH+XO5r18e2zVIafmPxnxsx5m7k72T6EYWUvpa1CUyd49QJXWaV69OrkVfSx
x0Ashzl7GQ5noHkaPvt895osEj02HoO6G4xdWroubJ9u++XyaZjZNB444g8I57ge6uQttYYKPboA
3vjWQc64itFQlHKpWvA8k6aiWItIJkzV0sgo6Eyfr0WP01oKXKoqLXTxK1XLEdEJUQyGqXWXucyU
NMadHPQLa3vva86tTpw+NDlu51ogHmjPvfQQLa9rv3kp1f4VDss/OBfUrJhRgySdnZySXvlDKtlS
ifqt9ybYhvAzunn0Mxaeirk1EXPLghWQJEmwjZ/e3hbeeU4LCqOuVT+FckXjtJa+ozxGI0DNzIUz
OOMr8GWqDVePhqLLFNdhdalmDxmvYR4nf6f+mG3aocSLSvoSs4XwBedPE/UVyLU4gW/0LpOnKTGS
FGMw/fcukwPwUkWB+Zn20KpylWursP+6fOznzDmMb5p8K51Qa2Iud9Uu8HLMBRldh3CFBtgabXbP
2KfqUs75/pOBWKBpqQjuVIg3Jxc5dGlZIAJIg0Ux14kr7a1O2ilJ9Hekf7q8qvefC48rSh7cMhCc
0wyGvKxxex+MewKLvZoHLVMuSbHu5GApuJtZE5fZMAFWarbAf58fw3oowiCg8YCgIypAK62k5rOq
c1XON2FiJk8JdV3/w54XKnzbIT4ibsUnTpyIq3WdqUl6sorzgI4nZv4O8dAHP3c/OJImvhbDoAa5
OybhyRUbfeLk+ZyKPCikM6EdlmujsKPrtoqDDVrdxULc8N4BGyaJEyUkpqKFczw3JekxGnh+RgGJ
4uVBZ9p2S76mf/3wyWAwTcYzkOLipiYZu2egdoWeJNfLQq3GWrdoyCFHtLCWadlI7BuBBdpqGoGF
bU8n6iuf1jVKS0R38Qb9ij096vbwgydlD41XArpg8dFX3j8tSCFQa3FUPC8+cfKpVK/qo8QX5PGu
FHOf08Bb65We7Qj0uxXhrLqiQzhuKwtxyySRqvSQSJYG5SVYo59VKeShWQxio0qna/KWWqjurBCa
AeioZ/WubaEaXDjJM7dHZJUGAgoC8yjKyqfHKw10p0WFG5dt6I/2YG0Zpmj5JgWF0EIZ/8AaYHyx
PzAdEJqeW5NqBgWRP8tWji6tu87bS9nf9EJXUrTgVGc+BTEReaVBMQOOycmnQEKVGEPEEha0alXx
d5k4YO9gyQp/tX6yaYr95UM9c3XO7IltPrml+ZimUWYS2eu+YF0Pgp3n8yBeNiJ25/xhMhgdFGxI
JOUcgMnuGWogRWXjiIR5VADFS27w1U8GAEGJ19J+daoMRVSk1OQl7pe55VnkEgZNC3oX03i2ywsH
BVkuEyJDN62qbKkN/Lq8uFkTgmjbpMQLkHjiFiIJFR0zY3FwIAE98mmimnr7+bKRudNugaKg2ECn
lk7b+WdKkp7R25qQpbUAaBr91kcx21KCQ42K7mVTMyfQ4UYZKm+tICKfrCd2arNw1SpdqSbDyn7X
gpcK2yvNcm98S1Y3WZZ8riPc4GWzM9tI8U4xRSUP09P6mmWHYZqRdKwiRqI2lM1/+Wa+8KnmlnZq
Y3K5xi6jyNXzTgR1K22ZLEQorR9+WJb+l9cp7nqANryvP1hqEw4dsRi8B3eAUzit9MoDumBFjrbT
ICU71e8/VXF61zrl4+UNFD9+cskwI7pskIJQnRKLP7nJrQsXs4305ypqPkn6jVJVqzr8+Qc2TIJz
2aTy/9bLO7VRJJWvm2pO1TBTqeIEXb4tat3fmHEcLhzDKR7697ZBWkFbkbfWnNYckJ1yGmWoSAaM
No62VhtDUZsnRvg99y2foijgIbrqaQ1zD38i/k5TzH+p4spcemrehq6mW2vLlLQJ4jkVUzYUx6JF
lKk45UyViv6TFZQFRKkWaiirFpyGvMFo3B3COAw/Z03T6GAXfPnezUb3m+4GxMW1MbpIqJh5ZKyK
yB+SLWodHYDIvEQoo01G3VtJiSfJ66EaIdprjdB5gdXJRKRLr0qFfM8rnXYlJw50JF3YptoO7Hal
oAvpl+DhxrR6sFq6rZvLX3ym6ge5somgAS6cazmNDZJYHpCLx4Nmw9bdJ9tkn34Wg9jlyrxXdyHj
U+l6qQox817gBUR3E+QwogjCG54c5TTnBNpSggvKovw1sHp3UwvydCVpwhcNdUYRnRf2p8tLnbVK
vEqdk+iO9sW51bpTGESSuKfRWD7XvWSu/EhGHrlM3W3RlT+MonGfL5t8f2dNUdoljnnTgZLVc5NV
WecUkoiRR895Qqpt1bb2Vc0414fNcPMpi3KZRN1l8v7abhcGAKBoAAX2PTHe0W/yo68oCxs47Wlx
ZU3s2HwccneKsNNXylTdNtIoiwHusVfIod4VSOuuuJiopFgb1x7uEI4B31pAjdman71mqWH93sOT
ixrEstxWUoEpcWVC8JG5Jb8gsZm8k43iYLbRd3gLDjH4tnWRyF/jiNnQj+7vmVVj8mTKRjL2RUgs
2iMivYIU9xoNxBJGk3DpLXn/SmJJ0EnyKcH1THPGYpS6qFcd9GTSJL8vZK17bKIBOOrlBc2Z4Zzw
ZonZBHna4agd5JukaCAhaL6bHdjKD2J5yOJ55FUyKZwL6fx0lLbwo9FGkojmrhMbACl9uemPrl51
5kLS9m4lwhDdIFnQYtKvniS8eEQzUSR6NRB2e38lsgeRIp3kp8v7NSXV/b0eqjsiMzQoG0xqIU5v
SlWetuj9bICvbdNN8wlH4m4sCNDcVX5lwrB+vGzzne8QKwN1Q1+NhF6xxcpPnGRjaB0Nn5BaOZqQ
WX+wimAjAdD4Eys4YsjdUMybghjQq9JL5GGzVVO+FuGP3nvUCQgv25j9RqK+LcjhmReZfKPBl6rQ
cgHuVD6awoa1ktCwvGzinW9nsyho01YgdqaQOgmO+sLTtKzwUzAzzVPFWcsiHczzuKmcfBs14+ay
ubkVgTFBPJDRfnomE4drVk5fSw4PWNyB2u0lRDJilK0uG3n/NItFnViZLErNiwAVXhASgiTFOLSH
VAtvuh2022/IGc+HzUBeu5G/0H+aO3kkc+QhVK24UhO7RlbKqP6JencuP2W1u7Oy6HXUvIfL65s1
IxQSqdTCFGdNogDguIEcyrxaemls++ZX6BXr0AsW4sy5T8VsDBx05Pa0PNTza5ShOkdDl9pHmcbP
st7eAddfmil79yrxoUipgOWI0X66h+c2CjuIpbgjbG5cxWlWjtGbYlqmbtExLKr+W+83CAl0tpt/
7oiFl5zt+41kqBAqZ6pxFEsoXZ2bV7U2q3KtIwkeamJFH4LLWH4Oq58f/V7gIghlBCsjWC51Yqbo
5YqX662eGZZXMpruCSMrZTaS9rtLDEEza4L4kUQVRAGRzbS6WISj1NgSsALEOIa1XJawBkrts+eG
4eHjy6IbRugv8mF6p+e7Z5U0tOGkIqiR5cjYqIWhjyt3CMp6Y5OeLFWa3gdRtN10ev6AjziW79LF
ImCUy7RziiUl2kFlA3odmIB3VWvepkoRGJSkgBmRtZun/c7WezGv5JkLi37vL9lSev0GvwWBkymS
DCxR6ek2vf5Mq0iUmQ9FOtQI82Nu90fH+7BDObc2OTllbDoMkIJysIdvgw8d4q/EXYgD3l/BcxPi
35+8ltTasiYRfazaLGnMF2q6I1SUtpod/x3bsvvkZYW0zZhFWXjcJjvJo2nxQoN7pbpB+jU9PpGa
xxBj06yvRwVVpIFiCtMpmIlRq+kNZ8Hc5F68mbNIYFQqKFT4pxobGsB5QTiJ6hOAzcIJH43C32da
vXA+Jl7ztxkTh6nLoF1pfp5vZxxEfVYwY8RgBbruhXRENWjheZtZCXgTNDRFi5h+9MREhbJ1yMBb
vmrNTltnSv4Ad66+Nvvy5fIFn76jYjGUdhnAAjLJkZ/GiCbtdTAUBAdhM6qIBnkmoop+y3T5JoyN
kWypr65gia+GdUc/9HOfx+Nt6zfZuIlSp3li5q4PV4U+DFdNkySPrkutbmE33m04j6AoYYI+A3cJ
ku98w6U8l8rWqUlsOonoP9fvjKBYuIbvjqqokPJMcHpQ6iGNO7fR2ejAdmlM1FK246bWstfGoQpt
VO2z4sePum8skcqJh++ksEJ+IXBNbD3voijTTr5xlEuUZyviJIYkUmi0wHwEcmTCk8cNuSs7ybmi
QoQe6qhr+yCRlxhU3p2xif3JrjYR8rqDyuUET3RMIUpIku4nA5QfLG6+W6d2vrO9mml6pMGD3LoJ
VfbW/drJ+gJUZGkt4gSdeDjdyIJ2cLARBPVDE41Xg2puVTf8cvm2zBwSriXldBqWQuZy8slaN7dj
vecgNn24l3z7dvTlddWHu9FVN1pV3F829/7cKzzzVC3IFN8w6OerclIXoXaLEyJGoUpbvmGAdGFF
4gGfHELeWpN8F0QKDbfJigR/oo8wLbjLEOG6UbcOShoeaQMPK99Ol6L2uQWdWpscuXjMLXB01KDL
oJHrhyzU4mrdKoMs7z++c4R7dFkJO0HrTZZVuaYu5RYfamyLXTNqD2q4pD04u5YTE5O1SLUmxUy3
0ZXvGghWR+nFNJsFAo6Z88Yrg/fTqC0RDU2ujor+ds1DA2JfVg9Oq9CdfJJs926gYjpY0uryps1c
ojNr00s0OqZf+uAMxES46qEq6JWr0v152crMvp1ZEb/i5Kq2oTW4TB9TIKgIr3oaskdaLunCAZhd
Czk1TRVBxTB15whfMv/dCohvVjJzX2/0RFvbzB5cXsycGYX0SehQKXTHxQc8WYyd9UYcDxKRVd9/
pxnwaYjMYpVa5UIRc9oQEE6UhPMfQ5MQzhu1ujUsNBiByTraZsjjHt2wxK31+6IO7HxLFD9mD7Sk
NfPgQLdUXxmSrHlrzfWMpZbmjNPgx4CiwA9Shpvyd7eyCdJ4ZHP5ERs5eIgba2XyPnXIPPzB/lLL
FDkq2I1paan20tQ0cvy6FnbaJk8Vf8sIab5POzX9WEnp9w4L3L4gJRG8JOefUrXDhoFkgkdNA0BU
Vhurtz/r1cKNnjn9DDwITAjjIwCIJla0PvMDTRUskkX3hcHW74FBrf3Dm4YNDgIgbbAnU0heHHZ9
38qUmauRmVm1atLPlRPZN7C8Ngvncub8C2C2OJnUnGkBn29a62pxHcTiWJa5/UPJ+2Zl6nX2Ka+H
cHt5VTOHzkCOVDTeQAKCJTs3xdBGGOcFO0e7SUCFopsY7ScI3a2D2Xvdwh7OfKdTa2/38eRia75K
h8qkOVEbxa6t25cytD7KKM2dfiOlJOBEOoi+wfmKIs3wzdYmuQ7DHJaKuHRDb6do1bhkaOYrgQFg
mod6ASWUaQO9bCNTCSuekdTxm2NUds3WdTr3MWkSb2FobvYrkcHj4kWlcdottBs9HPOGNaEeJ5jg
kZ4nc97lsvtl6KwlRyS83iR6YWH/WJs8821uVm7gY82t3cFcRXIsH8ahi3dBryp7OZChPqFFupEs
I/x4bIYEN/1Q0GtUwKdMbQFRYhwl5Au57RnrYii9Y5KpSzKlc8cQmQjQ1vQjcEuTQ996VWtHOkGG
NFrflardDJ68sBDhcaZ7yNOFZjtzlbj0iUdy7XDo64TDocP88aX2c+u1U5K83tZDacGNEYNKXZeJ
C+T88oWe+3iqqOBzDxibnfb/orGryy4XafRgpb/UGhGV1In81zDL0nXM+P86UOTyYKThEknR3CE9
tTwJq8p+pJnqcGwqQNd25N1E3bXi9ZvSlRfiA/F9pptLhkfiik7LzPvVthYRFS8lBQttm4RRtIsY
SDtEQ8REbtEle0nyyfI1M93KSTMuvDazW0wATCGZuiTYznMP05RB3fXAzVeS5VpAjULaZ+tkVNVv
ijv031TfSX8FtlI8FqoBquDy953zOnRNQLSA6aKMpp4b75PAMUeJXW5UA2IIgpao/KlCjXPZzOwa
SaOBQIIOI94/N9NCbBFUA2lsYOv+a5x7/WEMrfjQSjUqelIXvuRmHx6TbsieLlueuzl4bmJvSjWo
uEwsG5bkO0UJLNE3oGf7NljlqtOSjW7/lbbtQoI7t0ogpSocCrzq74RvwHKVgZlTRQ/hU9xCph7s
u9ZyYLSqIkgNPWNXyIHx1BvtEo3/3GURAl4UQ+kkUo06318w23FVvl3T8P+SdmXNbdvQ+hdxhvvy
SlKSZXl34jh5wWSxAZIgCRAACfLX34/pnVtb0ViT3val03YCAQQODs75ls9x9eKwL4vzODfnancn
JwjpvwQNV9xTx0U1KHo11I9RhwpkFG8X9PZ03qcR37aZFrzoXQq5MlO1W+XKTx9/x1NBFukfUkxk
8KBhH90ioDmRrHUQiNA96AuUbKZNnU18//Eop3YL8j68SXFlYJCj3dKjuOTJGRNE6mKvfA1IiQXq
4r4JeqgCORm0KlLrnjkcp84gKpSg7KG0tUpxvP943BeMOmw9HF3y2RLvoo/41zmaz9whJ4cBdjaB
mgiqlcc6H2ufduIUw9Rtv0VNA91FXczn4JqnVnCtlq0OynAOOk5jUrfu0lFgBW1gwDfjnFUNTG7E
LPMa5dI0h1VVm+WjmsU5/t+fWwQoSoQYhPA0XG0R369jzHp0QSIkn1Ni4gPwUPRBAEZ38fEWOTkK
QCQIYwB+gU3zfpQBWlUQigZjB92WkRXAxMfRJqkzzs7sxeOWPXY75vNmpKMtP/V1LSsfocthE5pH
geNd+ET/gIkKW/t06cbj9ttQ+QcSTjuhQqDym3q44IGFEmWUAYvmZOXHk//DJGL9TUiI0Y1Y9TVw
Rt7PXuHD92JZsZdJmxQps+E2jCsmNqqbwgk72HW+OdkSsQ1MHPC/4ZxxksfIuqCdGHdE5pQN3gKY
mAewnKJkvlLWcX7FgksAuVPIY+VSRBXMtXUjf05g7gLY1UoGt3RDLbKP1Jr4ysnip49n9mcEXSeG
LRuhwAwm09EhHMcZQbrHYvuSlBk3Bza1n3jTlL2Nf/2HoTASwjWCNcjH79dw4RwI0hFHhDEWwNAR
oAyKa7cwtN/Pgz2TXvzuar5PbzCzN8OtQf3NK6nLRF/VHY6FP8IjNJboUMCDpwn8TyxgIwT/RtjE
Z7WbM5ddqLH/RVLz7Lfimncx2r+p90Oo4Wff+k+oJ3RoO9QOKrizLjIDGkPQkyT3V9lVgIEAD1s8
IP6c2C/mebyFj9lfX7GYDOqs/9jx4lF2NBn0XKD4hck0fPZDaCYG9IZIVj0G6WI36A9ALdvLe0Ln
3ccf7Zjn+Ps0QpED1EN0dFcxkPcj17bVyggg6htndIsW/cfrKGTmjtcSII3WeUZmQDeZmsEVXFyn
NJ6Kyzmt/W0n0+nrx7/mVBDyURPGCxu3IX7U+x/TBUvvpAFieSBI+52B4BKX8A+t1Znz/rvU8Wbz
IPqAGwPELpDxwKYgqr4fyEMNw44z1C0ZTMBtzrP5WenweaVj5JCCg/RmPDlfVJs5hSPaB9tQWJRy
m63qNjIf4ho+eS1zS7jB28sBujNbY7JxYyLHbkzap9s+GtOCQnG6oIborZTdXCYy+bYsHhQyhQoK
0oN1ZOrp2RsR+ACQugytFxUckTfvgq7fclfQIuLePgwhEBC57NA45oKq4EVk5FDR9NoM2SvoPW5p
IksPwm/TAyfiWYzNV04rWTDWJFCZneH4BjjHdac1pIbD5jKbJY6NO8BuYIm8Qqqz/Z2jD5nCDwkC
X/7KJkRmA4DH+/X1uzFC1w4PO27c+pFBX3njdNP04+PtchTcfo8CaSq84FY8DqoM70dZiANAe4K9
O8VNeqFVPEAEqLfLWHi2D/OgoucY4EfJxj8jhigEIdFwITZ0NGI1OXM2KVwA8L1A7kthXzYno4DQ
VyLO7NGTk0PnEQxkdND/yLoXn2dRN2JyMR3mXRBav6xIQm8dYsxtlKhzPP5j/MP/zu3/Bjwunwxj
PzG+gkgj2acQMtCvUPSrr2vhvBKS8J+D1v0rceGI01EPHq0K7JjeuOco3keZ1j8/AyXQFfftIyKu
6/Imrsch5A66dsZV7MHzwG0ouRhGAxNQP52/+nhF3kO/sT1n2XpqwyL3x2sZjAG8NI5GdRrg00Ba
RjWna0q35c/ZUp3ZrSf3zpshju5HDpa5IzX2DhmiYU+bSF/hURnuKhXP9x8fjOOS/T+LCK9PKEeA
/vDHi8YxyK/0OhaMw70XZBuQJqILYhvOJWIYdHMVtU1p/WAVEe1R0G4WP9l8/CtOThiKYDgpqzbZ
cWY+WuFZ46zYTNmLbWa6eYsM/ikU59php7cuhKVQq8fJxEPg/Z6h0oY0W/My1/A8W9pyiFetWvfS
IooTYfK+gsoPnpN5pNwbY1n+8UyPc9rf640KGcTWUHtDY25dijebdtK89j1muzw17SaGuiO03HGL
eSAMuYk6JFZ9c5BBtB2qgrHJSpvVcP9JrbN32HjwUvXw8Q86tfToC8EYEATDP58rY+CRSfdAKPpt
zHLo9YpDVifxFxf/+tvHQ506ryurdWXNAYd2/JXDgEMcbnSwrXH7heVcGUCXW7VEOXVEpnKJlsS4
HV2g/c40aE7ucrwwQVdAJEacPIrGDapbFYVRQD7aRe/4kA73fiqzDcRu+u3IFXopFR5KQqto20I3
9pC29TnY2KkwjboB9OAAb0Xb4+imAw0l6tCJABbUUelXrmxMcg3MBSsc2yy8TJ0gO6dwdmrJ0cMJ
/N8PXtSd3u821nSxqIMANcTBMz/rafA+AUES7AjF9nfC/ldmwvjLX39m9IygXL8K7eEdehQgpaz4
OHdoUclB3SjBdl0LbaTOylsY6tI8IuJM9DjOTNczhQlClg5wB5idHz9d2tjlPQTR8XX9qK62Ve3b
HxahhGwUd72fAzWGQa696z5no3U2iUn0S6RtMuet8Eia97QZxzNb7vdufps4/v5RgCplyJWxHseX
ZNrKhg4rW86LJ1XCu8zZCocAPYMHXD6yCZpsEErrQtmUeO+NedpFfpHYLNjzcGy2LBE1bF37rIAQ
+FMKWOHdkhAIvE49+lheVF8al5a065PN7M9tqSvLy9jAM8BJkttUtZAdMp+lDh8dMbh53EGrfvHJ
tvFAU+3qZscSEH67xqElHAc2S58+tVX8FYn7kntN513oDq65S0XHSxFCUwviuSZPbfOjNuKx7qcf
gDSYclLh3h9g4xeo9prb4PNoWTEl8XVb67sqaF8Uz7ZN16gc5nuFHy0qr2r33rDhrlHRFy3GuhyC
czHt1HFHkrfqqQHqj9r90VHrfO7E8/qr67RHYo7u8jTnDWOgRM6y8+6W0Z1eoWgIWZN4auqwACfW
tLsKELlzyN4Tpx7FV5x4QHtRnDwOekyGdkotwWlw75sx2NpoD/G1EvI0ZzbciasNBRngGFdBPJyF
P8461zr43euZZjeAwLMm37qRsYcagvExPrEiNfkCvgvNhxburrlwgaHzLD3zO45KpDiM+BlIsYB6
R7MmOX4mrk+cDArSKOYtvX819M0dJT65Q9F4wnGrybeMi+g2FbL/u7rU74FXVU+0D2Nw8o9hKAMX
0ypzvVbyoTOUeldImc40kv/M/UCvA1bDR7ESgnbHl3cddAn6dginrALfYlLd1xozOpMi/BmzMUiw
ArWxjMBVHWUItcdmSieBzSubas61x0e6US78AfO+6YGiBsNT+vncqr4+U1w4MT+8joCZANYqgZrZ
0dBzPyuHWh9LuMTkSri+LQNcH3//oTAKmq+gGIEidXwZx01iuGC4jLnjtlMuI49VZdsQfY4jdWIl
IUoJ08b1ER/+QckOJTwHYOKHdQs6/3IJ7DMYog9xCjXRLDUbpApk9/Hd92c2tbK/V9lI9FpXMYL3
960jocHDkwwbBCKLuN2zbevqR9cfPn88zsmZwel0JS0DtnwcVbwgpbFT4XLpVbMByferFPV3B/8s
Enw9KDj+/cZfdcUAVwZ/cNVeeT+veBnnJEYfLk/hniBN/dgG6Nd9PKeTa/dmDP/9GJ1KwC/PMEY4
GoQvcDvhIlxN51zN/wzIK93n36kc3Q1RaAdRRTDa8r0GyVij4katjVxPb7059F66dsBL5z9MLQK2
HFsRlJxjABY0SeqkIhgTRZoQzYAaxk5qsblOsr9kXaxRECyS9W0DOg6Eu46+1IzmGMkYopNHOpUW
0lYSWVBqYS6A0tTjf5jXm8GOPpkv1cRUiPcLbEh+MORVed1pN5/d5EzIOLU3EpSncaVj8/2BDamJ
zkI0w1FxUMMlTccraKc/Ykeemc+pvfF2mDU+vnmctdqKBUQgwCXcCsIumnnXQ+DWO8mT7rBEfDzT
4Tg9LaAzQAcA++iPjwWtjagZkRy4HuyHEuFGOXTKZmSL9Tmo4anQju7+/w119KngKR2C/YipNW22
A+nzPrXtp7/fDQlSD4AMV93r9Cj4pdqEs47XIXR8Pcx1DxfmDLaX/O/6eL+3+JtxjjNrEQBsMqXY
DP6o7W6ahS7RfLH3zKTBmWTm5KrhxbZmb1ABPo57YC85zEV+CykD4yRl02SmR+YcyLH8eO1OBfT1
9YLrECw3PGbe77zAlf1AfKxdRO/IEObESeBpxnIafFfa23482MltjgIE6kjIz0Cpez+Yzez/7oWO
3XSk+hYm/e3i+Ju1DPTxSCfX781I67TfHKhw7N1hcRCNKG1voZhUzhl9/XiIY2mk39sBcuF4WsMk
ApnfUcTrGr/3nAB3YW2NPjA4Rt4EPBy2vJnhcAEazG5g1hTLMj8nTHtF9o91E8oqbjRnxRIPYWmD
JUArmMeXUzi/VoymhyoT8Zn06tRxx3KjyoEGO1h+Rx+5l55uqxkbdxjQHoz8PPHtvhr+jiPyz3oA
IQBEC/C+fyap2TyF0Rormy66Tzi3hTbzRW2DRxnh0u76+cyAJ6cF2I4PcAti2HEJv4G8U53O2Lvx
JDcRkZcTiKdexP6ObPrPvED9gQ3Iikk9xl5QC5916Jn3uUxHsPuefd/mUfOX4sR/jHIUJ5lq1Qzd
I8hIwTUtTyP6EA16OHPaTx1ASNzjKQGo8ypQ/P5YZEC89oBV9UCJprYYgAvcZIthB4UGTjmakJ3B
O546hihEoBMBfRCIAh1FZpORqo4BZ89naCr2BZQJUOUMWR+YMxM7NRBqHShtIgMGAuHoLBICRDGe
ED0qlv6817ANQ1WPn8OrnVo+8I0ByMOccNkcxS8X1ogD0JuopM3jYyPEPU8c2B7MPc9pqv9LRoVK
wioMFGDA42ICCgN2jNaMynDowHhTQao7SJRuPg5jJ1fuzSjrf38TKZfJVQSGUyi0DGrch31rdouK
6zMJzqmjCpLaavUBQCrkRt6PQvkE594eWrWBTb7PsH5HjdnZV4b8fWKTrFoO+ESQkUXB9/04vtBt
AJsmfKEh2wH7dj3Z4S6qgt3Hi3ZiOhgGeB609VBQPX5udcRamM1h0SJ3gozw0npfjNYgUCex/fTx
UCe+D3IaaJaD6Q6I0jGSNpCJaEcfpCBEdtTYuP86kOo/rBpuMlxkMZKN4Dgd7CmquMuMr6PSlGwX
rXFJmD3Ens/Jq56omKJt9rsshcIUwPfrwr7ZbZrGygtn1Bj6ZJidkvb4ltfQ+RFesRipwnxwpBjL
Lk7UsGvEwlGyjK0aC0aqyuSilpB8DbvY/fHxKp/6oBlAoMAWrQ3Z45MNTA+zSYJAldbhPmjcL2Eq
96Zzf348zIkAgu7lv8Mcxd/R0sQFlA4v9GQcXpyh17dMVQz2T8DWzoukZzbPyWmt13G0ClT9QQ3N
UuINKsDm8STc42zFPzkWgO+pTqLtf5gZ+Lgg+UBJ4I9yY1j5AU/g/pFbQEQg8lpEeJ1p1m0Fefl4
pJNzejPSURDmS9D23YIthHvAltDALkeVbrULjcKPBzr5saAiANVQLB2W7/1ebUPTk9ZgSk0oLhcO
GVsRMIjY+2PZ6vnMETw32FEYxjOgr+MIkmbMuIfBdtc2XC5X3DKuy6U6M7PTS/jvzNb//uYUojJW
LVmGbdFXZptW7Cad7C5j7AwA6lTogkzXinsExhGFy/fDBBA+rxuFnGxh87MN2npFW527k08Msl7F
QP8DLYNO7lGKEUXVWvkCToZaFeTRoA5D6j98vBPWH/q+pYKeEv5wSPKCBooi6fuJMAfBCvwxeHtz
e0HTZwrAnVtdRcRC9GDz8Vin5oNCiocKNrqGfxgEs8GksNhbbzA/LhN4D6InUv7/hlh/wpvPn5na
D2uNIRCCZ1UyXnu28Gdt1JlNfXLdcHUhKuDJ98e9gtRf+ehxYp+ha5SEv6D18SB1th09X2Itz+kp
nFy6VVAB1xUKycd1ABUZd5jlGu0gUyrItg+84uOVO3FwAPfAgyPxV9bkcXrhCaS4ULzsIXyrLfBC
ENwbGMk2ysgzj46Tc3kz0tE3asYo6wAZRAGgH3UBr62v0VD9+i+zQRktWA2vvOOHTaU4Gx24uaKY
OzyjfkYK3vqv2nD/zLKdnsy/A/nvN1xDQUVrewPl2i5bYEuLuTnbdAnROfx4RucGOjqoI/dpDHYf
ktm0vTV9f6+i5fXjIU4EamyBf+ey/oQ3h6dLsmbIfMxFtuIGptVXkNzfprr6nvTt48dDnTw+uH5W
8jnyzGMKEDEpzzikT0FvikoXBaB6OdDAuXZD2H/Lzx8PdnLp3gx2tHRxLbuOhGvcIV4PJw11E4E4
cWYjnDw/bwY5WrxMsMZGq1rmEGSvVeJ8lunwswuyc7Jhpz4SZE7xYAfRE23wow23wCAZCQk+UgAn
ZQdXwoAydOJv8Uz8DzMC+A1VzBh/w8zz/XaYuEPx+MWyKVgewOp8u2SAwiXn+juntgJMKlZcA8ik
6AK+HwZRVA+LxFFN627cwtKre6xBYy5l62e3CXz/isxx/TP1ld8y/cf33ptRjxWnAa2XqEy7CBAQ
LmyKxbEVzV1i9SaMFaQ3Ar+9sVOflAmr2UVjrLhDV0N+WsZO70QfOZByrABaJktc39c04A9N1por
gr8ScHNscEc7j/+lcsdaSVmz3ZVxjsoDyl7v16qNSABMHjYZPB95kdT2kclmI/GOO5NGndpla9rh
oxcGINtxWrBGzExG2GUZ9HuoTW8p6l1NTJ5M75zb0auYLH738df4TbFYift/Uo2sKzSaAjPsfPkS
NwVAl6wptF+b/hY+32gU1K5upjIWiWm3M+j2wZZNgwlKy4JE3zrp0MAlZqaztwvxJ9mdWgKPXUNc
iQY37YAiPQgPcTt1FxQGsd2jbAO2PPku0fJRg17wAN/WsYahOuH0UUHHjn4f3Z4z9CsgDtPkfY83
8UoJVm3zaZmgcXcFP3KYUcEomieXQZe137KMxeHF7CnaP0asqZIt49Z3riruOXNJ6ODZnLAETtIQ
FxRN3lWr+sasl0huOhsHaswz8I6X72llq2oDw6u5vjM8Wy3kdCW/ddLwftN2sfbzbnIn+M7qFFuh
x1TEXsfd1Bb9kIjma9DVeoKD0MIoMFFOSL8BvpPZa5ham1vJCX222jB/07ZJyi+WRbTdbvQc0W96
1KHUI4gVvcigOswDvgPAbPkamdhOGwvFiuiJQ9gPCBorIYNctZlbb2rkQlUZT/UkbuZqkrJwDF9g
aOkm+K1mRDsrV4Da8Uu41nQ3i0d8v8wQyb74Q9f8dBbpf2mmKsECoBj5Q8VCX+GZHN/2UQCti2SO
nH3AZ5hCu8HytRsX3RVZGJqgiLtw7Erb4t+BqZrwFL3H0cC8gmnHQP1cAkbTEw6sDBtGsEAo9g46
GwNklQta9VKVBH1nCBerRv+s5orfO9yDbz1k2hVUjaC7XEApzzZXJo3ES+OEoI2iP+hc+yhcbNqQ
zN9tpKYX7VtQYyQA6H0BTlly73laFegyiCG3i1xRgFI237SjEsC+lVa3sJ3rPRhDx94LNXDgHuCm
o3OagDuZz3idN0USMb/OPcrnrjB2VheJb/BcQl7TtMBz2gkMC+BPmwsNYZq9F9j4lRp4iUObwaxq
krrH5oAS7ZxumAmbK18O0XZa5iEsQrTkGHTxGDT/qHJhCi7F/GxqGb1WMC0v5TyND62nls9uSmlY
YB7mAibv9VYIzyCfFuS1d5f6TspJZuDdjHxjRMR/TAud4DMeokrOuyH92WDyF23VJAeF+tkd9Qf6
YmZX3DkdgE1JO0/XYSSAEsK+3aZuK6u8dUAA6Ykv7+FGJ35IxvH2SYTQz1AKhqAoSjjZttLDiF6D
y4ZDHdjoarSkefVNkt3VvhpqaA12zJTG8aE4aARPbkyVJm7BVB2Rm2ihYVDCSoy8mmSM+Qbpgd22
PrY0VLeHEKdOOx0wPqx7AXe00qUewzoCzbRfVDnNXnDZWsVwN2XDbZzpYeMQ8hxS8zWQ9ZNIlCyU
ChpYwAkKi6cFSfs0XdFF7bzYPEE1F2K5kWkK9F7UptVBWkCr/4trW4PAF38BVxD3iBe2W+o3I+6n
5I4DoYMmg+0uSUMb4MbAIe5gb//EQiJ/BnNL71KvJZs5ExdQ5oiLyB/3vFXO1owdDlDSg74Ag/Ud
PlSHt10wfCMMpIo0k5eEh16hgDMvsSBwYB/lki91D3FN4nlPUg/qYhCTc1dT5oKpyGLDb2TX+9ci
7oMtfPziAhupKoA/ra7tOO5BSuD30UiTH1B+n56knFv5gGsr3EwRGb19qhd3LAIr2+s2IC3NW07g
uw61+OxhdvzgUqMGDod60kKJN+igxxEuQn1hy6Jz0euXSvdxuSiRlvO4mB1+PsB3wtnWWbbkcdrX
BWwVutIHQm7bic4vFJZ3b2MVlkjJrlga7eN2gE2fRHRzvGRHZ9Nc4tqACzqUnAK0WYhT9ALG9Hoe
sw2A8F+iYRg2SRdE19AQAVHOj7o7AcGcYgrkky8dP3eTfjkMPqEPWi7V3hWQLe/84Fpz/+BmPIM0
TOBDDzpoC4t7Ihcyu188eRWwLswbkvS7ObPLkzHpVPb1DPoI8ba9GQAltMlUTODG5yTMQLGw8BQ0
PrtblirK8ZgKi6wdbsMBGut9vGonLgOCDg/SbcOxFZokkbCQS6NSmMQ/jCa6g1v0dwcXWk6zeTUv
aZdiNhTm0Y0YCnDwxsOIsn0eRYuGXCCIdXENXmUwxbtU1ClEyTt6KcfgEtyyNI9V0xWDmxVk5O1m
SdmuBkAt91KwX7LOBQq8X+JtJAZIAo/G5tJB41BmXVcOaAkVEzCWN6hSJReQu2dFW2EzBu69xWMK
awSHFachWJtoGfeurpptbOGWAaLUoa+A8vVxlxRO0C4A6bhZCU2N50xrL5fa6E2aoi/DGQh/nvgu
usReOU34KVSJKkFqeoJ7dFAoFxRukL7sBmWLZm+TWpYZdXXZUKF3VTNHB4d0zi51x+lzghZvXjs6
3Lg2OYhxAiG1qzmk7ac7zpRA16kThZCTj0vZ38N4pt+ZIbqQbCgz20ebpW4B3WPVpa60KSuqWa7H
Gt/ZGYPNEnvfBgWbWPBsZc46LDDS/6VoQs73NQcDLeybtvCoTPO24bs5bGhOqvEKXaolV6YF6N4f
rkKCO4o1UbDHrnLw7AWBrGH1F390ocG2Nmfp8onZRpQh14e+dR4TXN6zSJ7roPULPcUXsA8HaCJh
dyIin024yGKZxAPpw2cWIrxnLVC1NJTjPdQjRYnlH+/qrJ623PhB6Q5eSWxriynrvkzNFGz6aiJl
1aDinnW1wBO5cwqXagrejt9toDom0HqkoqgqJHGtiYa8RQk953PzYiAOVDaQPS+ggRSUTCc/CXIY
r5q/Qhz6WQj5dTDDrT+kNxUztyJLth1g/7mGBW/cOc5TRb3bNoE/3ZR28yZQ6aV1zZM3kAc2uME2
Wbxbb5wZHHSUfe0nWHoGUSUgUdm6Nf6YdBZVPjUc5j6jqvfh4Fdb48dL4cAxaG+hm4f8K6rpdRI2
ukgnF9sidZaN0UGEPLV2NxqC/rteq+qhAyiqbIFWP9QU5qyEz+ODK3ry1GW4aIcwHB9AZg62YzZ2
1wJm7js41NRXdvRZsgGbYLYFd9oo3XRTLed7VygcSmjVVLbM4k5eRCL57EVVqKEnCt/U3Bli3Zdk
6Tw3b0SLEC1dda2iYEcD14U+WkM2UDjRN42VzpN24xn1UleVWMif1I1UzpMBQOhpYfvRjllu2LQg
Nsu5QG5LkBKPetOLBIlfZGCqFWHTxnPFCvgJMMiypCJfYFF5kWX0YEn/DI/Lpqgyz35ph8xsJj7L
fbaSfI0bD4embX1AQRg0QnuIuJj2LgyGmyayYRnpZdgmJpjvoFUQbojjTdta6Au6iHlLPb2vCL0A
jXcGMrlDn0pU1W7uEjfvglZfOBPIKFHWfvfiZbkxhiKuCYDTevDU3CXN9lBTyy7dtqHXqsGyYFW9
vSIM9BxY5H0G3BzZdg1DBN9nt6wxN50IpxLSpjh34xDAIJDdh4vtdhkNeUGkxB8YX40uAQ4dpIkC
aXJQjA6E4mphg7LD53rhRrU7UEsflywwkClNBpCsw2HvcdTghXY3yWxiaH9WJB96UeOea26Qvm5D
PYFEFGVzTiZxEVmYrhK9b9xxyaHy9E3p8adAp70YIGeyqyHoXKaMvuiKXVey3gsu9gMftoHTNVeh
rm8XJMygm/EQqSYiiNunWZ5kY5qj4UA30MRE9JxGpEt4ACF7Ayu9eYDd1SVidInnw89aiS98nErC
1XJn0FsuBF6MBTolX5NWhNumj148WzWbOQl/dgxbCH0wJGEWAToycg+A29Yx2KmjL69qMn2ihGUb
30JhFcVub1qpzF8i7ZOC+oBt5qLjTyLyHr20vYfPbnbrwrbuKhkbPB7URevjfTUb9+fkNpu05+M2
iyV9igkCdOt4dRnRTOZa8wtt+QHuvc6lOyIwMKe3kGrmw1Va44kJldN7XLEHTacZUH59BRUcmOo2
c97NUCfOBg5msiKXvFpKqCp+w45GGs6v/RkK+HgnuzV58uYJDzd74YfI12fmfcfjBZoWU2Ngk8mq
LbxxWZmIVBV1DRBhyGoAMyfUcdD9yXIcp7rgI8PO76hTVt4YF9UU1LkbswQUZW2KKNHJZ5tQT+Ym
JuFlUwHzCxcviCIM8lo24EwnrK+g09rgLvCTqzbxdrD3q8pBBE4+uPglTdM8qSkdoCunIAQALxY8
LURWxiB2Fwvuba9un9DZPviREvnszbeWja+Vv+Ae72Mvb2o+FvFk2BUR8y1B5lr4k3e/8DTYAJIJ
Aga4OENovw+Um7IGwbeIPfNCMpHcwusWeuBk/D53+lvT+hQ0ht4pqHY56Gr+PR+De8qHHSMMOL4p
e4QkOlS1o/QF0id1Aa4JLyo85wtjphrfVCNtqdSzdeQPuE/8ihnye5ggd3s5EIur0ZdbJ+NObpQP
sgiXmzEReAtl7WUTG32ZOpA7Coi3bFxfmoMWHmrfPHyF3hyDuZ7/WcBsHbOTYLF1r51f77w6uhZN
OhWVShe87dmFmdklJf2tsPRWUSRCKhjyOpm+pYw8DFDg3Syy+tUhV8/nsdsPy/jVX6BisMisRYiD
G7k30HsHugBwnblRY3IFTOCrhQs2WLzO90mme8TBy6qKwi2kla8ta7KNjUhSGPhvD1DGo3L4QVPy
0I0CmeASDA/JEu7mNPsZsArm7YOF5FEffsHD5y7gzbXNRnqAg+DXqrIU1sPeMxSb20JVsi/ifvna
O2DQBCS9IPXc3kPKwG4NdMMKN4UscFtdTXhL3NfxEFxbUkO9uouKqJ0OwZzaEvu4bKk51BnlObpo
28VWO9Rr+Kq0hHXpgl+u328g2+XsGAU7v4hBLjlw6/6qE/WVLp2zwZ31aaHsrg/mZzBlCuO6Qxky
R+ONbt3CNdWu9vk+sfVBL90B/FFV+E7s3tE223cOKg+NX1U56jrIyaYMpkljhBLfMNWbUZIAd2J9
WU8auBDPL3kLqRmVxA+M9Lj9/fSFNNMj65MdQuMt8RxbOqF9hSy5zoHaCi5UpL8PmE88tRY8z2ET
NOMLruGbTmfVJuPIDSea3QReWvLQeYipZ0red/eQJtUFl+E2UPDXGcm3ZHX8MdiQyCxhGBNNe28k
r7Ej6wvg4aHMyvqLhYJuhD4DsMcO9GbbRb8wWVEwTSRqCtMG+gtPrGofqsFfGcpPyHOuExn/MLUI
C8SdfjM4cZIbt3Ouugn65iHksTVpk10toCeUYh5EjiYfU9ZtKtBkrye1ZEi36uvGDS4jinJNM/3M
dPoMpflgSxQhhxi/JfedGmx9uDMa0MGLOU1vZIsHL/pIukySUeW0tUvezBrCIX7zqWbh/Ui8e58I
lYuQ+Dn3sH1R4dkM0IRFlYY8QOSvaLuo2rM61btUIfqELZ59VOO5m1w4RqDZSvke/uufM6c/OEN4
kfwPR+exHCuSheEnIgISv8WUL3m/yZDUukDivXn6+WpWPT0d16gKMs/57aBd8k4cbSmjvPQYfVN7
D8hGUVPpcTXUkaAm7OBtzuc6JR/+2u8JNuCVTI8rUfoBKekTENVGowjLZTf4z56j0mipZBJ1HfOG
Ph+yWohQ+do5YRQIaxOAiSix/dDZl8WxI7iZNdJT9VvXhoMfUR2rruwCuHv9ODTVPh/nOeSKUVev
0P4sZ0wDbexfEuG2wULVpNScMwhzMLUmUHgN4tWbcTFfeAVikqHizvmRafMohibyh+W3MNuz5g0h
AO5dL8qnCXOgP0z7RmwfmZ/Es+nGS7VtqLvX52rUIrPgVAMA/LKFTEN3zpBljpFfWvqehfqRYql9
srj7tlZx58uwEUms5YKEmC2eIUsyCgtbxyX8n6PVzE7F+uffcDW2I2YjY3mpveXj5nulW85+Huxx
3+teWGRkKG7vY79eEWHfYU3DGejz2LVlLNzlH2aWG+hH5E2ittdKre+rJ57tBrWK3dtnkg21/VxX
TytPUThm2qHW291gJUk4Ofa9k7mPWlpee/p4iY1JD/VgfXmV+2MP9gc50OAgFg9Law+xbzkHYGlw
uL5t43XQy8OQlceuTEjd7rqdaJx/q1HySvencuaEsvRDtbn4LadXr6gOarbOcBTXDEgn7cq7zK9Q
Sjj7no5HEmecU5u2MjAM7ZDKxAvpXnwwRquKMYXOCGbne3+V58GojkraF7OtUVvKdQ0yp/uy5RyW
/nSqEo++lAWhreyDrWl3VaUdtGE0gyqtn6qqe2vM6eE21PB4tCf6FJqYNZn6gLLcN8MGINECs9mv
9pDEjbgT2nwoGZiXuoi5rJMg09qjY8LtL+uRKqszX/k17dxHc1BR5mvxssn7ZuQK8FLvMW3GvSaa
MPES4DTfLwKWAOi6yn7TEIiFaBP4jpj5pm66Q/28I21xr9j6OXDzJCyEsiIO/vs80Y5lZZShmutf
F6cLh3cghAr9ftnTfx64OdvOBvuXT/81uf7lrMnFtMo3TZ+e7G2hVWhZ+VVNdlRr/2za466/RaVY
5YeWt1GyavFqLszoFHQHpsFGjQ/sUA5T2DVJPDlTvDpWJAFxIE7lg9kODDtNdshL526S8/fmzy+e
v7IRl2cyPE72op+6gbbT1funs8UFhMNYQd/JYFynu8Fx3bAqXQq99JjML47N5EsT1r9lGp6nEY1L
q6x3b8rtcMv8P6m1WjBjRjhlYi2iOmWKmTGPrFt+aQo9D0Tnn0yCRuPStI7tInaNm+/WzX5fmzys
Jd9/Y9yVTvuZ2PKYDdkp5ZApW2BD271Dmhp71f8rx5ZvvTFPYpGhxHOTads/o+wjNv2LwUTR5SKa
M/M+EewPM35wa5tPw1D9W2vworLIrj6QRWbihE1+akbGQU/7nSm7oyznp1U8U3T4Dm/DWO1FTjoc
uD6CqVkfemO0Qy1Nv5tWD8x6Pic0qdq9RUmiOb5QC/HoaAUW16Q7tUYV5znxTPMNn5RJ44Vz17hh
B9YcNnKCG5nHPiIp/gj89aNkHncd9ail7z0tThI2Wj/vXLk9EIb9RlQGuU5bc0gW7T9DVQtrWPXk
6/Li6YWIhjZ5tXM2wHItduRaRs4GAm9NztVbt+/VsR/8HJAEgGJX8gyEzcp2sczgi8QEAEZU1sk1
pmPO4myP1V5UA9pOyZpCQr7uAk3gAL+7uSLruY0YDZ+2VSE1WYMJ8oN2i2u6ie8mMX6SmtxOf9gl
yxAZSb3PnIJ6yg6dwKhb+1yap94zYm/xYVn6HRFq94XjdIA67sWFzIiLpI8GNf2mpODUg32nGubX
cW6Pi5CRgpzsl/6tFuVxS8eOF5RMemckXWYYlsMytj9dbQFpt+ahG4m7UXoSL6K/00fYqza7mMPT
1A+ggJs44gsjo8B+1Mrsa16duPX7HQr0exuuqOyiQTbncvBi8/aDOtYOL+W5L61D3XqR4WrPBPOc
tGY5GFNyXZY5pcW5I+7CehKuHqUWyTCrpx0Zh6kUn/0htPqSF7XU811vqt2wvQ3mxL/Ls5c0ZjyX
xb8s914cpNdRZZU3sZBad8KTdchaUIXQcUcFIUMCLA9rI9KorZjfnI3eDMMmfVaBHgq5klbIjlKo
PM4qmq9I8DeDVuZ/XuPdbf7ya23uozVwxhS58ThLnwK75m90FQxafoL65h3k9TI9nvb2XYduXNvp
oR2vE+/x2iSvcyY+1diPO4bMNChQNOGYJ2Ni7veyEXHKruizDqx89tr2rBk9b0wdaZpAVD3Kf/qc
Ate3lAa1xGQC43j2Ky9+XKbvTaLvC+EdMounyWObyuY9iGTYun5cbIURSMzOWcYiW6ofmmoOYyOi
3vSiRHNm6AnykYtBr6Jkhu8yqzm96zeEke0CPjtWhnOwcxY2w4JFmQy53E+p6IGRBuawyq2vbZIN
O8Qy67ldiTbwnL7ftXWlHlE8JYGRTr9T4jQRAdNJaLQAhIWuV9+QVynR5IMRFZ1QkW6r8aqLjvQh
HfRJ1uZHlyZVaJRJrFvlv0KrTwx6Bw7n2J1/lmYmeM7ZT9X21ykjdEEzknI/uMmx8yOEsYjFJcgr
noiB89twG0YN/M9KnNaaPs7WPxkgeWDm13QgnrdOxrBfxGFq3GNDP1OeMwBVRc8k3fV7uyAUxRjg
K6dgmdiSjXpvT3VsuysPrP5QwUJJ3ndZNtexZis3Xfikmeac8UH///o5XQcC5HqL9LK8inKtOVdo
FVxj7nGiF0d4wUARKJ6M7fcstf10c+7TarRhTSsFxeZF9qITRxvQLnspl/HDVNvVvVHO7CZy/BAu
mryuDXCFnhongVtoQ4+FS/udZqonZosQA+PKh3XJSnFoLC9kkeJ0Lg6ack/uZLynwvl1/PpaqTYG
+9hrlQtGTKi3vAPKyX+z2h1Cx6fEolv6OBf+Tk3igJeTL82I4F93bLdEYpWnVmSXBSJGWPljkYBt
dDv0KfAWhfxHdM3RLeEIh/Fq6ZyeCX87Tb61iQgzMB+3R5SLncBe9nkBiAQC5KMjUJrzUBWv9fxS
s1ioSoUuYGFfPOSgQ3BDFJ4uH7kzhWP112fuS9I6h7F2741leDVktxv67S8Zpp05IbeYsniTqRWo
pvxaZPYspwlk6U9OHHJl9uTO9X5pi4M5ENABxKAqI2ey40nuk0+/uVZ6th+5Xvpl/HXq4Up6VoSW
m8HULcOqo36ncsTenfUrgYzB5rFV+O4JsuQ45uN+8l75uaM6X58mE1opBfMZv0d3jYfb0yz8U+eO
d0ioznVivWmifTYw8W+wiMNsnpVtXHL2lHlq9zbhYGbKzAjmDZw55OuZUPRLmdSRMmfzZAzJvZ5k
8eJ5kd6AMpfJi9XpCB/UqfG5OLXpPrXWcw46MQ7U5xadi9gWzFvbznLzforECW7qEV/LDppP0/qi
v/SpcZbGP30rjmJzziMDdgMamK/oEVp3AT5pOAvd6Yu34c9H91Kl0MCivC/W4+g8QG0+p8Sbyba/
KpKbm2p9WM3uvKmTD4LibWmw3phGKfYZZMHqA8fNjXmsE23fuf2D2ZmvpOySQQ1i6s3uTzVkv00h
bRB/pwIWqI7l7SMay5/Ca144oaKlGHc1uqqVO5PQ0LAAE+8z/dt3x8soi7Oh0md665FFwZk4c/Hh
1MW7oNMxHFV2LWTG+aA9+5nNuzefarjfZuQqQ4K7uxEsqb30AXYYGjOTc7Zskb05d5lTs4TUewPO
JM/rcy3l0W7yyOtHUDsIpZRPs8oufD0PPEKXYln/FU7B5Ei5cd/qbxWpEa7R/VtEBw61dvHs1F++
aMAB5+eJTyanrXVIWroU3O1F2lxgqWjWwJHv7Q3Xs/sXI5HwfWOct/0hE7ILrVHsZ8bjoAHs4JeG
M27ksdcezXZ5gAeOlWU8uv4XbeaxCXVejOubsWDrmdw0roDBNg/sF8A3pdxS55P1Wf+nGb67MbDm
9Olbs9VHQ0y71HySY/5NMEPoNo+zbkbEPZ7yhYLqXHLzb5Emu7hZCVlaa9rgq8iR885p0rNpoo/1
TqMy2GNaecd7eIZLObhm9Zor87S6FJBn3C7+uEOBEsqtudecLTAhhjv7tZXzfedqTQiA6NEjpNO6
uG8N7b+KowF8hGaP7G+xrIdFzRe9fZ8mrlb2j3rMHvS+wDYHUaC2O03fDttU3k1r8+mv5hGqIGiR
pci+CCl3Q84PIFkQ8ZEwBSsQ4akHf86L34loUvBxHBOQCaPZ/zLvnXi4GhJF87ObWe+mMe07MZzy
TnvUxXakb/PNGZbAzDc25ntLq+KlAxxt3Ue3Ww5pNQdFdhzlg81pmXCmoCTptn9bUYbTtu061LdN
5exTvOx6ca6XN26ME7fFPzknsWi0wNNfM88/ZFN56dYprrt+BzL8uo39viwWJv10iDt7e9PseZ+S
OqPM4eiM+Y4sA6L5uC4gtj3GEGN6mTX7inEjyifv0QIHIckrKLtvp10jsMWQQKLrWttHu5dBIqd4
sfLvAgbF6gmAIQjaGvyg2KxIDIJEGo1Aojy2G2OXEnGmFyoy/r+5LbT26f7roOl/qabti5JJ2Wl4
N7Hsngna26UJGHo7P0x9dhlo26KLg6VaYwM3rZiDL+oynLvL1AFrapfa8t+H2r+Oaf0B1PLfUicX
iy5TcOqj0m5yRcUDACkfb/YpzyEcOz1O/Qdttj7MTJ2LYt7flhy9yfau6MK17EJsQjtIj6g2NODi
P0TDoefztvfmv2mU5w7sU9NeiRNCV9DMD1a5nix0EgSbPVXCzgJDqbvZnS6D0zx2yorTIb+oGgl1
bf5340RoJXiYLeN9MaoDVSZ7UZtY0UZYe0Q8eRvjAzoWqIDysoqVK6LNTk5GVp56+S2X/I5LDr4v
Q7dTMT3aj9ipdrfgeH7sd9PKnkAvP8k779APgagtkvOosuICHKBdyp2b9KGcX9eSy8k2J84zpBiz
+lkgsuu1OQsqdHsmg15OmKSRHMR0BIYUayGmIkWW73dtRlKVvjwo0RJeJlPmm5VPlLTrbBIQ6MV4
b+t0iaYD9Vu8u86LSCmihjFGuGDHPlCBToN6i1qj6SKROuCm9TUFI7S7O1deyvSn7ROEXjgo+afp
osLkSDJl/S2oIYhnGt83Q53MbeYw8wEUTDgwNd+XvflRa0R2FqgaqFSmR2291MoLXedcaoJd9GEU
rBv6f8Xq3vWFFRO68Y/o3zsSU3YZBclNvnHFD5fZ+rEUyv18idWWB6uUgZn+G5s11owBPvQfe1zg
td1vptLdKt2Ls+Sh1g9R2beAYOm1YCD3/CtlmWFKI22kF3ZA/dBlZMKtkDAGgtNuyPuTZMXyXCxg
6ij1lJCpPMha3ilbnNf+Y+gIMuqKLCjE+AK1Z3ExLHdTYf44HTfyNtZ3jMKfVV7GU8KF4DEIBJ7F
FOu043dhdw+WRv5Lg0vJ47025I9ToWKz05apyKnDkSAQ3y4CQK3Q1NOShFQVz8b4uAz5a0nhwtjd
EOt8Z2lIXowsOa19+t7yR+NTvl/L5pLwgc4I+PRR3UQtBRmnTdC5XtT1T4n8abLPxtZD60bi2R68
v4XaiWNlpMSbv/66t8v09qGu70tmfKWg7wGZG392q/v8LhP8jCMOacIwNTTflb6+e0I8tHb7mRne
lz2+gT3osVjlXip9V9rpO8DbV+rdL1X+b1jX16rc9+u2y7sX38w+rWTZCZahJnsmGu9Tn6uLb6D6
q43vIfP/wx8aNMaZfJKwK+QfvUmHysl+bOpP9/qQcE4liFL8xAe8mXIutfJP1vklkQxilbbeyT7N
nrxllV/d7ZHMy+E1y0zvYCS3JlNiJ4CIRRZ71HA/Do1WRhk0flRVzIjdJvS4Ub13thuPxK9myCNL
IdYYcqZCPUvNsF38LpREgx+qJWUHtIaGHZr9ftVFEelm3ga5O2ysEm1yXnW7DfxqaMPFMFs005Ru
Jqn3PS/O97aS0Arz9uUKvrzSuKHaon4q2zrfSXf9nm1DIQaDDNQWnJjV4lpBtiavY0v2WaWNTAyi
vW6LM+5bCxS0V0OJ9Gk5p6M2Hm1sfyEoQ73TXG5ulMO3flr1MBtQ3+QSIbWs4ChwL/AkECXnSn6b
EjLLXez7afWevClzQVJLkyGsjRGHGljFjAyBYiX2XrpdnAaDlaFIiBjraT/1znfObcesSZOcm9By
jrYY9iYBHqx+0DRHY874nll0CDTNoYRzotXMeBC5/zjZ4Ne2c8gJywrJM02pRoVZ98ZnrxoPjc4f
QZhek4md43URjX/H2Um+PbASF0hE9fJB02BP1659ckbz4nfjjbvSXoosO2+tG0GBMz26w4/iBVgE
7s5CgOzMgWtVd/zWRKbxmSbSzAIUk90R/e8PxgE97LZ0ibeS9XY2JitMvRLCb+lCW+oEfXlHvp7/
TFE7e1Tnx8opHmfV7Cd3fQQqq+IOmXpk2ri1EXoAsObNzhbFxWW6vTGbL/OK6SFf3jPSZQ4KDSIN
PQVKOW88lhjmIGMbOyRM44cOTOehLGugL9mR4zghWB1UHm0cR5mXH2mUPXs6wpI+7f+jtghXH2s0
/YHFizHkf9m2XFXR7xJ7eBqF/qx79X/Wtt4uIKAx+jBHEkaaX8fUFtL50mOl11HTWV/Scxg3bO1k
kZQZjFmLXXYq/4zMMZAKzm7Q18wEdQWxW+U8udL7llapWF+3o0hXNATFsBwJ5rlvnPSq6ua/Ddc+
IOf4w+f6S62NHm6Fu+f/fEAq93XDt+rbQEK1MBBUF6Ztn4GHkK+7uuRZjNAdc+fJAKPAFM7pTNih
mr+MYSOXGp3jtn3n1iZAk8Zdi+ct8qW8q+v8KjKOOfaXLJjKrNiN45YjrEx2vWwHdAg+25XBxi1U
v0bkObShxasVqKH+HqR43ni5K15svsUtQwDPy5iSIXscTfDguUsy6ED0b5Ulx2Bx9D+wgyVe+wo9
pazf/Ka/tcjDH0lVk/Y6FPFAblOQ0ypqrD41MP70l1UobdrZRaQ9ZPeG2xbRVKKxoPP10JfLH/v/
fOh6odG8Nj3mnnOA7GYxyo8aAsUwbeaov8GcVqGBzyMNKVvtBPf1XVhe3PA/AjWjXpkXBk8LrwBC
nyu5iHpAySFakUln6L7R+rMwLnaTmtFWTTOHgkBhzN7sKg5cM9d2EDy7dNK5nQubLTkZ9nJtXuql
+GYyAxZpjH1BPwgJJYyWU3JntuxuVIgEMyrpsIHvbYiU2TlSvm6rcz9Uzm9F9mvX11FRVA9T13y1
A/LHWoOJpAUpyhTbjRDPDaqyyOdRi+bepqAjlVpgLfW5LeWd5Y+XbhFn1RkH0xpd0OVPGqX1XbE6
z7RSv07eLa+eYuVqHX/zMb1fx+FYKfeqlLrYZQvvo+aDlRoPXQYSIkSxJ/v4fjCsr75M3rd5esPP
/J7qSx+6unmGLN3pgwbM7P8n1sk8pnO/RKsA6c2UMR42bwI02vZmqv/BagXK3vZ+ZR87p+CVoblp
rZM2Ik4aqWKfPLgV0Xq4i0Jpjce+WVG6i+6T/cuMNNvtQbna7yaHf9IV5yTEGB6Y8kmp22B4M4ni
/0Y33vFwKLu7r3IPJTokJOmuepS73DjErsKzqDtkysxzGAxCMWQ9q7pFqns1f6QoqQNz7T5F4qUR
1V1PyQI257pDwgE+ubuka8twrc027sjz5Dm1YI6G51Z4p2GhLv7W5hLnEw9gLVdYyg3V2VB9Jmvy
MBfjSdbd7wTHteSZFfUIecGoiIaXbSV3aYP2WaejhJSTMx6qe8Nr/m06+PzqYkaeNIYoQ+Tpsann
a89/n3qoj948ysZZD07Pu9lKRDsZrqFBVgkyaQWOpIDWtWo4r4XfRJnd38/OcDKT5bjxxqPH2dO4
dvMGTOfSdMp4Meo2QiNHzy/MuK15T6oW/xlmn0ZkE3N7K40xVELDAYYiVnK4o+uJc3bNBw6nys5D
sNeMtHv3KSU6IGi35KB8nske1kci+kE2Fa/ZMsVp73/2mv3uGgWcgry63LBupj/6ZXaifJB1Sitg
dGtUuUDtTzSqneceIQJRs5xhDOnFUD+CGQLmtOBAC0z8bGVfLRKMjV1bS5IfTFBZuAhOLBButJji
yBQOGbuM2fPgEY1DyteHUYkFvY4Tj/zo5U2nu47kLiva/G6LoXJWjSqASe1woJrAmP1w6P0UM6Wo
u0uiTyzfDeKcyXUU1irpPozm6B462dwivB+FsIydUTmvvvL0I1aiNdoGh3RUUbPQZQbvY9Xq0VBa
CgE4a32HIuJBR3sRorTNd8oA/i02xHZ1u2LyRw3SLvQMzJ12mHsn4fiUrwLKs1HOV7MA9Htm+obF
ge7Xglz/In9DPPWkd8UxRSs2GixDJrqAdEV+5z0OrvayeeJhcq03H4GhDcffzwpaehYMGsK9Dtv2
Mg3ueS2pu3TUTZ9+q2w3cxUJjeO76Qz41lT/Gpr5OCJZNFv3o53XT9cXOnhjv+7KPGODIAX7kFHY
hNAkYT4rV9gOw5xibxZz2PnNZTLFi5O4dCh09Sc0wt0E4osDZJbxNOnPecrc1zj261b3zz2XvVX1
R82FHuy3w22bVHX2oqXa3VQlr2nqXKWvsbAPZ/xYF9Hd+yjMQtGh3W/qM/lRKNsKjWO4zMLeynZ6
D2zcLVenquizLZdvjFK+6l5pmzjAzZ7wDD1VNe+X35wnR7so0b3qLtPSCLqh5wytwqklYJV82Oz1
Y0CfFHZWBYHWuQuswhDxDbGXWyFPZXJGothGuP9fh4JpPZfnFJavt+uLh7KSlTZh9DfTR5v+Jd20
36vU+EWDcRjM9DzV7R0EMJBnPYWTN/zUQKuRJrT7xS9Qsqp3FBlhUdH8lcdFurymhvqo2wGkVxwW
kvwBF9SJNNBL3es/tuqdndSTl7F2LqgDYr5siBlmQ4XGpJvAV8BqpW/vhNtH9YYWbCncs9Z/DhPa
v2QqzhRVpVSpmKGezU4wCN1gqivfCFd/NzXnVCBywRf0bq0ioofmfmZkAEv1eFsg5Mty9DhSMwWs
YEGc9aazLweWMZyMqVmx8al3eZMZWPVpyv0XEpX3nZ/GvWE/VXqBgtf+Uhu6O8TpR8XW7Wr2wdeW
Fwtd3WyXkdGg20UT0xvbFtPnha/ARadrnec1OWBnude2BNSh+pClfbAsm3Hnt24hscitRiy+Ze/T
YH2DfbhBuQw/3MrPpc7x7aNideyn3vXi2nUfSAz8r0eBDbGo/TETxiPZzaXhPXUCaKhMoRR7GOJ4
GMhlnhdkQwmmoLxWwZp96UVRvLBLvbasIVyFcOCWClNXeygK707lE1pH/RlL3xMAatTWglIp+uV2
ih0+aHGjfQyQ32R2wiwYEtkCJyH8MkHTisfK18R+KlomVJMQ8I1BZevnr6F19pa2MUlp24drcPM0
fvp4i6FNFkYYw15TfAFsAitEzKq692RBVqWXjOTTP5NbMnQWiPW2LQ9pI69LXzzXfn3ufH2DlxrY
TikfAsQfVTTkI3BNSQCsK9yDTd+XZ9KO5fs6pLZenrTFmgI4gdOcZxBpjdDiZKrOi6vB6qzDR1J3
725nmnuqhvdawd3g4GbFgHZsGU+beoxaxwwzOhQC1IcpBrsxjydre5ul7sKkL+mhzFfByyDEmZXt
xdZriF28nBiGstDfUI3X0xcm7IeZjHBt4pdXmTkeFI7I/aTkS+a4J9kw7/rptRnJ8bLG6cBh9toX
QPrueuqhk1tTxDcAXaQJYBeawlmbzxZSKNbPqG4sqAV+MD+NvGyFkPVBm+wWGr+u1julvFizu3PV
sbLaeWB1WoyHRACFZEeNSFtEQphvct+b9ppJEJq+dg9rs8LnMkz6y3pAUb13fC4Kv6yfRm3REPeq
c5WuSAf5HJtU93ns5yIw2nlEyJq+MlSFxmDGk7F+GsxkqAR57U0fl8nUausRmRzeN7hyigJwddgz
Sr0SJrZR5ZOxmjOvrXikDPOgpc7vamTHqYMLIrM8hI2dmRX42dLZKfae1+HAG3n9WZmbxdhT64gY
ALo1GnkpqRKPmjw/NYt7B2sW45GL8MOSWW98LG0VE2CQx5bi+tMbBuutXfvARzARyXSpYfjnJkxz
WcR+47MOOhozgpInG6pzRDgaDYa3yySEnuUQzJs+l7QWcW31zIqmB2wsFuvHWbhArAFs05h4ojYe
G2F1+Fyz+olgYzTBpMoDD5veHA8mr8qIcWYZAqdrnXDNrbuGore9Jr0nDJFcRQWKB31E+aOa7b+k
xf2Uye6l03IvRJQKNpekbCFT9iht+w79916lGbcbEiRAnX5v5Vy248C6kBHQVA0T+3i5vtbC/2uQ
xYRjaVzrtDyYic1fp45Jdg5Sm2PD7WiBsx8dkMKwzlnXXWuE7U9fsCf9WpP7PDTWsyjdV5+ZNhCM
CqbVHZzJundv9CAbzdOsik9fM15W1/zxc3vFayPPGy4mNvD2c5wxBTjN8uAuVLAp0QK3TfNDjzkY
bDpd8Y8tJeMWJzvdyypq3BQYU6oPZ+GvdVMVYe2Llrr+FT5/lm68m3b5kQxA5Jus0ziRqNc9a6fP
zhhYQv4wl2+BcGW/rylPD6hC4791n+gHyCBKPw1Lhl7vHSDJrL0vHbCJzZgjkDUm0XZ+zzTzdW7X
UyFLkF7x5Fo1X7bOeNyx7qw9x9DiOPe9BRbaIsrx5Qb+DhQ8Ln8dyt9qU0hwDJ1LQH8n0anF7cmF
KQaNtnsj2ckCYFU0Tyy+DMG+e55xSSj0ozKdrl5mXqzZPxgLy4JwH6SlAb47/B55GjMGnRVyM7yf
UcaOyJBpHLQqOfpze5+QPQIcJjFSbuMvOIm6YCmqz37v/5fpeYOpM0cvv9whvdpT5WRgxNIIqstT
fMCoAEtNfkwW4jhcCFs4ZN17M/ZfbbZeyVmmA6lT1c4VDaCYnv0nkrrf5SZTFCznrOtnisCHWHdq
L7RIzhYlcmQE4yxE1caN0jLnDuqJEmU+5zmLSzL5SMDKoqbqIAmsdAqyqdPCPiFtu5XLbkPMjBkE
jllDbs/5jhlHanCYw8iGtba/emYON/iF5QubOvW34ENmdUm8/icRiIV8r+Z3c2knz1KujQlVeOvo
Fxaxg24gUtDaKW7K8isZnYGJmWEgVwvkm6bvLelkhEbmdHStGa9Dy9KlGVVyTUv/xSRJFj7NZovF
lYn5T9N3oAxZSNMYYp7c7UOtg3LT2xSaLUFuBamyunhr9DW0bfQHfWbxPuWd+zuvRR4B23HquyCr
q1iwYtqzjTrLK71dVZcqNvLsxySbJ9QkOe9Ordp9VdNGtazLT8vetwNAfPF06+I4Fuu8zE3y4Pg+
WoI9vw2PNLZF3xDrWuY/IDPrf9yd2ZLkRpqdX6WN1wIHDjgAh2y6L2KPyH2t5QZWSxb2zbE4gHfS
U+jF9IFkd7OqpakZ05VkvCCLWZmREYFwuP/nnO+gABHIqyxzXfr5tEux37Pwp2bbF6rFX4uli3nP
qbG4QaZRFH5xskQhFXbxC9cWBo7QmrdDUO0Xl3uI1WJJCTTFYkWOxpuNCHeWdUcr/JucffcqHzjc
ee3E7avFNidlOpzqMsV+oJmDoHA2B3oA8i03uPKBW5nZibx5aDMxbzPtUZeYpTAMmFO+drl89Mhg
3QaOrN7T0KO2VsgG2jZNfFsVM8VZjRgOQUtDPJemJpcin5GSmYJM3FdM4Vm7XuoHnDbNIXLraWf7
Y8kvyB6o6bhCpjgzLEdenF1w5+HcBr85bujowQBS0H/QLekN3Mrg2Y+8+E2g1z1CauW6nropPOjF
dU5RNSQ712hmsxVJhLYmV+WlzkA9j+0dqh7z1FDDSVDJ0Jyawh0f6Ibl6MJ1tGfq/cbtttt7aiGc
0iWfuVTMuWYKfx/33nyIor4+RXONk1aU7mHR8pPs8U7qhAkfaZwv9LvNeMtwCQwGKd3xS64ZH19X
MyT9Q7nk8xb3A75qymeoiZxM/K0ICuvr0I0Tnnqp1ZXvZXrHVld/qBnkncpajjsVUyuJTDm4rwx+
e3YZKaYT0UftFWlwcZ8MRXfbB7n6JGc34JVeWrwSlpU9Awsp302JLK9TctPsM0oLz40Vd/ukxK29
6dxkXXW4ex8Bqk2nmuv/hkuCsxVLDZuegDJMF+WjrHlT5k5YlGDqAI2qmW+WRPJBwNzI3kzj55r9
5OJVTnQzLFjLC3d1nbTx6uzu85OgNWpfeLk5YszAXpOMytmDkfPe6glDQVrjAR5tz0BTHBvqUoZ0
V8Xavwo6ZgFLns8fjNAo3D7bFBmS3p+nGZyEzgz28irmaNAK8UHjumQUFZInde3uXGqNXyH1ycYq
dpy27aj7LmMUHyXKObkFFoOpEutrl8yP/Mm6srulwcxJIU6JbQ+aNAYw6fKpNpz+T6Zs/GOueTmL
wq++DKL3PquxNIecgspjv8Tjc8UM585X3J15yaIn7t/VDfoHC7jWBFy7jiMQKsh+AOt9265adjbR
2Ns61hqRC5NrVdnhVZvE4Di7LoUSEBeHMQ3VOU5Dew91knMWxsNd2I79dZ4NZPiXsb9Epsxv+rad
vkU9I53SIsWO66W4C3pyEFFXdVd+SZlT46eKthgx3fGmWRfXkhYujya4dWO8OyHhhL2b5oJ9S0ni
mWnv1TxnPdG+RTzBT/AuWZsuL30m2OIyH9klbbbcYU1GT2cDe3Zqm/qaUbEMVK65AvzNqH1keYkW
WxxF7NT47jjTDm70DqMd1knALc1VnRnrYFcgOHSN9OuN0t7mmoC7XTQ290tPvbq8U0/DlHho34JX
TUbIZwTdtwTMhxtK56NjTprqQMIpoRu8iS6CFZzgadYd7GgW+8yJOKSQA7+Jm3C4l+Sw911gxEm4
BQWgaZueYVUVpMam9MD+fj4OeVy9VpFCDcAUeqh04p5l22V3Jou4tlcrZ0FQBGiPyyfejTgtdFO9
HxYnOEJ/iCgAQafrzPS1XXU9k/fNdRfHwYYcor+jKT28Cgs+r2UETVh0TKzpE81uDPIm7MQp4zDq
9vJat548Yj9uT5bHILHo52GXGx9zQurZt5xHFnzCHv2vWVCSYyjSg8SpQhw+q++wlj+oVOqnQWTT
GT0c9QGnfbSD+4VtloDxjl2SLrajaHHzF+g3exJz3NwG/NDDYVoC8oFBXiL3myHEG2MXhOL3aLXt
vVfGFenHIStuKoUZk6u02Ikkyj61UdU+ZhRaHsljGjvbISaaErgCS03zpWDWsDHRrM9144bnWbbe
HtrROOcMuOqSMFRUFgy1Uzu611ba3KTj5A5cR2N5HMGvR9shsihV6skeR0i7yfw6+YX3aHETyfaW
0d7Ar2lzfh8YUJDQt0eHSR+d60SspK/fdyrKw10VBQSNs3i0ab3KO+c2riIS9C27Okb6Ihj3ohvU
zHx2ZEuv6IDzOWrlaY/FSbNBiFl3H5c6rNQpqDMr3KhmaJ9guuQfSBYLc47cqkwOXKQh1lInKIJr
TAi59TriCpO3rgUB44GOwpIg4ULh/V3qFW5ZYBHgfbpAldFsP+WSDVjKtPE0Lg12NPuqQY36MtBK
FmNyCTV3tCSbRsgHxpvWSJIJXmpvKL19MpdZfEndghlIoFaeZNe4xj/EZAlYbUheveQiiT9FTamH
vWfy8BEyFqazufFwifX9GkbEBruE29KlRpJzE+dIf5NxhbcbVzdPUFnZTZaVmrNtOuT48zjWTITw
7XaZN7qPK43WO/fGehvL2PiYAjqZ3AZDzig6p9GpfoqXte0KgnKublQscsarsXI+kJaudnVfqf1i
57y2NoaDZj+Wum0YCY3pcI5lly5b0iHApIxDnHCP+xo8h5pq3lC2M4V70FnK90KPHJwrFpam2S5R
E3+Ny4D/dBW3hp0aWFOPeduu30RZJjNSZ6r0NTVaQ70zxbo3srKuVU/QO8yzy2n1eZoqLubM76nQ
rZt5cTdjIhvU/TJBPs/4F0uBN2GZ6mLgRweDOYXuqrITQMFwAmZ7CWyJg+w0rIasWDJOshSptXNd
Gjs+W1FYF5eA/QJuosknzDAqArh3CVfJSgVxZXGMe+NBNnMd88UOpiXd/zeIvyxxjU1my492qiCM
kH9ugyfJViwhmd7RzR33aifJ71lgAyK9Hsi9pdwkBZgkEBcZ84UAWzojJ8KPYVWexyXHdOttUzQw
j8rJMkKtIyP7G0vv375M/z1+q+9rIFl11f3t3/nzF14PncZJ/8Mf/3bXvFVPvX57628+Nf++fus/
/urfvv8j3/nHT9596j9994c9t7R+fhje9Pz41g1F/9tj8jusf/M/+8W/vP32U57n5u2vv3z6yt10
l3a9Tr/0v/zxpfPXv/7iBv6Ks/y3Pz/CH1++/VTynffpp+F//o//zbe8fer6v/5iSftXN7B9O4T0
KamfXfv3zNvvX/J/RTICaerQue2HnguevaIxKuHbnF+pw3J9GDhrdRFsO9B3XU3FCV8T9q/8NNvj
fwahJP/r/fL3X++7N+Gfb8pfKqgHdVr13V9/+YGfxqeCrlYQ/iFOAClc+UMLAlJk5mUT7Kc6Qcsx
pJmrz396Qf54xD8/wkrh+/1iWF9B3ydHGCplAzzlvKfsH3sW1qFxm+CG2QAGOg3H/uQerWN26X5S
SoNC8R8/0G9f/xOEsms0PexszJEvnbQ6N5Uqn+F9sPEKo7m4xJTT5VscE/JFjp3aD71x7iLZMGXo
ZKue0yBvn6058l96V3aCWTmQJSjHVbut+0ki8gA1TICvofDS5pD2pz5a+FzNg5kwq/vJ+IGqwOl5
wvZVnPDKp58T9p39lqN2KRGCJ+s6FiV5uFwO0bLjxjB97qtYMmeNSt/ghGj99pAu61y0nFM1bhr2
EV81uLg77bV6FexWshFEseSxcWBms54AqMUsluXekaeLytlMHSctZZkQRsCA+ZPDoBQJGYbMvYGR
1txxzIM+yPWo3hvK099RfTvd1xzVr8tw4Rhps+RxkF/S/lM9JfXHjFrOixiHkk4OKDDPdZuUXxlw
Tx8XYXH0GUDMHfxyYnAgdJg+9xE3keNsJfMN50trD5KFRsKqjNdcmp3rQyRmQeZgDBwmPfVYeMR2
JhGfvcLBPdgbib0+xYJK79QABo0jrWifxmLhxZfcEMuHgZIRYqSNBR89KBjZYKpXiCYKv8CY9++V
SJ8GKEUJbpaAaW6IhYRaldDdLu4QXsvCFI8W0PRH3KHmqIIZM3TbPVXAuJipGnVh68deIsj5y/Ui
SwwWvXzX9wZATTUEvOcAurhv5LnS713DfknHJROugu0Vc6ZmvPglWCKb0Dvnrln4l3hU2cEQVAy3
edUlD5WVIwsOHHrJ4fZcNvuRV+2ytnrcLOGi3xf9ouiK7EdMq5xYutk43mbws/GSKl0++0XlfsCt
wM+Llxo9hTs3MwP2PtfC6Rpno01JJnw22v1IB7RzKWrBwDHx89xQatMCsesDNlO1X9knPbXx1xqM
COI0jSgQd6oRAxQKuX6vp5RQCb16zksV6PahKhSQk1Jlw3k0WMv3nF+h5tjsoY5xgsdmZguabXzw
N2tO3sk+hSIpzijLZDI7t7zVs9udhGmLl7RbqltAodmxdIV9JTn/bGzLDq+VpZmhhetpuRhUcFKR
YvhR+qq7zhoo0Gxw4PgxJGwc2BpdUb/X9Ii/w3ZqzoXurBO3PElYuScDOK84KneeW9KGSNxPcRYB
M1oiJ3jR3ty+C9Ny+GCVYUKLANZaQdxAxvf2bOdXrvLJqFlxSp6K+dfB1OyHgqyB35Ca5qZ1h/Kl
ycflFppWfqzSIb0e0zzDLev6F9HQZ9vVHJaQAMy3PGqX+4Qz3H2W5B8Zh75n54Jn2mMInVTzZjmL
loTOYt9AnmlPeYDlkHTA6GARzPsr+B/JhzYqqZEZJvKe8+QGt4RJ7bu5D5G2U0Tzq9IUEjsWtbXh
FZVqMeugzR3p5LUclTdWqHlEEQyMGryUmqatR7z1gd9VhVtsLfnnMSm7+4ZB77LB1WHry9hZM7y0
WNiPYCBWbTHL9VOlXHJsbNRmZxsK4m5b2u5okh0xx8c7nMC2tR+0l59AsdrzLed+eWs6kCKuF4sP
KkjGp5zMBc5mZuCobXahXkzoeXLn5yb+MlrAGKIG/7rXDMOHWNnuXWlXU7mbrc5iF1Ty80bXUIZY
IR7jNOiE84i7Dg8jcbngWliLEYTkqJXfMjOoHggvIYz3AkqRqBYbdx9L+HO94Eh5sGlKv6V11UKa
5zV461slPCyGjWSZZS96J1Ojnwo19jAhRIzBDCqW/Zo7Vs/k0yKo5cON63ECLqwC4zCLKx2zYO/M
yLlhk3WF+zWf3ewaYhyKRNrV7nNFqO5WGubHifLT973nZC+8nx6OR0G3t0R/OgMT0HtbGGaAOvGG
fmfTGEvoi7E0iWrnFHQLXny/Ddt3s5lp37HC+iUZ4vSGHmX7uWtJE+RjFh+x8CJ1FnkvWI6G+IBm
kd9Wg0BpkeP0Fsw2yI/EmdTXpenaLwh+yaGKMFAJ4VgrISM+834v7Y4yGYA+RnoHanS9+0ZVaDFD
Y4Xnog24NXmJam/E1Ih3DoNVQishaTU5xyA9p5ZB6cNYKas55jRuH3MYZ+9Gx/EfAuwqVy00u2Tt
224XjPdRwDKQgx2cUC35DLWAJ0/NGBY3Gkxctq+qpXwpZjb0W0aa65naSvvjFDrWa9XOLrtehjMP
IhDa3c/CWuGL6NqdVBGvSE7oVKREsQwHrA84W4ovSc5BfV+Vdsr9q+yqG85irGilT0x0046+i8bE
RVLApnrtHNvnFpDYq0pkRpxHcd6WnytLJmdbzsWrDBuXw4YgndoI/dw3StznBtTVuicpHiK6f+4Z
NFV3btdlz91i9Z8j8gwpGLMJyFuTdvt0cfr3bpKk16Kv1mXa+A3xI2u4wbQxNO/t2i1vgikdrrjy
0D+U03lb4FBFxgFy5efFbed8SJ18fK8Mx096BrSLrW2OULljqQDNNmPEKZ3h1FNj4/bFy6kwbs0h
QL3tkFSg80SSx+22ihL9JWJyYpiT11O49YGQHYaJGVcarbbQ0iT9ASKsRJ7UVXyKYne6bpE1UwgQ
jZuvrreV+6LVvEa1vHQ35Uyyd5QiM9AVK3VTyyH/lq4kTrEyOUePEAou5ay9g5npdVvVNP17NDai
EnQpkH6Mhql4F9gr8DNZ2Z+o6SCxVh5otJJBB9M0933RxazyfuazLoMQjWXT7MSg16TA2PfP9RwM
+gDtpvgsVgLpXPgrtXblkpaLF37jRcfrrnGkjjMq5szEjVdjpZr6nQK2lkI6LQtfflvGkGB6U+Ha
WYZ2Qi5O+CLOrlli6HW6/IHQ+6T2mGXWyozf8aoRRIaN5dbpN9yNzZMZnPZzly3eU1oKmFd9HGQl
08Boxgm60lv9RMi95YCZ3FSh4fzmx2YBAuqaJNy0v9Ff64LbzbgiYacSjWeXNGhRKMtYcMc2jl/Z
eOGoUgDqkD4FK6w3N+ohyONV02zRW7cCs9tbsWJpeUUc5gTausnDqiMlzbDjLS1Mx/hrJUEdHJwK
3jZeQbfRb8zbtnTzB68R3Ze+WeavSHrt/TwnLlhDfPmoF9PKzi2iiEifHgbvU9m2IIPLZEXtRnjk
6nOReQBXvd+hvC3ls1s9B121bZdm+SBXgm+UT+WpCceI03Vo/Du7jvvrSWXx5zwa/JHxVcjaA4P1
S1OZ/t1YZHLcOoXS30D0Ws+1V3D9e7VsMOVaSFGuHnEKFt18ZXPfHXA/cCMiE8b12jouKQi/btL7
sA/LLxaTHE7UjrU8w23hx6BPAS92Mak80LEIoSblpvssTMDCMePQWAfXQ0fKGH/kazRAOWWnPkrW
o7R+WNgak1Zj+/sUyyQ8RnnNTjXBqIoi7/bTp6iuG383Eda9iePYYRvBVLXIiXxw+BjTd4WOiQ/L
PslWsujo4aHWOYEUY6OYbAZ7Hm7qXtgMlGzCh5uR2Ttn/dmWiCsmiQBlATSesI0Q3Yf21Uy3SxIU
70Y/65+KMOjwR6/jONw1R5lM7acC5tYzFIboQq6//MimhQBXGngwepJGM5ZLu+TWnmP5NPmBPEK0
Rlsep1YTj1xgEO7TGsJsN7DlxhnBLAp8jbWQ8u/t9lWZgR/uCvwliUWUysp7IHq4NDaQuQEU2nOR
PGRDB14x6Pt3SWJ170dQS/eqHa1D7rctOXru2UxpsvuqFR1mliBNHtRSMr2LnBCqGfmW28lB/Md1
kXvhRli5d6cLWZ8jx3Tnhvqh1aHRP8zSDoq9N9XTB18HHIoTvWbibRp3945ZMAblogHHUcxd8VUw
7uTYrIwAXJCjZGYTejoXD6NvlFgGnqTX++DGXZL2BsMCglQRVTi/y+k3bw68ylOl8uhTDHrxaLDa
sZLUOn32LHchCqS4z24IKNvnEbvLLYc5fDRza+FeCADfpjtWUnXXtELKU2sn39pgsR+CVNd8xMNx
fHC0u5x7nD2fTSOar9hHmrdpMOkdp4TiJRR6PKWuyE9Bm7a7acJ2RvSku7OsRaG4wDAdoxYCbdQF
107UY9et4+KYZE1+5+TDfGBUvdxp1cjjUhP80qT9tyH+V9zQeD6mBp8rpxBn3Le+7x2VjJOrDKEz
4YpjX9eK3H8aVxAE4tTEpEzARmhq+5QEcXNy6z7RCNUxK4h0y/usUTDuokVOT06Y9u+IcIRf/Thq
H5xxyG6sUIyPHS4rsjhzEWyX2YDtJEQ379iJinNclJwXmiUDSG23fnwKgwHSukrIiHCyumagDBlW
juImjAPn6HFn32MH1gfRlz6MLtnaBDElqd/GY7IKfLabNxJP/XOA6r7JY68+ZQvpFrG0yGtAAK87
JWtAHqa8YAxrjkqPcti7XSD2nvSK01Sw+CBw9u8KoDe3+DWq88gRh+WQq+MqdPCA66B377FppFti
afYuZErz0WrcGa9F4dxJJqrHLHLHzwOv9J0YLDw3ssLXsu1WA0wgwv5WBn1zmlMQHDKYsX5EU9Wb
HdtyffI8Xb9aNqTGCk/Xvc9hiLjElFxqYNEPQ99UAwQqHcCpERppNnLkcWBrGu6MCaRP3nG02WqY
/tkYewYDziATvuiodsEyqFs5gbnpGxOdsmg0+yzqunfMDNt2Qz3l+FKExBxJbkyHeMGo6Psi/5rr
rsJ4XQTvijzmszCFT8382Ecdmn/JAP4z/SJzdfDTZRl3RBugW/HxLq/HrIJVQsMETufON9g+moCo
j6hCMlRpJC4JqMnXjounJ+tRG5uVpQhuFuwA51xPkJ2cOppAs6D5XRorS24MVTrsVCmt9/we9KGV
Mj7bKCuzFQu7mpxtK9PibepmhRmiFOz37RIqJ3d/l8R1jjP8upNMiIm7EjS4YBtun1xHT5+DOSYH
38Evw1ta5QFqoAb7gXbrTgwVaq88DWkv7iwZxZ8ktHTJfSn8GnMv4t0uLHXrFXT5brQ1J3cNx7ET
8QEsdwH9Bde6AqKG2h7ecQe30j2UzRQTmSaQv2Uz6z43c66/md5J3nlRDKa0xPrlq6iAAeLX8xc9
1aG31aqLnhwBAbwpGCqllXloRepGu/94Kih+aD3xnYAYIUI+Dea2tO0fS9MhZpYIxwlRp/fqqM/O
vjlUd8kh3Y77jKzsptlW2+wnvSQ/Nu39y4Ou5RV/GhGSbENaxdy5wQG3m87FLtlZW7kRF3ffHP3H
/8un+EMNis/WTBNVwm31BECVp0jrww3I+t+fIgvc7udP0fuhf+NfnuIPA90uF0uqFU+RcQ6Z8HN8
Ve7FKXTdXXZeDrv61jv4W/fKLMM2emDedTI3wqm21dm/DLfeySt54flv7+DuGt6PYGtjiSh3zT48
ErgCgmAdh53Ych7eWfZHuavP2WZ5eXGuG7gS6BabeDf8pFLkp9fKD0UvS2DwdFHssclfzR7a7Q47
y9Xv1wppJKAau2Jb/OxaWdtRv5tbf3+BBj+0czIGZQ/h8kIShdku18Uu2+lTfZ2cmqP3k14rgabw
r4/FfZczkEMr3I9NNh0cGdD86xOEcfFKUm3XPCGDbsGfVjtk4u3wk2m588Pc//fL5J+P+OOzEzBU
e1Hz7PrduMMnxAOxPdmZm+XUn6KTcszG3wF/4HOBCLHRW4u3FWqpd0yfgp+tBT/7ZX4oqsVTEonC
8PSzs38s7sNDfplO68cEH5qzYcj305XA+ckrHjjfrwTBrAGBtDz/5Ho54DU/jYs4LFfNqb3GxHiK
D8OWGEJ5SA/BjjOu6bb6aK6ivb//bZH4/1oVcxCfWMv+z6rYzae+/stR111X/+Vr/ReG7X9WyP74
9j8UMm+Vs4BAM6KHhLTqYP9QyDz1q/ADx6MXhcYi5YVcN39XyESwfo0meFJbDHPos/qnQubIX5FH
6Tny3LXd27ed/4pC5no/XJ6SHxT6HqVZ2EqUQs36/loJpwk92BE0sGLVqFGgfaK3c2yF+WPP+LmW
xJLi3Lvus96L70amdAsfJkA8KyU4SNpLvUBRfS+tJsHmCNewC/Yqdzvr3sb5mXyeGeHIT443Ot7H
YQwYyOL5aBpzYDBpO+DUs7gX9zIHKb+CeMt2+lgH2MP2so7EuFFEx7x9PufE6jHQC2tbMsAoOZ9C
grofymgwxznuRLm3PWQUkhsCN+FMKKq+JkOgw6u88E34rJisONeEh0iMA38nlmOHbUI2Eho5cz1K
K8mRYkOux+iq9Hl3PoixsRKwIT0SOyOUpthnpaviC8doixFYK+MAI3vSfYxbV4KJ6CP5YgCsjgdV
GMwBZjZhfd1UYNrDJvOK+1TnI/blkTZsbFS4D0926XfDlp6e4ZJneR8MG8CaEpCCq309IXX3ON/H
kMD7TpcEKvfAp2MJ5aZwi9dapXV4NdWigzISOk766ot5AXqXJ324twv47/dZh77VcY7L+bU6SVve
nanWdiQVEHneqznULSZ5gZ5vqmHuH2RVjPKiJjLW0GTjnFYbQlT+qVRFsdzhN2u40QqINUcDWNa+
tD6BadAyjakPsoqyYStLgtoAXNohxKDd4kPAqwllN18CHV6MUu5WRsyDc7tt9rFNKwZf8kAAyzwZ
febCmCJo52jn5RSThse0kNbaf4DhA6JxB34L36FJxFAwM8+lfbSrMAE34eMPAOK4KPtxLrSAaU81
G+wmwKZPc40N49wM9D+9uBaExwOnz4XfQ2peeUOakrzrxCb7XElarj7P4xSare1byAkgKkiB0jpn
jQcPonOw8zywT+eWIRKG4TScors4QFq8lKoE4SewsgAKV12ugWfWlrlUEU1UG+wZpbNnMJ/cxIWE
IRBkeIurqirhHMvY6t/bfZfeOUTsUXMIBHxJio6cqFRj8y3DKKnBipRuSfxn8tpjIrBhbiAME/S0
y6YPqDxQhIwdUyZIJrWWy40Tp4oCIgafM3l6rGT0BxXuW1YtXB/E5Q1ag6kYmUxpEOS7uF88daZt
BFyexKHrQPIs9f3YqhqOWGPNy1srebuemiVU5qonctesLotoukUEJQPdFmVdbN1mSq1DWurxEVi8
IZpH7IDhXhBaMVp17+qjpdMpOa45zmLLhIHEjtKZzT5gMcTa6Pkx5b2xViQpA0gozXGZhZ81djSu
FbcH5P0ap4C12JQxxXYta96DyUKh6NbrVRWLWU5+Tr9YuGsdY4/9xoYKM16prMfbQuNJTIhKWUQb
dJ3ixc+GmGxJDd0h6l771Xzd7TE9Zm9myjzUDjlRmhTTMWGwyqAfb2WNG44I8aLtxxSNN9xB5QH5
l9k+etUkVM0qBfsRGg2ns+BIihKAhetkrXePUhB0+zke1tYL47Xdsa+wXl43S0XsaSiTUO8qp5ho
TO0NidE45UCoaFeouVBBGmyo2TAOUz5vAJZHGCXegXeNa9A1NIU/Vl4bfiu1Y4IT2uSIDd6KwRU6
6LYd4l2bY8ppiiFAg+5NdIQBhIpnI4OKLSVe/ssUERE/Eij0+30iCnARhWes7uS4TqT2OT5haEiB
FminMyZNZA0J+EZPNDe4eYqTKxQ5wJ3BtkGj+AztnsfB+E9TWi7Po+/E2dGracM+xWCvI/rg+q+u
P4MSNAN46z7xkDKrTCDvOaIuyfD30wC6iVEiq/9QBCUYEKqhAEX0lntadFFZV76sMlQgJ1haphes
E0A+egIwIrLNiwsEgGNmM+EBbKU9GCCEIfCTVvXdiBqdcIV3GCbEFY4FM7wiQ7btuXLbVl7ZlqZn
xnShxovsNmZ8NPyG/kOyRPR5RJEOCoZMy1w911UfE8NU2AIguffdvGc1l3pbmt64fJqXKntJdFn1
L60WNDEZ4sfwhFMxmNukG+DUFT3LxBXW/Wm57nt3eiemoEFx7AOosQHFF88VYgKVNSqfnEseqMXZ
Tihs0akihW1vsWfTmxYA1Zq95mImylkY+ixcWGVeIrFNRT2HBxUBudz6ORrpxSXoQPrdk0FyY1ct
A12jm3rc6zEkwC8j2/4K92ERpEFHJe9FhOGQeM+IOUvpmTnTf32reJN+YVtVf+u/d0t977r6f85m
hWxmc7z6T20ov99J/vZ9/9xJOnbAPk04DhN5+aedpC9+9V1MTricbMGGUHBq/vtOMvgV15NDqzRz
SOqYPU4C/7BaqV9tKbx1Axq6vu3ytf+K1eq3cvQ/HSklG6VQhYJ/qDsUGMS/30iWajDYeIjuiKIp
I5yEc/KtJzuhb8qR4d/NhCNs2I5VNJDLM3hMzlYa+MNDalu0kYkaAMdJW9HqB3Kw3dDMNmXyWCJP
hyCTBj08i5AA/T6IQvedSYuJjiE2hM1KWpm651mb2YInGVnf4pb6qC1N5+474ObuXY73lF2GYMN5
Hwuhu1OUBBiEVYxadcw9qdSdIveabFxmRYL8HLL0JpksRX/NgDUEsRtEe30ATTDIuyWCnQpNWLYp
4RTlmoKmAUe+FWWeObfEPKjK6+LO8w+yQX8iP+HT5WQnCtiKragK20Nr4I6HtSnVt4UcW3Jp4C7k
YxhWE3WeNhmlHVtAeO4WDR/zjuM2mBeAlx0ohRY9/lTkFmmesl0yaHoQjKMdRYrQIdx06c02RvNP
xHa2u9S/LeqwQT9FfM7yC874lh1nSMnBNi8IGxx9IWP/ddJZnB/jSs7LsZp0H1zmaCA2PXu68F4H
2gAey9QKsrOOq47VQAwNKlVZ2YLyD/qXtjUm8Rpcod/1FzeMOVI2tpHUWSRoJB50azhoqKS72fj4
bz0LYiRzTjOtu4Z9sCArHJxEQcUCxUHmKSRZTYMYRVn+nVFOda9GwUpqO+FDVbniwQ91tFAXIrGS
8Eb7DIDKxgXjyQFHfCLabU9A242ldiYaxnJXaulPe5sEPP6CIKX2bcBqhIO6qQgNMA3Ni5s5yuEc
y0ozqXb8GSxgEuRdc6qXXIyH3FmgJzBW9L8xWaDhbRRxEOxBYiFgES+L/YPIAERegsxpDDNbiy39
IQoj6T3r3Ka1oKm9ULxZ5TLLS5uq3j5R/G5IB1TYj5OqxvnO/blBuyV2G8HV1eHSU7YDxGQbchga
PsLPYuOLVZcfuwUK5eIPllz3rz3jfvfWidI6IXplQ3zr83TxL2accA+XJOecR3eI8EhgHfP6ncqK
vDrVQQpxk0xwRN1dbUCa0AFUsIXhPDPI67D3o4a+pb4Ib3zplw3GgbSa5H1HdyFU0i5dy3ZxeY3W
xh/6KTg1Pf1We9p1aH9x/HYB1WYFBHbRdNSU/i/2ziRJbmPd0nupOWiAAw44hhV9RPY9mRNYkkmi
7xw9dlMLqFW8jdWH5NVTMq9dsfTeqMquBpKZpGQkIhCOvznnOyflVFb21cT1Nx+iFOfYte+B5cMX
Uub4Z4FMMokh/UFcol3P56MKkllccWcBJ3YTghcBQiI1fohM0wqiaQU1ugLMurLiAoUNEVVufhW5
BvABbemxfe4HXfaHEkk8yrQQIuEqjTlHkaOV2a2oQ4ItUrRx1VrYrvE1cyeszwBStAQDFjjPNrlp
VIdlH2lU85AliLXrEAC5hM2YOyRSQYs2DrLfuiVL94n4kWree1gM9IUmYNLcB4pUjoNPaky+w+3R
Awlvbb/+XtQFArkBl656MvGg2MeZ3RG+MVD5CKsVJ4TSLWN2t1j6Iukt0ushnrP484RuHQZH7zrt
DR5j8XlO43hat05D6c0iP5/Z6xSSOAkb2NcGgxlxZn0/cpTge7OLyxisYX2KMd7BM/XqgQSZAjya
BBARmuipLPmKnASXWGUhuTqGlsrEjQCdJo8RxstuK+bRQ53Ct1B+5X/EkJDA5DM2IRRnIKytbr5S
97XyMI95e4/ofbhBERmV524wJe6RzCmjeOlkuYT/dTol3KToywwEDyXMNuMUS3dzj1jtbpztXrIf
dpdgxM4qIogKZJyFIIMw+2dWh/ats1mwaCwfchVmxYxIjUXTj8Hw5O3oSwooHc7gQX2Rhj8MAPPN
Sruxc4GuybRWVEcBeJBMZc+ke+rvEZysL4LXbrbM7EaSDEyoHfvUzc2HqRdQxZGvptmhghYHkSTw
cEfNXlCYW06dGfwOUUI5CUzDnCc3cyezJEKvQ3Bbf7LdiAyWXZrT+YAWN3qBkBW5FZJZgjxmm37B
TROAVoZGjOXxgWDawkbm3oRdrzEN+6kFLSvncWDAik45t6kQumCfdLb+POSLdtcZBQZwHKl0SaFv
PNIwVQXxOXgdoGYUZBTtGwlqC/O5oMVG3c3XQqVFltzjB1Os0emheVy5ZqzlZ8spUI1EUKxaavEx
FAeBLG1dNeQMllk1Ffvqrd0Di07rhxs3nC7RSdISDt3gNWdIYSYTV1TRJrS3YZucqO0r8aWryxxz
h1t728hGsbPBQuEp+GmJrtagafGpED3mx6QB+iE2jAyT6fjWvLqzOQRHI89Sd+PGqTtfENG5NLvm
wFcTjUnn7aUPER6sqgr9Iwmu7XyMM6J8MMEuOfeDIgzYNLrugdwT8EsME8wjZ0x5A+hq6cPzUNGU
M1aAYd8Cr0zemvaGO/GqKDopLqa3vj4PSgXbIB2iZh0NGaQS23RO2sbHZ8q4u3KbnGec8zYnyAKf
xE/7bX6g7FA312OZWAG8KyO1vhVvUwfs4kwg8MMzjZDoEgnVeptSQP/P2gcs60wvet9Vt3KEvk9M
a27P6JOSVOzRiGTRUXE57QbLVK/3dVwmzYbRIXOS0rVrhibE+HAnsZodzWs1Zo1/mt+mLE7F43Xr
Ia9SF8iLcGTMFjdPskxmlNNwkuuO6UaVmNhD+gCrES4khkSIRScQ76A45oU/O3zn+8at14RD+Ar7
1J1+7pr+1hj5/9PewMOf8Fe9AfMDZs0vxev3ZdZ8iYPi+y89ws+f/0ePYNuflIUjw2eqbNq2MP+c
Ntvqk1TW4lUQ/INx8h8NAj+C/NQkjxh1H04ei/XTHx2C+8lXwuOJuFgbHJIK/1aH8HE/iSPYYnon
LPTavJatPuycDFIilOg5noGK7qrrZo8dC0n5rmlZreGJ+s0WyF7MLO8XT7wg5hPFtUnBvNxdfCbv
F6JTjgqGxgd9IrZUcxuH/GJbY64U8g/Ijmf20M9XaYzvCiQX2DQoQu0h06WhScuRBNUtNsKDPRfy
mTa5vigaVKeHtG/nbWhFBijihJFtMHvjk1EY1oEN/rTr08l7UJIBAObTNHnNEUs9NUA4OFgKCY2f
Nf3IuAlBUMcAb2qSzagVpM++WMxYtTZ7a+MZFvoYB50jqcrEpwjAIksRQcohQcwoL76gvu67I1Zb
93NFMArUWhx4mynQ1naG0Eo5VXnVk11i1uNASb50o0nAjUCWOmg9qEeLnkHwQVQheQyTE900tdu6
Kyg0BViHySQ4MQ68Y8NQhMwMp+nZWPGLXJEhbZ7ZPmoGbZTheu4AdFPrOmRBAEnK5jVaAdIakTqw
3kdGE120IPcnlBElltCgSt1DypylDCPgTqNA7mggwbo0REFYgmCEidit9RTogz4yH7Q/NthAkXru
gmKB28+G3aP7DdWmxqB+UZpKh2duQXhQY9TF52hKjRsrz91vcw2m7mjYZnw5lB6/Y2O2CWk62Dcu
e7hU8WoeJraQIpwvY4nRtS5IN47lfJ5KmQLz0FVx7zKvvK+bcgRsQAcITgC77orvCx2CZ6b22mak
f5HMtnM5uhiHV3bdQklUcHq2tZ6mexxI4lunRHzDTGvc9KXUj4Jicd/X1XzH68KiFEFuN+QDpzS0
Jp4VZBhzDKbPdhCr3FoOKivXGgqglUbmyP3ULsE4Op7qYTuNvJUt3T+8DJkU0ZnRhtVjI2l2tjXR
BYD0dNA/JUmTfp/HJDFXpHmTOI5SrrmIks754c9uX21LkgLPvZjMdKeon5zISfZO0Q8XZLIj2i0x
D53xMHtMSagtSZmRGH7R5h2jcITvRedAjAWtAMyH/iLkOxVc1hp3CeVUcp+TD+VsQlwXF9HYgmwe
qLc1FQZD3wrR+7aWsfxeJZSDNkg0FIaeAvbOwyv1zYl0OUJv+BlIUDPPOMjtUxE4eouYJy5uYsjA
TM/nrN1bVh99Gwp8g6ApZ6y8eRJ4LyPl/TXgrOoZDSGq3Cac/PSgVSYv28TIr32KpntuASrFzq6j
z6nu9HUixfDkDphYV53RFvdpJZ27uW9KgiIG8xwzGHnXY9hOJ79Sc7PhGW6Ma4Z8VLdJ5XzJg36G
525JIkkHh3tz7QkiWTejMeo9kLOqWM+jKlmDE1MV8L+gK92Q91ReJKgAD0Hv5memSaDcHDXjhRw8
sjkMpxq2ZDtmL1WwZJHpdCa+qGz9J4b8ZEd0QWmutTUG6D0i8NldFTXXOO3gDWVFuNdFgkwttASC
osQ5c1gwXIrMnRcOqd084xFexMpW8DkzpuHUoxA9NLRHK5k33bZ1QniKKSoXuiFdhad0hrm5hmBT
nc9GaR2qMJtfjbBk4TMU+vPo6vIhtJfAPjjzoGPgY/3wgWaVK7ankpSkYbwkXqhF2oNk87KC6FSB
BNLG3mkDekYCZBFnpuMrcwd5IqXPvS9Kd+EuWGWw4eHCzjp0xHXpevWBhgsyIdaV8yie5hu7mBcx
uQcMCx3uXcnHDJ8j6S5bfDArQ7bGt3qwjH1eGPANQR5mEAHj61oJYxPYdXanOJ+/6dmob0sffxvK
whmQnMf8foIngDrZeXWSvNsPeNCvMAuhFEtKZd+FbRqRdGKV55JN1VFnw3TimsVr60f21nUi8r3a
oEczRucLkYsJzT6fGwItQk2zupqbmJOXLKdT5gX1LkXC9WRFE1kIUTBfUaqFd7mfL1lzbYUd1nBU
Gq9Ky/euxSDjr5RyIEN4AfvIo7feKXw/0ypvRHBoXGGfFUHdkzam5gOeP/+Qu8BG1pxWwKiCqjQO
CtHyOjEcrNpdVRhHmBDZLpR5q7c68JmA5U3lPyKURvjlQk4ihoKdabuaEjVN7BEM/3yaiTKiea0v
GmUzhbJjv0OCQZtCsOI4dafOU8ydNXPBgQVtBi8sS2/GLLXlGiBOQZw3D8Ul4cSefqCJDz7PeGUv
ZCsZVHvzDNHaBJd02/hDfyRGwGRVMOZPc2YStKltDrJ1OxYU8EGsYn8Tk/cMuK1H1QtDpSDDmgSZ
C9kHHboyFIGbtpVa7sEcx9j4rbhHCjM0hLJEhnLgaJTmIlCz4/rHuwLu+udE9L1ldKk63s1JXZ6x
yuNGt+Af+54lPuhBikjGqhjd54gHV0a6kppJ1DDWgR9vLP/xr1/rn+ypAouv5fg2mgbbQYTwawWU
GQn668Z9ZrPFsWjfTDYtircj2hW3FCDKhuwnT42/kTRRTv56hTa2X6QJTKWV6+G8/fVV+yhh3JOq
H2DNaZOZ3o7PSeGt3y7t303B/2BKb6LC+NcLg+sX/fIf//vryy+dwM8f+qMTcD5hmFG2b0pGosJf
NFf/cGbTCSDEklT23HxM65dP549mYDFt0zqAP2RTKfn5d+sC9cnmj0KmQgWPOxCJ7d9ZFyw7iff3
iONz97M/sn1pImdR7oc7c9Q6g2UzMfTaQu9/Dc+i6HJ6hr69jhHlKbEBzOjj6zr8Vo+13H2/fP/o
cnCYe+5bl2SZy937TiZJBNHEO8YrI5M/Eth96g/Oal6X1+KQ7N99LNf//FW3lpbmw2uhF5YOyh/X
9T33wzdhxluaVjPRpNMpPBS7/sCoeI/yfvu7V/qnL7oFDHCxM5p8yV3rTYP37qIA2w8pEOQfYFaO
+ak9DLvowKT7+NfXw+z/4wXRBWLKh5YKRFOJtwt+9zopzU5MRNLy0Oq97wLiwiP6FKyEVOMsf9PW
aI+W6QWPpZ3KZ0pDIvwG8IW5SPCJ2VXQnoXVWP6gCApPc9USqDmWUXzZOeb42TAwfOCfaCHS+IQm
o81EFs8zN3ZRMNeiW+DX1mEgRfqys6b2turC8TaHH2OumCuFu1ZlOaGOrX+pVRfua+n137s5Ko5s
wq3TgrNQK7ex469IzY2LCFP9QWYwCbiaLsuxYwT1Fxxz3b1UQ3VmGcizVy3O32PoNdYBWLeVs6NF
QSSjqb5DZYLPK81wNfWQhBWaCRJJRnVhZr3az12FvsUdixMhXcWmBziER5ySON/otFveQbtj2pbq
ProxcV6xMENZDQiDv9n8O0Xv+YA9DU8zzBBJkhrQgJu0IVF3BTt8OvebJeupxQZWD2bzAinbPGCL
6FeM3OEfMyE/0SvkR4RViHOdrGj2KgnarwZ4Jhx+E5gxnHbi2Q90v09B+O/MHnbXmiKj2yubCHLc
FvEhHhtvB3i52ley9J5wfGMO9wfi2NditPRBeZN9LWbfhx3Zu4+MfoMvHg6sLUSWB7sOmp1mjFRc
qqGt7xq/GIhBzLX7zUcu89T6EENEAdXN7Ce+hbOi6s3H6b4LCVNuxrp+BRBTLbnSYXMJLya4ErMn
zixy10nYrrsWTEmdq5M/MHxad9y2znq0E3Km8qpOBp5woThiKOtu/NYWZx6xYHclFcMLM/XyEVAt
JnailKYbpG71leM1CfZauQjWZ8ecbX5VNfTr1O3QIiRlTatp9SzrjWyXGrjvIA3U3kDCdO6Wmzkh
M+ro03l+0W0dX9V25HXrEDoAsHa/yi+jqCNIAwUAAMlGycPg2caLmcaDsYqzrjnHrsFWMrD93Ad8
sjTT5ltjbb412c3SbyceSH5v6cF5BMN8emvMm9FjbKp7wz51Avz9CtROsVeoVIIVGYn9VR05GGtk
mfsAvAacNY+SKoUFAkmB4cx0wFnmBN0yMTB/Dg+WxmSsK/cwIhNK1xVKhmeWyW13FMv0oZVudU56
gUXcBnMJKAD0Op6RjA/schTGPcF4fjO8TTSk1Rc+uUxOCZ6m8YPnuU9Scxu8DUP022AkW2YkWCqT
V4t8LaQe7Le+MmOedp1XiyPzVvGAMgIDWMQ7u1N9We6zpBx32L5juBvstM6qtpi/NsvAxhotmBBZ
nMKinzyh7oi3HS8zT5H30WK280Q6X2FWrc50FHntHnATc6EUXRBRvku9Z72VflY4ucbZVCrSGqq3
8rB9KxUju6/lXmo11pusyPtDvdSV1VuJ6S7VJv50396LTuEnafKsi9ZOmNXjAnSiUEVUB7ei8vzp
HJJQe2tEGaBS963I7ZumJS6QypfA1OlH9VYOJ5q8gC1BGpTJUKXSG6/W1XdLsMUisY6Kuii97oQF
zIiY53R0NWmJFYq46lxfzEtN3igmXhpx3kCyXwr8s1b+qwH4i/KdXhaU+1tZH8zCf7SLHi8kscjW
7YCyALCg8rNz4fS0BENNJoGKMyZZS8tQO5LuoXjrJKwy9g96aS9mbHyn9q3lWJqP1J0AUI05TOxu
aU5ay6tBG8qalmVpXpKyoY/xpNCohnyzA3BcOcaC8J+vzKX9SXHHEGbkAA9ZmiNW2sUeVSokINgb
EBtLTFX79K2n4gWCA90xUCW8uymmLtN61bBAOANDwvaW5mywnfB2jBN1l4lKiRXmLP/KXhq6eA6d
VzFY5pFZeHwqlu6vd+f6FgVq8w1sevIZDiBBbgCEaj/G8hpHnbE3x3l4whZ3BYWiPAzlZGyAJQVn
SIiqO2oCA5VZ1V2ES3Naa1SpamlYgZPoA65Cce1FJqtvoiKILo5myLbe5N7jrZQnubTAGcmYxxQ+
3h0UDGOPCZxe2cAbdBn5Bn2gy51ziqvBOQZvHTa9j/GDBiM6C4ueOD62EMZDDYHk3kkhT7CnmggJ
5CnaLu07hhqwSoTZhERElHwwJUfUSc5hQeCox3Q/kO13vwEDZRdmuLPmpr5qq8q6aVAAXSvKG/IA
AE+Hsh4OdWJHByc2K/KWiLBYxZKxMttFP4k3sMPsfSw8qBVzwiYeyGNxW3QhqjnIMDghuya+gTco
9zkr4bXHChB5Rz5nr5mAVY8awGczRULpFnyVYH2exWuUdDi8wqyyvjPGNATsD70QN1NQrJpAj9Bs
STkIYV58A6+RHe3Q9W4qHFp7wxxxWPsManYSrGy5a7yUBM/e41OcfesymgbCLILKhuTQheF4YUb+
tBUkvO/mMJb3KQ/wjkYcmUuWAs8tfUuRAmnQnQ8yg0LXuDI8ZmJWOzQI+r6RRGrgC+7vMZ6a7Taz
eheEmFlvZEOCs+mG4mHQPTrGDo0f2ryZ8pRd+RwhTQhUyoOxcy6RwJQHB4rJnvNFXrtmb5wJZ0pf
Q38oXn0ng+JTDfAxKj65dLSARSM5qE8tANcztlTlWqTAD8ZEA6GlWz7EMOoegCjKnWl5KFpEPmGd
h00CwTgGa+dNFXI/JmYLQr/xb/vAdy4nqAaXADfUYlCzbkeOcbIeJ3JoXKf7HLSJeTdh+7tJGOjs
MtFnN9KpgQm4yM6stQEH94xF8nwObEU+TUhm7xTHyI2DoI+RUtYeyTxwv5ZFAbuBARc+V9uK3IMi
auezURpQmKuwhZmXlDnQGccAP+PnVw5stgfKCp/QuyqySCmqZ3cJYQhhxZXOBKfI9VB9dsWLAUvx
HqVLf4NhzXuRdV/csL5sT05odZdTr4Ve4UMD8kf6zkPswMt2c6fumEU23e3IHAcEkSYfaKa3fm0y
K083vY1VJwIZx7HhxZ9Fy9QOf24xnVVNI2IEf20MB8FrxBnkimqDBru4Bw60sBRGr/vGMDk/scae
j5nVWMW6M7CUrsZ6lGddMwNxwsqZIT/Kx7ukKrIDjNJwUw0t4he3QhmfDLX6wmoofQhTUki9oA2C
K20At0NEMYfDCviGtZNi9Bk9Vybr8gQZcLHqK1sgqCdL0EHFf8iski1Jnp6GIM7Pcr4VPxRYjwtt
ZsYumYl380slbgaUDuwiR7glZeAwQhBu1GznmFPE9mOLp3Ltf4kSq/0iMHPzaCod3o3ayZklxibC
Fg79Y15awdlo5+lZMdvhnSW8FvmQxneNsLz+KlFyPVqoyx8bxp4vWhIN6TZRfQ1CxX/UhmMzbzLt
W8V3j5o1iZy7KU6NY94JMiZl41zUeI6+Wx6y0RU1GgKwf88f2mmhmgmWijTF/3r+8OtS8qMB5udP
/2MQ4fifPNN22Ds6PzeSdMD/GERI75PLim6ZKTBV+EmP+2MQIbxP9LOC2QDqFs+FE/fnVpItpyct
vq4MMOxlxGT9nUHEh2kcEwiPGYmJZBGzJrDeDx06jYwj2sEaN1Cx8K6OhNfwUE2fjfoBcstvBmMw
537tn6kxuV6G3LDvbGeZCfw6fEBK3FbRQLQpkv2ruPEEajyPkXyBYgeAhq12sgxYNawUvYQ5gCku
Od4ASxhTTyOoQ4nEfchEqVAaJTR7qQ4I0QwKry4ZmKSDyj9PXdik8Gpd03O8rRPSX+cbMIgkJW2q
oqHsWw+lNsdr0YLxfzA5hrJ0XUxj75KF1lahnNcqCJvS39io6VGxdLNd0oS1TTC0VwZgjeFeAOB1
Nn4KkeEwWDAgEuVPzrMxVkFzKxA5qusM0N91boOOGkSjwrWnPIfNaoIXeeWKwP7K246ZHtLA9ZK+
TghA2XYPWUxymYeECUmPzYJkNXsNET1xVd009hB+11GnCwLTSpKTcfAYMN3MZlSbsGiDYQNCGtZz
hHn4W0HgLc/BuILxZTuN2RCeTFXlA71l0zgEFh6D0ogIe8jNr5yDfr92jKi+Z5073mdkRN4Mvh6+
IbiSj1w5BJ2uHIxXGdlkuiCxs2/Kui/Pw0W1vmuMPMHE7DrycZxmvyd1AOgHA+UKOp6IjI5Mvs4E
p8IgBG2pT8vyXGUNj0G/oObFiAR4zbYIG9vAL0rkrdfFyYvoEsBmVgI4Zh2VfBSQNuuK8HlFrbkG
6QbnsoCmR5Bn1/tqA1+KhIkgDZS1EmC2iA3J0C3eR83UsGHRqkUWG+HWId13LrwnXxvdtEGuiUa+
ktN4Ti1beati4ENDJAouwnOiZt/1Tfu17o3u3CaUiazrVpCaw4YmIbGU2J/nGt1WvZUpozGKeGLz
jnlW6/4OWYpFYaBwvyPl79Q3gLgOMYym4RtwyhT0wQz9u9j4Xlq4u5zIMg8DSZvMu3kw5gW0QR7o
WoaTY1PpNoys2RzEal2iDgV5OwmyqhUqIrbV2iNGQujKadZzH4H6oyfPs43he5OzjiMDpWrtFppb
W5i5vyt8K+w3E2U8IYWpAhXDzts199o2Z4LtPFIO1jy2WuQwKEqBUMxyaGEAQIUFjRcsf+bckkHh
JYZVb7h5ELgyN4Ms7jo0B6uM3bG/HpsOg4k0R+iyBMemT9xIottVTjvGh8Q0oavHrYcgk+eqK4ka
GCATuQCz5apEyZZuY9flPGo7yBebppqsb5Gz5Kcpu3K/1HMAIdWky//eejZ5djCFMTiXWpuIiMfQ
B7IMnGoJFhQkU86UDwbxpKzfNxS1PeXWCCcBtLRlPBS1SvydZYx0UHrIp2QXkK7G7yJbxNmEcyIm
9KDf3Rdx2VIyDKORbRfpYrdq2bxe5MUC3rEDN8KEUTSEaviBYbgbknLtdJeb5KdtBZGhci2cpAtW
syDDdjU4yAm4I1E2HlhjcD7xcQlzZValfachk6RXJqkV2dpi+RtRvtka36BkmLVhTTzLg6GhiEF7
glKxFs2Al8W30zY/FI1f0rDGdF3bsbMMbw2LkmNjCMECrUNtQkAs4dWCh4pmpEsw4BEtxJzd5XYk
msfETgPkAqTK0miQS1aSctu4kHQSzyyIkGMOAQuzEcWW5jzvIANakhJJBq46T+AmDUAJwsJnRS7b
13nWPegtL3RngionaRPQK0owla1joXiNxvC2JzLlVOUKHVjYuAGakCF1o1tY3Q5JcFlvd9sRRB8A
LIcIDHY2SDFXKo264eRnID23BAsJazf1mVkvAIqi3bV176WfHS8vGuJkyyLe+A4c6XUVjTljO4PG
5MXENIObM85J8FYTsoBn3XUKOleinPg1C4Ft7EZc3eGlFigTSCQsWLavYmRES6BjJ8z0ujRKLa6s
IVLi5Nqjg+oiz0P/0k10h8xi4ttITLaZsotuwRYSw4YwEU7RADl8ZZvhrJYoLS89icFWzrq2BecW
hqfwIUiNfoRGOmXOjirDq1aclZl1qrVSd7NwwRF6gQNGTHfm6yw77JpR7frJUaRJWK0yFXfZOvI7
kw+VmvTrkJWp3saGOVwFAoSwJ7P6Fu2deUW7KkldWKCNpfDM18h3dMSwRKBd1qZpY9bpaFoYQiO+
PKNUTpw71+71oy3jtiIUXhBdnOVTp2FsxtnWsHPkQ/3omqDgHWyZ1+AQpwQ36TyNOztpCCJl2Cqq
G6XxsW/9CB/hBuJdB5MqtWrqkLLSZEX2Okf9ncdeJDeiLCKsC17Wx6/wqAqIy3Vs5MjBq7Q7+eDg
s32aI2XnZp/jbJ30RnY74GK1N/5UWqgwhBrl1TjY3ohMUOW3DGyFd+vYLU+QaFLhi5iiWW8ZYifO
ASOoGz6ERdo5MABNs4K/GtXEGqxHfJBM+3OnHGJihwfD2Xaddp/YEGfDhUSYFG+dCg76JZnH/tc5
9nBi6my0qhsv8CQ3K5VOverrPE3P6kEzg4sZWQwHk7Tq6CjHMDc2VViSOk+w96LbRmYL5T8bGQat
M20TzFfh5oqevHo5v+fMyVvyXA2/6h4Y8DTVCyHgqMIBmoDu2YvY8axdJ2tneRaXIznmpnf+73bg
ZztgYw2iKv7X7cDdd2hA1ff328h//Mwf20j3k42idqmxl7WRsNkq/bmNFIvPHake7nMHQ/uf20j/
k2R17SPi82kUHCiRfzYBlvVJuljgTROFoimo4v9OE/C2c3+3p/tZkS8rURf/scsu7deyvIKJluaS
lHXzNMxr/OPr/JZwBiZOW1h0q2Ej1yBliBNZ63W4U2t8wU/v3rL/m1Whhc0IfSQL0WVv69LV/LKW
RNZEtKTqgK8fkeQ5W5QBeHdX1kW8CX6uzn9hlb9XICxX8+5q+Qh+fakPTq3aG2vl5KC0UIVeM3rf
JWEHz812T37p3aO3OWtqtN6/uUB2xx9f1fcYhLFBXro3+8N7HLJYA5PABQ5rC0pLzELlzF8zWVxj
z0nXo7f96xcUzofebrnO96/oLL/Ru2WlU+BUz5oFf8X0476F57ab2RBsRIVDs59gOk2hjveF15rr
ZCiiayaq6RcOImMNhgq4V17hmWxJ0DamuDojmY4AAmPOwck2JTEtQyps4zhpj5o2QNOPxyJO0tuZ
IJ15i7++Ns770a/drSoYnK5MNwc2pSdoT4nqiTRi1Hbp55xyHfjS/jtL3AVBMHQtwU61ke/CZtmw
zH3Y6y+5ni2fRAk7roj4Sgt0SyYn3HRVYDsjKE+b9S01vQ8qmuHHfTgN5CXRB2KT77riAr9EfzMm
YLSm1DfuafGeSICgzGBquCObRpKoFbVTd2itOmExYdl3bmBwglIHZNZ60etfj+NA3nddGxJAXyR9
/BjlrC6pIqcnw2C2npEslhwLa3a+VZAXKIjtxLllZV1uarL/XvNU1l9tVGpQqpoue0gF9qttWHvt
ZRPltbfGLheeFejbyaXNSDnaSAF60IRCcZt7VqfXTMyNp7xhObCehrmvD0TJFgzdXKOl+yWgYSSQ
bxIpwr2G0iHvfdGs8S7P+sIZk/aL3cctNVhN4MYqCkxAuDqZgguC3+tDEVf5OrbMhP2Sxb0gsuqC
nUmOTyWnt3LHiHxocOfoYMfsGm/4dJhEUZyYzPWboAUwvIVhO7AWxYlUr+xQzCu7ga7aEZmzUT2q
rK2oGIMScpojdkwBseSZ/aWv8nyf+AZNQwFFkFQHLng+JUbJbEB7OLEoeyp9Nw/kZ93i66EsF2Ce
/LXjVcAsFYln7SwUffC4xN7p5kQNErJYirtoFxnZdOdhgn+qgyVYKaflyECxbsgEIUq9rxq0jCwm
V1h8ivwkwHgaX2M/Li78tDYXHZukvYHbdRkJg621qXtxBwVET2uGu8F9U5OmZxfS/wzXb7pPqkF9
GTnMtjiEWFx0uXqMDWO8C/Gt4nmyBvM+t5aQMBRBRx7o9flYmOalqtL6EX/o9BzKKXtNzKA82oVq
LyllgisMCmge2evZYPe82N0xQExugn6KLnO0jC8UZ+l5iHH8iuJ5fg4breGoK72JfZldRDEGdm/U
5EsTyLkGoFcBxCn0kfLD27VyRk5YheaNWUniX3FaLttz9KmEprIsVHl9NPq+PBPKI6K0d4ZtBj2C
OU3pciflRDjPGKJoyEEg+n1HUAxMs1ToNbpMZ2uqAsdOUiO40q26AfcOaZbEr32QiP7gGRj15dCI
F8lEg6kE0YocGEuKRhweYYfqLdSVeV15ksAgSKQkJpbBAU0Xq4YsZptMKMB0FtcYrFaEoEJUtmV0
8KSejz7izYPCDXSIHD1u4cBlpzhp8l1NjuoOaYr5+NcH7j+dt4u0n0mfBMNt8sB2Pgy3grFuaqsH
nez2eucW9RVxsXcmgHYp5WYqCpZD4ksxOZdxd8/QZYWnrDbblQ6vXb6JzgCPj9zloriz0rPIT7at
DlCgnkfpbeYdRO0ucke48s8kjOy05ihS+2DxcXl0zjnTMTYIJQL71LyLqXDNyNj69lXbYINr7LUb
XStGZBg4N8t6359uMgrLv34HPo73XN4BZ6lGqFgsj6Hi8kR698Sxeb4Pk+QZ12yZKBIVLyG/lXvw
3z5u3zXtTbUPfvOc++2LfniwAl8N8A/wouMuu3chHW5m+FLttp+36CJhW/2ONPdBu/XhKuViM3l/
lUFeiqZO+Zztmci/3Dgq43GK+nOiMTf/rTdUmh9KlSLD9UjWFZKXzbB11zDt6q23zs/fGG13VvLb
2kh8LFOWj5D7F2/fW8n5UR5Wj/gOXBzelCnG1UBaA8miMMQWszXQsGlHxAWkTWOLx2paQeE+WPWa
snD/O0UXxe0v5dLH3+ODQG6RV3oiYtkrhzthZ/eJfBC+8+O/8P6+v9oPN6zTIEyYjLerJcfRkDtn
CzyFy8xnfxdS9IYb+VNE9reEm/8vRuX8JcPhf+Yv1X/8r19aIBx2/MifexBiYixIC8Im8wZB4H+2
QNL5BOCLUtW2XMdElfifHZDzyVn0lugGFXrM5b+9a4A+IbGFtcBfECGYt7h/pwH6tSOgKfNpr5yl
NsfrhQJ0uRnfnVttMkGwcUuYT44irdCPyuoSTQbk7MguT0mnyysySO2rQRT13V/fgp71a5n+9uK8
uolS2OLNeWNUvH/xQSPy6U1rRlpidy9u16hnQDXoi2wLxhhTaM4wwlShMxBE+2gpzI8d25HPTmIV
pJnorF/Hjp+wAghLYRza2W7wvDtziI9ymhiHMOgLWxTk4//h7rx25Laadn1F/MEcTrvZcaImSaMT
QhpJzDnz6vfDkS31cOjmZ/lsAwZsQLCq1+IKtareECWfBEcTcCB35OaDY/WeeoWkkYSMEBgwjG5g
lVq4v4pIGbhSqnCARk5OHut7SQQtV8dJA4fmsr1XC6jpWwm5iI+GgVHgOkh6957cKP+WNrGMbhnK
pqqZ0RYGui/FKCrpFWqsZgBN6YIyne9sQQFLwF3wGHW2Zo5f7NaFeEVFO4VA2t6kjj7qrfauXj6S
2HJ3aKWAkBCu6qYupMg+hGXzoaWzuxMarnWtrqOt0LjVNar5VrdNkqjjqCxlWM+OJuIEq9MOotfU
2jUW9e6nQjOKSwFkT3vkAVDWt6gBaO2VWxeysuoaZSiPjaqhOW3mcZqt/VK2ROQZtFTc5K6FdTYU
NORiE6q6+lrtYautERLjrDatTr7Tiq4LgJbIfr1JVMW8bQtZOMYow31HfctDRx5Jg089Aq2IwwLQ
guOCe5ywy8o0PPipwHELQdkS1nopSVC2uvJYZmG1ARaX5VsjkCx+mK52OzfHdpl8sf5UpIGGboVj
ImcAffdJMAvvjjwrv06ygYmLuErupczjHWWoMKo3Zguekkw4aSpbisGRuKmBEl41jH+l5BblTirA
tO7QGxejy0TAOMBWVUEO0JOQUfDJ+wznaEmNY9gipuWXWyDvzRWPQ/9LU+FYu2VR9T58J4UnpjlU
DW1yuCXuscl1/SEezLZdmalh5rtec+XuudCNxLQ9WiDoViZy+g0DK//C1DEFHELXOTqejrZU6fQt
ygsh1fcN/dH8W2ZVEayc8lUWtxyuTEgs8Dj6Jq0v1bhx8cNzPN4Rg4yE/7obiljaaYMsfx+quqKI
bpDxOma/G3zxKo414wKN9NEE1Q+PKHfHj2Zhqtc8a6VHIcXIspALXVxJkZlBC2FZ16syFjqk/Foy
e2qFJXJil27RJSSivWtujSYpNhQ4B2qeZbhxE9qDgFxq7yt/DolGF4UHv5XAMSABgqFVaOJnlnUW
Tyu3u4WIZn6NU93yNq0jYiXq4cwzBFJvrQstCbeVGgsPndoWNCjy/gsQ4G4bkwpfD1rulYdBadOd
UVbunYej7V50rdz2sqAHZxzzEJA6JRt5QdaAl1PqXpPBpw89mtq7XMiVa9pJw8XI47hHyhuHwSYJ
LgUAe/eqpPc2VFJk/GP29iU9MwkhdGnssyBXnNDyw14+LfaZ1EDkMWhfFjgt3rkm0hRrJIhRpKXN
IiO46KgvUqhUJRKCqmijMKHunRSfJaS00gN2ksbRxJp4Ywplfhil7B47zAJ3OrSqbygzi8ewMcl6
LamuaEYOoE2iICluSjNo7nNekR/jENWCsfLBG0HUAvVjJvXiUeAVvaXhOPDgwEa5DBVxjbwg2nsK
4DExC5PdUBXM4hAYV43vAV/NsDSAJFvKOt08Sdt6phkdg6auDnh4Wxf0J9V9UGU9Ciu6CzknET4X
neZ+MChO0TwORdAZg7qhU/AVAcZmTU1CvrLqwrqKijq7Am4oP/MQNr66iuUdQfx2D7pYKAdE0YRb
jpnWLpBW3+Zey2vMrYNd1EXSjr3FasYoeks3kx3omtqLrGf+ruS4tD1ZLC6RWeuPTWwFR5gvgwi5
kyAiNiRQ6HTK2r7CYAD8XiDmFSN15Xps3xCYM/0cMMQm3DtTFnpeIqp35AD1XsJY9ZELxqKqQeFi
NwAtO1Bqrn+01pDues8Tt27NJm4rK6EL6Dt8TcA/RiQW26D15YPSiBUmBr2DeErkuoiCaL14lacp
/K80S+zOK4AmQ+osH2mwiZiwF8MOlqyydvIuuYkRJqeJq3IutKr/mNIW+eZyQPerDMjF5YDRsUw5
BUlDEMvint8Y30hFIt2WUmaxs3MVGFU61gKQsAQliyBYwaJ8pgsXfXHlrNjUZd/d0EaAEa0X7qXH
y8bGk6u+C0MXswE6jdkRCxwrwb1cCy9bR3G+CfQMMQXLK2GPtEU+YB+HmYbT5u0KQH5yQFZS/og4
v7j2QVRtpEzVrnzO2guVdoydtjV61YHhPiZCqr5wxwWPlVhZt2Utuh+bwPNRhy/dD3UVYq8dRdW6
LEeWZAOIUEjbnstGFG1lyOS9jyzOLh2kFv+vgFehjpIjrReMGiBj0HFzhpUkBVgaNwrqmJYhXnaR
EdAJ0ZunFN8TrLJKXYDPSz3n4IcZWDp4qup9ws3G3YhM+lr29eZC7fBH8lQc7AuEWGygaOmhxKyB
Zzj1TIaWf1OFrjsYvgVggwl+bAcpOlri4B+HCFRu6KKus6prH2Q9Pq7Y3TM5dFzyNbI73bXWN8GP
Qq8I0kXIgCQiatZ5oKZINcjilaW2WEnGmnfUW6qPtLcbvJQ750GhdrJh2eoHQNXGZshi6R4ZHfdH
0PjCGu6qcxt0hbO3XCHdhiJPjDASjXvsVSSovfRS1MSN+dydsEVhHZZC7sFOI5G5R5CQhztWLrtU
Ea2PJjIxX4waCYxcBwbhQKHfGtTrxuZOCUIuiRGKlIcXQEPyvZQ7YBFaz3h0yyi6UoWgfU5Jc1cu
miG2K2m09vI4OIZOVdwauaXcOkWkPwOVrrdQ77GmoHm8V/wKsxHLLZ+FKMe+rsuVC4cEY9uLdbMp
/ah8dJrG3NDbqnaa4AF6xRTrpmvE5libZoCrWplceH0Q3HqZ7NyZTR0d0sqJP+GJaN35Am7xbdZo
952oyRvXZcKsAaZI4EXFMa6t/AJ/qnwvhXK8yRxuJdFRMYzLAPCGbSruULWM7spSKrYVDoPXTitn
AHTLhsJQrtgsavkG7Vh5nxtOCsAh0Gw/CoJDRhHnJhO9Zpexf2j8VzIuyBVQoE60ylXe1h9BHlOs
HaInx+C21YvMARjE+OrS/V6WpXnvCQAGgRbUa8y94SkYtXSFBFjzJaGDuAGsg3ykCBEbUPqqNIKn
WpA/q2j5fkYSRt5heq3tIbZoAFuQmKQ16z9HEnVlWUNZ1PJlbeuYsMXrOhdu61RAvzbw240D5/4a
mwWZaxUyrDWyQmG4Zt9EhAyfuhwYAnm/CWMzEw6W0JPvuagHgRyHrXFNsd36QA9Iv+oKY8AUqOiH
J0re8ZVV9upFLwylRkkInSoexPHORZjB2xam1j4XhtZdphAXGvRtM+kGSPpwkRZZ/CQLKWZb9AaP
g+l8jQ1DvanksDlSSStlAMGj0m/Nft56dWriaJxBGsLW6TLSu+Ij1LdwK7ZFfKm7eNAItGY1rJ5z
JbqrEPS9QQYGXTTfbbRukzWpgIOxBoyp8GX5yGT1W66CMAMV0XkRORwk54A6YgcOmnMYfH67S8wW
aUhPgcwu6LgA8yQDxuHV4QWSnwZMe0W980qxf8g9EWaISB65MqIsYZywi+AJyd4zvH7tyJmar8e9
yD2jZMWL6zXY4CFAW691w/JvRbyCLmm5JY+Dn0OvcQcr2gLIqG8NJS95yoBfClZIYwgYevs6TRhu
Gu59bCFQ/KW7kPHmccxnz0ORYBUD87vUlbT5IEEOfnEGxX/CUBSzHRdvupqXCkx+kAlp/EXPXOum
8BvzprBYQVT4cvmxob76TeKxh1+X2fWQuxN+SO/432OvaXaI1IFF0nKHu05RadpUZQzkLWwSTgXB
Ma6DqNWumPz8ZfDCFix6l17W9VDF1GMNL9xloiZ8RCdBi1d+peBd4fvxxuGaOmhl0oc2Gye7K6Iq
QHoW14gXr+2qDyBM3eewJ7FERqAPrxBLER+GPsq/gFQqv6SKQdpc6QkKDYNldO5abupEO8Ria9Y2
toiOZyMgVfZLzbK3Jba/38Q0ypBmQfXx9c188iCn3c+LRqFOid0jZ7IahHW4k/MevSO8StlmYK8h
V8uemj62yigXkbldfIObOT1DpyqTmyHPFJgdiPNJOzWqqnpXJkqn2MwSafv5N/ykBPnz52qyhIgM
+BxNVSdlulTNRPh3eY9pihDuLAy0eQml7a3iaOXnfiy/Sv4g/sDovqo3ca42o+424C4aEEX1CeA1
kHNHC5Pt+d81U9bQUMOhwYNNL4JYY63vZBZNlyaYpwvQXuh1fXEVXxFwdYr6u1pQ6ktL9qQvueyh
8+RECG2fjz0O+XeT9XVKNIVeMucFCu7Icr6NTa2A97WXd6jUBRVsClF6sFDh3b9G+f+6mMb2hX57
tpw2MpyTt/W0X//X3xU15Esp0SJOjmoipReTj/83slj9vxGABHKYmtvYjuCPfiGLZVAFGoCDE0Dy
33pHsv5/oMuQS0EqCRY0Zs7/QhB1Ur9VEW/lR9HLZwFSWTMmRXIptBQhk2TP7pFM78FjlXBbM+Hn
9//HVv77KCi7GrTzAQupsmlOVjgS6IpSI35u4xOf0AwaMNINLFg0/V9l238VCaQFtctRUMCUJ/Xo
Xne60JNjrE6j0kbCCK2Jj36xO79ppHfjwR6EmR/dtEUTgMdk13QDOnQ5HBu72wISwCA43Hl2e1tt
RNuXobTtWg+pKOTwg4UjbC4wpUc0qkzDQqZqMjwE6szOLCyO8zDe1RU2MAjWL3Qz3h4JSGQyOM3k
SMCKHEmtKR4hLHmrlfqYSdP8quXvsr40fePn/n3o/BVhRMtYnHi6NTU8N7FO1g0av5SQ1rr8oGyT
bbyLLoT0W2untrdZGtHba+p9vEnHr8hLLezGz1U2wwpIKeVBClo6PEp5WFjp70NBW+ZERX6AgYEU
eXue1lgkhijr+nYUXI7OjiLkqDz94OHlcn4Nvi1Hj2MiEDmXwulBE2+60F1FzA0F2CdK+/2G9ALc
t06+XIw1r0GPeztJFm7792sPJYZRrIGDTAODNNnEVoTHcmEA0HRaUSYaZhticEiH0loI9E51YRwb
vIPRkQT2gaxNJlGSMKtsYYbb8od+Pa4O59l/zC5I4W6fo31o75276NP56Zwb3KjvQHeDf/QRxHV6
B6O1A1lP4oSSQueil+W7mgI4wgD358PMfbXTMJP9W2ZiUofAddH7bY6yV63ZiDclSTAc7IPqagtb
eW41wmFlNjkJ6cxMwsUqaBnQpZxTQmMb+ncd/mCROuRb7sI3e39oGGNfCIAchwetmckn6+gTUqIc
75FqC51VkJbW+0IAaQI8s1RafWhN+xRS3DXkCrvLP5//NpMOz88tBViPixCtD6g+kwWeq60LDJ9l
p38W7jsb0O0H/2hdIz8FeuIBVkR1HR0Fu7wQ7xYij3/z2wPRAFXG/TtyJwzE/t6uPuAPTQqonltr
5V8gueZAjkewCx6FnR+6K9cG7H8+5Mx6l0VZHpVvuMdAs76NiNlOo2Qm9yTMp4cKobqqaGGb9/HC
upiNA0UK6tSo66hNjt4ABDBqBsSRRkNEtbDpXW0tZ0nLZ2ahoyP5K8w0jcVBPvF45bJ9Y5St9PJD
In/PxWu3+4mf/cf0Yj4OH2j0zKMYNFnmSZoZFdBmjD9l8YC4+cGRvJfaitBLVCgfnv9GUxmT8YxH
TX/cuxyFomxMJo/7N0f3kVE5n1ulXa1FeDlcjuIOevN3xO928c2SHOXke2HDPh66492saTg3qZNz
kNpsGXSQZexcuxD9vYkamYeM8PmBTWbxXZDJsRTEculFUDnsMHvh4b/y83LToFJe+Oa/OwDfRRrP
45OnFYUCxaC3CLO78MH2gDbHvRIbksG09ufHNDmf0LMRuYR5w8l8NFQtJlsYtojbYZTp22HxhXIb
ZsLqwljmI4zGBRJr/VUs6c1Y9KJsxaH27dSAr+7QwKwv/mAM9P7p548d7unHV60KyBaOxbYidZhn
XeXi/fkA7z78OEknASYfngZ1F+QlrKy8crZo4D2puMnLmWNXsrWwU2dni1cHbySSdOs1xzj58pBR
IvQ6GEuDAiqlqQ7fhPODebdVGIxCoYUn35g3GPLbtYWngeSoXefbIpC/bRyJH0qpNzeCb96eDzQ3
a8p4TI+Ya+ndnowrMQxzvfHtzGs+KMOF47xEGYVpUV04rCfZyesaHrMERRlPHWSa3o6oyiOn7R0y
vFRJsV/Qjb1YQTBxKJ7ljX5jSsHd+ZFNr9yfESmGQm6VwUGPqJLTNe0KTpsmUYvt+KqxMYNxn/Rj
vIGMCM9fuqMV3K8g3G2TbhVcLeHDpkq/74JPVqNueliJJwRHBPCl3yS2e8TXFQjGTrYrEO6784Od
Wy94n4wGezpuJvq4Yk9WJBjwTjAD1ksd3WM4cKw7Z9dpxvZ8lLnFchplMqMKuFMxFxlUIOXbVkRP
EFoZAo6bEqGn86HmtthpqMn8sVw8tc8I5UnJR6y0rnDFW3rwTp/aPz/SeN3yWhShX0/GExUB26+Q
fNu4Nz9ASduA3Gj2ELNsrLR2+cOoyfxHX8rg/sMIFIjdFCGa92VlZbnh20izY+Lat/u+8jZV7Vz9
wQQyLK5bjlwqk29XhB4BjekNNnYSmtTO3ZXqL3yi+ek7CTE5pFxTr+JmXOPhk3/d2caWArtza21w
zPoSXTfX8VZ4jj+eH9b4SU6y2ddPxrzJMOJphlFcfDusvAqBQzkevFiIBKFXrI20Xw3pIupybv2d
xpmMDZ0nraYZwuWO04OKQF+86fbSnYbx+Eukr8TLYs1R9vX84Ob2F2c+2Sx1LMrIkzOSHu3QALBi
F/s63tZHh6e2IeLu3B3PB5of3a9AyqTGlPoZzeuB0YER6jaOqwkHPWvrheNiyin6+bEkimVkmTDd
p1jg0qBjO+Tck+FTdsivgWZvIXGi5N2smoO0B1q/CW+r65TU2lyjkGf726VX6uJvmGTVdeP0WPK4
gS0UQYSNRt5ASvdTHVlx3ahLaYUwDWR6wfomy258Cdm7vh4apdnSd/V3HA4ZTh+B9KUdTGNd+2p5
qyeJua4pbO8o4lPGSlQnsnEbzyVoxtJiQWtM7t6t+JNJnCwKRauwKOiYxMKuf2SH/vNw4dnJfpRp
oGW2WsY2y+PX/+eI0mjddXqZoHamYSVCROlev0Lnrdn2QN9WyAPZqEKsm3VfHU0gE3i1r2I7OCY7
aSErmV2fv8YMJ+ztL1AFNNeRgScrGfs/+QtOMOc3wDhp54Y42d5DHfR67xFAPDq7GP3LYpNd/w/q
l+MPPRdnkrmLiSRjo0ScZts+1bt4BzZsYxzlVbD5168rUkZOxL82mzTFiYdhAb+nHMY9Ha1UxyLv
7dYYNK3Oz9xsZoPSqsgTnyCIeLz9NhgC5Ebs6sSxi8v2ybjoLuh2r5Qf7Q0XqX0+2uxxfxJsXCgn
eY2YpLCze5U0QFe3wPx3xvCgyNnC+2o8A959JTiZtKxAvMvT5Qb3G2puwJAUaChqjq+g5W/9IENl
DVESQT4UbXJ/fmD/MI2/Y05WIDIQdZUnxCw3P2H9cXvAG2YLCM8Osm2/xHicNCiBFo/rA+Fl0kOa
O9pUd2Vk4KMUVI1LkbKnLV0MJVKz3Rrf922A4tb9UrtkdhP/Dji2u06/XYIYfoYeFSmwdV9keOsU
C0/Kf5jDX0MypsdE7GGLGhIh/SGu3T1Gonv5vrZRVuIm+cvJ+x/LM0vDmXwwIR6h7ZhA8L4c4ie/
zuotNPJ04WCaTapOPtO0aYalTa7jnTM+HH4at1N9d78r1+wxiYJdvI12KVbCi+32+T3wey4nOw3P
TrGPxnsSx+A1GnUhgnR2cI8aqrsrbRQmDkBnUm8lfs1FNMFXwkKyMC1ITdfntEoe4qvmQPgL7OCy
uoz3iInZ1co9mCv1lYUhUL88vwWXPujkiaH7EeK96IrYcqmsZPOqzW7OB5g/vH5P6aRA1IA5tXqB
AEHdHiSPecQ0OvWXDv7Zu+xkn00yHC1vMjwbmDh15+6VfbXXdioW90sPl9npUnhhqjSh6OmOoz05
ihWlh7ua8FiKsvJLj2WWby3eLbMJ8EmMyScR3ZbCUUuhKzjkKOY/RIcB/RRb+4jCGlIZ2m7YtPcV
sPvtn42Okiha3GM/eXKrqXoq5YD7GB0oeZ1wrbB0Ws1VQDRqX3+HmOwwbGyrAB1A3xbYRUeqOhvU
c/PP1T53bcCU2+JYfBD30Vo74EBwfiXObu6T0JNvJ9St4bgu12gYlcKNrHUm3F/4mW2OQ1ncyNaP
FD2cSwFBra/nI899UXo31JeBnwADmUR2Ss/osoKqXITcOcpGStRf9V0oXMp1Bb3Tbyp/Yaxz6/Q0
4mQNtUWC+JDIWLW+2rQubi2FsPC2XhrUZGP7KCVQSg15U8Qg0qSvnvXiy5gIDV/OT97cimHKTEOk
hUPPfHKDiviO4byo0ZcaknWffEmiyzx48kNg6hjynI81d1jRljJUGRShiZnT2+2t97GBxAiCU7J+
IYbXkop5NbJq/y3I5KhqhMzAVVBEBQbmdU3boUGEVJcW1tzcCjgdyuTF1FlISXkxUQbkojvj2S0f
zg9jIcAUogH62ECXPQpsH+Xgprx1lh59Cx9jKsnnVq0YoeEb2MjXfTZ65UpspLXrA6U6P5ClOPLb
jw71RDdxZ/XtOP4+yIUdZwfFW3jLLcWYnKwoj6O3Z41KZjive4K2abFXxZPkj4YC6ZjO1ljMnuSC
cQ7KDR06aidg8BTXsEcnXezB7T+YMVVREN/DVe1dbxN+A1XLMgvsNHQQD3lpG3nXNt/PB5lNAo2T
KOOcnty1pICW4xccMGPpukHMaZOn6/B79rHYQLm7kr7DGffSNfp/C4FnVzb1cjBOGoOzJrOoQwDi
4a8SGPlwgMLeVXpd75p9eBmVyKQdMXXauNvF3G9cA9MHmHESdrIOhSRSajVQOHx2aryRoRoPXyue
lcNRO3b6aplaPJttnkacrEozh8ii6EQsbAnq4RqWMzqDmGuulR3vc4oCdrLTrxemd2mc4/SffNdK
SwcEM4mKmOFD56zqHfTtg7uzrrJrD/Odvbc7H3EuNzwd5mQhdY5VyvkASVwqHES7vHVZQO6juWOI
1LCcZJ9h0rzSnH5/Pu78Cj75opNbWErkBvQzI3Uehy1SM4fsxsJlbl3auB7JK/IsioFoTZwPuzTc
ySVWmhLWvkCkSIVHaE+DCQgeDovE9MXVM7nHdDGOdPzXA2ogf3HyrYcweOlv44No5zemsi+jK81f
OEkXw04utnKQscced2ezLZ+ky/GJ9NKs4dscXPr3gl0vTOds/vHrI2rTQqCnt4OQt+N0hq28E9Sh
vK/NxF8jrpz4K8yFocY3RrtwxC6sHW1ajlEzF9h7FI+7hEwHAShb2SvVSljLh9quntJn9BGjdbyQ
n88ffaNpE/BOBejs273JBdKBHyFrwBd8pcou5nwLVffZegWtn18hJsvG9ENDh6WF5hBbQl8H27jZ
NOthjTH6Tnsul55Tc2nqabjJcvFiX3etnhGl2bDxHGWfqD5qe+KzZrVP5zfe7CX/e2RTjExdlB2Q
Zy55BcpHFukXbV5cYy5Q/tGK/DWD0/ZPmPU9oolcjD28kLZ49BOU9ztEOtUnxesO/21Q01spNXv0
EwkmF1s/xadVwpqnjbfnoyysO31yE0lqoiehy1mi4hwt1T9kfZGbMP7Q99fr71mbXDuaIQ+xW3AL
NFuUFIdVBiS2WtWflB/Rxr9fvOWWFsPk0kGzI+8hM5NE9NdavR7LSSrOejbUxgdtpyjPxWpU1Vjq
uS9N5PTKCQUtQFMH5I+UrYeMQabRf/xWkzOi6JvMbxWWeW1Iq0C+iuki/bfVMDkiooSMX8kZRNNa
mLH2K8QGdn8SAoQvWERMbqa4CGSgRMsZQ2BZvm0EWO6F/idnKcqeigm2BKfjycM1CIZKxHqEefLd
VVBetxjtnh/E61/xbk2fhJhkqkKqt0YHSJiU0dmNC9o9WLv/xUR5dlmdBJqcAqIbt5rQsj8lvfok
lbHtxMmfnJ4nISZHQIGnrqC1jCWK4rWefbHgpDVBsTRls8fASZjJMTBkkVNRlPwrO7IHDFp2SPva
3r7YycqizdzSxE2OASkxPUlTOAasArMFE60Kc/iT/XgyosmWhzoqpCxzFkFyq6flRouX1tnsWXYS
YbLjM9NFIH6sWIjiqMN+lZIY1P3384t5aaYmmz4VOyPOamZK8cX1UChIZy+8PJaGMUkFENLA3lUe
E1ZBXVs5xlTk3pkV2OcHMheG3hJtSAtoC5yctzlUOuAXI6ILYFdtsFcxHJL96gcilHfnw8zNF2QB
DT9zAymhabaRur2s1RY4iSZs6bzfwRNfGMi4cKani4leq2IYMkyLV1/104ea46quGoLtTBGSxAAY
RQeUNlZIIy4Emh2KBn8JWzbkYacpNpaveqvkzJji3qLQgoyhtfmDycI/AmIF6E7wd2+/CeLS+MDE
FEKcEvdxI1wZwo//FmEc48lkxa3fNWXGGOqkvKBysbGSpcLE7PfQ8alQ0LylgD5ZWCjnZUOvMIje
F461phkrPBgv9RxJh3j4kzsY7PqvYJMTv41wx4PMPJaSXkjNVqq60BgaD413q8uADMBO4duj3Ptm
wmqsmkopZMKwnaKXdpeXmKm7yVbJL2M5XTj256ZupHNRVxBZBtM9WQmhCveXhQvWbeX74WaQHmro
9PRZFiLhf/p+XHBNgeHCj1OAML0d1yDQYlbQh7G1atd9Qt4F5pq1Ti8db5VeGqAfduqqvtT3/V5Z
LWV/s48rZBdlkcHyepuCp2I1USVI/uOrsX/NOYcLmAegVF5fVwtPg9k36km0KYLKqHHiaXOijTKH
7Z2xbTeD3e7ydfF17JYitJ/ee4/n99nsl/w9QmWyCepWLxIjGdOEAntEN8CgSxC0z4IvrWshWuhx
jHfOdI2eDnCyCTTcJZDC4luymddZdNObJf9qt6b6rcovIml7fmxz5yDcAG1ktqFoPT2lAvRAQghb
3BxFfYu3Bnpm4fP5EHOXE3cG69I0DRjlk9VZWjlGjohPkMAVn001+Ro5VrdKRWPhdnpNoN9N3e9A
U+CDYaBIpibjNlgpL/qjeQVVs/q5QMDBjdXNdNegL7RCZOTFe0Lfoi9s2Q5ty16Cv83vCmM8NccR
Q6V/uyUTHoUxyk7jOpVAffibZi+2K3/db6WNuHf6hets7mTDk+jvcNPEX0y6yscfgnSpxdNbekFf
vVG2pn+hydnqDz7nSajJboDni/eZSahODw/IoK2F6mtiLJTcZtfMSZDJLsDxofjZvDCFYiUGrm3I
D2bmLRSG5mcNaR7ediIpzeQ+qPBvQRqJxNzJ9QO43eu0Hj6AAcV+JcQRXl04R2ahQPgJIdSKQuvY
Lnm7KFyj9qzXwhC4PoqI+ASCnfFsf+3pF96+ukJZ7eH8x5rSLl/RHachx7PtJEfIcNzzXlum6q65
LMUrcY2jhA5AbW9svOtUXRfivo7XwvF/AOHNTu/JcCfTm0uOhsIh6XWPYnO07T5VjHXPzOYrfzcS
PylhBtVlbwMbWkSwvZIH350GJ9EnyX3iSplSxUR3rjDb3gt32J50a+04CqcisHV+nmfXq6mYMJsM
UyUPfzvNOBsVQy2izlc5j7XwTTe/jt5Y/y3GeJSffEokffRez4lhGF9RWWs5UTvr6V/HUDVVAe2h
GSMeZLLvMECG0GDwsMuCO7cbLT/KUe9jdz7K+Esnn2Y0V0PsU5Hgvow+8Kcj8QJDipWx5y1VG8Fh
KQrDQp4wF0EXJcxbJOiQWMu/jZDoYSrxhAxsFwNVxDy3iZH++8MDpQWopcpY0eHTvw3hN4GGDSaf
AxnPdRB/k320Hxt1VSqfM1S5z8/YzPoiGCIL8CVGEP5kxipHLf1MRFK/APngG9ejFVeIjdH5KLOz
hnq2PPrSjR4Xb4ekauh5xZqAxmSvPOtZeQk4wv2PMSarOLM63pWozduC8l3scS/o7/5kELAE0RSl
If2aLJ9sk9DyMlPNCIAnfZnU61Jr7PMRZj+G+SvCK477JEJCK7pCFTekbBBAI5Gyz4mJdpHnFAuZ
00ziqZJA/D2UKZfEkjzkS3FutrPqYyZGm7B5iMpojZrDQhY4c1K/CTTZ9g6i0zjQmqEdCEhLIcMr
Z/7KG+QLsfpUdAujmsuN3kSbLDMHRYJGNY2QF0O7GfWtw3wVg4jND+oeuOFCuNlJRKkYCjioafAD
bxd1i/1W5/aMrXAjrpsPAzYrqoBbnBj+ydI+iTT+kpN14cqYmDqSEwKBuC88ZMOCP7hm0G+Gxo6C
Byt7yvBOfUQb8RQIbY3GoF1jFFhnQ2aHsfhyfonPngQngSaTBum/EPuBlecGlXip9paxx+VPWthI
c8sO/QmUBbhDqFhPFoJs1KKuqQwnyzA0x3vLHdw1pon7hKJfhtra+UHNPK1grP8ONzl6yiYautqC
omwOWEoK5VjsBwZnmfTJJTIER7popXDhmpg7LE6DTmay69W4DxHws8v0Vh0eHKfbRM1iBWBukZ9G
mSy9NulxSwmoK7brYVvcmlfDlnYWDKataas3pYZ9kM7eWgS3z62T07iTSzCuglbzKqaUg7bd1Ows
cS9vgi0tJ+whbTKHKIGpsoQanevI8yk5GoHMkEZMiw66WzoIqzKr5mP3YtKH6PYDkl44pIxtXZry
2ZW+tHzmv+SvmNPSg+WVNHVGhrsqGfHGDAzTDrWoOhowJRb6OHMc2tPxTUsOWmy6rjCObzwiJRv9
yezYpXb9HAM5GI0VzLW/LZq9pa2XCjpzzK1RKAM2q0zyBB/u7THWSmJZo5IdArKQtuGFe2F+sOpV
Z7t7DehDurY2IQ7lzRq18EOsrNQLRDvjauEsnZlsAAiqTLUOpiMe4G9/xCjaWbZ9yI8QqusCz59V
rSDakTb59/OHwtw74U2kyTtBRmIH+yM8PYe83Pr+dW9eSylCfniaN0jMFvU3t+q2yM+tu6xaOJHk
mf3zJrj1dphK7Ao1xoLR61zntDgeh6/Kx+zWY+fqdgesPIUsghLFRrabK7laafx3thUOf0D4Of0h
5qRzaDUwzwd3dDb1jK1eKnaI+Z/DEj8/2wuf9V1RFD9HddDIY32z3RSN+yMppL0kJF/Oh5mriDIc
wxAtNI1A1U7Ow7Q1arnSMLP8yeZA4Pqqw84938GrKFV7nFBnlW+zz1W4aT+iAFwuVWTmtjByhDQy
ABGPyluTdVX3nRM2HU8QdQc6w27Sm/G1L2zyF4PFDMr3E2Yeo7nb8rE8N8unoSeryvLAsYJfBoDS
7V1PWWX6tYWdx/k5XggyOk6cZjuxZ7Zx1BAE46ZR95HCwnWxWNteijJ5+LhSXxTdiNwr1I0eI09O
0Sl1F1blXJXk9FtZk/y3Vhs42xrPXpScXx1X3I0crLKvlOsR+H6lDbo3HXrrS1Ch2dOHF7dIoQbl
Obp0b2fRxKUqD3vGJ/brsZ/ubTnlso3/TcHYZYmxMpNvsRXE0Qzx9RobJ/skQY18YdDlcV1oGE44
2MmUDjSj+gZl+o0JtPX8ApnJSd5Em+xBX0c2UPek0I67z4p70br6YXDg6lbe+nyguTXCa4/2B+kA
2cBkuRdqVhcORS67LnBkzZx9gDkxutH/Lcy0+1mrmRJVDTlxUWo4phl9Wx/9OMp2Uh8sEUfm5u5k
SNP3fu232H4Y5HPqgH5vnuAh9aIE+AK1Sync3Jo4jTRZ+onsDUbc8DwKx+JFpvRHLTLXViHJKyVK
XvAvWVIkWfhcU+CVMfRVApEjtMsK543ha+AVq075eH5NzF2sp8Ma//xkqWugDWNF4WPBOF5Z2Xe/
+3Y+wNIoJnsp0Dw3KBMesQZUdOTj8Ysttlk+/AEvkVocmPSxI04fefJ9lGaI2qRmtpSbxhY3yVa4
dq+0jXVFs2sl7xETu5AOfzC0sSlEP4HI04YNvXE00yRey65ibNIovBNkFJyTJd2t2VOXCppMJZw0
kxr8229kRmKSWDnHEb6je6JtlK23lj7q5JT3OvTDkXPpZ3b89fzw5paGrsC4sWBHwaqbpJZmCMMg
CLUQ9xU8MXk+DEtoyblCP32o3yEmd38TuXCna0Y2dn9cd1uuvS3cttHONbsLcDw+LuVvKMS+q6m+
CTk5BJ0YR9DW5yJp1/LR3SeCXUnrbK/daZtu3Tarap2t62qV7coLTVhpD+fndG43IGg2vhhI2YEX
vf2USSn5aRozpzruLRgGfJGc9kkJhT84gk/DTHZ11GdRZUXjvBahrf4/0r6sOW4eWfYXMYL78gpu
vUlqqSVL1gvD1idzAwmCILj9+pv0nTOW6B4xzpxnL2iAhUItWZlyCA1F9blku//9bsCVhWl7VMF1
Y72bATbJQadIA0gRHeaEEXtoQi3bWOVaLxs32wabynKvMQT/+dDaCgPwupGi/3gpb+cAreub/EbG
SdDs3ItGyfwkfkJx/eu9XbXNj6uuHErKPaEBOoKCBO7bAoYu371bJDcgAmlj6BfZD18veM00cNeA
DECmDkbilWFmdlFU04xdjv0zoD2kKTxoe/0XLuvDIuvcHIilVk8t5MujcVL0p7ahYApxNqzv2lMJ
/htwiS4pBcK1z9+rqDVI4jAsAnj3vavtGvlrTPpYTxPfULbq5FeP7cNiq8/E9Wq2qgKfSeplZNlZ
7InuzdOSjYt7zRkixTc00PZaKlDrn/fUVKM2aQICF4XAeLteQ5NVx8zb1yZwraRgfVxldW+10lFS
q0Y6lrwqd/JHE6ECBiGm/khBbBsvGtfgKUh+DjuYOwhOTr+HgMKvf8TVnPDjj1hO/ENIIIuuEY1A
SQEcM6eiIVKQ1CLeT/6K7Ay+efY7G9T/xPsGkZnxPb9s+egr9oPnDmwFoAYHfm7dJJxLJ22Zg5iE
Q1clzGo1Zl1WE9uCShaAJCORXrfhY35TBq9abVgTdMILrx1wxyub7dwyMzsVJ49N7yH4Gjk/kzO0
tYBIgBxWqO9Hfwoggb3c/nsMYDDAIWoTKKEuMjZ6+tfq/p9+y9qk0TadIHC5ZMRjkPldRlJonFd7
di4O038zN/9ptZVlZwK+NeP43KbdPRWF+qzWLSNf29SV2/NpjZVdI5kq03kpMwhtT22IKg32xgqb
h7ayWoiD6PU8Y4n6tBya8Zzhc9nEJVC0u2wliFv7WaVsvYQyWUmxWClzf0hmSZAf8I0tmcvJf2WT
qwDMYCC/hmYT5oQl6YI50oLFFEu/XSqduJvK78K18yBu5sD2+Q8zzEMFczt5CBrfABTwt25EQ7F3
d9WdHpgumQiNi13rtzf1Zjn0SiZmq5C7BNE/gDyADX72GnMjAdrr8WOz+mZUjl6NeZEoQ4Hwa0u6
VtH+tM7qUBqQIGCADusU+3ynuRBaD/n4mJV+ifLfCFZzjLkf8vmNb5Sar37yD/tb4soPXrEF5aU+
LJkm5s3+kUp+rtN2q8qxtcYqBKh76AQU0F0KHAEVPImRenvrhVnqJH/Z1J9trJNzO01LTFVjG8pO
hkuaNKskB7eDSjpjb2Fa3O9B5N/GHJIwSHPR2AKd63vDoq8/47Wdaou5AN+FTuA6RMATN4CNgcKH
NpDPrdOd4uhb79i16/NxDf3zF6uY0JzOXWoDcbfPw/knzaMSosvQHCX5HbUBDNgwzmt34OOKK1fq
MLPV+gydjzYpHsrmwdR/2bMemlO/sbfFma2/4seFluP9YIyTUid1K7E1lo4BS1r0oCuiynZjP9ci
bwzH/PlMK6daVkatmbODl/iXnaGfTrTTEglDzZ4gQoV6O30wd9u+ZGt7a18ii+UoccctahFTFf9Q
MZ9yUW/VDK4FGh+3t/Ilg2vRpl3ejKVmYEVl6NT7zj641c/yxoingIbWsG/LmE5xZd1sTa9u3YG1
R9FbBJsdPiKSfnGvQojqgeqV3LjxW2e58inO4FAAQLDHNuujhA+hynkwzHP4f7rQa3LwOYWma7t8
ssQBLEJL1QvT/4uxCht8xhCxsk19eWU+W/3IJHenEdY4ZNVRnXjkbgFJrn6SPyuskbEUVRbHKnCB
J4eHEoTwfZFvRJp/+4ilgQ8QOHQyLOSyK5sTGoPGfcLAe5q6ZASNgYfJo9RVom6zY3d9KcA10fe9
kp43dtUNloal8m/s2xiI2zqC37/V0LTDoDKoR+L+tbnhGxu8EoktO/yz7Mo5KRjiQrSHZWm7rx+1
QABYrz9OU2Qd0MbZZEb628A/L7f8+QdfWBljpkBMFrRF5julL7l+9oqN6aTfgNPP/vbzGiuH1HSg
4/SAHAD4QoO8PQbu+sEX1dhou94WCjE6D0rKnapSpA8T5JTtslB9aetNhNpatoPirRbYbllAV03p
L0rNG8j70UXtdcbQOrPn/hWEHmkIegsTU3ZN5/NGjC8FpPZ8vZygP6hDOxuy0KN26yapF3eZZvu1
6ShHZPTZPq06J7QUC9qwg3TuRtNuDnWLCmHRl0WcQtM5rPO6PUCAi8do5dpEADUzgRxo6ncK19Rz
brnT69c+4ZolLOpOGOLUIBigrZul6OLkSQdpVcRqyWHpFYcuwtIhgBJNG6ebdABXLOHTcqscDoR+
Tl80HdhiagAsxh5sTo98i/tka5FVVDFC8k4W+sKYCa3wyrrYxZOo778+uN9qGyt7+7STVSCRZqMH
xnvsBAyncb6TKdANdrhkNgsMDOjZI3ijSl+8qFFWQfcGUAcQQm41pq7USpcU/N/fbw0usG3WlirF
z8ikz34tcjQyNn8YOwUFU+cJsxYv6sllpIsHstVuuRLnf1579TraJrgt54wv+EdDOSnQ0/Y9k2dP
QlWsnaFU1ohZd9N6x7DGeDF5pZG6tabj5Dp5GnKwX0BcVqSxiZGj+Ouvs2EBa2WKAsqok5qCig3Y
tZIUZn6HYaOj16YbdYD/YAXuonW2QE3XMHhl1hyObtPivztGXC32pK+9OW9eGrd5uNhBHieXqvLb
cj8Zfpbem3hK/O5mOG6BXf6OlJav8eenrBwgJL9GUy09jAFams+4Qsp2NyXfWfdSQHv26/O90uv9
vNjqiaQQbgR9JYbpXGrcjFP6UBnFAfLVQTPRnZHanIyafq/OA/Ys8gzkCt7z1z9ha7sr46tVajA4
fHBpIvU224vl/nRBwtP3FbHdeSvK3lptFdcoeeL1yozv3Efe2xxkL+MjEnkf3e2E1NBvf6yAfdD+
yQ5u+PU2/8Ml+/dnXROF0QYMk/rCAJlTEDnJGoWFIqoQ3dv13YCRn2mnPKYbZ/t3jPXp664rbbzX
QePWYre6rPZeBxkXsTWvcqV2/3mNlZOeHQHpSoEB3OLEflg56iQpnh7tHkr2qIZgrmjrIK/7hD8H
uXLYaqVW3FmUB6B+YiPddHbTO73LIhHZUG/1q7O9y0I0QL/+fleYsD/vcxVq2WMBjeRFHWPwm1Oa
3PZ6oIfDE2ZIjp5fnjTMBDHC5TLLcbSjguTRpp/eMF5rOZkP4VeWCapiJAgmVAX00fQ1ov30MLQ/
BHbk3TuhE1u+vqPxFt3tfwgu/hz5yiXJZqS2oWDhDqISJN/NOzsw7vNHIP3CxN+Karc+8HIMH7bp
VXY5GB1Wc+t/pvSOGZnvbV3HrTVWXic1JiZBEgc6xWy6aObwUltlWFnN/muruZIWfPTlaxgIB98k
lyA4DNpWIKjMid4eanrRp3++Xmfjoq9LTdzh2dAMDrZjD36ZfTPcl68X2HJf68agCbF6lpjLTgLQ
3/QYT/OBog3cha5U+t0PI9wmYt04vTXOgI1lzZzlcRryLAbmAKQLF0OD3PS81YHcMIc1/gMKx2Mr
JviUSv4ss4z0qPHo7kaoeaXE88mFrJVZJNSHFia05fFR2XHuoSJOjIDFnp/vVenXNrF+KTYQFFs1
9K0LbK88hydMcNUIPD7ORT9YEYDlfhLpL4a/PHdbAYy+eOC/Q+p/u4u1HKBpK6OoVexTv8dAIUpl
JobtdGJSYv/A1OlxksQ4gLwLwosR9K1jyn1QWgJ2SOOtws+Gy7RXviRNcjfJamy896Zzks1k4kZo
dt257vqXYW434sgtO1q5laot0EhYHsOO9QSKamTWH/thS+xu67avgphurIvSYzhfSHlrYYZJv3As
0ib6+spv7GVdoElM1nvQE4UuwtQETvLCXUE4j79e5EoH9NOdcFaJpFCpOgw99qIevJemJ1YWGC9W
lB9Kvwby8VdCLH8AX0xO+KXxk4ctZvqtXa7CF8Uo1dyQWJ/Njkua2Xn0Og7ps/HH1xvd+GZrYJGm
SKeXGO0IPCDV57q7NYSzMdZxBbz0+SyX3/Dh4cwATFV4jy9mxvZB/1GFdU06RCdLa278ATnLEB0G
epC7r7e2dYTLn39YdtQLjRYVFGQm7yXlbmwAuIyu1UYAtrXKKgbpc+4xptow+uSmAemH07/qlhZ+
vZUNd7HOwjFbiBnEEdYwC3bKKs9vPCMcPC20k4M1bDnKrS2tvMVUFbYNGsAcjR+A69Hp5/xeyC2M
6FXL84B0gcoyEA+/X/YPn6eQXpYOHHsax4vacz8BeOjrU9taYWUAjtfZk0ywgt25B1bIgDdb4ffi
0v56Uj5sYvX16zqlzFsCKTNu9yIuYwP879vz4Vs7WT0XeVq4ohxbtIFneQuJyoOlThtkGltLrD66
ov5PHqgD6NywvSPZVlK/dVir94GhYJxxHYc1HAQA1dyvBKESqRKNwBI6T75LhlOVhdqv1iY28Jpb
r+51T/Tnc63HUWWJXqO6CIyA3BZeB0MGFWZ0hjGiqGyh2zPGjV/72Q1VNt6Ta1fKwHgDmPsX6v71
eCoH+ElB+oBqnjMHOvtpTzXu7v++0bOw2f1ZZfVoeF6he1AXRThlPyj5I0hQynr/9Z26GnAb0Oo1
DQ/0Q1A8/uxVXeF1YnSwk2yPihT7zcuQkoeOCDSrgw5FyM388vrhORbODqMaGIf/vKSpymYoDGNJ
vPSDwQbMH402iiP9MPiWvtD3Kak8oorhnD3FGU5mOwA711lG6CpuEjqsaUFVoQG05DZbeoNXfxsg
Q5q1sN+76+l5OvNsHie0i2zv7DT7Emwq+fevj3xriZWPUQpXq+uF62luvqsYoK/qyteH9/9mEejw
aVDfARvAqnpBm0bhdjEh00BRjXiJkkRekeihZfb/lR8wMDv/P2struiD5zcL7joihQkVOTilwnQi
ika8txR5BuC/C7wlG4JJC6wqNNOgPNfg895i+1gObe24P/6G5dA//IaGgwZmXqo1zmT7qaJGtW7t
+Ghf1LbeuPuLef69FHTqMbiCmep1isqmbGCQT8XRDr0kHkUrGaJAY8z6yb4ZM+tNB/t1+PXnvJpZ
YR5woXVwHSAsVvvLm8FMGEX5UoSqLx7qqASd6uzjcQr041akde0wgfFcVGDtRZx3ZTwIVdu5TUwk
4XoX0uxc21qcNi7hw6+vt3Xtkfq40MpyihQy15OLGnTdpSCYzoUVeGZtbXCfLWez/mAfV1mdnayS
pqIztjN4450GAG49SgSobbLRHNOvWQaAhqoNiKOlYsnPRshAfJf0vxmlAlCe7+vvoxrkfcDjLCrv
swumGYPZH0P9VN92Sxrqj2d5Ll6FJPKOvmpb1Ybrp4smI94QWOu6ua52OUDeCQiuAEKNnLpavOnl
6w949fkw0VD61xrr7E1BNQOCLljDgcQ8OB4XNVMjTogO+jUzav06Hjdy36uV4I9Lrk65wOBG7c1Y
clEqWKitjOelvu1Aggi5x8Hc6BRfvXof11u9wgnYkITaw0hT7uc7jhADSggUE8BqUISQxtq66tet
6M+Rrm5fI3WFYtIA5pqEC6WdEUAxPdCamAMfrz8a2KcJ6g3f2W7RbS29uo9JURpao+Noiy6szdgs
L7KCeLCNwetu41Iu8effl/LPLleXUrEsUGrqA8CFTVIQyMT1x3zqAMOdk6G8r2pN7iUvdU4GSGxs
wdmvlsg+ftPVG5zmmZ4WGjY6+G68wCu7OaDdbyS04dMQ0yL5hQIqspHBXEGD45H6cF2WD/DxmZoL
uyscrLtI8FlRezFAqAdNBnajAAOqxAMQFSmEgKtzEYKI+WmrxH7dFf459VVW4Do0bYbawXVlvW/B
45hWGzrD7muvsMSMX33bVUzZpS0UKG3sUj3kO+PY7aq93JeR2MBvbmxmjUWo1KSdMxcXZU7uCrUg
Y/eUG13w9V62Fll5G+ZpasaZjaoDgoqkAxdv3UwPut1tubXFjXxxaO7KzVQdFRZf3NoiQTAHwq8v
49HxnZgvWolbNBJXt4XJbA2vvAoGp5WTSZLBaSnH9cvxQFX1T9codlq1UYzaWmTlTjzg+2TG8PBC
gyuU2hR6w1tnaU9ff6Grz9yHrSy/4sOdAuDOALHNEq2ApUWlup9bW93HrSVW7iJhVlfwhWR4yrWI
q+JbloiNXWyd1coz6M6UO3bdAwnX9jTqZKnu00LWUGgBqCjZMOqt/azcAGtGbZyXJ2ZMtAAw6Cdv
VreG5LfWWDkBQ3YFiHSwRj0rflqn5yoVG+Hj9egDDhUknoYBtrPVp6+Tyi3ZQjSs3Ylvpk+D7OKE
WjxjpAOgCeCRtsRtrn6lDwuuDMGu80k6mIEOAGaJeTXfun1514PrYOOhuFqvNj8stDKH2tU6o///
D0W7n11iPCthFSozIgFn0U8NOPg5nmjc+aiap5s5+tV9IjtXIbpoYlR09fHcoVX1YQkE2uni1iki
5zLI9Xmrkrx4mb983p9l1tFjTjGD2y0R6m9JpB/DTZOR5PdMzrQgyujobzVklw/01Yord95XHWAo
o8CsAXNPoFA7pdR69brhlSXbs7BXr8CH7a1cOteNMS0qBQ/UHfsmfji7PEyC3tcmor5pYRF6wdb7
vrXiyq1DY+pf9mmwO9YXfqUoG5Z5PYT5sKnlJ3xwtxV0asoh/dc7hSIpsRA3WbBL92QiowkXQQRk
+Y96gNLGHUj03NdtGNvWPlcXH8QxuTZy/Ag9dmikh9rOC7X76a0PW3Cb1If6ZqtqtbXi6uZX+uiV
gOWC03x0g6ybH4XKn79+yDYu3borMCl5ybtkBMtlavnTMKXgtKcp4V318H9baOX+O9ZqszdhL+V0
X5bQdK9vpNyaBAeP2XKZPl22RYFzKZGCyMhChXFlKp3Oc7Xssj4oVRtUEY63s1JljFD6s8JWs7RD
Okhx7jqm10GnCkzIYGAtHqaxvW91KXzHcVHYTa2ZlAlL/I7RcW+nZnbIa3fYVRJipn3K2d6SKjt7
YDPa1xDXjYZaJAd7zJKon9P+mKpN8m3W9OQJ/z4LpGYPOzRrYbBprR1ZBl4c3eyakFl9fTdrXIsa
M7PvXDcdblqvdyNz1NxQgWIpPockWmXOYLVJsl8cmIyjHBNuEDftQMUlCrMind4akLNMzNeG2z0m
KhLD52NTnQyeQF1YSdNnqmTYjlrJ8s2hQwKN0mLkb1PGxUlDQeQGQirtPqNGdedg5IUSSKdUga5J
+TrbufxmZZoeZcK0z1UxCMiB1q5b+dA3ZM91Dal0v6Bp8cQwEPogp0w8lK7TOaQ2FCAOOJIs7g8z
w/shOde+l30LOschodZPB0mujqGhOY+5lXrEKxXzrINiNLKapN2rvd5mpMRELfXVqeacWNCtAkvC
yMPESmfg96HylmUq9+eMLUVAzQ6BV8ewayvnuCyNJoIuR3NROle7FBkmC3oTbMGk6+v61KmKeUN7
xSGjOY0ZMXHjfHSuWl9ywLGtXtN91MMh9cSF6au9xFErQGhI3xMSLKRZZ30HZ6Q8go++2ee0LvYD
bdirbc59nIE1bSaDoPPgS3M2ArVUvytFguwyE1mcK9YU5201X2rdk+9O1ptPkrf9cz/ROeBodkY5
rCv3FXtu77jZumHSlUNkppN9JzDcMBCMvZo/udKWzx1rpjvshr9DerTxrawWE3HHTh7SJi+f8IFo
bM1IsPvCsf1Rde070PxkN0ZTp6GmOsqpnRJxVymaPEs+2adGcasw5bKPlEZ9pVVa77pu1h6oMowH
iJu6O2l4dNeUxbTTZgFmeKP04t7tEXYZ3ujLJqPLaHMldlnCtHPLOnEzUEU74tomT9NUtBCaskeI
//SiuCuSMolln4xEs/suApmTE0IgKg3NWRpoh6ojKVA7j52uB60CGn6xVvYovdii2xejCxZLLAXx
FZSBAaF3dqOljzcgji9iatI50q0GIESqAGRcmHUSmRXQl7Vn6rHRZFDQk1q1m5qBkdyiIk6GzkLg
UbZBI6hzg/9Q7sq51/05sbJT6zEjENSAWUIMDETOYB72624yQOSCqerSa2pf1zLPd1vphrZXazu1
tKxd2ab5yQJ1zrlX+/G7O3P5YKeKcZBNzmAgaGl1educQN4xnHuhOIhhueWPRWbFI3ilLzzBxAXI
Vr1THTvTGE9VFoxiPOS6ftdqduT23bek6/ARQfkMTKRIxBG0XKFMoGRn5feG/jYm7r42/+k1ZEa6
3Gs8+1Ymw63okpNHk4hmE6QzXG8HbshdZ4BPsOnCYh6fBwUgRJAH61N5UBtKFj2izpzD2t0bVh8V
Y4s8bgw7Z9jriXEQQtyOVRf3bWMQI3Ei0U87QGFDitEByJqddMP4lnt6XGIWS852RgyV7YRgP1sK
HQrD4u+JNYKaUlfvFNeJutLxgq7SEzLO4LLO+6fEts7dJI4qlFAJZhEiaKqfhw440965H73maM52
gFaEBvG08s3LBoxNMO+7qOd7xoyDlqtjVLZ61LXsWLjDQ1o0+7a3wbSX3pWyeVZbuoOmuUu8qboB
hdqFlSN03pJnXUWHwa4zOHgKSj5AgEBFxklm9idVfZg4sjXpVWQCot8YpRqpUr9TVO+73mW39mCa
QWP251kvMYFryH3ete9KpgaesHf1XPd+KvQpVrPerQN1tLySVG0y5Td5WhaPwLeWRHfUjoyQpvC5
Zd17jtBI6xivpj7jPVD1b1XHkMjbdkfcbkIXcpogPDwqJtFm7TlzJYMFCU5SPEdmAepKtYjG1r1V
qAWX1tzp1HvrrfGH0/CbrsHeG7A9wcWUqEq5mDsJyu4dbZejV3l3o5bcQVr0ZfYUO2BAn5MsNR7a
ztu5ztwSJPo3Q9aeBRhvfC5aFndjY/u2ZsXq1BNZoJ6YmKGulnepZxwaKwmSRIQeYgKZVSDAGexF
iKYxiZ1DBTqvh7cMMGp/FmWsTMVjkRbfpT0e5oWs0LbKkzO5cUG9LkzlfGrn8cloxU2jN/d0mliQ
q/jvqNLiWVRc367okU7GkQsa9Bb0QqSbhaOS3mFQKy7T5H3kEPMwTPTkRAXNVAgBhF4P3cu2cwKQ
OOY+U8poqHLA6fSq9XtbhQ5Ar4c1U25QUHmphuqVzrlv4iVtGb9nDQNVFlg7ldLAHD74G2k3vXgt
29WFSShV0dRF2NVk4xMb8Z1pygtS2fN72tgMlNde2Dfqe6+CcdPtGMSzTD8BeUgqp5PVV/oNZIEv
Wk5fMAI0BMxOejJ6+YOoypZAviPKClDUtOXOGfCwg1nFasRBmQzYl8e9AIZTEc10fjh1fpoUQ/U7
8DaQWc3e1AzdHgfim8r4c55VI2ajIsNSlrdeYy4BXCGJNQkNVmuBEDWwpYLKqt0ZzZ0qPPZGoYz2
T2p71RFCqTok4fXnFqOSPiykJTX+hg9m8lMn3LDvlcPclLMvILPzSs2pDUs8lEBHTVFulYcZA5Qt
DKRI3YcOAcJOzk0bpMogolba0O9QWkmYK9CM19Ij94ByZG56q+EvlRqLkfLdYXypOtTT6Nssiwuv
DJtChxkzmJjexoY57VhZQbS5tDXS5PR26PTIa/qbdoAHrduHyezDJtNuqVqdnRrzA2wEaY2litb3
uiT1pTAE/oIBCLzW80Atshj+qCSe8HDF9bPG9DCjeXGbpR4oKER+EBaNJBilPL4TLD8kNQvLPMXl
KZivs4W1oy8AtsvpYfbSk1m6JkFCAKgtzZ/VSviIEhqSK2aUzQhLafsipB1hvDzybKpCx8R6S2vh
580UOLPxXOdi580zLEf9rqlTRIfsyVAEKDiKIiyWomw/R1DL9d1heu0K0ESnXLmfbDuqhP3oMf2J
OSkjTg4eLD2NBUvCyfxNDBSZinlbI/4kNOH/aEn2M7X0bxYEv0irtejzNxpxhzojzuieE+k8a8Z8
2xUWMHG5GRmduJSD9lAhLFKUHE9F+uSw6Xul39o9NHwVcXapd5rB0oz6cbMv3OaERnNJJst7FWV/
P5gZyudmkCJNKuEJx0LfuUsbsSmOkzJMpJ2qieRqehlV+l3Nc4vwREek1ZtA/Cbf06k+z9q8V5AD
JfpwX3nGOUtH6JoMI/rI+mtRuLcWZa+ecMETZNQ9+Lnys9Um7wmDRKw56a+uVoBSO/OCvFXOtdvi
TWvzvav2BNH9D/xhXE+c1ON3C/N3PMFT4FrVyTLmpzlr90oDxH/HxltMYu+hCXOngAd16GG+2k3j
0EBVsqDQEf1N8BIyUcKywBLeRBu/lNqhB/11qkPPlZnnmrPIq6ydZya/wEETZ3M7BK6OxRulfK/U
/Cf3cKsdTz6BEew5TaaJ2JV+NzP6buliBrl+C8UGN/CYDNwWx2lVy6SOKPDVMS3YzjoltaIphGrQ
lRiAmudDFggFHMCmiYq4ZR70QgfRkalCEmY66oXp7lrFu53KKs6U+lhgOhnHfMGwSmz0kL7WRQBh
kNCyQU7DXY9Mc3+c3fZdFVYCt5pFZs4uFlPPNG2rnUfzfxqlznxIILMQQ5uXweGH2aIPk3Degc+9
By25nyZeyJXmOFQpgLEK4dPPsXPD0bEvbFBeIVcBye06Tupmh4uzbzM83WKZkQNouJRBm4NzuMWz
J5nzUKlpYODxogi7ekdLkCjYETSJ9t1ghwaXoenw1wpcmcSxy4cJoJGRakdE9KGVeLe13ezGOQsa
vUb0nt+MugmSiRkuvC66liTGEPUSIE1lenYxERZA30pHegxjSWy/Ym3I5wHpZkHK0YYoUYKxtGJH
C5CLeU8e3q2Oqvdt4j1MVacHs9qiKTmWzx4YNvGv5XNn4zKI+cDSlJKCc7+c5guU30t/aLv7hiEP
nzEhxIZsRMZjgzbNGAJHM+A2MMiDKWzKHpH4PXDDIWpSE5G2L6WB1x4YmmzyiJKlYJhoY81SH9uR
Y7oqRxT8y+68QJZpkHrtLcuNvVnnYeqKW2N0IFCyVIElaap3XICwNwwy2yPJdH4qFOS+uUHUvIjd
HMxFmbxnfXlWGP48uxmt+ZBV5cWqaMjqGcJQKsm85oY5LWnaRxvzjOowPg75a6G+cu1CjSlmSvOt
69yIod8mc5cw75vVvKripyhKHJ7l5wPQt7r5lEsQLDtQJZSEay86BOG7mrh1dZtXyUEqQApzkJ9Q
TjR2y4ZbhT16mQurmX7LDKZ9DRqKN/i72DDmfY0UQ1WelD7dZcVwsDrgNpBfnRDswAtgtqBVg168
mxjwdcqc1KxBx+IMiXjSqvTWZCBIsE+Z+kNyPVSl5nej/dC3863QkrDkMFCR+6pe4nog3+cvlCah
keoHXpXgNXpPkQ4NtgjT5iFTrROSKlTFvmnzGU0E4tXpXZ6y0K2BU5/gLdvQQliLdkY0WqArMEHI
oOi+Aj2nFAMRlH03RHljKxzfGhQ12r2Jd7mEMnFeIc1I91OHuU5FOVZeH6XybcYbWs6A59IZtw4K
UCoeOy9Bf6GODZwt9OL80UujDNwZLvrbxZLQt+qhMO7NLlKMihhpHxgaFGT2WvEk8+8U8huux8KC
Z9FUnjUO129HWm8FSvpPhWK0NSNRNfesudXojVkePBf/oMUItFFXxOMs8AzFH93XZdhWqAmZwEEx
QNyrSZ9S807R3Ye6e+6q2DIMABcit3vBbCYRGRLG1nT3E4JxIs0RugnOm1vcj7SHShLdDajBI1G8
bakaWWkW2jk/FP2tmg8HboAtr3KOremcRJfiVvVTIFn36EwALcO6AKBvQYA9fu+t5rayh2/C/WkY
A2ntPMyLxCBTJg81XL8xVWFZPXl82id2fm/V5mVK0RYs6mdNR8jj8TDL53BA2KAkJQYLJYgHlYNp
Q29rYqS2pJ/VeDloudORUZTuzcD3s9KFrJqieZj2FkiHyKT34QhAv9BCJ310h/fJqMPKvDTWy6ya
gVGemX1O5WF2Z8C8lVAk9o2Sx7aZH4WK0dEGbpQN+B64MSwhDnCJoKqPDKiLMz7EBgVMU3UPjtUe
dXyEJKvSIDcxEdk/yR6/uhr2mQSOi/6sUYGSwHEm+cmAMZfcuFcGVBFQ8ODNu/3/GPuy5dhxLMlf
Kct3VhPgAnKsqx7IIGOTQvt2X2jSlS64ASRAkAD5N/Mt/WPtyqqZqUwbs+q3VIZ0I4IkgHPc/bjT
Nm+DtoxQgze9RujqhmFVe4bz7eM0zierRKmW6WroWQ7bvSxKIT9LPlH1kywO3a0a0/clBvzGAnXb
kPG994d7rdzbRurvbzFm1PP6PF3b+yaJ3rEfHABbiJxU5i7UBtxEgHK/genCNKAo7Zpf9TpgE6eI
OGj65XEg+GW/UssOOY7XtIoPSdJf4b9RN/XedS09+MVcJ0oeJmtQAePwFMOt9j1Yz9JsjhkGZy7K
FZYw3I/mV9DbHajGXANCILO7VCsv1RAVFW5eqxscNtjuGx8Hz1IY2eZD356aZrzSCsbG1bjsZAxP
kvGtk7cVbx5nuXy4CqYDSX1IgaogdabASYvRhF+Bwzi9/7pUsHeq2gJAIt3BeeA8Vyh28VzaELWz
PoajuO5TemXWCCCfLWWPh3uM08xXbs5F32QmfpsIEra2BgU2yOQeA3XVd+B3m9feF+Csey/tix6H
PVldUVl0GDYo+BLAIAXvHbZX44BjFQskUI+k+2yxj6CtLAn+Yq0grp2je6PdyfNoVic/FSUZ4MPr
1N7GC4Mdwg4ue9loMUHo3TGB+jeccfNpMu+qdiz0UJczxiFaiSMjCuCNZtzDwtlJ0uTRMX1CIf4Q
Bc8dgdVlx08AKHfOr4swfdgSTPVgKiWWhwA3dhuXAhlwuTfYaxjlP/dsKHsZHNPhCS4INdKW1G0Y
zGfIWTDvke5EFb7zmD4iVApT2KhHMfzstex7u+vOrEmvUWYcAjq+Rv63Q2+9QwrSDeWPGJ7P07Q+
iiXIUp2C+ChcDWQjxbQmq7CVzkWFgM2kgRy4U2WNJl/Kn3SM9l6CSw5tK/aU3LAH7Q/FRK6ooUc5
DJ9EFkF16HzkHFQfsD5kuIzmkFpyJElQ9BvdoaXLJk8fKusyKRTuLJhAb96J6GoSElqV1KJslIcB
KyBuX8J5xqODxHVsO+H2w6uCXWXFlRzNVRfXhTSowmIACdFR456pZsAhYjIveE6bfdPynOOoxP/s
EYazwSpw0zKf6CdHjeFjywrQ/KP9PlVUvhLY3VTV+kpTtufJk3AMo5v+T682J0XrkgE09KJL6yFi
uDkp/SzkQfjrUXk4vpw7+uu0jxtRDljzgPUzKIPnA3EJNnmKVriR8avh8tIq76pTi0MvbT6rqT66
atKFTiErnWZ6r9bpF5wFqt3qdxfEEqK6QseM+NvP1g+fg3C8Z7F94BW+9srsDfTHj/BxuQ9g3J6M
6Yc3kntMvMLAwz3NdSmAe6bswv35YY7vwUnsuLyh7LXHuaKnt4gYdO5I5Sb9kXMcdUGKBh1epuE5
RVGQJvD38659t2JwKtzDZqTkoj+s+tdcpTsVe9nAmjyqACM0eYzoF9b/HJatEHYoGH4MI5tZHBCJ
Byzro65oyaO3ebGHOLnE6K4RFVs22E499stUzz7yiJNBZTEO4rhWCOBRuS+rveDBCbAaQP6DW+J9
TOZTGnv7QWkgbDfRUr9j8irrvBbhvHiExvaASGPMjc7iEMfreqF8ApT0jbyPb6m7xRN9HLdtF6Ve
2dmDNd7ObW8NyKPWn8GzvKQt8KxI7NH1H2OVHmL+ytLqtPbzua3brJ1V5g8yh5nDvu0+FhiHspYC
tmcHgXbcQ8BEtkXuQdTb44YkmiXGWmxPNVK2w2HDnvj4nVETx7cNqAy9fEHykzqcbQAhkY+d87Xk
yhzaFjuMD5dSDU25nQ9JSzI/uKOoqTuKyUB5PbkHxuEf2L5XGEpg6ZKJ5blWELgtDw0a+AEXtmlO
QQvsorvDs501YN+/KxCxYeNSL4KaXIM6NsFuntHGsF1YH3pYrwFqlAPgAEyJB48hoJ+qcWeAGZmh
+Af0l4TCIt5+ycHtPQ0J6CbeTQTBu2C7NvR2s+FFL5B72gUGhYQ+Oj86LMGt7G8Fe7T9sJfLS4Xx
bzVzOL1cZPQUDcA5hjpfqj3z0h+WjRibJsXGER79nX+u0NwCdBLROVmeqVCXdQHelfQ7IaAsBBKb
seEAnn8PFWcxoYpuQrtvGnPyliWv2nbOINCDiVFyX9npWgmcKXA62ld9XSJl7hgl/kNvogNt5aGL
vfsqHvaCYta0nkCcCXlvhQARYGs/o0ATtD9h4yNgiCJAiBspPF+QXI7hGahlQeR8ilJHAQ/McT4j
9K0MKmyRQVDqGviz2SKd90o8VhG2bG7CX1B+1cdOhTspzFPQIvtUJOtV4laDwd3O208sKhqLRjHp
Pmm6PujZXtXMzxefANlUp4iI8wCuSoHp8MTn3AhkMPXlSPY2mh/GHh+g/8EHjR0Z+vz1MemnYiXL
RXXtsxDuHtvnDisLIJF+5aI9b9ze12I+DQNBZ/u1KX2gc/8Ymwr3rLX7CPj/srXlFPs7VYODg10P
yqDmbESyTw3IejlylPW6A3GSkFcoMG6s6/foBW8USa+A1JYBGh9fe9lYIQ83RHWJuQlk0cAVGgrn
Ev68+eL4GXbqD67p6z1fp2tE9IFPjj/iaQDJEPyytMoJVu+Iws2YX2s7Ac+KgSWKY0sBf3Xz1czj
a38Ld3A8umoshiQHsR/dAimz9+zc9I3w9lnN2tuoYnu6jqd44iVMU7JtGU5VuBYiGYoKmBzxcWMC
+ESZPGr0I+2Aqi8Ev56ghLF5L02BLnen2ZuY9HGt4cJLkh2rNdyVqmLS0Cf643gLvKTokxh77tfg
9Scuomc7dKXCV/eUy7hTN+vKsrpNXtvl2TZLydrtMLtl/33cWyn2ytliILDcEdAlUFaqCJl1si22
NH3wCRbeutzE6HTrpSn7bsgrBF74sOjhKGtmvo1AiekhmLCQprj0w+7TpNDEYN3R9RYHM9Jm7dWc
giYi06Vbp6zhZ6HZbkyn3FeoEigcVmizr+vtlPjNrQv7PYrCAuFiWQ80LF2bcvLSXLf8qmJzGRJg
Qhv4ueDEDdiluto3g7zEKSo5OhQbre436S6rw+p2uGHhiGqvWw+Rq4oh/BoVol+MOqSY95iBNYVa
XPyx/gg6gy5sPMtguFNNWogYXpEqzHkXFkjie60C3I+ZHG3XnLSrdiEXmImdHuHdB2SU7nz4pUhx
R5rgQHxUzKJhj/OKi8P7kzcjM+j7m7MKvGFTMCZ3TKa5Mc/w+kFUeDFigICSERMi9Q4OUpf0exxb
Q9BUpaUe7N4i6rb2NZ55mJ2a7a7fniVD6gn2olB1ZToLcOn0sRI0iwOeK/2LqCZ3PQP/OJbTysoA
BzVb6pPozZ5O/H7WURks4py0/msa2NMo5A3T1ssbn+0HAMvMIIdT2DNm5a9ENR8gNAPbCmi8Intv
xj0I133qwgN1yO7Q/KeaQ6RBgQTisj8NDMCC7gFI6JNt0BnEYxawrmjpch6AJSs/2i1uvEfqyBXZ
dAlqPqeiu06ZLdp1fSKdgtqgKqULLmMM4RMI/gM2yjO0Le/h2F1JDtIo8vZG1LnbftQgqZCrixr+
JdKkNA1CwDs8n2k8FCZEbc+SciPxlRH9CyPIO1/aE+x/Tl0qnnkdw1hH0msfdoijjffbDJGOSwp/
kddLm97FgUEJMa0PVY0WY0bfJNumjFt51yZBcOwZqlNgPZhe2IaTruEV5QG4HWR0atFJ2c3ZbA3j
SzUA6Evj66aV8JDCIwOyZkcWcmj95lWm6w9tETwAP7Pc+nDF8ZMiGL7Lxd/rZBPk0RY8r60PInK9
7Wz7AZv4RzoHc+6P+pVsrUNstYIuPTUvbVWhEHB8zL0+Zee+b5Id0GySd9+NZKyeNxGAEPDI5VtV
CfIOGJBqqqNc6Sl2yQmq3lc8brfAN09xbe5iD65DXnQDozuU+Mp7ld38a4z4G6/663g2Uxa2UGdr
FmUWJlaZlsm7o/alEeoLd0pnw4ZLGst7hqzmVmAy1fXhCLM26h08Tt7kuDyNBt39lMbQA8j1qVuG
C+81VAV4UIEN9O9NGOIeNv649/th2ze1vZZBqC/IBMSGO7qXTXgHbrvnSPB71RlwR3zK6sF7c1sT
I4mshZ2Enb8wEjlm6wI+0foACmX87HXtsV7dLyCnaRYQca8bUBe6i3bArxQujBwBJhKZCZ8cthDa
jtAHoaY8FAFkSWyGOxRnTlCxC9JNYhrB8HLchushALoU1tsdAJbXOUyB5ciE7yRmQzNv8T8MEgXK
qo9fcI+P8egf5RZAbcBSnjcNaAMyT6cQowAHhp7TjciVX8bq4rfecY3WbW/G7tiAgdWO3XKSinxT
Lc26Lv0EpQUUnVUYNNHtURkvOTgwaBmLRoTgrUBvIpzyaEG9h1Ul7pq0MFz3LabfEihfCwiWfnUB
iKmQdXO2QQ2RKWbQhBNQ4BOTDxtNWnStxF7SWr5iW3uxAbwPhiZ+wgFFDkG7faS+Flm1DUmBLKOf
vW7vQEreUN2smRXWP4S0PptqBBZZSZ517XbHOL5TCoxRdcIUZERhimvqDtXo9m7COgnRVKvABzUY
B2u2GNNiii28T8X01vG4B2XasGJrNSjmBJKEOgS3xDFFulM+vwHrKUB6j/BpALmH8IFbqA9RruIZ
z/pF33AhuxxDSh4Cq6qXOgBWCKSAQTLRvjruP6o1eR952uXb4gHt6Tp+xSobAqRE4VhNwX0VBeCw
Pb5blm7MqQ+dDg/jd39rnghruxxW0k3Oa4GkvICBGMG1gSQggTlH17+GMkTct49aG64dA64Joznd
+NdopinX3nxcpNJ4TX56E7sQzMFnIwWFLluSApgM5sxSdJGKRT1IY3Stblve/TG5FxSW3WOMVT4p
XYFtgJceTaARUVhpaRKgD5zug4rgbQQCGRZQSV6/FxAbHIeoDtGqoPVlkx9kVMC8avN7nIfVEh1D
i4dhA+F2TAikt01D/LtgoevRGMb2vsfwMLUegwSEw1zZ4Vq/Jf13qdYO5ujDNRVQ4xTbr86fLLJQ
SL9HHPuYE6a3decN6fSjm/Aznk+Mg0STd0yYsmVHEBwZ09p7nutqLCYI3I/pHLb7iNbPSUf92yga
KGBcHH+ggJuuoDM6gU32zdl6HAgeooyavUBRs8f+p5+NtPOZbEperaxOHoxjQUnUyJ8n0iX5RjiG
fSd8v1Z3fR622Idb2y93rZbVTVK3Mm8EjXaqgbaHT6iM1og0GemrCPuLRM/hrQQMcLIc2zZFfi4C
9Q61qZsHXQlSVmhZoRWKQIc0w1aQYEbjpFP0Xn7Aj7D9jk8LpIBPGHsCd+GUOGnfpVj9Mfgin6nr
KXJYW2MCBGwSXonmVO7npO9O2JTp1VxvQ1kl4QRj64Dsm1mve6tpuJ94hKh5gD9HN0XyWmld75Hl
6hWmrsShd+C/bOWiAy5dcK77yd3pcVY5aAV1tHBizuKV+MUaGA+legoQLplHxGwOlbsxbBY7B6Hb
a8s0uZ5BLmOpQ64pay8pwDDEzzE21KMajFes0LHgahmpL3Zb9GUj6XzVIup6P/hbv+9Qmpa4tCse
83W4aUPy4XvxiHU5WFSaeDqSeIXMyAWYNEv85Fqvil1hK0+vUPKMoCLAumiGbY26KcFzYt1zUtv4
rMJUYVfwzLivYr0dl3AlIWRqHjgHXG9wslrtiOfZr2X06p86DNfL6tPwrmVmvrchQ0mDyxJ/otxr
z8tW810SVPwraDm9j2zQvEE5ZDCjNETBXWI8cacxq43GzuopY3OyhtkQRilIIy8EKfwdA5hszcGj
0XSuuh6hIb7pwWg4gCIPC+3BYtlJm/tKiC3MZvjftngcPL4HIyVfVOcZbMJRWwCyMY806Rjs4WvI
5rY+RbosQKkSsBkCFXvVnbrGb8GhoHJ4kZS7q8Y14spiCGW/+Sh+8Z51j43JQFCJUqr74ZO6xmeE
wL2Y6ra+88X3HYBP9hOGPWu021UFTHhesd5D7uxXMsAWdoeFw8BvY529dWEHCqhDqufTHMGSKKsw
Sge/fqncduAaikMIDSv72G2ufbcjbmNCKhw+fK6A9CLDGMUcdK3ugwcefRtdN51NPBEwCvGA7WNc
1EMSbPgD61bwBj6NN5JbWCZWELviG0BLmiaXUFrvPHVoaooB5NV9kmKWD5AWiPYdDXU8HSMm2kvq
3IKulqTyoGbPAa+2ER3zZkYWfbaIDoP/G3Rxz4nvRImzssYBINL2A5YhDAJv2gH+wsEV+YXXV8kG
7QEBBDp1qeW7Vq7kCbohDu557CpYwpJgpPvNrDHYnLSB9o+vAz5aV0M2Ds+kOL7npOvvJ9T2MAYf
kwThkJiKBzQFGe9wDEmzvBs5+r+k36AEoaSFoEYQw6LbAZvnmA+G+TjVfGhxdpObp/SEcDWozeSS
Bui6vqVkycY3duaVtUNpSdihses5mnxcjvp+pJ159heDT5KoEZdqqjg+CsTB/NNiieGci2j3hZAE
LIHAT6Zr6Dfmdw2AHP33GKLwGpDMx7Jx2pR4VpCsqDKmFCKCGbb8UDHDEhrwkfaiuRDezOVu9D0M
/Ca4cVnk07HH8S8kYgnbvoeRsGjCnQjRxB9nxsx2DdlcwhBP4qW2P274zqBE6NbfRcwMYd5FEEve
gf0aojtVdxPNu7BPbjfkDpWNP8yPWgS6OohOOiw21YIYnmv/qBMPzjOxXj6XdDAkgwQXWFgU9i1w
OkMwP89McEkGE6U5/I6727YDXrKFhuU6GNzR8kGUvj+mv3zDpxGKNUwahM5iCwjSVZ3boFPXrE4h
yO8RhIhesQ4elhQEiIKmCLMrhqR71iz+oca5ed91rRQHo+b+KrWsM0XYOjFkxAJC6OCBvEOrDK1Y
X9cATRIy+3kfkvkuROJ9yewmEC42C3+fVhPLYRKrXtotRcOq6/bcwnq5NCCoz2m1gJezwu2iEOho
2nV2D+UWfJJaDqswRJg/G8gXsmZd+3M41dtxWlt7F4RNcrTeEACRovU96b3qwPlgi6rTOGHF1D0T
6IT3TuB0aZgMkBsPugE+zPzYgQ09E5cCwaQBMAUGfi7ooaMcqjn95eRiTj5Q5T1aey+HxMKBe7Eb
RLGmPkBjA6hGBeoOOydSzFar96ly3b7rYY0dDwAYJtl7BTOx+eimMESOkFiiu4p6pNw6eBDUM3Wg
jJOx4AYmQ5SgW1j4mJ7Xbe5OlW2rAsCTfBAOW8vihzwPNVDHGvBa2dYIIm8r+4P2Cmqkgfq7YI3c
vlliArZ6EhD1gwL0AsTwtcAhEgtpbm/C6NwyS29MR/nnxlTfZnZe9JOPpXYzQlOa5IPg2CAnOp9G
5g+PlTboYqux0Tghav9NYo880q1hmCzpQPBa+Ih8MDH2b/AiA/NS4duCenHlsPQUAsw4St9iMQVx
MdBK/lxIuu6qwe/2KjEIAYhGP0cgDnjQJtHtl+JpfVOpYbrwkEU3tPOxLGChIWA2WKOqXkQLnYuJ
61l+LwE1AT9c9dPWJSP0b11sOpAkHOjT1ATmPRR++wL/7wmXj2NQGVqcBoXxolVc+BJvAiDAnDuv
ZmgL2+qDmhjaVo2qGN3LdIyBBT5MRsIsqY+WT/j6u0dP+T5U9uFiSy0xC8A3EBIpphQOfKDJNV9o
yjMasO062VYFRj1Zu1fSLtM95nqZzjfGUd4MMQ64VVt2A83i8LrANmsfcmWRCbJOd01qfUgabPeA
3ZFfetTqz7Gowd9MUfsjcGl718y1uo9AKF6lg11Mpj0/vK2H1PsxyIVCflG3HqKiXEwwpmUkIHoC
EOyjakLIrR2KCfimMPqJJLmldHICsAh1SynTxFwmLdUDmWpzhmBwOy0NsiohTV7bs126Jlei/cc4
8n/8dP+Lfw23/5g4mf7+n/j5J8T1uuG1+dOPf78Zv+QDJLxf5vp9/M/vP/2/v/r3P/6Iv/znv7x7
N+9/+AG0WGPWu/lLr/df09yb398Tn+H7N/+nL/7l6/d/5XEdv/722/unaOSumYxufprf/vnS8fNv
v6WQ62LI/1/mer7f45+/cHkX+Nv8613/1//+//7R1/tk/vabF7C/4mwKY/jZIJYFY+cY47Nfv78U
kr+GNAAnlyTUT3yE8P72FzloU+PP6F8Z3FwC34eCGa9F38aK0zD//hr7a4L1htGRBC9EIUnT3/7P
RfjDjfh/N+Yvcha3QyPN9Lff/mzghBxKvA38TMD7J7DUDP405riEkDqtDELz/gonQ3c0j8FOPjRP
AJiQh9lnAJXXx+UJXsn/Ztw6Iv4fh5NwAgcwN0EAMZyPQoTa/Wmgq07TNVk5WKu2hsog60C0PQjh
TU/YJsh+Dqe3eVPTJ2/s9CtaONy5YzUWYSzcY8fa9MLH3ofqxKF26bFYpZEJ6IoZv0Lj7l2EVX1O
FA2uV+UAokTAyl5HIK63XSRgiqFD+ipphTJYEVVdOUHGB/Cu7rXmCTmqMDIPgRHNHnT5cFjaKLyM
DYYwsXxhoZ633rbyjCNLqsucXsDegEh+iqd2LZPZV5BWgWEynCV+gQdkeRzNQJ7CkG25WBt1EXRL
ykitCFxUmqIe1gstWeCgKvS2+mWUDexJVl8U8apmQL9isZnc5ugx8Fxf+m0LnRjn7no2CxnyZrWw
JAZbTC/DwhTaow4sK2YzJsyNqOZay0YD8AjbBVtQzO4wSN8f6yrkP7njdMI8vYQpttSmnHBAFbbR
IFDmgT7ibZN7VnMorQOo6vNICnGGHVaPI094iKSm1j2NYus/5VqPQzZDO5JXm4z2QJWaO6+xbjf5
dN2ydCYSt6RnDvAsnqxZmGCP1KsOHscQFfh5lGxbnAWA3iCHWasdZDgCDKKeit7FwAVCKvNxho5B
WfeSGuDCsFVSd23arqdxUOhhK90WOlTNlTKsOk4hqV5pX6W3rg+mH1QBnsH8Qztf9DSFZ59W9GqS
LWQBFVR0M6Y0biMvRI/EJQYEECbi53Y0oFmQU5u+oKYPoCHF5E/uowh8Z4Aii9AywEQwknLXfhsG
uxSU6TlwxBxCo+NrQmYo01DFTiSfLDi0nRdZiKcbOi8H7ODIuQ/DWIlcpKOLMgGAVOxa60OYKNsx
fMMHiY6QUPA1HyPoqnfA8NeToK1XzDJUdzU0hlfT4LuHQPH1Y55i+RizsVEZlELuxcUGgejUj8kE
fof2D5Y32kJvkFQdjicBSX0UjepH0sf0KjBMVWC5EWqDz8f1YxDUEMqhYZWACeYGKq202aaSdDF6
jcKiItubaI6BYKJCgUFJOwRAxJcYS3jePJxyFL8CwVEwVW/AQCH2rJORqC+oXhnbBaJR94uH51Xb
L9uwYLd2fXodGAe6UDp4aP5gMeRE2UZsT0s5xtNLDcJjOhpkhgGpx9MmMNi0sXHDuMGMDBBIfeR6
iz1ziK4w9KOLJiCwoNu6pUSbPJYhkOqrsaohYEgrsB25V/Fq2bULyPcS/y3jkjs0CvswGtmb2XqM
J5pAQbhKlJdCs+P6tIwkdD81ZXLCnrXwr0guHi/XzeuvCZ2CHymOlOE2cBHoCkx5mKdpUIHMuoBb
qD0MNRfSWAZCDGEUaPe+ixssQPbZkxqxCr0/R2G22q5FvFYFkdBW+e5n2CHrBH5X5FVOOrXlRGt6
cH1tw2Oqk+SM0nk6gSX1dNaRCLxBNa0b1D/pugzogmVyAXvbX6Two3s3KPqaNhiNsGBzqxxy8fp5
cdrsY676sk/maCjstIIAJZOC5qjHztzmyTyES9YtTXKxCZqCKa38M/ORurMP164RN20nxo92SoJX
PXyrYQEfsq+RJHMpI1/dRW3Y3QcwCvhRd/0I9TPG7SC9WxCg4i1QZIQLstkmG9LqsmqA5eWwVuL7
JuugyVs0zu9oyFFpDUNF3nqN98i2xHUQTtApyuN1aWzeai1EHnYiAfLuG+hx2Iy9oEFv9VovMEFA
hIUsOdhpGCVG1nzQaWofaVhBVxIO3u2UqP7u+5ACe946ctuxQT9i+Kgrg3QMdpi6oW8cxye2p2WZ
/FyAuujyAA/rCUIgDXkrR3zp0svtKanT5hHSO1Cz9bdPfEIas8N0hbwWwBkwR9BpYou0qfqfdmTD
m8MFB+TtQHvOve9dwYZieOi1gj8V2rupwE3kdwgUh2+oBz80/F/mP/leY/ZR9Q3rdCvYGpjYbeIp
aPq+hZXO1l9rZbf1gIa/SwujQ0hJWJOclmGsoUh2atyKZiZjXSA41ztD6RPfzf3aXgFzmfe260Mk
FyTeuDc1HArukAAzIRplHbYvBvXWl+9GAsHJqq47xXC2VDFNj0MiFzAZKYAB0DdRmVbxcoGycFM7
z2l+9HCc7OXM+2Pli7r0ZDr+5NQln/HqjxG0bov7YjNgywUf+jIhuqfsOkMOOHUqWBIuLd93frUd
mUr9Rz5DPI4BoxFzg7z7aLxFvViXgOsdMR97mgCsnTbJ3eMyM2N2gDngut3ESXvmjaqPC5kwcxuw
KMBQoWqfeBI3r4OE4RPi2eylqkT0Qy0CIlzH05MOWgzNVIR+ro7XnxAxYmCTYD72FW0ROU8NBzFi
NTHPDZ9rA/l/YA6dCP3nlvCWZaTmHmKJBPM/hJ3Hm1GMGJ6dVIL5Lxx/9qmrU/O2UKWf5OZT/w6E
WvIYKQOhRuf5cPWb8eDSAgOq8s4zZooxELN5AjIEf3rymI4URhIIvRdhDc5tDix1u40JEsJ9GE6L
J7G49oeFfOuiKy6OQNpiV0x+0mMFsPGxxkSfg1RVbUNOKDCsao1UnjA+vOJh9XIJZ70L4FGokoyO
uoPXWSaKoTEx2Q3GF596dVBsgP3oMQYVe5jJmnzwWBOEm2g/mRxPLUqjFWItTH5iG5U8OmuRMvho
wA0JEP84xy+yrxs8pqsHsG4Je4BqMpTzsMMMsvfBHXU/nZjYlCt8ZrJzXrqBWYk6AwHdGj5589R/
S8iAy4EKJ2hwm4n/HBO13U/WksJYFMLZOk5DlEPs5D42bmy5Vqr+Gcvfp/zTVV7ZxeF9t3mmOk8w
yQL9+CgMko9wYzHu7FwEzFBzDyTy8O+Mjv5kcBBj92BIH8VxFDJ0DH8Oq7bVKkiTohTX3RMLb3rz
9C/NyT9r/z/U+t9uF//iBhBTGAOnKUHOG41YjIR4vP4vxhGQInGzGoM32DnkwGTBwRy+PQz/m7mr
204TCMKv4guE8q/c5JwYIiatSWpz0TvPBqliEAygjX2bnl7nrm/gi/VbVhJ2MWICzQl3Ks7szi4z
w7e73xg4xOpY55XksAKdAtWnghOGvWKAzlN4t5gma3mWYCNzd9UD81DaD3urflbq+FJWuysnHiyv
/F4V17LIeVDSKnArLNZLXV6b6OXsfD40PuNQHYqYAp4aVrMIi9WESroElpaVFo4WigVd8NIOCGlw
nBFlwG1swbLSc0D8qMyFk8CTK1TPcEFr1gd4gfW56npt5Xcp3tQqfdcqDK2P02MgdENDKG0ytq2B
ApAy7Vd3WWT8YV3G4qGFsuqGaooVFPCm256lo2xQcVicFjXAsQc7+ZIO7+yJjb0x32e6XTFxBRqL
TCeoMDs6eB1VzCmhdw/roxHOjq9o7+aX9xeTM4BxoDq/v0md9nmFrl2TVqMepNNW4IDE/kWI6w/r
6c9J1/yKuo5ntP4vYtXp6gLnl+25Pb/CTsEKRheBEgdPoqHKKrY9qbIFuFmkApMfZr+SWTLC4e1f
RyhUt7IV1NiY3jErvgqEGfhuHCXRj5RHXHjk5r9BNQVUp4TVMLhoi+RkaMVN9LabcjSEwjVlQYeB
Pyq2xcBbfSrJyqCnfTICAoRqOQY6dNSRAPgoJiaRzC5M6yAKJ/nvmi7BGZsabgJBCy6msWClcvPL
qNfb7tnXBQaPUQxMRTyC+6xnBlWVLBkvXjIiGrt4M+iapFhmWwNLMrsY5vb+ZnCjZZjGABYn2MtX
RPU0BNJDbCAIKEwFRZa07JIhqjgHDE1i3W6brPNM1ft3/kUclIZw+MhD+i/IKPbflExUZwW/+XM3
i2bQLeCkHVbUIpsjbNZ9IDOoFopt1jWDqkk4NAcyN/o40EvwCDrMBMIEsyNvn5QPaAZAtrXN0JYM
MFLplON9p0foSAC2AYsbSMnp9QqPcMCUeQo1OO4TjLMg43tJYVGh8oY8LJQFbP0qdZ7wGtx9dL2B
SWYOln4+5h6ZLCgXfsyXQTI1279v+1fWzOnKO5V/2fe9mMTudJ39sN62kq1inLixV/R2po4s9rkV
pSWSJ0+wV2hAJhFJckHUHgqWMvLPO9deDhM8JzhEJUjGKkh9yV0y9UkuJot+BiXtr2uJnjeG7YPW
zjUmhYaWuhrOksXmMfbTqPWNhGmUC2Q21/UGNDiRv/nNDyaLCnWbPiAxCaebP1yjkQs30egBgUUc
pLtJ1BrDNsugaBk4F5pv1e/Ak5JcWDZ1ZMS5/Iu3T/ZrcX1RRarYjFyyebwVZjuWIRtoshdjIed2
6fJDyvLputYe+hhKr3VBQs+PeQUsU21CgYMpCSWYMpdYjuVcI/JhFaBJs1rEiQkdyLfq6qCugLRO
8Q4U+yE/0FYWwmsrwFPbuibLgB8HlibVFu6BAG7B2R4k2QbSpbqSbyIXlvFDzpuB4ENrwOYnc7Lg
9wNobaS99Rs9wBAmLQdxxOfbDfENuPdrnyw3j3kzqf+i7W4g9g0jtJhylrNRyyU38QhF4XjzN+QD
tgUKaqwu5Opq+V0S8iNpaTq2EDYwlvs2jby8LwW50a7Mb/e3hVS28gZkpFSwG2Avy/E/AAAA//8=
</cx:binary>
              </cx:geoCache>
            </cx:geography>
          </cx:layoutPr>
        </cx:series>
      </cx:plotAreaRegion>
    </cx:plotArea>
    <cx:legend pos="b" align="ctr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0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21</xdr:row>
      <xdr:rowOff>91440</xdr:rowOff>
    </xdr:from>
    <xdr:to>
      <xdr:col>9</xdr:col>
      <xdr:colOff>601980</xdr:colOff>
      <xdr:row>24</xdr:row>
      <xdr:rowOff>141890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38100" y="4282440"/>
          <a:ext cx="11140440" cy="62195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200">
            <a:solidFill>
              <a:sysClr val="windowText" lastClr="000000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664254</xdr:colOff>
      <xdr:row>11</xdr:row>
      <xdr:rowOff>76200</xdr:rowOff>
    </xdr:from>
    <xdr:to>
      <xdr:col>9</xdr:col>
      <xdr:colOff>593835</xdr:colOff>
      <xdr:row>21</xdr:row>
      <xdr:rowOff>53340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630392" y="2351690"/>
          <a:ext cx="5547360" cy="1869002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ysClr val="windowText" lastClr="000000"/>
              </a:solidFill>
              <a:latin typeface="Montserrat" panose="00000500000000000000" pitchFamily="2" charset="0"/>
            </a:rPr>
            <a:t>Entregas</a:t>
          </a:r>
          <a:r>
            <a:rPr lang="pt-BR" sz="1200" baseline="0">
              <a:solidFill>
                <a:sysClr val="windowText" lastClr="000000"/>
              </a:solidFill>
              <a:latin typeface="Montserrat" panose="00000500000000000000" pitchFamily="2" charset="0"/>
            </a:rPr>
            <a:t> por Mês</a:t>
          </a:r>
          <a:endParaRPr lang="pt-BR" sz="1200">
            <a:solidFill>
              <a:sysClr val="windowText" lastClr="000000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7</xdr:col>
      <xdr:colOff>68580</xdr:colOff>
      <xdr:row>1</xdr:row>
      <xdr:rowOff>22168</xdr:rowOff>
    </xdr:from>
    <xdr:to>
      <xdr:col>9</xdr:col>
      <xdr:colOff>594360</xdr:colOff>
      <xdr:row>11</xdr:row>
      <xdr:rowOff>29788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419049" y="405796"/>
          <a:ext cx="2759228" cy="1899482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ysClr val="windowText" lastClr="000000"/>
              </a:solidFill>
              <a:latin typeface="Montserrat" panose="00000500000000000000" pitchFamily="2" charset="0"/>
            </a:rPr>
            <a:t>Entregas no Prazo</a:t>
          </a:r>
        </a:p>
      </xdr:txBody>
    </xdr:sp>
    <xdr:clientData/>
  </xdr:twoCellAnchor>
  <xdr:twoCellAnchor>
    <xdr:from>
      <xdr:col>4</xdr:col>
      <xdr:colOff>662940</xdr:colOff>
      <xdr:row>1</xdr:row>
      <xdr:rowOff>22860</xdr:rowOff>
    </xdr:from>
    <xdr:to>
      <xdr:col>7</xdr:col>
      <xdr:colOff>38100</xdr:colOff>
      <xdr:row>11</xdr:row>
      <xdr:rowOff>30480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5623560" y="403860"/>
          <a:ext cx="2758440" cy="191262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ysClr val="windowText" lastClr="000000"/>
              </a:solidFill>
              <a:latin typeface="Montserrat" panose="00000500000000000000" pitchFamily="2" charset="0"/>
            </a:rPr>
            <a:t>CNHs no Prazo</a:t>
          </a:r>
        </a:p>
      </xdr:txBody>
    </xdr:sp>
    <xdr:clientData/>
  </xdr:twoCellAnchor>
  <xdr:twoCellAnchor>
    <xdr:from>
      <xdr:col>0</xdr:col>
      <xdr:colOff>30480</xdr:colOff>
      <xdr:row>1</xdr:row>
      <xdr:rowOff>22860</xdr:rowOff>
    </xdr:from>
    <xdr:to>
      <xdr:col>2</xdr:col>
      <xdr:colOff>259080</xdr:colOff>
      <xdr:row>21</xdr:row>
      <xdr:rowOff>53340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0480" y="403860"/>
          <a:ext cx="2758440" cy="384048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ysClr val="windowText" lastClr="000000"/>
              </a:solidFill>
              <a:latin typeface="Montserrat" panose="00000500000000000000" pitchFamily="2" charset="0"/>
            </a:rPr>
            <a:t>Entregas</a:t>
          </a:r>
          <a:r>
            <a:rPr lang="pt-BR" sz="1200" baseline="0">
              <a:solidFill>
                <a:sysClr val="windowText" lastClr="000000"/>
              </a:solidFill>
              <a:latin typeface="Montserrat" panose="00000500000000000000" pitchFamily="2" charset="0"/>
            </a:rPr>
            <a:t> por UF</a:t>
          </a:r>
          <a:endParaRPr lang="pt-BR" sz="1200">
            <a:solidFill>
              <a:sysClr val="windowText" lastClr="000000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692633</xdr:colOff>
      <xdr:row>12</xdr:row>
      <xdr:rowOff>121920</xdr:rowOff>
    </xdr:from>
    <xdr:to>
      <xdr:col>9</xdr:col>
      <xdr:colOff>599090</xdr:colOff>
      <xdr:row>21</xdr:row>
      <xdr:rowOff>36785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73572</xdr:colOff>
      <xdr:row>1</xdr:row>
      <xdr:rowOff>152926</xdr:rowOff>
    </xdr:from>
    <xdr:to>
      <xdr:col>9</xdr:col>
      <xdr:colOff>583324</xdr:colOff>
      <xdr:row>11</xdr:row>
      <xdr:rowOff>34816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1020028</xdr:colOff>
      <xdr:row>5</xdr:row>
      <xdr:rowOff>8015</xdr:rowOff>
    </xdr:from>
    <xdr:to>
      <xdr:col>7</xdr:col>
      <xdr:colOff>2095499</xdr:colOff>
      <xdr:row>8</xdr:row>
      <xdr:rowOff>44801</xdr:rowOff>
    </xdr:to>
    <xdr:sp macro="" textlink="Cálculos!$G$2">
      <xdr:nvSpPr>
        <xdr:cNvPr id="4" name="CaixaDe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9363928" y="1151015"/>
          <a:ext cx="1075471" cy="608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66C105F-5329-4644-B295-8A84EB1DF57D}" type="TxLink">
            <a:rPr lang="en-US" sz="1800" b="1" i="0" u="none" strike="noStrike">
              <a:solidFill>
                <a:srgbClr val="000000"/>
              </a:solidFill>
              <a:latin typeface="Montserrat" panose="00000500000000000000" pitchFamily="2" charset="0"/>
              <a:cs typeface="Calibri"/>
            </a:rPr>
            <a:pPr algn="ctr"/>
            <a:t>29%</a:t>
          </a:fld>
          <a:endParaRPr lang="pt-BR" sz="3200" b="1">
            <a:solidFill>
              <a:sysClr val="windowText" lastClr="000000"/>
            </a:solidFill>
            <a:latin typeface="Montserrat" panose="00000500000000000000" pitchFamily="2" charset="0"/>
          </a:endParaRPr>
        </a:p>
      </xdr:txBody>
    </xdr:sp>
    <xdr:clientData/>
  </xdr:twoCellAnchor>
  <xdr:twoCellAnchor editAs="oneCell">
    <xdr:from>
      <xdr:col>0</xdr:col>
      <xdr:colOff>403860</xdr:colOff>
      <xdr:row>20</xdr:row>
      <xdr:rowOff>30480</xdr:rowOff>
    </xdr:from>
    <xdr:to>
      <xdr:col>9</xdr:col>
      <xdr:colOff>198120</xdr:colOff>
      <xdr:row>24</xdr:row>
      <xdr:rowOff>129540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Data Pedido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Pedi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3860" y="4030980"/>
              <a:ext cx="10370820" cy="861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4</xdr:col>
      <xdr:colOff>640080</xdr:colOff>
      <xdr:row>1</xdr:row>
      <xdr:rowOff>136634</xdr:rowOff>
    </xdr:from>
    <xdr:to>
      <xdr:col>7</xdr:col>
      <xdr:colOff>60960</xdr:colOff>
      <xdr:row>11</xdr:row>
      <xdr:rowOff>36786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1554480</xdr:colOff>
      <xdr:row>5</xdr:row>
      <xdr:rowOff>3810</xdr:rowOff>
    </xdr:from>
    <xdr:to>
      <xdr:col>6</xdr:col>
      <xdr:colOff>327660</xdr:colOff>
      <xdr:row>8</xdr:row>
      <xdr:rowOff>140970</xdr:rowOff>
    </xdr:to>
    <xdr:sp macro="" textlink="Cálculos!$Q$2">
      <xdr:nvSpPr>
        <xdr:cNvPr id="9" name="CaixaDeText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6515100" y="1146810"/>
          <a:ext cx="1074420" cy="708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EC04EA6-AAA2-43A8-8672-177A29DB5D5F}" type="TxLink">
            <a:rPr lang="en-US" sz="1800" b="1" i="0" u="none" strike="noStrike">
              <a:solidFill>
                <a:srgbClr val="000000"/>
              </a:solidFill>
              <a:latin typeface="Montserrat" panose="00000500000000000000" pitchFamily="2" charset="0"/>
              <a:cs typeface="Calibri"/>
            </a:rPr>
            <a:pPr algn="ctr"/>
            <a:t>60%</a:t>
          </a:fld>
          <a:endParaRPr lang="pt-BR" sz="1800" b="1">
            <a:solidFill>
              <a:sysClr val="windowText" lastClr="000000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15240</xdr:colOff>
      <xdr:row>1</xdr:row>
      <xdr:rowOff>83820</xdr:rowOff>
    </xdr:from>
    <xdr:to>
      <xdr:col>2</xdr:col>
      <xdr:colOff>121920</xdr:colOff>
      <xdr:row>21</xdr:row>
      <xdr:rowOff>22860</xdr:rowOff>
    </xdr:to>
    <mc:AlternateContent xmlns:mc="http://schemas.openxmlformats.org/markup-compatibility/2006">
      <mc:Choice xmlns:cx4="http://schemas.microsoft.com/office/drawing/2016/5/10/chartex" xmlns="" Requires="cx4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772D4652-7967-490A-A006-6B55F9D3BA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5" name="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>
              <a:spLocks noTextEdit="1"/>
            </xdr:cNvSpPr>
          </xdr:nvSpPr>
          <xdr:spPr>
            <a:xfrm>
              <a:off x="15240" y="464820"/>
              <a:ext cx="2636520" cy="374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</xdr:col>
      <xdr:colOff>297180</xdr:colOff>
      <xdr:row>1</xdr:row>
      <xdr:rowOff>22860</xdr:rowOff>
    </xdr:from>
    <xdr:to>
      <xdr:col>4</xdr:col>
      <xdr:colOff>624840</xdr:colOff>
      <xdr:row>11</xdr:row>
      <xdr:rowOff>30480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2827020" y="403860"/>
          <a:ext cx="2758440" cy="191262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ysClr val="windowText" lastClr="000000"/>
              </a:solidFill>
              <a:latin typeface="Montserrat" panose="00000500000000000000" pitchFamily="2" charset="0"/>
            </a:rPr>
            <a:t>Entregas</a:t>
          </a:r>
          <a:r>
            <a:rPr lang="pt-BR" sz="1200" baseline="0">
              <a:solidFill>
                <a:sysClr val="windowText" lastClr="000000"/>
              </a:solidFill>
              <a:latin typeface="Montserrat" panose="00000500000000000000" pitchFamily="2" charset="0"/>
            </a:rPr>
            <a:t> por Entregador</a:t>
          </a:r>
          <a:endParaRPr lang="pt-BR" sz="1200">
            <a:solidFill>
              <a:sysClr val="windowText" lastClr="000000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</xdr:col>
      <xdr:colOff>304800</xdr:colOff>
      <xdr:row>11</xdr:row>
      <xdr:rowOff>76200</xdr:rowOff>
    </xdr:from>
    <xdr:to>
      <xdr:col>4</xdr:col>
      <xdr:colOff>632460</xdr:colOff>
      <xdr:row>21</xdr:row>
      <xdr:rowOff>53340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2834640" y="2362200"/>
          <a:ext cx="2758440" cy="1882140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>
              <a:solidFill>
                <a:sysClr val="windowText" lastClr="000000"/>
              </a:solidFill>
              <a:latin typeface="Montserrat" panose="00000500000000000000" pitchFamily="2" charset="0"/>
            </a:rPr>
            <a:t>Entregas por Cliente</a:t>
          </a:r>
        </a:p>
      </xdr:txBody>
    </xdr:sp>
    <xdr:clientData/>
  </xdr:twoCellAnchor>
  <xdr:twoCellAnchor>
    <xdr:from>
      <xdr:col>2</xdr:col>
      <xdr:colOff>327660</xdr:colOff>
      <xdr:row>1</xdr:row>
      <xdr:rowOff>0</xdr:rowOff>
    </xdr:from>
    <xdr:to>
      <xdr:col>4</xdr:col>
      <xdr:colOff>624840</xdr:colOff>
      <xdr:row>11</xdr:row>
      <xdr:rowOff>45720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312420</xdr:colOff>
      <xdr:row>12</xdr:row>
      <xdr:rowOff>60960</xdr:rowOff>
    </xdr:from>
    <xdr:to>
      <xdr:col>4</xdr:col>
      <xdr:colOff>624840</xdr:colOff>
      <xdr:row>21</xdr:row>
      <xdr:rowOff>30480</xdr:rowOff>
    </xdr:to>
    <xdr:graphicFrame macro="">
      <xdr:nvGraphicFramePr>
        <xdr:cNvPr id="10" name="Gráfico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4791.553263194444" createdVersion="8" refreshedVersion="8" minRefreshableVersion="3" recordCount="14" xr:uid="{9EF4DB3B-FF5A-4ED3-860B-69A0F1816FC1}">
  <cacheSource type="worksheet">
    <worksheetSource name="Tab_Entregas"/>
  </cacheSource>
  <cacheFields count="15">
    <cacheField name="Rastreio" numFmtId="0">
      <sharedItems/>
    </cacheField>
    <cacheField name="Número" numFmtId="0">
      <sharedItems containsSemiMixedTypes="0" containsString="0" containsNumber="1" containsInteger="1" minValue="3" maxValue="16"/>
    </cacheField>
    <cacheField name="UF" numFmtId="0">
      <sharedItems count="5">
        <s v="RJ"/>
        <s v="SC"/>
        <s v="SP"/>
        <s v="PE"/>
        <s v="GO"/>
      </sharedItems>
    </cacheField>
    <cacheField name="Data Pedido" numFmtId="14">
      <sharedItems containsSemiMixedTypes="0" containsNonDate="0" containsDate="1" containsString="0" minDate="2021-01-05T00:00:00" maxDate="2022-08-19T00:00:00" count="25">
        <d v="2022-01-10T00:00:00"/>
        <d v="2022-03-10T00:00:00"/>
        <d v="2022-03-05T00:00:00"/>
        <d v="2022-04-10T00:00:00"/>
        <d v="2022-02-10T00:00:00"/>
        <d v="2022-01-05T00:00:00"/>
        <d v="2022-04-18T00:00:00"/>
        <d v="2021-08-10T00:00:00"/>
        <d v="2021-12-10T00:00:00"/>
        <d v="2021-11-05T00:00:00"/>
        <d v="2021-11-10T00:00:00"/>
        <d v="2021-09-10T00:00:00"/>
        <d v="2021-09-05T00:00:00"/>
        <d v="2021-11-18T00:00:00"/>
        <d v="2021-07-10T00:00:00" u="1"/>
        <d v="2022-06-05T00:00:00" u="1"/>
        <d v="2022-07-10T00:00:00" u="1"/>
        <d v="2021-08-18T00:00:00" u="1"/>
        <d v="2021-04-10T00:00:00" u="1"/>
        <d v="2022-08-18T00:00:00" u="1"/>
        <d v="2021-12-05T00:00:00" u="1"/>
        <d v="2021-01-05T00:00:00" u="1"/>
        <d v="2021-02-10T00:00:00" u="1"/>
        <d v="2022-08-10T00:00:00" u="1"/>
        <d v="2021-06-05T00:00:00" u="1"/>
      </sharedItems>
      <fieldGroup par="14"/>
    </cacheField>
    <cacheField name="Cliente" numFmtId="0">
      <sharedItems count="5">
        <s v="Cliente D"/>
        <s v="Cliente B"/>
        <s v="Cliente C"/>
        <s v="Cliente A"/>
        <s v="Cliente E"/>
      </sharedItems>
    </cacheField>
    <cacheField name="Prazo (dias)" numFmtId="0">
      <sharedItems containsSemiMixedTypes="0" containsString="0" containsNumber="1" containsInteger="1" minValue="5" maxValue="54"/>
    </cacheField>
    <cacheField name="Descrição" numFmtId="14">
      <sharedItems/>
    </cacheField>
    <cacheField name="Previsão de entrega" numFmtId="14">
      <sharedItems containsSemiMixedTypes="0" containsNonDate="0" containsDate="1" containsString="0" minDate="2021-08-20T00:00:00" maxDate="2022-07-03T00:00:00"/>
    </cacheField>
    <cacheField name="Dias corridos do prazo" numFmtId="1">
      <sharedItems containsSemiMixedTypes="0" containsString="0" containsNumber="1" containsInteger="1" minValue="0" maxValue="373"/>
    </cacheField>
    <cacheField name="Etapa Pedido" numFmtId="0">
      <sharedItems/>
    </cacheField>
    <cacheField name="Entregador" numFmtId="0">
      <sharedItems count="5">
        <s v="Entregador B"/>
        <s v="Entragador C"/>
        <s v="Entregador A"/>
        <s v="Entregador D"/>
        <s v="Entregador E"/>
      </sharedItems>
    </cacheField>
    <cacheField name="Data de Entrega" numFmtId="14">
      <sharedItems containsNonDate="0" containsDate="1" containsString="0" containsBlank="1" minDate="2022-07-02T00:00:00" maxDate="2022-07-03T00:00:00"/>
    </cacheField>
    <cacheField name="Status" numFmtId="0">
      <sharedItems count="2">
        <s v="Atrasado"/>
        <s v="No prazo"/>
      </sharedItems>
    </cacheField>
    <cacheField name="Meses (Data Pedido)" numFmtId="0" databaseField="0">
      <fieldGroup base="3">
        <rangePr groupBy="months" startDate="2021-08-10T00:00:00" endDate="2022-04-19T00:00:00"/>
        <groupItems count="14">
          <s v="&lt;10/08/202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9/04/2022"/>
        </groupItems>
      </fieldGroup>
    </cacheField>
    <cacheField name="Anos (Data Pedido)" numFmtId="0" databaseField="0">
      <fieldGroup base="3">
        <rangePr groupBy="years" startDate="2021-08-10T00:00:00" endDate="2022-04-19T00:00:00"/>
        <groupItems count="4">
          <s v="&lt;10/08/2021"/>
          <s v="2021"/>
          <s v="2022"/>
          <s v="&gt;19/04/2022"/>
        </groupItems>
      </fieldGroup>
    </cacheField>
  </cacheFields>
  <extLst>
    <ext xmlns:x14="http://schemas.microsoft.com/office/spreadsheetml/2009/9/main" uri="{725AE2AE-9491-48be-B2B4-4EB974FC3084}">
      <x14:pivotCacheDefinition pivotCacheId="80959095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4791.553264120368" createdVersion="8" refreshedVersion="8" minRefreshableVersion="3" recordCount="5" xr:uid="{E0B92EA3-DA7D-4A33-8DC6-936B43356ED2}">
  <cacheSource type="worksheet">
    <worksheetSource name="Tab_entregadores"/>
  </cacheSource>
  <cacheFields count="6">
    <cacheField name="Nome" numFmtId="0">
      <sharedItems/>
    </cacheField>
    <cacheField name="Telefone" numFmtId="164">
      <sharedItems containsSemiMixedTypes="0" containsString="0" containsNumber="1" containsInteger="1" minValue="11912345678" maxValue="21912341234"/>
    </cacheField>
    <cacheField name="E-mail" numFmtId="0">
      <sharedItems/>
    </cacheField>
    <cacheField name="CNH" numFmtId="0">
      <sharedItems containsSemiMixedTypes="0" containsString="0" containsNumber="1" containsInteger="1" minValue="11223344556" maxValue="33445566778"/>
    </cacheField>
    <cacheField name="DT Venc CNH" numFmtId="14">
      <sharedItems containsSemiMixedTypes="0" containsNonDate="0" containsDate="1" containsString="0" minDate="2022-07-02T00:00:00" maxDate="2023-02-14T00:00:00"/>
    </cacheField>
    <cacheField name="Status CNH" numFmtId="0">
      <sharedItems count="2">
        <s v="No Prazo"/>
        <s v="Venci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3-10/01/2022-Cliente D"/>
    <n v="3"/>
    <x v="0"/>
    <x v="0"/>
    <x v="0"/>
    <n v="10"/>
    <s v="Produto Higiene"/>
    <d v="2022-01-20T00:00:00"/>
    <n v="220"/>
    <s v="2 - Pagamento Aprovado"/>
    <x v="0"/>
    <m/>
    <x v="0"/>
  </r>
  <r>
    <s v="4-10/03/2022-Cliente B"/>
    <n v="4"/>
    <x v="1"/>
    <x v="1"/>
    <x v="1"/>
    <n v="20"/>
    <s v="Churrasqueira"/>
    <d v="2022-03-30T00:00:00"/>
    <n v="161"/>
    <s v="5 - Pedido em Rota de Entrega"/>
    <x v="1"/>
    <m/>
    <x v="0"/>
  </r>
  <r>
    <s v="5-05/03/2022-Cliente C"/>
    <n v="5"/>
    <x v="2"/>
    <x v="2"/>
    <x v="2"/>
    <n v="30"/>
    <s v="Ração Gatos"/>
    <d v="2022-07-02T00:00:00"/>
    <n v="0"/>
    <s v="6 - Pedido Entregue"/>
    <x v="2"/>
    <d v="2022-07-02T00:00:00"/>
    <x v="1"/>
  </r>
  <r>
    <s v="6-10/04/2022-Cliente A"/>
    <n v="6"/>
    <x v="3"/>
    <x v="3"/>
    <x v="3"/>
    <n v="5"/>
    <s v="Cadeiras"/>
    <d v="2022-04-15T00:00:00"/>
    <n v="130"/>
    <s v="2 - Pagamento Aprovado"/>
    <x v="0"/>
    <m/>
    <x v="0"/>
  </r>
  <r>
    <s v="7-10/02/2022-Cliente B"/>
    <n v="7"/>
    <x v="1"/>
    <x v="4"/>
    <x v="1"/>
    <n v="7"/>
    <s v="Mesas"/>
    <d v="2022-02-17T00:00:00"/>
    <n v="189"/>
    <s v="5 - Pedido em Rota de Entrega"/>
    <x v="3"/>
    <m/>
    <x v="0"/>
  </r>
  <r>
    <s v="8-05/01/2022-Cliente C"/>
    <n v="8"/>
    <x v="2"/>
    <x v="5"/>
    <x v="2"/>
    <n v="54"/>
    <s v="Arroz"/>
    <d v="2022-07-02T00:00:00"/>
    <n v="0"/>
    <s v="6 - Pedido Entregue"/>
    <x v="3"/>
    <d v="2022-07-02T00:00:00"/>
    <x v="1"/>
  </r>
  <r>
    <s v="9-18/04/2022-Cliente E"/>
    <n v="9"/>
    <x v="4"/>
    <x v="6"/>
    <x v="4"/>
    <n v="21"/>
    <s v="Notebook"/>
    <d v="2022-05-09T00:00:00"/>
    <n v="122"/>
    <s v="4 - Pedido Enviado"/>
    <x v="2"/>
    <m/>
    <x v="0"/>
  </r>
  <r>
    <s v="10-10/08/2021-Cliente A"/>
    <n v="10"/>
    <x v="3"/>
    <x v="7"/>
    <x v="3"/>
    <n v="10"/>
    <s v="Produto Higiene"/>
    <d v="2021-08-20T00:00:00"/>
    <n v="373"/>
    <s v="2 - Pagamento Aprovado"/>
    <x v="0"/>
    <m/>
    <x v="0"/>
  </r>
  <r>
    <s v="11-10/12/2021-Cliente B"/>
    <n v="11"/>
    <x v="1"/>
    <x v="8"/>
    <x v="1"/>
    <n v="20"/>
    <s v="Churrasqueira"/>
    <d v="2021-12-30T00:00:00"/>
    <n v="251"/>
    <s v="5 - Pedido em Rota de Entrega"/>
    <x v="1"/>
    <m/>
    <x v="0"/>
  </r>
  <r>
    <s v="12-05/11/2021-Cliente C"/>
    <n v="12"/>
    <x v="2"/>
    <x v="9"/>
    <x v="2"/>
    <n v="30"/>
    <s v="Ração Gatos"/>
    <d v="2022-07-02T00:00:00"/>
    <n v="0"/>
    <s v="6 - Pedido Entregue"/>
    <x v="2"/>
    <d v="2022-07-02T00:00:00"/>
    <x v="1"/>
  </r>
  <r>
    <s v="13-10/11/2021-Cliente D"/>
    <n v="13"/>
    <x v="0"/>
    <x v="10"/>
    <x v="0"/>
    <n v="5"/>
    <s v="Cadeiras"/>
    <d v="2021-11-15T00:00:00"/>
    <n v="281"/>
    <s v="2 - Pagamento Aprovado"/>
    <x v="3"/>
    <m/>
    <x v="0"/>
  </r>
  <r>
    <s v="14-10/09/2021-Cliente B"/>
    <n v="14"/>
    <x v="1"/>
    <x v="11"/>
    <x v="1"/>
    <n v="7"/>
    <s v="Mesas"/>
    <d v="2021-09-17T00:00:00"/>
    <n v="342"/>
    <s v="5 - Pedido em Rota de Entrega"/>
    <x v="4"/>
    <m/>
    <x v="0"/>
  </r>
  <r>
    <s v="15-05/09/2021-Cliente E"/>
    <n v="15"/>
    <x v="4"/>
    <x v="12"/>
    <x v="4"/>
    <n v="54"/>
    <s v="Arroz"/>
    <d v="2022-07-02T00:00:00"/>
    <n v="0"/>
    <s v="6 - Pedido Entregue"/>
    <x v="2"/>
    <d v="2022-07-02T00:00:00"/>
    <x v="1"/>
  </r>
  <r>
    <s v="16-18/11/2021-Cliente A"/>
    <n v="16"/>
    <x v="3"/>
    <x v="13"/>
    <x v="3"/>
    <n v="21"/>
    <s v="Notebook"/>
    <d v="2021-12-09T00:00:00"/>
    <n v="273"/>
    <s v="4 - Pedido Enviado"/>
    <x v="2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Entregador A"/>
    <n v="21912341234"/>
    <s v="entregador1@gmail.com"/>
    <n v="11223344556"/>
    <d v="2022-12-20T00:00:00"/>
    <x v="0"/>
  </r>
  <r>
    <s v="Entregador B"/>
    <n v="11956785678"/>
    <s v="entregador2@hotmail.com"/>
    <n v="22334455667"/>
    <d v="2022-07-02T00:00:00"/>
    <x v="1"/>
  </r>
  <r>
    <s v="Entragador C"/>
    <n v="11912345678"/>
    <s v="entregador3@gmail.com"/>
    <n v="33445566778"/>
    <d v="2023-02-13T00:00:00"/>
    <x v="0"/>
  </r>
  <r>
    <s v="Entregador D"/>
    <n v="11956785678"/>
    <s v="entregador2@hotmail.com"/>
    <n v="22334455667"/>
    <d v="2022-09-02T00:00:00"/>
    <x v="0"/>
  </r>
  <r>
    <s v="Entregador E"/>
    <n v="11956785678"/>
    <s v="entregador2@hotmail.com"/>
    <n v="22334455667"/>
    <d v="2022-07-02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E65BA7-BF74-4FC4-8284-F0BF7310950F}" name="Tabela dinâmica1" cacheId="1006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A1:B12" firstHeaderRow="1" firstDataRow="1" firstDataCol="1"/>
  <pivotFields count="15">
    <pivotField dataField="1" showAll="0"/>
    <pivotField showAll="0"/>
    <pivotField showAll="0"/>
    <pivotField numFmtId="14" showAll="0">
      <items count="26">
        <item m="1" x="21"/>
        <item m="1" x="22"/>
        <item m="1" x="18"/>
        <item m="1" x="24"/>
        <item m="1" x="14"/>
        <item x="7"/>
        <item m="1" x="17"/>
        <item x="5"/>
        <item x="4"/>
        <item x="3"/>
        <item m="1" x="15"/>
        <item m="1" x="16"/>
        <item m="1" x="23"/>
        <item m="1" x="19"/>
        <item x="0"/>
        <item x="2"/>
        <item x="10"/>
        <item x="13"/>
        <item x="1"/>
        <item x="6"/>
        <item x="11"/>
        <item x="12"/>
        <item x="8"/>
        <item m="1" x="20"/>
        <item x="9"/>
        <item t="default"/>
      </items>
    </pivotField>
    <pivotField showAll="0"/>
    <pivotField showAll="0"/>
    <pivotField showAll="0"/>
    <pivotField numFmtId="14" showAll="0"/>
    <pivotField numFmtI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</pivotFields>
  <rowFields count="2">
    <field x="14"/>
    <field x="13"/>
  </rowFields>
  <rowItems count="11">
    <i>
      <x/>
    </i>
    <i r="1">
      <x v="8"/>
    </i>
    <i r="1">
      <x v="9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Contagem de Rastreio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44" name="Data Pedido">
      <autoFilter ref="A1">
        <filterColumn colId="0">
          <customFilters and="1">
            <customFilter operator="greaterThanOrEqual" val="44197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48DC08-2A72-4E45-B540-7F330FC1DE8F}" name="Tabela dinâmica7" cacheId="1006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S1:T7" firstHeaderRow="1" firstDataRow="1" firstDataCol="1"/>
  <pivotFields count="15">
    <pivotField showAll="0"/>
    <pivotField showAll="0"/>
    <pivotField axis="axisRow" dataField="1" showAll="0">
      <items count="6">
        <item x="0"/>
        <item x="2"/>
        <item x="1"/>
        <item x="3"/>
        <item x="4"/>
        <item t="default"/>
      </items>
    </pivotField>
    <pivotField numFmtId="14" showAll="0">
      <items count="26">
        <item m="1" x="21"/>
        <item m="1" x="22"/>
        <item m="1" x="18"/>
        <item m="1" x="24"/>
        <item m="1" x="14"/>
        <item x="7"/>
        <item m="1" x="17"/>
        <item x="12"/>
        <item x="11"/>
        <item x="9"/>
        <item x="10"/>
        <item x="13"/>
        <item m="1" x="20"/>
        <item x="8"/>
        <item x="5"/>
        <item x="0"/>
        <item x="4"/>
        <item x="2"/>
        <item x="1"/>
        <item x="3"/>
        <item x="6"/>
        <item m="1" x="15"/>
        <item m="1" x="16"/>
        <item m="1" x="23"/>
        <item m="1" x="19"/>
        <item t="default"/>
      </items>
    </pivotField>
    <pivotField showAll="0"/>
    <pivotField showAll="0"/>
    <pivotField showAll="0"/>
    <pivotField numFmtId="14" showAll="0"/>
    <pivotField numFmtId="1"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UF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C6BA9-2B15-402C-8186-EBCEC89A2764}" name="Tabela dinâmica6" cacheId="100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O1:P4" firstHeaderRow="1" firstDataRow="1" firstDataCol="1"/>
  <pivotFields count="6">
    <pivotField showAll="0"/>
    <pivotField numFmtId="164" showAll="0"/>
    <pivotField showAll="0"/>
    <pivotField showAll="0"/>
    <pivotField numFmtId="14" showAll="0"/>
    <pivotField axis="axisRow" dataField="1" showAll="0" sortType="ascending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ntagem de Status CNH" fld="5" subtotal="count" baseField="0" baseItem="0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4ECE8C-6AC3-420E-B6A9-56C77150EC19}" name="Tabela dinâmica5" cacheId="1006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L1:M7" firstHeaderRow="1" firstDataRow="1" firstDataCol="1"/>
  <pivotFields count="15">
    <pivotField showAll="0"/>
    <pivotField showAll="0"/>
    <pivotField showAll="0"/>
    <pivotField numFmtId="14" showAll="0">
      <items count="26">
        <item m="1" x="21"/>
        <item m="1" x="22"/>
        <item m="1" x="18"/>
        <item m="1" x="24"/>
        <item m="1" x="14"/>
        <item x="7"/>
        <item m="1" x="17"/>
        <item x="12"/>
        <item x="11"/>
        <item x="9"/>
        <item x="10"/>
        <item x="13"/>
        <item m="1" x="20"/>
        <item x="8"/>
        <item x="5"/>
        <item x="0"/>
        <item x="4"/>
        <item x="2"/>
        <item x="1"/>
        <item x="3"/>
        <item x="6"/>
        <item m="1" x="15"/>
        <item m="1" x="16"/>
        <item m="1" x="23"/>
        <item m="1" x="19"/>
        <item t="default"/>
      </items>
    </pivotField>
    <pivotField showAll="0"/>
    <pivotField showAll="0"/>
    <pivotField showAll="0"/>
    <pivotField numFmtId="14" showAll="0"/>
    <pivotField numFmtId="1" showAll="0"/>
    <pivotField showAll="0"/>
    <pivotField axis="axisRow" dataField="1" showAll="0" sortType="a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6">
    <i>
      <x v="4"/>
    </i>
    <i>
      <x/>
    </i>
    <i>
      <x v="2"/>
    </i>
    <i>
      <x v="3"/>
    </i>
    <i>
      <x v="1"/>
    </i>
    <i t="grand">
      <x/>
    </i>
  </rowItems>
  <colItems count="1">
    <i/>
  </colItems>
  <dataFields count="1">
    <dataField name="Contagem de Entregador" fld="1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38" name="Data Pedido">
      <autoFilter ref="A1">
        <filterColumn colId="0">
          <customFilters and="1">
            <customFilter operator="greaterThanOrEqual" val="44197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77E77-D145-4858-A010-966A257C83F9}" name="Tabela dinâmica4" cacheId="1006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7">
  <location ref="I1:J7" firstHeaderRow="1" firstDataRow="1" firstDataCol="1"/>
  <pivotFields count="15">
    <pivotField showAll="0"/>
    <pivotField showAll="0"/>
    <pivotField showAll="0"/>
    <pivotField numFmtId="14" showAll="0">
      <items count="26">
        <item m="1" x="21"/>
        <item m="1" x="22"/>
        <item m="1" x="18"/>
        <item m="1" x="24"/>
        <item m="1" x="14"/>
        <item x="7"/>
        <item m="1" x="17"/>
        <item x="12"/>
        <item x="11"/>
        <item x="9"/>
        <item x="10"/>
        <item x="13"/>
        <item m="1" x="20"/>
        <item x="8"/>
        <item x="5"/>
        <item x="0"/>
        <item x="4"/>
        <item x="2"/>
        <item x="1"/>
        <item x="3"/>
        <item x="6"/>
        <item m="1" x="15"/>
        <item m="1" x="16"/>
        <item m="1" x="23"/>
        <item m="1" x="19"/>
        <item t="default"/>
      </items>
    </pivotField>
    <pivotField axis="axisRow" dataField="1" showAll="0" sortType="a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numFmtId="1"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4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Contagem de Cliente" fld="4" subtotal="count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38" name="Data Pedido">
      <autoFilter ref="A1">
        <filterColumn colId="0">
          <customFilters and="1">
            <customFilter operator="greaterThanOrEqual" val="44197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C4A150-7E11-4378-99B1-6130EB85AF2D}" name="Tabela dinâmica3" cacheId="10069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D1:E4" firstHeaderRow="1" firstDataRow="1" firstDataCol="1"/>
  <pivotFields count="15">
    <pivotField showAll="0"/>
    <pivotField showAll="0"/>
    <pivotField showAll="0"/>
    <pivotField numFmtId="14" showAll="0">
      <items count="26">
        <item m="1" x="21"/>
        <item m="1" x="22"/>
        <item m="1" x="18"/>
        <item m="1" x="24"/>
        <item m="1" x="14"/>
        <item x="7"/>
        <item m="1" x="17"/>
        <item x="12"/>
        <item x="11"/>
        <item x="9"/>
        <item x="10"/>
        <item x="13"/>
        <item m="1" x="20"/>
        <item x="8"/>
        <item x="5"/>
        <item x="0"/>
        <item x="4"/>
        <item x="2"/>
        <item x="1"/>
        <item x="3"/>
        <item x="6"/>
        <item m="1" x="15"/>
        <item m="1" x="16"/>
        <item m="1" x="23"/>
        <item m="1" x="19"/>
        <item t="default"/>
      </items>
    </pivotField>
    <pivotField showAll="0"/>
    <pivotField showAll="0"/>
    <pivotField showAll="0"/>
    <pivotField numFmtId="14" showAll="0"/>
    <pivotField numFmtId="1" showAll="0"/>
    <pivotField showAll="0"/>
    <pivotField showAll="0"/>
    <pivotField showAll="0"/>
    <pivotField axis="axisRow" dataField="1" showAll="0" sortType="descending">
      <items count="3">
        <item x="1"/>
        <item x="0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ntagem de Status" fld="12" subtotal="count" baseField="0" baseItem="0"/>
  </dataFields>
  <chartFormats count="3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38" name="Data Pedido">
      <autoFilter ref="A1">
        <filterColumn colId="0">
          <customFilters and="1">
            <customFilter operator="greaterThanOrEqual" val="44197"/>
            <customFilter operator="lessThanOrEqual" val="4492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AD08A3-C83D-4DD5-84C2-FB5EF3BF8DB5}" name="Tab_entregadores" displayName="Tab_entregadores" ref="A3:F8" totalsRowShown="0">
  <autoFilter ref="A3:F8" xr:uid="{FFAD08A3-C83D-4DD5-84C2-FB5EF3BF8DB5}"/>
  <tableColumns count="6">
    <tableColumn id="1" xr3:uid="{0152B3E3-D285-45E5-B948-63404947D93F}" name="Nome"/>
    <tableColumn id="2" xr3:uid="{A14900FC-CE62-4487-BEF1-729AE270458E}" name="Telefone" dataDxfId="17"/>
    <tableColumn id="3" xr3:uid="{D1C592E5-344E-4268-864E-63BD1B4A69F5}" name="E-mail" dataCellStyle="Hiperlink"/>
    <tableColumn id="4" xr3:uid="{90F06D06-EBA7-483E-86D1-ABC6EDED48F4}" name="CNH"/>
    <tableColumn id="5" xr3:uid="{4AABA621-EDD9-44A7-86BF-082E3B04813B}" name="DT Venc CNH" dataDxfId="16"/>
    <tableColumn id="6" xr3:uid="{1DDCE243-0D6A-4A1C-BA15-E2BF5B8254CA}" name="Status CNH">
      <calculatedColumnFormula>IF(TODAY()&gt;=E4,"Vencido","No Prazo")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AADE4F-9F3A-46AC-8230-C737B0E8A380}" name="Tab_Clientes" displayName="Tab_Clientes" ref="A3:G8" totalsRowShown="0">
  <autoFilter ref="A3:G8" xr:uid="{FFAD08A3-C83D-4DD5-84C2-FB5EF3BF8DB5}"/>
  <tableColumns count="7">
    <tableColumn id="1" xr3:uid="{CC50821E-3AF3-4F93-A78A-BB12926BF8F1}" name="Nome"/>
    <tableColumn id="2" xr3:uid="{0BF57FC7-D7F5-43E4-B5D7-DC6AD3C1257A}" name="CPF" dataDxfId="15"/>
    <tableColumn id="3" xr3:uid="{E46AD15D-17F4-4847-9F28-699634BEF562}" name="E-mail" dataCellStyle="Hiperlink"/>
    <tableColumn id="7" xr3:uid="{CA7D18A1-25A3-4A3B-A239-00CA9293E6AE}" name="Endereço" dataDxfId="14" dataCellStyle="Hiperlink"/>
    <tableColumn id="4" xr3:uid="{D9619408-C460-4F31-A919-23851B54E0A6}" name="Bairro"/>
    <tableColumn id="5" xr3:uid="{9B525CFA-84FB-41CD-AD15-D30EE0CBE5AA}" name="Cidade" dataDxfId="13"/>
    <tableColumn id="6" xr3:uid="{A8E9D24E-7FA8-4E64-BB9B-3B6555D0715F}" name="Estado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DDC14B-F1EE-455E-B63E-F09F70F82472}" name="Tab_Entregas" displayName="Tab_Entregas" ref="A3:M18" totalsRowShown="0" headerRowDxfId="10">
  <autoFilter ref="A3:M18" xr:uid="{FFAD08A3-C83D-4DD5-84C2-FB5EF3BF8DB5}"/>
  <tableColumns count="13">
    <tableColumn id="7" xr3:uid="{4E54A320-729D-421D-957D-EB3E994B2892}" name="Rastreio" dataDxfId="9" dataCellStyle="Hiperlink">
      <calculatedColumnFormula>Tab_Entregas[[#This Row],[Número]]&amp;"-"&amp;TEXT(Tab_Entregas[[#This Row],[Data Pedido]],"dd/mm/aaaa")&amp;"-"&amp;Tab_Entregas[[#This Row],[Cliente]]</calculatedColumnFormula>
    </tableColumn>
    <tableColumn id="1" xr3:uid="{B1EBBE2E-232D-4EA6-9077-0029FED8F069}" name="Número" dataDxfId="8">
      <calculatedColumnFormula>ROW()-1</calculatedColumnFormula>
    </tableColumn>
    <tableColumn id="14" xr3:uid="{05B3DFBD-9215-4B7A-8E35-284714CCF47B}" name="UF" dataDxfId="7">
      <calculatedColumnFormula>VLOOKUP(Tab_Entregas[[#This Row],[Cliente]],Tab_Clientes[],7,0)</calculatedColumnFormula>
    </tableColumn>
    <tableColumn id="2" xr3:uid="{4E757992-1619-4746-86A1-748E292FB428}" name="Data Pedido" dataDxfId="6"/>
    <tableColumn id="3" xr3:uid="{84ACC682-FE64-40A2-8BEA-F932DBD8B8C7}" name="Cliente" dataDxfId="5" dataCellStyle="Hiperlink"/>
    <tableColumn id="4" xr3:uid="{B639F136-2CDF-4676-828D-2DA8B0E9CE25}" name="Prazo (dias)"/>
    <tableColumn id="5" xr3:uid="{A4B9542D-30C1-4BFA-A101-FC24A8ED1E19}" name="Descrição" dataDxfId="4"/>
    <tableColumn id="6" xr3:uid="{DDE4FA12-AF17-4D1D-B6E2-B1654FD380AF}" name="Previsão de entrega" dataDxfId="3">
      <calculatedColumnFormula>Tab_Entregas[[#This Row],[Data Pedido]]+Tab_Entregas[[#This Row],[Prazo (dias)]]</calculatedColumnFormula>
    </tableColumn>
    <tableColumn id="8" xr3:uid="{1A2F5B79-669C-42D7-A06D-5D991775DC3B}" name="Dias corridos do prazo" dataDxfId="2">
      <calculatedColumnFormula>IF(Tab_Entregas[[#This Row],[Etapa Pedido]]="6 - Pedido Entregue",0,TODAY()-Tab_Entregas[[#This Row],[Data Pedido]])</calculatedColumnFormula>
    </tableColumn>
    <tableColumn id="9" xr3:uid="{D6A70885-AC1C-4AE0-B237-C5CAA591503F}" name="Etapa Pedido"/>
    <tableColumn id="10" xr3:uid="{DC791E17-32E5-493E-B947-30E7F8DCCF3A}" name="Entregador"/>
    <tableColumn id="11" xr3:uid="{505D4F22-1403-45F1-9EA3-EAD03AE0DF28}" name="Data de Entrega" dataDxfId="1"/>
    <tableColumn id="13" xr3:uid="{5EFE125C-5144-4154-B669-7FD7BDE7A891}" name="Status" dataDxfId="0">
      <calculatedColumnFormula>IF(Tab_Entregas[[#This Row],[Etapa Pedido]]="6 - Pedido Entregue",IF(Tab_Entregas[[#This Row],[Data de Entrega]]&gt;Tab_Entregas[[#This Row],[Previsão de entrega]],"Atrasado","No prazo"),IF(TODAY()&gt;Tab_Entregas[[#This Row],[Previsão de entrega]],"Atrasado","No prazo"))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Pedido" xr10:uid="{AB5D2EAE-1553-413F-8644-00AF81E36268}" sourceName="Data Pedido">
  <pivotTables>
    <pivotTable tabId="7" name="Tabela dinâmica1"/>
    <pivotTable tabId="7" name="Tabela dinâmica3"/>
    <pivotTable tabId="7" name="Tabela dinâmica4"/>
    <pivotTable tabId="7" name="Tabela dinâmica5"/>
  </pivotTables>
  <state minimalRefreshVersion="6" lastRefreshVersion="6" pivotCacheId="809590951" filterType="dateBetween">
    <selection startDate="2021-01-01T00:00:00" endDate="2022-12-31T00:00:00"/>
    <bounds startDate="2021-01-01T00:00:00" endDate="2023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Pedido" xr10:uid="{6D492B08-D57B-4EC7-9535-2E70E3842745}" cache="NativeTimeline_Data_Pedido" caption="Data Pedido" showHeader="0" showSelectionLabel="0" showTimeLevel="0" level="2" selectionLevel="0" scrollPosition="2021-01-01T00:00:00" style="Estilo de Linha do Tempo 1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ntregador3@gmail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entregador2@hotmail.com" TargetMode="External"/><Relationship Id="rId1" Type="http://schemas.openxmlformats.org/officeDocument/2006/relationships/hyperlink" Target="mailto:entregador1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entregador2@hotmail.com" TargetMode="External"/><Relationship Id="rId4" Type="http://schemas.openxmlformats.org/officeDocument/2006/relationships/hyperlink" Target="mailto:entregador2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lientec@gmail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clienteb@hotmail.com" TargetMode="External"/><Relationship Id="rId1" Type="http://schemas.openxmlformats.org/officeDocument/2006/relationships/hyperlink" Target="mailto:clientea@gmail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clientec@gmail.com" TargetMode="External"/><Relationship Id="rId4" Type="http://schemas.openxmlformats.org/officeDocument/2006/relationships/hyperlink" Target="mailto:clienteb@hot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showGridLines="0" zoomScaleNormal="100" workbookViewId="0">
      <selection sqref="A1:F1"/>
    </sheetView>
  </sheetViews>
  <sheetFormatPr defaultColWidth="0" defaultRowHeight="14.45"/>
  <cols>
    <col min="1" max="2" width="22.42578125" customWidth="1"/>
    <col min="3" max="3" width="28.5703125" customWidth="1"/>
    <col min="4" max="6" width="22.42578125" customWidth="1"/>
    <col min="7" max="8" width="0" hidden="1" customWidth="1"/>
    <col min="9" max="16384" width="8.85546875" hidden="1"/>
  </cols>
  <sheetData>
    <row r="1" spans="1:6" ht="30" customHeight="1">
      <c r="A1" s="29" t="s">
        <v>0</v>
      </c>
      <c r="B1" s="29"/>
      <c r="C1" s="29"/>
      <c r="D1" s="29"/>
      <c r="E1" s="29"/>
      <c r="F1" s="29"/>
    </row>
    <row r="2" spans="1:6" ht="15" customHeight="1"/>
    <row r="3" spans="1:6" ht="30" customHeight="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ht="19.899999999999999" customHeight="1">
      <c r="A4" t="s">
        <v>7</v>
      </c>
      <c r="B4" s="3">
        <v>21912341234</v>
      </c>
      <c r="C4" s="1" t="s">
        <v>8</v>
      </c>
      <c r="D4">
        <v>11223344556</v>
      </c>
      <c r="E4" s="2">
        <v>44915</v>
      </c>
      <c r="F4" t="str">
        <f ca="1">IF(TODAY()&gt;=E4,"Vencido","No Prazo")</f>
        <v>No Prazo</v>
      </c>
    </row>
    <row r="5" spans="1:6" ht="19.899999999999999" customHeight="1">
      <c r="A5" t="s">
        <v>9</v>
      </c>
      <c r="B5" s="3">
        <v>11956785678</v>
      </c>
      <c r="C5" s="1" t="s">
        <v>10</v>
      </c>
      <c r="D5">
        <v>22334455667</v>
      </c>
      <c r="E5" s="2">
        <v>44744</v>
      </c>
      <c r="F5" t="str">
        <f t="shared" ref="F5:F6" ca="1" si="0">IF(TODAY()&gt;=E5,"Vencido","No Prazo")</f>
        <v>Vencido</v>
      </c>
    </row>
    <row r="6" spans="1:6" ht="19.899999999999999" customHeight="1">
      <c r="A6" t="s">
        <v>11</v>
      </c>
      <c r="B6" s="3">
        <v>11912345678</v>
      </c>
      <c r="C6" s="1" t="s">
        <v>12</v>
      </c>
      <c r="D6">
        <v>33445566778</v>
      </c>
      <c r="E6" s="2">
        <v>44970</v>
      </c>
      <c r="F6" t="str">
        <f t="shared" ca="1" si="0"/>
        <v>No Prazo</v>
      </c>
    </row>
    <row r="7" spans="1:6" ht="19.899999999999999" customHeight="1">
      <c r="A7" t="s">
        <v>13</v>
      </c>
      <c r="B7" s="3">
        <v>11956785678</v>
      </c>
      <c r="C7" s="1" t="s">
        <v>10</v>
      </c>
      <c r="D7">
        <v>22334455667</v>
      </c>
      <c r="E7" s="2">
        <v>44806</v>
      </c>
      <c r="F7" t="str">
        <f ca="1">IF(TODAY()&gt;=E7,"Vencido","No Prazo")</f>
        <v>No Prazo</v>
      </c>
    </row>
    <row r="8" spans="1:6" ht="19.899999999999999" customHeight="1">
      <c r="A8" t="s">
        <v>14</v>
      </c>
      <c r="B8" s="3">
        <v>11956785678</v>
      </c>
      <c r="C8" s="1" t="s">
        <v>10</v>
      </c>
      <c r="D8">
        <v>22334455667</v>
      </c>
      <c r="E8" s="2">
        <v>44744</v>
      </c>
      <c r="F8" t="str">
        <f t="shared" ref="F8" ca="1" si="1">IF(TODAY()&gt;=E8,"Vencido","No Prazo")</f>
        <v>Vencido</v>
      </c>
    </row>
    <row r="9" spans="1:6" ht="19.899999999999999" customHeight="1"/>
    <row r="10" spans="1:6" ht="19.899999999999999" customHeight="1"/>
    <row r="11" spans="1:6" ht="19.899999999999999" customHeight="1"/>
    <row r="12" spans="1:6" ht="19.899999999999999" customHeight="1"/>
    <row r="13" spans="1:6" ht="19.899999999999999" customHeight="1"/>
    <row r="14" spans="1:6" ht="19.899999999999999" customHeight="1"/>
    <row r="15" spans="1:6" ht="19.899999999999999" customHeight="1"/>
    <row r="16" spans="1:6" ht="19.899999999999999" customHeight="1"/>
    <row r="17" ht="19.899999999999999" customHeight="1"/>
    <row r="18" ht="19.899999999999999" customHeight="1"/>
    <row r="19" ht="19.899999999999999" customHeight="1"/>
    <row r="20" ht="19.899999999999999" customHeight="1"/>
    <row r="21" ht="19.899999999999999" customHeight="1"/>
    <row r="22" ht="19.899999999999999" customHeight="1"/>
    <row r="23" ht="19.899999999999999" customHeight="1"/>
    <row r="24" ht="19.899999999999999" customHeight="1"/>
    <row r="25" ht="19.899999999999999" customHeight="1"/>
    <row r="26" ht="19.899999999999999" customHeight="1"/>
    <row r="27" ht="19.899999999999999" customHeight="1"/>
    <row r="28" ht="19.899999999999999" customHeight="1"/>
    <row r="29" ht="19.899999999999999" customHeight="1"/>
    <row r="30" ht="19.899999999999999" customHeight="1"/>
    <row r="31" ht="19.899999999999999" customHeight="1"/>
    <row r="32" ht="19.899999999999999" customHeight="1"/>
    <row r="33" ht="19.899999999999999" customHeight="1"/>
    <row r="34" ht="19.899999999999999" customHeight="1"/>
    <row r="35" ht="19.899999999999999" customHeight="1"/>
    <row r="36" ht="19.899999999999999" customHeight="1"/>
    <row r="37" ht="19.899999999999999" customHeight="1"/>
    <row r="38" ht="19.899999999999999" customHeight="1"/>
    <row r="39" ht="19.899999999999999" customHeight="1"/>
    <row r="40" ht="19.899999999999999" customHeight="1"/>
    <row r="41" ht="19.899999999999999" customHeight="1"/>
    <row r="42" ht="19.899999999999999" customHeight="1"/>
    <row r="43" ht="19.899999999999999" customHeight="1"/>
    <row r="44" ht="19.899999999999999" customHeight="1"/>
    <row r="45" ht="19.899999999999999" customHeight="1"/>
    <row r="46" ht="19.899999999999999" customHeight="1"/>
    <row r="47" ht="19.899999999999999" customHeight="1"/>
    <row r="48" ht="19.899999999999999" customHeight="1"/>
    <row r="49" ht="19.899999999999999" customHeight="1"/>
    <row r="50" ht="19.899999999999999" customHeight="1"/>
    <row r="51" ht="19.899999999999999" customHeight="1"/>
    <row r="52" ht="19.899999999999999" customHeight="1"/>
    <row r="53" ht="19.899999999999999" customHeight="1"/>
    <row r="54" ht="19.899999999999999" customHeight="1"/>
    <row r="55" ht="19.899999999999999" customHeight="1"/>
    <row r="56" ht="19.899999999999999" customHeight="1"/>
    <row r="57" ht="19.899999999999999" customHeight="1"/>
    <row r="58" ht="19.899999999999999" customHeight="1"/>
    <row r="59" ht="19.899999999999999" customHeight="1"/>
    <row r="60" ht="19.899999999999999" customHeight="1"/>
    <row r="61" ht="19.899999999999999" customHeight="1"/>
    <row r="62" ht="19.899999999999999" customHeight="1"/>
    <row r="63" ht="19.899999999999999" customHeight="1"/>
    <row r="64" ht="19.899999999999999" customHeight="1"/>
    <row r="65" ht="19.899999999999999" customHeight="1"/>
    <row r="66" ht="19.899999999999999" customHeight="1"/>
    <row r="67" ht="19.899999999999999" customHeight="1"/>
    <row r="68" ht="19.899999999999999" customHeight="1"/>
    <row r="69" ht="19.899999999999999" customHeight="1"/>
    <row r="70" ht="19.899999999999999" customHeight="1"/>
    <row r="71" ht="19.899999999999999" customHeight="1"/>
    <row r="72" ht="19.899999999999999" customHeight="1"/>
    <row r="73" ht="19.899999999999999" customHeight="1"/>
    <row r="74" ht="19.899999999999999" customHeight="1"/>
    <row r="75" ht="19.899999999999999" customHeight="1"/>
    <row r="76" ht="19.899999999999999" customHeight="1"/>
    <row r="77" ht="19.899999999999999" customHeight="1"/>
    <row r="78" ht="19.899999999999999" customHeight="1"/>
    <row r="79" ht="19.899999999999999" customHeight="1"/>
    <row r="80" ht="19.899999999999999" customHeight="1"/>
    <row r="81" ht="19.899999999999999" customHeight="1"/>
    <row r="82" ht="19.899999999999999" customHeight="1"/>
    <row r="83" ht="19.899999999999999" customHeight="1"/>
    <row r="84" ht="19.899999999999999" customHeight="1"/>
    <row r="85" ht="19.899999999999999" customHeight="1"/>
    <row r="86" ht="19.899999999999999" customHeight="1"/>
    <row r="87" ht="19.899999999999999" customHeight="1"/>
    <row r="88" ht="19.899999999999999" customHeight="1"/>
    <row r="89" ht="19.899999999999999" customHeight="1"/>
    <row r="90" ht="19.899999999999999" customHeight="1"/>
    <row r="91" ht="19.899999999999999" customHeight="1"/>
    <row r="92" ht="19.899999999999999" customHeight="1"/>
    <row r="93" ht="19.899999999999999" customHeight="1"/>
    <row r="94" ht="19.899999999999999" customHeight="1"/>
    <row r="95" ht="19.899999999999999" customHeight="1"/>
    <row r="96" ht="19.899999999999999" customHeight="1"/>
    <row r="97" ht="19.899999999999999" customHeight="1"/>
    <row r="98" ht="19.899999999999999" customHeight="1"/>
    <row r="99" ht="19.899999999999999" customHeight="1"/>
    <row r="100" ht="19.899999999999999" customHeight="1"/>
    <row r="101" ht="19.899999999999999" customHeight="1"/>
    <row r="102" ht="19.899999999999999" customHeight="1"/>
    <row r="103" ht="19.899999999999999" customHeight="1"/>
    <row r="104" ht="19.899999999999999" customHeight="1"/>
    <row r="105" ht="19.899999999999999" customHeight="1"/>
    <row r="106" ht="19.899999999999999" customHeight="1"/>
    <row r="107" ht="19.899999999999999" customHeight="1"/>
    <row r="108" ht="19.899999999999999" customHeight="1"/>
    <row r="109" ht="19.899999999999999" customHeight="1"/>
    <row r="110" ht="19.899999999999999" customHeight="1"/>
    <row r="111" ht="19.899999999999999" customHeight="1"/>
    <row r="112" ht="19.899999999999999" customHeight="1"/>
    <row r="113" ht="19.899999999999999" customHeight="1"/>
    <row r="114" ht="19.899999999999999" customHeight="1"/>
    <row r="115" ht="19.899999999999999" customHeight="1"/>
    <row r="116" ht="19.899999999999999" customHeight="1"/>
    <row r="117" ht="19.899999999999999" customHeight="1"/>
    <row r="118" ht="19.899999999999999" customHeight="1"/>
    <row r="119" ht="19.899999999999999" customHeight="1"/>
    <row r="120" ht="19.899999999999999" customHeight="1"/>
    <row r="121" ht="19.899999999999999" customHeight="1"/>
    <row r="122" ht="19.899999999999999" customHeight="1"/>
    <row r="123" ht="19.899999999999999" customHeight="1"/>
    <row r="124" ht="19.899999999999999" customHeight="1"/>
    <row r="125" ht="19.899999999999999" customHeight="1"/>
    <row r="126" ht="19.899999999999999" customHeight="1"/>
    <row r="127" ht="19.899999999999999" customHeight="1"/>
    <row r="128" ht="19.899999999999999" customHeight="1"/>
    <row r="129" ht="19.899999999999999" customHeight="1"/>
    <row r="130" ht="19.899999999999999" customHeight="1"/>
    <row r="131" ht="19.899999999999999" customHeight="1"/>
    <row r="132" ht="19.899999999999999" customHeight="1"/>
    <row r="133" ht="19.899999999999999" customHeight="1"/>
    <row r="134" ht="19.899999999999999" customHeight="1"/>
    <row r="135" ht="19.899999999999999" customHeight="1"/>
    <row r="136" ht="19.899999999999999" customHeight="1"/>
    <row r="137" ht="19.899999999999999" customHeight="1"/>
    <row r="138" ht="19.899999999999999" customHeight="1"/>
    <row r="139" ht="19.899999999999999" customHeight="1"/>
    <row r="140" ht="19.899999999999999" customHeight="1"/>
    <row r="141" ht="19.899999999999999" customHeight="1"/>
    <row r="142" ht="19.899999999999999" customHeight="1"/>
    <row r="143" ht="19.899999999999999" customHeight="1"/>
    <row r="144" ht="19.899999999999999" customHeight="1"/>
    <row r="145" ht="19.899999999999999" customHeight="1"/>
    <row r="146" ht="19.899999999999999" customHeight="1"/>
    <row r="147" ht="19.899999999999999" customHeight="1"/>
    <row r="148" ht="19.899999999999999" customHeight="1"/>
    <row r="149" ht="19.899999999999999" customHeight="1"/>
    <row r="150" ht="19.899999999999999" customHeight="1"/>
    <row r="151" ht="19.899999999999999" customHeight="1"/>
    <row r="152" ht="19.899999999999999" customHeight="1"/>
    <row r="153" ht="19.899999999999999" customHeight="1"/>
    <row r="154" ht="19.899999999999999" customHeight="1"/>
    <row r="155" ht="19.899999999999999" customHeight="1"/>
    <row r="156" ht="19.899999999999999" customHeight="1"/>
    <row r="157" ht="19.899999999999999" customHeight="1"/>
    <row r="158" ht="19.899999999999999" customHeight="1"/>
    <row r="159" ht="19.899999999999999" customHeight="1"/>
    <row r="160" ht="19.899999999999999" customHeight="1"/>
    <row r="161" ht="19.899999999999999" customHeight="1"/>
    <row r="162" ht="19.899999999999999" customHeight="1"/>
    <row r="163" ht="19.899999999999999" customHeight="1"/>
    <row r="164" ht="19.899999999999999" customHeight="1"/>
    <row r="165" ht="19.899999999999999" customHeight="1"/>
    <row r="166" ht="19.899999999999999" customHeight="1"/>
    <row r="167" ht="19.899999999999999" customHeight="1"/>
    <row r="168" ht="19.899999999999999" customHeight="1"/>
    <row r="169" ht="19.899999999999999" customHeight="1"/>
    <row r="170" ht="19.899999999999999" customHeight="1"/>
    <row r="171" ht="19.899999999999999" customHeight="1"/>
    <row r="172" ht="19.899999999999999" customHeight="1"/>
    <row r="173" ht="19.899999999999999" customHeight="1"/>
    <row r="174" ht="19.899999999999999" customHeight="1"/>
    <row r="175" ht="19.899999999999999" customHeight="1"/>
    <row r="176" ht="19.899999999999999" customHeight="1"/>
    <row r="177" ht="19.899999999999999" customHeight="1"/>
    <row r="178" ht="19.899999999999999" customHeight="1"/>
    <row r="179" ht="19.899999999999999" customHeight="1"/>
    <row r="180" ht="19.899999999999999" customHeight="1"/>
    <row r="181" ht="19.899999999999999" customHeight="1"/>
    <row r="182" ht="19.899999999999999" customHeight="1"/>
    <row r="183" ht="19.899999999999999" customHeight="1"/>
    <row r="184" ht="19.899999999999999" customHeight="1"/>
    <row r="185" ht="19.899999999999999" customHeight="1"/>
    <row r="186" ht="19.899999999999999" customHeight="1"/>
    <row r="187" ht="19.899999999999999" customHeight="1"/>
    <row r="188" ht="19.899999999999999" customHeight="1"/>
    <row r="189" ht="19.899999999999999" customHeight="1"/>
    <row r="190" ht="19.899999999999999" customHeight="1"/>
    <row r="191" ht="19.899999999999999" customHeight="1"/>
    <row r="192" ht="19.899999999999999" customHeight="1"/>
    <row r="193" ht="19.899999999999999" customHeight="1"/>
    <row r="194" ht="19.899999999999999" customHeight="1"/>
    <row r="195" ht="19.899999999999999" customHeight="1"/>
    <row r="196" ht="19.899999999999999" customHeight="1"/>
    <row r="197" ht="19.899999999999999" customHeight="1"/>
    <row r="198" ht="19.899999999999999" customHeight="1"/>
    <row r="199" ht="19.899999999999999" customHeight="1"/>
    <row r="200" ht="19.899999999999999" customHeight="1"/>
    <row r="201" ht="19.899999999999999" customHeight="1"/>
    <row r="202" ht="19.899999999999999" customHeight="1"/>
    <row r="203" ht="19.899999999999999" customHeight="1"/>
    <row r="204" ht="19.899999999999999" customHeight="1"/>
    <row r="205" ht="19.899999999999999" customHeight="1"/>
    <row r="206" ht="19.899999999999999" customHeight="1"/>
    <row r="207" ht="19.899999999999999" customHeight="1"/>
    <row r="208" ht="19.899999999999999" customHeight="1"/>
    <row r="209" ht="19.899999999999999" customHeight="1"/>
    <row r="210" ht="19.899999999999999" customHeight="1"/>
    <row r="211" ht="19.899999999999999" customHeight="1"/>
    <row r="212" ht="19.899999999999999" customHeight="1"/>
    <row r="213" ht="19.899999999999999" customHeight="1"/>
    <row r="214" ht="19.899999999999999" customHeight="1"/>
    <row r="215" ht="19.899999999999999" customHeight="1"/>
    <row r="216" ht="19.899999999999999" customHeight="1"/>
    <row r="217" ht="19.899999999999999" customHeight="1"/>
    <row r="218" ht="19.899999999999999" customHeight="1"/>
    <row r="219" ht="19.899999999999999" customHeight="1"/>
    <row r="220" ht="19.899999999999999" customHeight="1"/>
    <row r="221" ht="19.899999999999999" customHeight="1"/>
    <row r="222" ht="19.899999999999999" customHeight="1"/>
    <row r="223" ht="19.899999999999999" customHeight="1"/>
    <row r="224" ht="19.899999999999999" customHeight="1"/>
    <row r="225" ht="19.899999999999999" customHeight="1"/>
    <row r="226" ht="19.899999999999999" customHeight="1"/>
    <row r="227" ht="19.899999999999999" customHeight="1"/>
    <row r="228" ht="19.899999999999999" customHeight="1"/>
    <row r="229" ht="19.899999999999999" customHeight="1"/>
    <row r="230" ht="19.899999999999999" customHeight="1"/>
    <row r="231" ht="19.899999999999999" customHeight="1"/>
    <row r="232" ht="19.899999999999999" customHeight="1"/>
    <row r="233" ht="19.899999999999999" customHeight="1"/>
    <row r="234" ht="19.899999999999999" customHeight="1"/>
    <row r="235" ht="19.899999999999999" customHeight="1"/>
    <row r="236" ht="19.899999999999999" customHeight="1"/>
    <row r="237" ht="19.899999999999999" customHeight="1"/>
    <row r="238" ht="19.899999999999999" customHeight="1"/>
    <row r="239" ht="19.899999999999999" customHeight="1"/>
    <row r="240" ht="19.899999999999999" customHeight="1"/>
    <row r="241" ht="19.899999999999999" customHeight="1"/>
    <row r="242" ht="19.899999999999999" customHeight="1"/>
    <row r="243" ht="19.899999999999999" customHeight="1"/>
    <row r="244" ht="19.899999999999999" customHeight="1"/>
    <row r="245" ht="19.899999999999999" customHeight="1"/>
    <row r="246" ht="19.899999999999999" customHeight="1"/>
    <row r="247" ht="19.899999999999999" customHeight="1"/>
    <row r="248" ht="19.899999999999999" customHeight="1"/>
    <row r="249" ht="19.899999999999999" customHeight="1"/>
    <row r="250" ht="19.899999999999999" customHeight="1"/>
    <row r="251" ht="19.899999999999999" customHeight="1"/>
    <row r="252" ht="19.899999999999999" customHeight="1"/>
    <row r="253" ht="19.899999999999999" customHeight="1"/>
    <row r="254" ht="19.899999999999999" customHeight="1"/>
    <row r="255" ht="19.899999999999999" customHeight="1"/>
    <row r="256" ht="19.899999999999999" customHeight="1"/>
    <row r="257" ht="19.899999999999999" customHeight="1"/>
    <row r="258" ht="19.899999999999999" customHeight="1"/>
    <row r="259" ht="19.899999999999999" customHeight="1"/>
    <row r="260" ht="19.899999999999999" customHeight="1"/>
    <row r="261" ht="19.899999999999999" customHeight="1"/>
    <row r="262" ht="19.899999999999999" customHeight="1"/>
    <row r="263" ht="19.899999999999999" customHeight="1"/>
    <row r="264" ht="19.899999999999999" customHeight="1"/>
    <row r="265" ht="19.899999999999999" customHeight="1"/>
    <row r="266" ht="19.899999999999999" customHeight="1"/>
    <row r="267" ht="19.899999999999999" customHeight="1"/>
    <row r="268" ht="19.899999999999999" customHeight="1"/>
    <row r="269" ht="19.899999999999999" customHeight="1"/>
    <row r="270" ht="19.899999999999999" customHeight="1"/>
    <row r="271" ht="19.899999999999999" customHeight="1"/>
    <row r="272" ht="19.899999999999999" customHeight="1"/>
    <row r="273" ht="19.899999999999999" customHeight="1"/>
    <row r="274" ht="19.899999999999999" customHeight="1"/>
    <row r="275" ht="19.899999999999999" customHeight="1"/>
    <row r="276" ht="19.899999999999999" customHeight="1"/>
    <row r="277" ht="19.899999999999999" customHeight="1"/>
    <row r="278" ht="19.899999999999999" customHeight="1"/>
    <row r="279" ht="19.899999999999999" customHeight="1"/>
    <row r="280" ht="19.899999999999999" customHeight="1"/>
    <row r="281" ht="19.899999999999999" customHeight="1"/>
    <row r="282" ht="19.899999999999999" customHeight="1"/>
    <row r="283" ht="19.899999999999999" customHeight="1"/>
    <row r="284" ht="19.899999999999999" customHeight="1"/>
    <row r="285" ht="19.899999999999999" customHeight="1"/>
    <row r="286" ht="19.899999999999999" customHeight="1"/>
    <row r="287" ht="19.899999999999999" customHeight="1"/>
    <row r="288" ht="19.899999999999999" customHeight="1"/>
    <row r="289" ht="19.899999999999999" customHeight="1"/>
    <row r="290" ht="19.899999999999999" customHeight="1"/>
    <row r="291" ht="19.899999999999999" customHeight="1"/>
    <row r="292" ht="19.899999999999999" customHeight="1"/>
    <row r="293" ht="19.899999999999999" customHeight="1"/>
    <row r="294" ht="19.899999999999999" customHeight="1"/>
    <row r="295" ht="19.899999999999999" customHeight="1"/>
    <row r="296" ht="19.899999999999999" customHeight="1"/>
    <row r="297" ht="19.899999999999999" customHeight="1"/>
    <row r="298" ht="19.899999999999999" customHeight="1"/>
    <row r="299" ht="19.899999999999999" customHeight="1"/>
    <row r="300" ht="19.899999999999999" customHeight="1"/>
    <row r="301" ht="19.899999999999999" customHeight="1"/>
    <row r="302" ht="19.899999999999999" customHeight="1"/>
    <row r="303" ht="19.899999999999999" customHeight="1"/>
    <row r="304" ht="19.899999999999999" customHeight="1"/>
    <row r="305" ht="19.899999999999999" customHeight="1"/>
    <row r="306" ht="19.899999999999999" customHeight="1"/>
    <row r="307" ht="19.899999999999999" customHeight="1"/>
    <row r="308" ht="19.899999999999999" customHeight="1"/>
    <row r="309" ht="19.899999999999999" customHeight="1"/>
    <row r="310" ht="19.899999999999999" customHeight="1"/>
    <row r="311" ht="19.899999999999999" customHeight="1"/>
    <row r="312" ht="19.899999999999999" customHeight="1"/>
    <row r="313" ht="19.899999999999999" customHeight="1"/>
    <row r="314" ht="19.899999999999999" customHeight="1"/>
    <row r="315" ht="19.899999999999999" customHeight="1"/>
    <row r="316" ht="19.899999999999999" customHeight="1"/>
    <row r="317" ht="19.899999999999999" customHeight="1"/>
    <row r="318" ht="19.899999999999999" customHeight="1"/>
    <row r="319" ht="19.899999999999999" customHeight="1"/>
    <row r="320" ht="19.899999999999999" customHeight="1"/>
    <row r="321" ht="19.899999999999999" customHeight="1"/>
    <row r="322" ht="19.899999999999999" customHeight="1"/>
    <row r="323" ht="19.899999999999999" customHeight="1"/>
    <row r="324" ht="19.899999999999999" customHeight="1"/>
    <row r="325" ht="19.899999999999999" customHeight="1"/>
    <row r="326" ht="19.899999999999999" customHeight="1"/>
    <row r="327" ht="19.899999999999999" customHeight="1"/>
    <row r="328" ht="19.899999999999999" customHeight="1"/>
    <row r="329" ht="19.899999999999999" customHeight="1"/>
    <row r="330" ht="19.899999999999999" customHeight="1"/>
    <row r="331" ht="19.899999999999999" customHeight="1"/>
    <row r="332" ht="19.899999999999999" customHeight="1"/>
    <row r="333" ht="19.899999999999999" customHeight="1"/>
    <row r="334" ht="19.899999999999999" customHeight="1"/>
    <row r="335" ht="19.899999999999999" customHeight="1"/>
    <row r="336" ht="19.899999999999999" customHeight="1"/>
    <row r="337" ht="19.899999999999999" customHeight="1"/>
    <row r="338" ht="19.899999999999999" customHeight="1"/>
    <row r="339" ht="19.899999999999999" customHeight="1"/>
    <row r="340" ht="19.899999999999999" customHeight="1"/>
    <row r="341" ht="19.899999999999999" customHeight="1"/>
    <row r="342" ht="19.899999999999999" customHeight="1"/>
    <row r="343" ht="19.899999999999999" customHeight="1"/>
    <row r="344" ht="19.899999999999999" customHeight="1"/>
    <row r="345" ht="19.899999999999999" customHeight="1"/>
    <row r="346" ht="19.899999999999999" customHeight="1"/>
    <row r="347" ht="19.899999999999999" customHeight="1"/>
    <row r="348" ht="19.899999999999999" customHeight="1"/>
    <row r="349" ht="19.899999999999999" customHeight="1"/>
    <row r="350" ht="19.899999999999999" customHeight="1"/>
    <row r="351" ht="19.899999999999999" customHeight="1"/>
    <row r="352" ht="19.899999999999999" customHeight="1"/>
    <row r="353" ht="19.899999999999999" customHeight="1"/>
    <row r="354" ht="19.899999999999999" customHeight="1"/>
    <row r="355" ht="19.899999999999999" customHeight="1"/>
    <row r="356" ht="19.899999999999999" customHeight="1"/>
    <row r="357" ht="19.899999999999999" customHeight="1"/>
    <row r="358" ht="19.899999999999999" customHeight="1"/>
    <row r="359" ht="19.899999999999999" customHeight="1"/>
    <row r="360" ht="19.899999999999999" customHeight="1"/>
    <row r="361" ht="19.899999999999999" customHeight="1"/>
    <row r="362" ht="19.899999999999999" customHeight="1"/>
    <row r="363" ht="19.899999999999999" customHeight="1"/>
    <row r="364" ht="19.899999999999999" customHeight="1"/>
    <row r="365" ht="19.899999999999999" customHeight="1"/>
    <row r="366" ht="19.899999999999999" customHeight="1"/>
    <row r="367" ht="19.899999999999999" customHeight="1"/>
    <row r="368" ht="19.899999999999999" customHeight="1"/>
    <row r="369" ht="19.899999999999999" customHeight="1"/>
    <row r="370" ht="19.899999999999999" customHeight="1"/>
    <row r="371" ht="19.899999999999999" customHeight="1"/>
    <row r="372" ht="19.899999999999999" customHeight="1"/>
    <row r="373" ht="19.899999999999999" customHeight="1"/>
    <row r="374" ht="19.899999999999999" customHeight="1"/>
    <row r="375" ht="19.899999999999999" customHeight="1"/>
    <row r="376" ht="19.899999999999999" customHeight="1"/>
    <row r="377" ht="19.899999999999999" customHeight="1"/>
    <row r="378" ht="19.899999999999999" customHeight="1"/>
    <row r="379" ht="19.899999999999999" customHeight="1"/>
    <row r="380" ht="19.899999999999999" customHeight="1"/>
    <row r="381" ht="19.899999999999999" customHeight="1"/>
    <row r="382" ht="19.899999999999999" customHeight="1"/>
    <row r="383" ht="19.899999999999999" customHeight="1"/>
    <row r="384" ht="19.899999999999999" customHeight="1"/>
    <row r="385" ht="19.899999999999999" customHeight="1"/>
    <row r="386" ht="19.899999999999999" customHeight="1"/>
    <row r="387" ht="19.899999999999999" customHeight="1"/>
    <row r="388" ht="19.899999999999999" customHeight="1"/>
    <row r="389" ht="19.899999999999999" customHeight="1"/>
    <row r="390" ht="19.899999999999999" customHeight="1"/>
    <row r="391" ht="19.899999999999999" customHeight="1"/>
    <row r="392" ht="19.899999999999999" customHeight="1"/>
    <row r="393" ht="19.899999999999999" customHeight="1"/>
    <row r="394" ht="19.899999999999999" customHeight="1"/>
    <row r="395" ht="19.899999999999999" customHeight="1"/>
    <row r="396" ht="19.899999999999999" customHeight="1"/>
    <row r="397" ht="19.899999999999999" customHeight="1"/>
    <row r="398" ht="19.899999999999999" customHeight="1"/>
    <row r="399" ht="19.899999999999999" customHeight="1"/>
    <row r="400" ht="19.899999999999999" customHeight="1"/>
    <row r="401" ht="19.899999999999999" customHeight="1"/>
  </sheetData>
  <mergeCells count="1">
    <mergeCell ref="A1:F1"/>
  </mergeCells>
  <conditionalFormatting sqref="F4:F8">
    <cfRule type="cellIs" dxfId="19" priority="1" operator="equal">
      <formula>"Vencido"</formula>
    </cfRule>
    <cfRule type="cellIs" dxfId="18" priority="2" operator="equal">
      <formula>"No Prazo"</formula>
    </cfRule>
  </conditionalFormatting>
  <dataValidations count="1">
    <dataValidation type="list" allowBlank="1" showInputMessage="1" showErrorMessage="1" sqref="F4:F8" xr:uid="{B443DD0C-C286-47E7-B683-ECD0B00C9D45}">
      <formula1>"No Prazo,Vencido"</formula1>
    </dataValidation>
  </dataValidations>
  <hyperlinks>
    <hyperlink ref="C4" r:id="rId1" xr:uid="{2105DD53-67D9-40A3-84EF-E65F38F55517}"/>
    <hyperlink ref="C5" r:id="rId2" xr:uid="{51FF841B-FAE8-4CED-B13D-00ABF95D9A22}"/>
    <hyperlink ref="C6" r:id="rId3" xr:uid="{F52A2D37-B989-4DD4-A57A-4721D376FEB3}"/>
    <hyperlink ref="C7" r:id="rId4" xr:uid="{4AEF63D2-37A0-4594-92DB-751843B00DB3}"/>
    <hyperlink ref="C8" r:id="rId5" xr:uid="{76D3C55F-2B4F-4E70-9E84-DDE9AE6F1B09}"/>
  </hyperlinks>
  <pageMargins left="0.7" right="0.7" top="0.75" bottom="0.75" header="0.3" footer="0.3"/>
  <pageSetup paperSize="9" orientation="portrait"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FD413-3D76-484C-A8B0-15BFBB37787B}">
  <dimension ref="A1:N397"/>
  <sheetViews>
    <sheetView showGridLines="0" zoomScaleNormal="100" workbookViewId="0">
      <selection sqref="A1:G1"/>
    </sheetView>
  </sheetViews>
  <sheetFormatPr defaultColWidth="0" defaultRowHeight="14.45"/>
  <cols>
    <col min="1" max="2" width="22.42578125" customWidth="1"/>
    <col min="3" max="3" width="28.5703125" customWidth="1"/>
    <col min="4" max="6" width="22.42578125" customWidth="1"/>
    <col min="7" max="7" width="8.85546875" customWidth="1"/>
    <col min="8" max="14" width="0" hidden="1" customWidth="1"/>
    <col min="15" max="16384" width="8.85546875" hidden="1"/>
  </cols>
  <sheetData>
    <row r="1" spans="1:7" ht="30" customHeight="1">
      <c r="A1" s="29" t="s">
        <v>15</v>
      </c>
      <c r="B1" s="29"/>
      <c r="C1" s="29"/>
      <c r="D1" s="29"/>
      <c r="E1" s="29"/>
      <c r="F1" s="29"/>
      <c r="G1" s="29"/>
    </row>
    <row r="2" spans="1:7" ht="15" customHeight="1"/>
    <row r="3" spans="1:7" ht="30" customHeight="1">
      <c r="A3" t="s">
        <v>1</v>
      </c>
      <c r="B3" t="s">
        <v>16</v>
      </c>
      <c r="C3" t="s">
        <v>3</v>
      </c>
      <c r="D3" t="s">
        <v>17</v>
      </c>
      <c r="E3" t="s">
        <v>18</v>
      </c>
      <c r="F3" t="s">
        <v>19</v>
      </c>
      <c r="G3" t="s">
        <v>20</v>
      </c>
    </row>
    <row r="4" spans="1:7" ht="19.899999999999999" customHeight="1">
      <c r="A4" t="s">
        <v>21</v>
      </c>
      <c r="B4" s="9">
        <v>12345678901</v>
      </c>
      <c r="C4" s="1" t="s">
        <v>22</v>
      </c>
      <c r="D4" s="24" t="s">
        <v>23</v>
      </c>
      <c r="E4" t="s">
        <v>24</v>
      </c>
      <c r="F4" s="2" t="s">
        <v>25</v>
      </c>
      <c r="G4" t="s">
        <v>26</v>
      </c>
    </row>
    <row r="5" spans="1:7" ht="19.899999999999999" customHeight="1">
      <c r="A5" t="s">
        <v>27</v>
      </c>
      <c r="B5" s="9">
        <v>2345678901</v>
      </c>
      <c r="C5" s="1" t="s">
        <v>28</v>
      </c>
      <c r="D5" s="24" t="s">
        <v>29</v>
      </c>
      <c r="E5" t="s">
        <v>30</v>
      </c>
      <c r="F5" s="2" t="s">
        <v>31</v>
      </c>
      <c r="G5" t="s">
        <v>32</v>
      </c>
    </row>
    <row r="6" spans="1:7" ht="19.899999999999999" customHeight="1">
      <c r="A6" t="s">
        <v>33</v>
      </c>
      <c r="B6" s="9">
        <v>34567890123</v>
      </c>
      <c r="C6" s="1" t="s">
        <v>34</v>
      </c>
      <c r="D6" s="24" t="s">
        <v>35</v>
      </c>
      <c r="E6" t="s">
        <v>36</v>
      </c>
      <c r="F6" s="2" t="s">
        <v>37</v>
      </c>
      <c r="G6" t="s">
        <v>38</v>
      </c>
    </row>
    <row r="7" spans="1:7" ht="19.899999999999999" customHeight="1">
      <c r="A7" t="s">
        <v>39</v>
      </c>
      <c r="B7" s="9">
        <v>2345678901</v>
      </c>
      <c r="C7" s="1" t="s">
        <v>28</v>
      </c>
      <c r="D7" s="4" t="s">
        <v>29</v>
      </c>
      <c r="E7" t="s">
        <v>30</v>
      </c>
      <c r="F7" s="2" t="s">
        <v>31</v>
      </c>
      <c r="G7" t="s">
        <v>40</v>
      </c>
    </row>
    <row r="8" spans="1:7" ht="19.899999999999999" customHeight="1">
      <c r="A8" t="s">
        <v>41</v>
      </c>
      <c r="B8" s="9">
        <v>34567890123</v>
      </c>
      <c r="C8" s="1" t="s">
        <v>34</v>
      </c>
      <c r="D8" s="4" t="s">
        <v>35</v>
      </c>
      <c r="E8" t="s">
        <v>36</v>
      </c>
      <c r="F8" s="2" t="s">
        <v>37</v>
      </c>
      <c r="G8" t="s">
        <v>42</v>
      </c>
    </row>
    <row r="9" spans="1:7" ht="19.899999999999999" customHeight="1"/>
    <row r="10" spans="1:7" ht="19.899999999999999" customHeight="1"/>
    <row r="11" spans="1:7" ht="19.899999999999999" customHeight="1"/>
    <row r="12" spans="1:7" ht="19.899999999999999" customHeight="1"/>
    <row r="13" spans="1:7" ht="19.899999999999999" customHeight="1"/>
    <row r="14" spans="1:7" ht="19.899999999999999" customHeight="1"/>
    <row r="15" spans="1:7" ht="19.899999999999999" customHeight="1"/>
    <row r="16" spans="1:7" ht="19.899999999999999" customHeight="1"/>
    <row r="17" ht="19.899999999999999" customHeight="1"/>
    <row r="18" ht="19.899999999999999" customHeight="1"/>
    <row r="19" ht="19.899999999999999" customHeight="1"/>
    <row r="20" ht="19.899999999999999" customHeight="1"/>
    <row r="21" ht="19.899999999999999" customHeight="1"/>
    <row r="22" ht="19.899999999999999" customHeight="1"/>
    <row r="23" ht="19.899999999999999" customHeight="1"/>
    <row r="24" ht="19.899999999999999" customHeight="1"/>
    <row r="25" ht="19.899999999999999" customHeight="1"/>
    <row r="26" ht="19.899999999999999" customHeight="1"/>
    <row r="27" ht="19.899999999999999" customHeight="1"/>
    <row r="28" ht="19.899999999999999" customHeight="1"/>
    <row r="29" ht="19.899999999999999" customHeight="1"/>
    <row r="30" ht="19.899999999999999" customHeight="1"/>
    <row r="31" ht="19.899999999999999" customHeight="1"/>
    <row r="32" ht="19.899999999999999" customHeight="1"/>
    <row r="33" ht="19.899999999999999" customHeight="1"/>
    <row r="34" ht="19.899999999999999" customHeight="1"/>
    <row r="35" ht="19.899999999999999" customHeight="1"/>
    <row r="36" ht="19.899999999999999" customHeight="1"/>
    <row r="37" ht="19.899999999999999" customHeight="1"/>
    <row r="38" ht="19.899999999999999" customHeight="1"/>
    <row r="39" ht="19.899999999999999" customHeight="1"/>
    <row r="40" ht="19.899999999999999" customHeight="1"/>
    <row r="41" ht="19.899999999999999" customHeight="1"/>
    <row r="42" ht="19.899999999999999" customHeight="1"/>
    <row r="43" ht="19.899999999999999" customHeight="1"/>
    <row r="44" ht="19.899999999999999" customHeight="1"/>
    <row r="45" ht="19.899999999999999" customHeight="1"/>
    <row r="46" ht="19.899999999999999" customHeight="1"/>
    <row r="47" ht="19.899999999999999" customHeight="1"/>
    <row r="48" ht="19.899999999999999" customHeight="1"/>
    <row r="49" ht="19.899999999999999" customHeight="1"/>
    <row r="50" ht="19.899999999999999" customHeight="1"/>
    <row r="51" ht="19.899999999999999" customHeight="1"/>
    <row r="52" ht="19.899999999999999" customHeight="1"/>
    <row r="53" ht="19.899999999999999" customHeight="1"/>
    <row r="54" ht="19.899999999999999" customHeight="1"/>
    <row r="55" ht="19.899999999999999" customHeight="1"/>
    <row r="56" ht="19.899999999999999" customHeight="1"/>
    <row r="57" ht="19.899999999999999" customHeight="1"/>
    <row r="58" ht="19.899999999999999" customHeight="1"/>
    <row r="59" ht="19.899999999999999" customHeight="1"/>
    <row r="60" ht="19.899999999999999" customHeight="1"/>
    <row r="61" ht="19.899999999999999" customHeight="1"/>
    <row r="62" ht="19.899999999999999" customHeight="1"/>
    <row r="63" ht="19.899999999999999" customHeight="1"/>
    <row r="64" ht="19.899999999999999" customHeight="1"/>
    <row r="65" ht="19.899999999999999" customHeight="1"/>
    <row r="66" ht="19.899999999999999" customHeight="1"/>
    <row r="67" ht="19.899999999999999" customHeight="1"/>
    <row r="68" ht="19.899999999999999" customHeight="1"/>
    <row r="69" ht="19.899999999999999" customHeight="1"/>
    <row r="70" ht="19.899999999999999" customHeight="1"/>
    <row r="71" ht="19.899999999999999" customHeight="1"/>
    <row r="72" ht="19.899999999999999" customHeight="1"/>
    <row r="73" ht="19.899999999999999" customHeight="1"/>
    <row r="74" ht="19.899999999999999" customHeight="1"/>
    <row r="75" ht="19.899999999999999" customHeight="1"/>
    <row r="76" ht="19.899999999999999" customHeight="1"/>
    <row r="77" ht="19.899999999999999" customHeight="1"/>
    <row r="78" ht="19.899999999999999" customHeight="1"/>
    <row r="79" ht="19.899999999999999" customHeight="1"/>
    <row r="80" ht="19.899999999999999" customHeight="1"/>
    <row r="81" ht="19.899999999999999" customHeight="1"/>
    <row r="82" ht="19.899999999999999" customHeight="1"/>
    <row r="83" ht="19.899999999999999" customHeight="1"/>
    <row r="84" ht="19.899999999999999" customHeight="1"/>
    <row r="85" ht="19.899999999999999" customHeight="1"/>
    <row r="86" ht="19.899999999999999" customHeight="1"/>
    <row r="87" ht="19.899999999999999" customHeight="1"/>
    <row r="88" ht="19.899999999999999" customHeight="1"/>
    <row r="89" ht="19.899999999999999" customHeight="1"/>
    <row r="90" ht="19.899999999999999" customHeight="1"/>
    <row r="91" ht="19.899999999999999" customHeight="1"/>
    <row r="92" ht="19.899999999999999" customHeight="1"/>
    <row r="93" ht="19.899999999999999" customHeight="1"/>
    <row r="94" ht="19.899999999999999" customHeight="1"/>
    <row r="95" ht="19.899999999999999" customHeight="1"/>
    <row r="96" ht="19.899999999999999" customHeight="1"/>
    <row r="97" ht="19.899999999999999" customHeight="1"/>
    <row r="98" ht="19.899999999999999" customHeight="1"/>
    <row r="99" ht="19.899999999999999" customHeight="1"/>
    <row r="100" ht="19.899999999999999" customHeight="1"/>
    <row r="101" ht="19.899999999999999" customHeight="1"/>
    <row r="102" ht="19.899999999999999" customHeight="1"/>
    <row r="103" ht="19.899999999999999" customHeight="1"/>
    <row r="104" ht="19.899999999999999" customHeight="1"/>
    <row r="105" ht="19.899999999999999" customHeight="1"/>
    <row r="106" ht="19.899999999999999" customHeight="1"/>
    <row r="107" ht="19.899999999999999" customHeight="1"/>
    <row r="108" ht="19.899999999999999" customHeight="1"/>
    <row r="109" ht="19.899999999999999" customHeight="1"/>
    <row r="110" ht="19.899999999999999" customHeight="1"/>
    <row r="111" ht="19.899999999999999" customHeight="1"/>
    <row r="112" ht="19.899999999999999" customHeight="1"/>
    <row r="113" ht="19.899999999999999" customHeight="1"/>
    <row r="114" ht="19.899999999999999" customHeight="1"/>
    <row r="115" ht="19.899999999999999" customHeight="1"/>
    <row r="116" ht="19.899999999999999" customHeight="1"/>
    <row r="117" ht="19.899999999999999" customHeight="1"/>
    <row r="118" ht="19.899999999999999" customHeight="1"/>
    <row r="119" ht="19.899999999999999" customHeight="1"/>
    <row r="120" ht="19.899999999999999" customHeight="1"/>
    <row r="121" ht="19.899999999999999" customHeight="1"/>
    <row r="122" ht="19.899999999999999" customHeight="1"/>
    <row r="123" ht="19.899999999999999" customHeight="1"/>
    <row r="124" ht="19.899999999999999" customHeight="1"/>
    <row r="125" ht="19.899999999999999" customHeight="1"/>
    <row r="126" ht="19.899999999999999" customHeight="1"/>
    <row r="127" ht="19.899999999999999" customHeight="1"/>
    <row r="128" ht="19.899999999999999" customHeight="1"/>
    <row r="129" ht="19.899999999999999" customHeight="1"/>
    <row r="130" ht="19.899999999999999" customHeight="1"/>
    <row r="131" ht="19.899999999999999" customHeight="1"/>
    <row r="132" ht="19.899999999999999" customHeight="1"/>
    <row r="133" ht="19.899999999999999" customHeight="1"/>
    <row r="134" ht="19.899999999999999" customHeight="1"/>
    <row r="135" ht="19.899999999999999" customHeight="1"/>
    <row r="136" ht="19.899999999999999" customHeight="1"/>
    <row r="137" ht="19.899999999999999" customHeight="1"/>
    <row r="138" ht="19.899999999999999" customHeight="1"/>
    <row r="139" ht="19.899999999999999" customHeight="1"/>
    <row r="140" ht="19.899999999999999" customHeight="1"/>
    <row r="141" ht="19.899999999999999" customHeight="1"/>
    <row r="142" ht="19.899999999999999" customHeight="1"/>
    <row r="143" ht="19.899999999999999" customHeight="1"/>
    <row r="144" ht="19.899999999999999" customHeight="1"/>
    <row r="145" ht="19.899999999999999" customHeight="1"/>
    <row r="146" ht="19.899999999999999" customHeight="1"/>
    <row r="147" ht="19.899999999999999" customHeight="1"/>
    <row r="148" ht="19.899999999999999" customHeight="1"/>
    <row r="149" ht="19.899999999999999" customHeight="1"/>
    <row r="150" ht="19.899999999999999" customHeight="1"/>
    <row r="151" ht="19.899999999999999" customHeight="1"/>
    <row r="152" ht="19.899999999999999" customHeight="1"/>
    <row r="153" ht="19.899999999999999" customHeight="1"/>
    <row r="154" ht="19.899999999999999" customHeight="1"/>
    <row r="155" ht="19.899999999999999" customHeight="1"/>
    <row r="156" ht="19.899999999999999" customHeight="1"/>
    <row r="157" ht="19.899999999999999" customHeight="1"/>
    <row r="158" ht="19.899999999999999" customHeight="1"/>
    <row r="159" ht="19.899999999999999" customHeight="1"/>
    <row r="160" ht="19.899999999999999" customHeight="1"/>
    <row r="161" ht="19.899999999999999" customHeight="1"/>
    <row r="162" ht="19.899999999999999" customHeight="1"/>
    <row r="163" ht="19.899999999999999" customHeight="1"/>
    <row r="164" ht="19.899999999999999" customHeight="1"/>
    <row r="165" ht="19.899999999999999" customHeight="1"/>
    <row r="166" ht="19.899999999999999" customHeight="1"/>
    <row r="167" ht="19.899999999999999" customHeight="1"/>
    <row r="168" ht="19.899999999999999" customHeight="1"/>
    <row r="169" ht="19.899999999999999" customHeight="1"/>
    <row r="170" ht="19.899999999999999" customHeight="1"/>
    <row r="171" ht="19.899999999999999" customHeight="1"/>
    <row r="172" ht="19.899999999999999" customHeight="1"/>
    <row r="173" ht="19.899999999999999" customHeight="1"/>
    <row r="174" ht="19.899999999999999" customHeight="1"/>
    <row r="175" ht="19.899999999999999" customHeight="1"/>
    <row r="176" ht="19.899999999999999" customHeight="1"/>
    <row r="177" ht="19.899999999999999" customHeight="1"/>
    <row r="178" ht="19.899999999999999" customHeight="1"/>
    <row r="179" ht="19.899999999999999" customHeight="1"/>
    <row r="180" ht="19.899999999999999" customHeight="1"/>
    <row r="181" ht="19.899999999999999" customHeight="1"/>
    <row r="182" ht="19.899999999999999" customHeight="1"/>
    <row r="183" ht="19.899999999999999" customHeight="1"/>
    <row r="184" ht="19.899999999999999" customHeight="1"/>
    <row r="185" ht="19.899999999999999" customHeight="1"/>
    <row r="186" ht="19.899999999999999" customHeight="1"/>
    <row r="187" ht="19.899999999999999" customHeight="1"/>
    <row r="188" ht="19.899999999999999" customHeight="1"/>
    <row r="189" ht="19.899999999999999" customHeight="1"/>
    <row r="190" ht="19.899999999999999" customHeight="1"/>
    <row r="191" ht="19.899999999999999" customHeight="1"/>
    <row r="192" ht="19.899999999999999" customHeight="1"/>
    <row r="193" ht="19.899999999999999" customHeight="1"/>
    <row r="194" ht="19.899999999999999" customHeight="1"/>
    <row r="195" ht="19.899999999999999" customHeight="1"/>
    <row r="196" ht="19.899999999999999" customHeight="1"/>
    <row r="197" ht="19.899999999999999" customHeight="1"/>
    <row r="198" ht="19.899999999999999" customHeight="1"/>
    <row r="199" ht="19.899999999999999" customHeight="1"/>
    <row r="200" ht="19.899999999999999" customHeight="1"/>
    <row r="201" ht="19.899999999999999" customHeight="1"/>
    <row r="202" ht="19.899999999999999" customHeight="1"/>
    <row r="203" ht="19.899999999999999" customHeight="1"/>
    <row r="204" ht="19.899999999999999" customHeight="1"/>
    <row r="205" ht="19.899999999999999" customHeight="1"/>
    <row r="206" ht="19.899999999999999" customHeight="1"/>
    <row r="207" ht="19.899999999999999" customHeight="1"/>
    <row r="208" ht="19.899999999999999" customHeight="1"/>
    <row r="209" ht="19.899999999999999" customHeight="1"/>
    <row r="210" ht="19.899999999999999" customHeight="1"/>
    <row r="211" ht="19.899999999999999" customHeight="1"/>
    <row r="212" ht="19.899999999999999" customHeight="1"/>
    <row r="213" ht="19.899999999999999" customHeight="1"/>
    <row r="214" ht="19.899999999999999" customHeight="1"/>
    <row r="215" ht="19.899999999999999" customHeight="1"/>
    <row r="216" ht="19.899999999999999" customHeight="1"/>
    <row r="217" ht="19.899999999999999" customHeight="1"/>
    <row r="218" ht="19.899999999999999" customHeight="1"/>
    <row r="219" ht="19.899999999999999" customHeight="1"/>
    <row r="220" ht="19.899999999999999" customHeight="1"/>
    <row r="221" ht="19.899999999999999" customHeight="1"/>
    <row r="222" ht="19.899999999999999" customHeight="1"/>
    <row r="223" ht="19.899999999999999" customHeight="1"/>
    <row r="224" ht="19.899999999999999" customHeight="1"/>
    <row r="225" ht="19.899999999999999" customHeight="1"/>
    <row r="226" ht="19.899999999999999" customHeight="1"/>
    <row r="227" ht="19.899999999999999" customHeight="1"/>
    <row r="228" ht="19.899999999999999" customHeight="1"/>
    <row r="229" ht="19.899999999999999" customHeight="1"/>
    <row r="230" ht="19.899999999999999" customHeight="1"/>
    <row r="231" ht="19.899999999999999" customHeight="1"/>
    <row r="232" ht="19.899999999999999" customHeight="1"/>
    <row r="233" ht="19.899999999999999" customHeight="1"/>
    <row r="234" ht="19.899999999999999" customHeight="1"/>
    <row r="235" ht="19.899999999999999" customHeight="1"/>
    <row r="236" ht="19.899999999999999" customHeight="1"/>
    <row r="237" ht="19.899999999999999" customHeight="1"/>
    <row r="238" ht="19.899999999999999" customHeight="1"/>
    <row r="239" ht="19.899999999999999" customHeight="1"/>
    <row r="240" ht="19.899999999999999" customHeight="1"/>
    <row r="241" ht="19.899999999999999" customHeight="1"/>
    <row r="242" ht="19.899999999999999" customHeight="1"/>
    <row r="243" ht="19.899999999999999" customHeight="1"/>
    <row r="244" ht="19.899999999999999" customHeight="1"/>
    <row r="245" ht="19.899999999999999" customHeight="1"/>
    <row r="246" ht="19.899999999999999" customHeight="1"/>
    <row r="247" ht="19.899999999999999" customHeight="1"/>
    <row r="248" ht="19.899999999999999" customHeight="1"/>
    <row r="249" ht="19.899999999999999" customHeight="1"/>
    <row r="250" ht="19.899999999999999" customHeight="1"/>
    <row r="251" ht="19.899999999999999" customHeight="1"/>
    <row r="252" ht="19.899999999999999" customHeight="1"/>
    <row r="253" ht="19.899999999999999" customHeight="1"/>
    <row r="254" ht="19.899999999999999" customHeight="1"/>
    <row r="255" ht="19.899999999999999" customHeight="1"/>
    <row r="256" ht="19.899999999999999" customHeight="1"/>
    <row r="257" ht="19.899999999999999" customHeight="1"/>
    <row r="258" ht="19.899999999999999" customHeight="1"/>
    <row r="259" ht="19.899999999999999" customHeight="1"/>
    <row r="260" ht="19.899999999999999" customHeight="1"/>
    <row r="261" ht="19.899999999999999" customHeight="1"/>
    <row r="262" ht="19.899999999999999" customHeight="1"/>
    <row r="263" ht="19.899999999999999" customHeight="1"/>
    <row r="264" ht="19.899999999999999" customHeight="1"/>
    <row r="265" ht="19.899999999999999" customHeight="1"/>
    <row r="266" ht="19.899999999999999" customHeight="1"/>
    <row r="267" ht="19.899999999999999" customHeight="1"/>
    <row r="268" ht="19.899999999999999" customHeight="1"/>
    <row r="269" ht="19.899999999999999" customHeight="1"/>
    <row r="270" ht="19.899999999999999" customHeight="1"/>
    <row r="271" ht="19.899999999999999" customHeight="1"/>
    <row r="272" ht="19.899999999999999" customHeight="1"/>
    <row r="273" ht="19.899999999999999" customHeight="1"/>
    <row r="274" ht="19.899999999999999" customHeight="1"/>
    <row r="275" ht="19.899999999999999" customHeight="1"/>
    <row r="276" ht="19.899999999999999" customHeight="1"/>
    <row r="277" ht="19.899999999999999" customHeight="1"/>
    <row r="278" ht="19.899999999999999" customHeight="1"/>
    <row r="279" ht="19.899999999999999" customHeight="1"/>
    <row r="280" ht="19.899999999999999" customHeight="1"/>
    <row r="281" ht="19.899999999999999" customHeight="1"/>
    <row r="282" ht="19.899999999999999" customHeight="1"/>
    <row r="283" ht="19.899999999999999" customHeight="1"/>
    <row r="284" ht="19.899999999999999" customHeight="1"/>
    <row r="285" ht="19.899999999999999" customHeight="1"/>
    <row r="286" ht="19.899999999999999" customHeight="1"/>
    <row r="287" ht="19.899999999999999" customHeight="1"/>
    <row r="288" ht="19.899999999999999" customHeight="1"/>
    <row r="289" ht="19.899999999999999" customHeight="1"/>
    <row r="290" ht="19.899999999999999" customHeight="1"/>
    <row r="291" ht="19.899999999999999" customHeight="1"/>
    <row r="292" ht="19.899999999999999" customHeight="1"/>
    <row r="293" ht="19.899999999999999" customHeight="1"/>
    <row r="294" ht="19.899999999999999" customHeight="1"/>
    <row r="295" ht="19.899999999999999" customHeight="1"/>
    <row r="296" ht="19.899999999999999" customHeight="1"/>
    <row r="297" ht="19.899999999999999" customHeight="1"/>
    <row r="298" ht="19.899999999999999" customHeight="1"/>
    <row r="299" ht="19.899999999999999" customHeight="1"/>
    <row r="300" ht="19.899999999999999" customHeight="1"/>
    <row r="301" ht="19.899999999999999" customHeight="1"/>
    <row r="302" ht="19.899999999999999" customHeight="1"/>
    <row r="303" ht="19.899999999999999" customHeight="1"/>
    <row r="304" ht="19.899999999999999" customHeight="1"/>
    <row r="305" ht="19.899999999999999" customHeight="1"/>
    <row r="306" ht="19.899999999999999" customHeight="1"/>
    <row r="307" ht="19.899999999999999" customHeight="1"/>
    <row r="308" ht="19.899999999999999" customHeight="1"/>
    <row r="309" ht="19.899999999999999" customHeight="1"/>
    <row r="310" ht="19.899999999999999" customHeight="1"/>
    <row r="311" ht="19.899999999999999" customHeight="1"/>
    <row r="312" ht="19.899999999999999" customHeight="1"/>
    <row r="313" ht="19.899999999999999" customHeight="1"/>
    <row r="314" ht="19.899999999999999" customHeight="1"/>
    <row r="315" ht="19.899999999999999" customHeight="1"/>
    <row r="316" ht="19.899999999999999" customHeight="1"/>
    <row r="317" ht="19.899999999999999" customHeight="1"/>
    <row r="318" ht="19.899999999999999" customHeight="1"/>
    <row r="319" ht="19.899999999999999" customHeight="1"/>
    <row r="320" ht="19.899999999999999" customHeight="1"/>
    <row r="321" ht="19.899999999999999" customHeight="1"/>
    <row r="322" ht="19.899999999999999" customHeight="1"/>
    <row r="323" ht="19.899999999999999" customHeight="1"/>
    <row r="324" ht="19.899999999999999" customHeight="1"/>
    <row r="325" ht="19.899999999999999" customHeight="1"/>
    <row r="326" ht="19.899999999999999" customHeight="1"/>
    <row r="327" ht="19.899999999999999" customHeight="1"/>
    <row r="328" ht="19.899999999999999" customHeight="1"/>
    <row r="329" ht="19.899999999999999" customHeight="1"/>
    <row r="330" ht="19.899999999999999" customHeight="1"/>
    <row r="331" ht="19.899999999999999" customHeight="1"/>
    <row r="332" ht="19.899999999999999" customHeight="1"/>
    <row r="333" ht="19.899999999999999" customHeight="1"/>
    <row r="334" ht="19.899999999999999" customHeight="1"/>
    <row r="335" ht="19.899999999999999" customHeight="1"/>
    <row r="336" ht="19.899999999999999" customHeight="1"/>
    <row r="337" ht="19.899999999999999" customHeight="1"/>
    <row r="338" ht="19.899999999999999" customHeight="1"/>
    <row r="339" ht="19.899999999999999" customHeight="1"/>
    <row r="340" ht="19.899999999999999" customHeight="1"/>
    <row r="341" ht="19.899999999999999" customHeight="1"/>
    <row r="342" ht="19.899999999999999" customHeight="1"/>
    <row r="343" ht="19.899999999999999" customHeight="1"/>
    <row r="344" ht="19.899999999999999" customHeight="1"/>
    <row r="345" ht="19.899999999999999" customHeight="1"/>
    <row r="346" ht="19.899999999999999" customHeight="1"/>
    <row r="347" ht="19.899999999999999" customHeight="1"/>
    <row r="348" ht="19.899999999999999" customHeight="1"/>
    <row r="349" ht="19.899999999999999" customHeight="1"/>
    <row r="350" ht="19.899999999999999" customHeight="1"/>
    <row r="351" ht="19.899999999999999" customHeight="1"/>
    <row r="352" ht="19.899999999999999" customHeight="1"/>
    <row r="353" ht="19.899999999999999" customHeight="1"/>
    <row r="354" ht="19.899999999999999" customHeight="1"/>
    <row r="355" ht="19.899999999999999" customHeight="1"/>
    <row r="356" ht="19.899999999999999" customHeight="1"/>
    <row r="357" ht="19.899999999999999" customHeight="1"/>
    <row r="358" ht="19.899999999999999" customHeight="1"/>
    <row r="359" ht="19.899999999999999" customHeight="1"/>
    <row r="360" ht="19.899999999999999" customHeight="1"/>
    <row r="361" ht="19.899999999999999" customHeight="1"/>
    <row r="362" ht="19.899999999999999" customHeight="1"/>
    <row r="363" ht="19.899999999999999" customHeight="1"/>
    <row r="364" ht="19.899999999999999" customHeight="1"/>
    <row r="365" ht="19.899999999999999" customHeight="1"/>
    <row r="366" ht="19.899999999999999" customHeight="1"/>
    <row r="367" ht="19.899999999999999" customHeight="1"/>
    <row r="368" ht="19.899999999999999" customHeight="1"/>
    <row r="369" ht="19.899999999999999" customHeight="1"/>
    <row r="370" ht="19.899999999999999" customHeight="1"/>
    <row r="371" ht="19.899999999999999" customHeight="1"/>
    <row r="372" ht="19.899999999999999" customHeight="1"/>
    <row r="373" ht="19.899999999999999" customHeight="1"/>
    <row r="374" ht="19.899999999999999" customHeight="1"/>
    <row r="375" ht="19.899999999999999" customHeight="1"/>
    <row r="376" ht="19.899999999999999" customHeight="1"/>
    <row r="377" ht="19.899999999999999" customHeight="1"/>
    <row r="378" ht="19.899999999999999" customHeight="1"/>
    <row r="379" ht="19.899999999999999" customHeight="1"/>
    <row r="380" ht="19.899999999999999" customHeight="1"/>
    <row r="381" ht="19.899999999999999" customHeight="1"/>
    <row r="382" ht="19.899999999999999" customHeight="1"/>
    <row r="383" ht="19.899999999999999" customHeight="1"/>
    <row r="384" ht="19.899999999999999" customHeight="1"/>
    <row r="385" ht="19.899999999999999" customHeight="1"/>
    <row r="386" ht="19.899999999999999" customHeight="1"/>
    <row r="387" ht="19.899999999999999" customHeight="1"/>
    <row r="388" ht="19.899999999999999" customHeight="1"/>
    <row r="389" ht="19.899999999999999" customHeight="1"/>
    <row r="390" ht="19.899999999999999" customHeight="1"/>
    <row r="391" ht="19.899999999999999" customHeight="1"/>
    <row r="392" ht="19.899999999999999" customHeight="1"/>
    <row r="393" ht="19.899999999999999" customHeight="1"/>
    <row r="394" ht="19.899999999999999" customHeight="1"/>
    <row r="395" ht="19.899999999999999" customHeight="1"/>
    <row r="396" ht="19.899999999999999" customHeight="1"/>
    <row r="397" ht="19.899999999999999" customHeight="1"/>
  </sheetData>
  <mergeCells count="1">
    <mergeCell ref="A1:G1"/>
  </mergeCells>
  <hyperlinks>
    <hyperlink ref="C4" r:id="rId1" xr:uid="{0F38B42D-A1D3-48D5-828B-F3150D6D3CFC}"/>
    <hyperlink ref="C5" r:id="rId2" xr:uid="{9E42CA8C-88FA-4F6F-B09F-D33FAF20AC29}"/>
    <hyperlink ref="C6" r:id="rId3" xr:uid="{659B624B-C044-4521-95E9-5FC75297D295}"/>
    <hyperlink ref="C7" r:id="rId4" xr:uid="{C9CCCC9B-8761-4DB7-A43C-E051C77FD517}"/>
    <hyperlink ref="C8" r:id="rId5" xr:uid="{DED372E5-DA4B-4869-AD4E-A36109E6F716}"/>
  </hyperlinks>
  <pageMargins left="0.7" right="0.7" top="0.75" bottom="0.75" header="0.3" footer="0.3"/>
  <pageSetup paperSize="9" orientation="portrait" r:id="rId6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7DF0-BD31-431C-8B6E-1637D82EF1A0}">
  <dimension ref="A1:N402"/>
  <sheetViews>
    <sheetView showGridLines="0" zoomScaleNormal="100" workbookViewId="0">
      <selection sqref="A1:M1"/>
    </sheetView>
  </sheetViews>
  <sheetFormatPr defaultColWidth="0" defaultRowHeight="14.45"/>
  <cols>
    <col min="1" max="1" width="24.140625" customWidth="1"/>
    <col min="2" max="2" width="10.140625" bestFit="1" customWidth="1"/>
    <col min="3" max="3" width="10.140625" hidden="1" customWidth="1"/>
    <col min="4" max="4" width="13.42578125" bestFit="1" customWidth="1"/>
    <col min="5" max="5" width="18.140625" customWidth="1"/>
    <col min="6" max="6" width="7.85546875" bestFit="1" customWidth="1"/>
    <col min="7" max="7" width="14.140625" bestFit="1" customWidth="1"/>
    <col min="8" max="9" width="15.7109375" customWidth="1"/>
    <col min="10" max="10" width="26" bestFit="1" customWidth="1"/>
    <col min="11" max="11" width="15.7109375" customWidth="1"/>
    <col min="12" max="12" width="16.42578125" customWidth="1"/>
    <col min="13" max="13" width="9.28515625" customWidth="1"/>
    <col min="14" max="14" width="0" hidden="1" customWidth="1"/>
    <col min="15" max="16384" width="8.85546875" hidden="1"/>
  </cols>
  <sheetData>
    <row r="1" spans="1:13" ht="30" customHeight="1">
      <c r="A1" s="29" t="s">
        <v>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15" customHeight="1"/>
    <row r="3" spans="1:13" s="5" customFormat="1" ht="30" customHeight="1">
      <c r="A3" s="5" t="s">
        <v>44</v>
      </c>
      <c r="B3" s="5" t="s">
        <v>45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53</v>
      </c>
      <c r="K3" s="5" t="s">
        <v>54</v>
      </c>
      <c r="L3" s="5" t="s">
        <v>55</v>
      </c>
      <c r="M3" s="5" t="s">
        <v>56</v>
      </c>
    </row>
    <row r="4" spans="1:13" ht="19.899999999999999" customHeight="1">
      <c r="A4" s="19" t="str">
        <f>Tab_Entregas[[#This Row],[Número]]&amp;"-"&amp;TEXT(Tab_Entregas[[#This Row],[Data Pedido]],"dd/mm/aaaa")&amp;"-"&amp;Tab_Entregas[[#This Row],[Cliente]]</f>
        <v>3-10/01/Monday-Cliente D</v>
      </c>
      <c r="B4" s="6">
        <f>ROW()-1</f>
        <v>3</v>
      </c>
      <c r="C4" s="6" t="str">
        <f>VLOOKUP(Tab_Entregas[[#This Row],[Cliente]],Tab_Clientes[],7,0)</f>
        <v>RJ</v>
      </c>
      <c r="D4" s="2">
        <v>44571</v>
      </c>
      <c r="E4" s="4" t="s">
        <v>39</v>
      </c>
      <c r="F4">
        <v>10</v>
      </c>
      <c r="G4" s="2" t="s">
        <v>57</v>
      </c>
      <c r="H4" s="7">
        <f>Tab_Entregas[[#This Row],[Data Pedido]]+Tab_Entregas[[#This Row],[Prazo (dias)]]</f>
        <v>44581</v>
      </c>
      <c r="I4" s="8">
        <f ca="1">IF(Tab_Entregas[[#This Row],[Etapa Pedido]]="6 - Pedido Entregue",0,TODAY()-Tab_Entregas[[#This Row],[Data Pedido]])</f>
        <v>231</v>
      </c>
      <c r="J4" t="s">
        <v>58</v>
      </c>
      <c r="K4" t="s">
        <v>9</v>
      </c>
      <c r="L4" s="2"/>
      <c r="M4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5" spans="1:13" ht="19.899999999999999" customHeight="1">
      <c r="A5" s="19" t="str">
        <f>Tab_Entregas[[#This Row],[Número]]&amp;"-"&amp;TEXT(Tab_Entregas[[#This Row],[Data Pedido]],"dd/mm/aaaa")&amp;"-"&amp;Tab_Entregas[[#This Row],[Cliente]]</f>
        <v>4-10/03/Thursday-Cliente B</v>
      </c>
      <c r="B5" s="6">
        <f t="shared" ref="B5:B6" si="0">ROW()-1</f>
        <v>4</v>
      </c>
      <c r="C5" s="6" t="str">
        <f>VLOOKUP(Tab_Entregas[[#This Row],[Cliente]],Tab_Clientes[],7,0)</f>
        <v>SC</v>
      </c>
      <c r="D5" s="2">
        <v>44630</v>
      </c>
      <c r="E5" s="4" t="s">
        <v>27</v>
      </c>
      <c r="F5">
        <v>20</v>
      </c>
      <c r="G5" s="2" t="s">
        <v>59</v>
      </c>
      <c r="H5" s="7">
        <f>Tab_Entregas[[#This Row],[Data Pedido]]+Tab_Entregas[[#This Row],[Prazo (dias)]]</f>
        <v>44650</v>
      </c>
      <c r="I5" s="8">
        <f ca="1">IF(Tab_Entregas[[#This Row],[Etapa Pedido]]="6 - Pedido Entregue",0,TODAY()-Tab_Entregas[[#This Row],[Data Pedido]])</f>
        <v>172</v>
      </c>
      <c r="J5" t="s">
        <v>60</v>
      </c>
      <c r="K5" t="s">
        <v>11</v>
      </c>
      <c r="L5" s="2"/>
      <c r="M5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6" spans="1:13" ht="19.899999999999999" customHeight="1">
      <c r="A6" s="19" t="str">
        <f>Tab_Entregas[[#This Row],[Número]]&amp;"-"&amp;TEXT(Tab_Entregas[[#This Row],[Data Pedido]],"dd/mm/aaaa")&amp;"-"&amp;Tab_Entregas[[#This Row],[Cliente]]</f>
        <v>5-05/03/Saturday-Cliente C</v>
      </c>
      <c r="B6" s="6">
        <f t="shared" si="0"/>
        <v>5</v>
      </c>
      <c r="C6" s="6" t="str">
        <f>VLOOKUP(Tab_Entregas[[#This Row],[Cliente]],Tab_Clientes[],7,0)</f>
        <v>SP</v>
      </c>
      <c r="D6" s="2">
        <v>44625</v>
      </c>
      <c r="E6" s="4" t="s">
        <v>33</v>
      </c>
      <c r="F6">
        <v>30</v>
      </c>
      <c r="G6" s="2" t="s">
        <v>61</v>
      </c>
      <c r="H6" s="7">
        <f>Tab_Entregas[[#This Row],[Data Pedido]]+Tab_Entregas[[#This Row],[Prazo (dias)]]</f>
        <v>44655</v>
      </c>
      <c r="I6" s="8">
        <f ca="1">IF(Tab_Entregas[[#This Row],[Etapa Pedido]]="6 - Pedido Entregue",0,TODAY()-Tab_Entregas[[#This Row],[Data Pedido]])</f>
        <v>0</v>
      </c>
      <c r="J6" t="s">
        <v>62</v>
      </c>
      <c r="K6" t="s">
        <v>7</v>
      </c>
      <c r="L6" s="2">
        <v>44654</v>
      </c>
      <c r="M6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No prazo</v>
      </c>
    </row>
    <row r="7" spans="1:13" ht="19.899999999999999" customHeight="1">
      <c r="A7" s="20" t="str">
        <f>Tab_Entregas[[#This Row],[Número]]&amp;"-"&amp;TEXT(Tab_Entregas[[#This Row],[Data Pedido]],"dd/mm/aaaa")&amp;"-"&amp;Tab_Entregas[[#This Row],[Cliente]]</f>
        <v>6-10/04/Sunday-Cliente A</v>
      </c>
      <c r="B7" s="6">
        <f t="shared" ref="B7:B9" si="1">ROW()-1</f>
        <v>6</v>
      </c>
      <c r="C7" s="6" t="str">
        <f>VLOOKUP(Tab_Entregas[[#This Row],[Cliente]],Tab_Clientes[],7,0)</f>
        <v>PE</v>
      </c>
      <c r="D7" s="2">
        <v>44661</v>
      </c>
      <c r="E7" s="4" t="s">
        <v>21</v>
      </c>
      <c r="F7">
        <v>5</v>
      </c>
      <c r="G7" s="2" t="s">
        <v>63</v>
      </c>
      <c r="H7" s="7">
        <f>Tab_Entregas[[#This Row],[Data Pedido]]+Tab_Entregas[[#This Row],[Prazo (dias)]]</f>
        <v>44666</v>
      </c>
      <c r="I7" s="8">
        <f ca="1">IF(Tab_Entregas[[#This Row],[Etapa Pedido]]="6 - Pedido Entregue",0,TODAY()-Tab_Entregas[[#This Row],[Data Pedido]])</f>
        <v>141</v>
      </c>
      <c r="J7" t="s">
        <v>58</v>
      </c>
      <c r="K7" t="s">
        <v>9</v>
      </c>
      <c r="L7" s="2"/>
      <c r="M7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8" spans="1:13" ht="19.899999999999999" customHeight="1">
      <c r="A8" s="20" t="str">
        <f>Tab_Entregas[[#This Row],[Número]]&amp;"-"&amp;TEXT(Tab_Entregas[[#This Row],[Data Pedido]],"dd/mm/aaaa")&amp;"-"&amp;Tab_Entregas[[#This Row],[Cliente]]</f>
        <v>7-10/02/Thursday-Cliente B</v>
      </c>
      <c r="B8" s="6">
        <f t="shared" si="1"/>
        <v>7</v>
      </c>
      <c r="C8" s="6" t="str">
        <f>VLOOKUP(Tab_Entregas[[#This Row],[Cliente]],Tab_Clientes[],7,0)</f>
        <v>SC</v>
      </c>
      <c r="D8" s="2">
        <v>44602</v>
      </c>
      <c r="E8" s="4" t="s">
        <v>27</v>
      </c>
      <c r="F8">
        <v>7</v>
      </c>
      <c r="G8" s="2" t="s">
        <v>64</v>
      </c>
      <c r="H8" s="7">
        <f>Tab_Entregas[[#This Row],[Data Pedido]]+Tab_Entregas[[#This Row],[Prazo (dias)]]</f>
        <v>44609</v>
      </c>
      <c r="I8" s="8">
        <f ca="1">IF(Tab_Entregas[[#This Row],[Etapa Pedido]]="6 - Pedido Entregue",0,TODAY()-Tab_Entregas[[#This Row],[Data Pedido]])</f>
        <v>200</v>
      </c>
      <c r="J8" t="s">
        <v>60</v>
      </c>
      <c r="K8" t="s">
        <v>13</v>
      </c>
      <c r="L8" s="2"/>
      <c r="M8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9" spans="1:13" ht="19.899999999999999" customHeight="1">
      <c r="A9" s="20" t="str">
        <f>Tab_Entregas[[#This Row],[Número]]&amp;"-"&amp;TEXT(Tab_Entregas[[#This Row],[Data Pedido]],"dd/mm/aaaa")&amp;"-"&amp;Tab_Entregas[[#This Row],[Cliente]]</f>
        <v>8-05/01/Wednesday-Cliente C</v>
      </c>
      <c r="B9" s="6">
        <f t="shared" si="1"/>
        <v>8</v>
      </c>
      <c r="C9" s="6" t="str">
        <f>VLOOKUP(Tab_Entregas[[#This Row],[Cliente]],Tab_Clientes[],7,0)</f>
        <v>SP</v>
      </c>
      <c r="D9" s="2">
        <v>44566</v>
      </c>
      <c r="E9" s="4" t="s">
        <v>33</v>
      </c>
      <c r="F9">
        <v>54</v>
      </c>
      <c r="G9" s="2" t="s">
        <v>65</v>
      </c>
      <c r="H9" s="7">
        <f>Tab_Entregas[[#This Row],[Data Pedido]]+Tab_Entregas[[#This Row],[Prazo (dias)]]</f>
        <v>44620</v>
      </c>
      <c r="I9" s="8">
        <f ca="1">IF(Tab_Entregas[[#This Row],[Etapa Pedido]]="6 - Pedido Entregue",0,TODAY()-Tab_Entregas[[#This Row],[Data Pedido]])</f>
        <v>0</v>
      </c>
      <c r="J9" t="s">
        <v>62</v>
      </c>
      <c r="K9" t="s">
        <v>13</v>
      </c>
      <c r="L9" s="2">
        <v>44620</v>
      </c>
      <c r="M9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No prazo</v>
      </c>
    </row>
    <row r="10" spans="1:13" ht="19.899999999999999" customHeight="1">
      <c r="A10" s="20" t="str">
        <f>Tab_Entregas[[#This Row],[Número]]&amp;"-"&amp;TEXT(Tab_Entregas[[#This Row],[Data Pedido]],"dd/mm/aaaa")&amp;"-"&amp;Tab_Entregas[[#This Row],[Cliente]]</f>
        <v>9-18/04/Monday-Cliente E</v>
      </c>
      <c r="B10" s="6">
        <f>ROW()-1</f>
        <v>9</v>
      </c>
      <c r="C10" s="6" t="str">
        <f>VLOOKUP(Tab_Entregas[[#This Row],[Cliente]],Tab_Clientes[],7,0)</f>
        <v>GO</v>
      </c>
      <c r="D10" s="2">
        <v>44669</v>
      </c>
      <c r="E10" s="4" t="s">
        <v>41</v>
      </c>
      <c r="F10">
        <v>21</v>
      </c>
      <c r="G10" s="2" t="s">
        <v>66</v>
      </c>
      <c r="H10" s="7">
        <f>Tab_Entregas[[#This Row],[Data Pedido]]+Tab_Entregas[[#This Row],[Prazo (dias)]]</f>
        <v>44690</v>
      </c>
      <c r="I10" s="8">
        <f ca="1">IF(Tab_Entregas[[#This Row],[Etapa Pedido]]="6 - Pedido Entregue",0,TODAY()-Tab_Entregas[[#This Row],[Data Pedido]])</f>
        <v>133</v>
      </c>
      <c r="J10" t="s">
        <v>67</v>
      </c>
      <c r="K10" t="s">
        <v>7</v>
      </c>
      <c r="L10" s="2"/>
      <c r="M10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11" spans="1:13" ht="19.899999999999999" customHeight="1">
      <c r="A11" s="20" t="str">
        <f>Tab_Entregas[[#This Row],[Número]]&amp;"-"&amp;TEXT(Tab_Entregas[[#This Row],[Data Pedido]],"dd/mm/aaaa")&amp;"-"&amp;Tab_Entregas[[#This Row],[Cliente]]</f>
        <v>10-10/08/Tuesday-Cliente A</v>
      </c>
      <c r="B11" s="6">
        <f t="shared" ref="B11:B17" si="2">ROW()-1</f>
        <v>10</v>
      </c>
      <c r="C11" s="6" t="str">
        <f>VLOOKUP(Tab_Entregas[[#This Row],[Cliente]],Tab_Clientes[],7,0)</f>
        <v>PE</v>
      </c>
      <c r="D11" s="2">
        <v>44418</v>
      </c>
      <c r="E11" s="4" t="s">
        <v>21</v>
      </c>
      <c r="F11">
        <v>10</v>
      </c>
      <c r="G11" s="2" t="s">
        <v>57</v>
      </c>
      <c r="H11" s="7">
        <f>Tab_Entregas[[#This Row],[Data Pedido]]+Tab_Entregas[[#This Row],[Prazo (dias)]]</f>
        <v>44428</v>
      </c>
      <c r="I11" s="8">
        <f ca="1">IF(Tab_Entregas[[#This Row],[Etapa Pedido]]="6 - Pedido Entregue",0,TODAY()-Tab_Entregas[[#This Row],[Data Pedido]])</f>
        <v>384</v>
      </c>
      <c r="J11" t="s">
        <v>58</v>
      </c>
      <c r="K11" t="s">
        <v>9</v>
      </c>
      <c r="L11" s="2"/>
      <c r="M11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12" spans="1:13" ht="19.899999999999999" customHeight="1">
      <c r="A12" s="20" t="str">
        <f>Tab_Entregas[[#This Row],[Número]]&amp;"-"&amp;TEXT(Tab_Entregas[[#This Row],[Data Pedido]],"dd/mm/aaaa")&amp;"-"&amp;Tab_Entregas[[#This Row],[Cliente]]</f>
        <v>11-10/12/Friday-Cliente B</v>
      </c>
      <c r="B12" s="6">
        <f t="shared" si="2"/>
        <v>11</v>
      </c>
      <c r="C12" s="6" t="str">
        <f>VLOOKUP(Tab_Entregas[[#This Row],[Cliente]],Tab_Clientes[],7,0)</f>
        <v>SC</v>
      </c>
      <c r="D12" s="2">
        <v>44540</v>
      </c>
      <c r="E12" s="4" t="s">
        <v>27</v>
      </c>
      <c r="F12">
        <v>20</v>
      </c>
      <c r="G12" s="2" t="s">
        <v>59</v>
      </c>
      <c r="H12" s="7">
        <f>Tab_Entregas[[#This Row],[Data Pedido]]+Tab_Entregas[[#This Row],[Prazo (dias)]]</f>
        <v>44560</v>
      </c>
      <c r="I12" s="8">
        <f ca="1">IF(Tab_Entregas[[#This Row],[Etapa Pedido]]="6 - Pedido Entregue",0,TODAY()-Tab_Entregas[[#This Row],[Data Pedido]])</f>
        <v>262</v>
      </c>
      <c r="J12" t="s">
        <v>60</v>
      </c>
      <c r="K12" t="s">
        <v>11</v>
      </c>
      <c r="L12" s="2"/>
      <c r="M12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13" spans="1:13" ht="19.899999999999999" customHeight="1">
      <c r="A13" s="20" t="str">
        <f>Tab_Entregas[[#This Row],[Número]]&amp;"-"&amp;TEXT(Tab_Entregas[[#This Row],[Data Pedido]],"dd/mm/aaaa")&amp;"-"&amp;Tab_Entregas[[#This Row],[Cliente]]</f>
        <v>12-05/11/Friday-Cliente C</v>
      </c>
      <c r="B13" s="6">
        <f t="shared" si="2"/>
        <v>12</v>
      </c>
      <c r="C13" s="6" t="str">
        <f>VLOOKUP(Tab_Entregas[[#This Row],[Cliente]],Tab_Clientes[],7,0)</f>
        <v>SP</v>
      </c>
      <c r="D13" s="2">
        <v>44505</v>
      </c>
      <c r="E13" s="4" t="s">
        <v>33</v>
      </c>
      <c r="F13">
        <v>30</v>
      </c>
      <c r="G13" s="2" t="s">
        <v>61</v>
      </c>
      <c r="H13" s="7">
        <f>Tab_Entregas[[#This Row],[Data Pedido]]+Tab_Entregas[[#This Row],[Prazo (dias)]]</f>
        <v>44535</v>
      </c>
      <c r="I13" s="8">
        <f ca="1">IF(Tab_Entregas[[#This Row],[Etapa Pedido]]="6 - Pedido Entregue",0,TODAY()-Tab_Entregas[[#This Row],[Data Pedido]])</f>
        <v>0</v>
      </c>
      <c r="J13" t="s">
        <v>62</v>
      </c>
      <c r="K13" t="s">
        <v>7</v>
      </c>
      <c r="L13" s="2">
        <v>44752</v>
      </c>
      <c r="M13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14" spans="1:13" ht="19.899999999999999" customHeight="1">
      <c r="A14" s="20" t="str">
        <f>Tab_Entregas[[#This Row],[Número]]&amp;"-"&amp;TEXT(Tab_Entregas[[#This Row],[Data Pedido]],"dd/mm/aaaa")&amp;"-"&amp;Tab_Entregas[[#This Row],[Cliente]]</f>
        <v>13-10/11/Wednesday-Cliente D</v>
      </c>
      <c r="B14" s="6">
        <f t="shared" si="2"/>
        <v>13</v>
      </c>
      <c r="C14" s="6" t="str">
        <f>VLOOKUP(Tab_Entregas[[#This Row],[Cliente]],Tab_Clientes[],7,0)</f>
        <v>RJ</v>
      </c>
      <c r="D14" s="2">
        <v>44510</v>
      </c>
      <c r="E14" s="4" t="s">
        <v>39</v>
      </c>
      <c r="F14">
        <v>5</v>
      </c>
      <c r="G14" s="2" t="s">
        <v>63</v>
      </c>
      <c r="H14" s="7">
        <f>Tab_Entregas[[#This Row],[Data Pedido]]+Tab_Entregas[[#This Row],[Prazo (dias)]]</f>
        <v>44515</v>
      </c>
      <c r="I14" s="8">
        <f ca="1">IF(Tab_Entregas[[#This Row],[Etapa Pedido]]="6 - Pedido Entregue",0,TODAY()-Tab_Entregas[[#This Row],[Data Pedido]])</f>
        <v>292</v>
      </c>
      <c r="J14" t="s">
        <v>58</v>
      </c>
      <c r="K14" t="s">
        <v>13</v>
      </c>
      <c r="L14" s="2"/>
      <c r="M14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15" spans="1:13" ht="19.899999999999999" customHeight="1">
      <c r="A15" s="20" t="str">
        <f>Tab_Entregas[[#This Row],[Número]]&amp;"-"&amp;TEXT(Tab_Entregas[[#This Row],[Data Pedido]],"dd/mm/aaaa")&amp;"-"&amp;Tab_Entregas[[#This Row],[Cliente]]</f>
        <v>14-10/09/Friday-Cliente B</v>
      </c>
      <c r="B15" s="6">
        <f t="shared" si="2"/>
        <v>14</v>
      </c>
      <c r="C15" s="6" t="str">
        <f>VLOOKUP(Tab_Entregas[[#This Row],[Cliente]],Tab_Clientes[],7,0)</f>
        <v>SC</v>
      </c>
      <c r="D15" s="2">
        <v>44449</v>
      </c>
      <c r="E15" s="4" t="s">
        <v>27</v>
      </c>
      <c r="F15">
        <v>7</v>
      </c>
      <c r="G15" s="2" t="s">
        <v>64</v>
      </c>
      <c r="H15" s="7">
        <f>Tab_Entregas[[#This Row],[Data Pedido]]+Tab_Entregas[[#This Row],[Prazo (dias)]]</f>
        <v>44456</v>
      </c>
      <c r="I15" s="8">
        <f ca="1">IF(Tab_Entregas[[#This Row],[Etapa Pedido]]="6 - Pedido Entregue",0,TODAY()-Tab_Entregas[[#This Row],[Data Pedido]])</f>
        <v>353</v>
      </c>
      <c r="J15" t="s">
        <v>60</v>
      </c>
      <c r="K15" t="s">
        <v>14</v>
      </c>
      <c r="L15" s="2"/>
      <c r="M15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16" spans="1:13" ht="19.899999999999999" customHeight="1">
      <c r="A16" s="20" t="str">
        <f>Tab_Entregas[[#This Row],[Número]]&amp;"-"&amp;TEXT(Tab_Entregas[[#This Row],[Data Pedido]],"dd/mm/aaaa")&amp;"-"&amp;Tab_Entregas[[#This Row],[Cliente]]</f>
        <v>15-05/09/Sunday-Cliente E</v>
      </c>
      <c r="B16" s="6">
        <f t="shared" si="2"/>
        <v>15</v>
      </c>
      <c r="C16" s="6" t="str">
        <f>VLOOKUP(Tab_Entregas[[#This Row],[Cliente]],Tab_Clientes[],7,0)</f>
        <v>GO</v>
      </c>
      <c r="D16" s="2">
        <v>44444</v>
      </c>
      <c r="E16" s="4" t="s">
        <v>41</v>
      </c>
      <c r="F16">
        <v>54</v>
      </c>
      <c r="G16" s="2" t="s">
        <v>65</v>
      </c>
      <c r="H16" s="7">
        <f>Tab_Entregas[[#This Row],[Data Pedido]]+Tab_Entregas[[#This Row],[Prazo (dias)]]</f>
        <v>44498</v>
      </c>
      <c r="I16" s="8">
        <f ca="1">IF(Tab_Entregas[[#This Row],[Etapa Pedido]]="6 - Pedido Entregue",0,TODAY()-Tab_Entregas[[#This Row],[Data Pedido]])</f>
        <v>0</v>
      </c>
      <c r="J16" t="s">
        <v>62</v>
      </c>
      <c r="K16" t="s">
        <v>7</v>
      </c>
      <c r="L16" s="2">
        <v>44494</v>
      </c>
      <c r="M16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No prazo</v>
      </c>
    </row>
    <row r="17" spans="1:13" ht="19.899999999999999" customHeight="1">
      <c r="A17" s="20" t="str">
        <f>Tab_Entregas[[#This Row],[Número]]&amp;"-"&amp;TEXT(Tab_Entregas[[#This Row],[Data Pedido]],"dd/mm/aaaa")&amp;"-"&amp;Tab_Entregas[[#This Row],[Cliente]]</f>
        <v>16-18/11/Thursday-Cliente A</v>
      </c>
      <c r="B17" s="6">
        <f t="shared" si="2"/>
        <v>16</v>
      </c>
      <c r="C17" s="6" t="str">
        <f>VLOOKUP(Tab_Entregas[[#This Row],[Cliente]],Tab_Clientes[],7,0)</f>
        <v>PE</v>
      </c>
      <c r="D17" s="2">
        <v>44518</v>
      </c>
      <c r="E17" s="4" t="s">
        <v>21</v>
      </c>
      <c r="F17">
        <v>21</v>
      </c>
      <c r="G17" s="2" t="s">
        <v>66</v>
      </c>
      <c r="H17" s="7">
        <f>Tab_Entregas[[#This Row],[Data Pedido]]+Tab_Entregas[[#This Row],[Prazo (dias)]]</f>
        <v>44539</v>
      </c>
      <c r="I17" s="8">
        <f ca="1">IF(Tab_Entregas[[#This Row],[Etapa Pedido]]="6 - Pedido Entregue",0,TODAY()-Tab_Entregas[[#This Row],[Data Pedido]])</f>
        <v>284</v>
      </c>
      <c r="J17" t="s">
        <v>67</v>
      </c>
      <c r="K17" t="s">
        <v>7</v>
      </c>
      <c r="L17" s="2"/>
      <c r="M17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Atrasado</v>
      </c>
    </row>
    <row r="18" spans="1:13" ht="19.899999999999999" customHeight="1">
      <c r="A18" s="20" t="str">
        <f>Tab_Entregas[[#This Row],[Número]]&amp;"-"&amp;TEXT(Tab_Entregas[[#This Row],[Data Pedido]],"dd/mm/aaaa")&amp;"-"&amp;Tab_Entregas[[#This Row],[Cliente]]</f>
        <v>17-22/08/Monday-Cliente E</v>
      </c>
      <c r="B18" s="6">
        <f>ROW()-1</f>
        <v>17</v>
      </c>
      <c r="C18" s="6" t="str">
        <f>VLOOKUP(Tab_Entregas[[#This Row],[Cliente]],Tab_Clientes[],7,0)</f>
        <v>GO</v>
      </c>
      <c r="D18" s="2">
        <v>44795</v>
      </c>
      <c r="E18" s="4" t="s">
        <v>41</v>
      </c>
      <c r="F18">
        <v>30</v>
      </c>
      <c r="G18" s="2" t="s">
        <v>68</v>
      </c>
      <c r="H18" s="7">
        <f>Tab_Entregas[[#This Row],[Data Pedido]]+Tab_Entregas[[#This Row],[Prazo (dias)]]</f>
        <v>44825</v>
      </c>
      <c r="I18" s="8">
        <f ca="1">IF(Tab_Entregas[[#This Row],[Etapa Pedido]]="6 - Pedido Entregue",0,TODAY()-Tab_Entregas[[#This Row],[Data Pedido]])</f>
        <v>0</v>
      </c>
      <c r="J18" t="s">
        <v>62</v>
      </c>
      <c r="K18" t="s">
        <v>13</v>
      </c>
      <c r="L18" s="2"/>
      <c r="M18" t="str">
        <f ca="1">IF(Tab_Entregas[[#This Row],[Etapa Pedido]]="6 - Pedido Entregue",IF(Tab_Entregas[[#This Row],[Data de Entrega]]&gt;Tab_Entregas[[#This Row],[Previsão de entrega]],"Atrasado","No prazo"),IF(TODAY()&gt;Tab_Entregas[[#This Row],[Previsão de entrega]],"Atrasado","No prazo"))</f>
        <v>No prazo</v>
      </c>
    </row>
    <row r="19" spans="1:13" ht="19.899999999999999" customHeight="1"/>
    <row r="20" spans="1:13" ht="19.899999999999999" customHeight="1"/>
    <row r="21" spans="1:13" ht="19.899999999999999" customHeight="1"/>
    <row r="22" spans="1:13" ht="19.899999999999999" customHeight="1"/>
    <row r="23" spans="1:13" ht="19.899999999999999" customHeight="1"/>
    <row r="24" spans="1:13" ht="19.899999999999999" customHeight="1"/>
    <row r="25" spans="1:13" ht="19.899999999999999" customHeight="1"/>
    <row r="26" spans="1:13" ht="19.899999999999999" customHeight="1"/>
    <row r="27" spans="1:13" ht="19.899999999999999" customHeight="1"/>
    <row r="28" spans="1:13" ht="19.899999999999999" customHeight="1"/>
    <row r="29" spans="1:13" ht="19.899999999999999" customHeight="1"/>
    <row r="30" spans="1:13" ht="19.899999999999999" customHeight="1"/>
    <row r="31" spans="1:13" ht="19.899999999999999" customHeight="1"/>
    <row r="32" spans="1:13" ht="19.899999999999999" customHeight="1"/>
    <row r="33" ht="19.899999999999999" customHeight="1"/>
    <row r="34" ht="19.899999999999999" customHeight="1"/>
    <row r="35" ht="19.899999999999999" customHeight="1"/>
    <row r="36" ht="19.899999999999999" customHeight="1"/>
    <row r="37" ht="19.899999999999999" customHeight="1"/>
    <row r="38" ht="19.899999999999999" customHeight="1"/>
    <row r="39" ht="19.899999999999999" customHeight="1"/>
    <row r="40" ht="19.899999999999999" customHeight="1"/>
    <row r="41" ht="19.899999999999999" customHeight="1"/>
    <row r="42" ht="19.899999999999999" customHeight="1"/>
    <row r="43" ht="19.899999999999999" customHeight="1"/>
    <row r="44" ht="19.899999999999999" customHeight="1"/>
    <row r="45" ht="19.899999999999999" customHeight="1"/>
    <row r="46" ht="19.899999999999999" customHeight="1"/>
    <row r="47" ht="19.899999999999999" customHeight="1"/>
    <row r="48" ht="19.899999999999999" customHeight="1"/>
    <row r="49" ht="19.899999999999999" customHeight="1"/>
    <row r="50" ht="19.899999999999999" customHeight="1"/>
    <row r="51" ht="19.899999999999999" customHeight="1"/>
    <row r="52" ht="19.899999999999999" customHeight="1"/>
    <row r="53" ht="19.899999999999999" customHeight="1"/>
    <row r="54" ht="19.899999999999999" customHeight="1"/>
    <row r="55" ht="19.899999999999999" customHeight="1"/>
    <row r="56" ht="19.899999999999999" customHeight="1"/>
    <row r="57" ht="19.899999999999999" customHeight="1"/>
    <row r="58" ht="19.899999999999999" customHeight="1"/>
    <row r="59" ht="19.899999999999999" customHeight="1"/>
    <row r="60" ht="19.899999999999999" customHeight="1"/>
    <row r="61" ht="19.899999999999999" customHeight="1"/>
    <row r="62" ht="19.899999999999999" customHeight="1"/>
    <row r="63" ht="19.899999999999999" customHeight="1"/>
    <row r="64" ht="19.899999999999999" customHeight="1"/>
    <row r="65" ht="19.899999999999999" customHeight="1"/>
    <row r="66" ht="19.899999999999999" customHeight="1"/>
    <row r="67" ht="19.899999999999999" customHeight="1"/>
    <row r="68" ht="19.899999999999999" customHeight="1"/>
    <row r="69" ht="19.899999999999999" customHeight="1"/>
    <row r="70" ht="19.899999999999999" customHeight="1"/>
    <row r="71" ht="19.899999999999999" customHeight="1"/>
    <row r="72" ht="19.899999999999999" customHeight="1"/>
    <row r="73" ht="19.899999999999999" customHeight="1"/>
    <row r="74" ht="19.899999999999999" customHeight="1"/>
    <row r="75" ht="19.899999999999999" customHeight="1"/>
    <row r="76" ht="19.899999999999999" customHeight="1"/>
    <row r="77" ht="19.899999999999999" customHeight="1"/>
    <row r="78" ht="19.899999999999999" customHeight="1"/>
    <row r="79" ht="19.899999999999999" customHeight="1"/>
    <row r="80" ht="19.899999999999999" customHeight="1"/>
    <row r="81" ht="19.899999999999999" customHeight="1"/>
    <row r="82" ht="19.899999999999999" customHeight="1"/>
    <row r="83" ht="19.899999999999999" customHeight="1"/>
    <row r="84" ht="19.899999999999999" customHeight="1"/>
    <row r="85" ht="19.899999999999999" customHeight="1"/>
    <row r="86" ht="19.899999999999999" customHeight="1"/>
    <row r="87" ht="19.899999999999999" customHeight="1"/>
    <row r="88" ht="19.899999999999999" customHeight="1"/>
    <row r="89" ht="19.899999999999999" customHeight="1"/>
    <row r="90" ht="19.899999999999999" customHeight="1"/>
    <row r="91" ht="19.899999999999999" customHeight="1"/>
    <row r="92" ht="19.899999999999999" customHeight="1"/>
    <row r="93" ht="19.899999999999999" customHeight="1"/>
    <row r="94" ht="19.899999999999999" customHeight="1"/>
    <row r="95" ht="19.899999999999999" customHeight="1"/>
    <row r="96" ht="19.899999999999999" customHeight="1"/>
    <row r="97" ht="19.899999999999999" customHeight="1"/>
    <row r="98" ht="19.899999999999999" customHeight="1"/>
    <row r="99" ht="19.899999999999999" customHeight="1"/>
    <row r="100" ht="19.899999999999999" customHeight="1"/>
    <row r="101" ht="19.899999999999999" customHeight="1"/>
    <row r="102" ht="19.899999999999999" customHeight="1"/>
    <row r="103" ht="19.899999999999999" customHeight="1"/>
    <row r="104" ht="19.899999999999999" customHeight="1"/>
    <row r="105" ht="19.899999999999999" customHeight="1"/>
    <row r="106" ht="19.899999999999999" customHeight="1"/>
    <row r="107" ht="19.899999999999999" customHeight="1"/>
    <row r="108" ht="19.899999999999999" customHeight="1"/>
    <row r="109" ht="19.899999999999999" customHeight="1"/>
    <row r="110" ht="19.899999999999999" customHeight="1"/>
    <row r="111" ht="19.899999999999999" customHeight="1"/>
    <row r="112" ht="19.899999999999999" customHeight="1"/>
    <row r="113" ht="19.899999999999999" customHeight="1"/>
    <row r="114" ht="19.899999999999999" customHeight="1"/>
    <row r="115" ht="19.899999999999999" customHeight="1"/>
    <row r="116" ht="19.899999999999999" customHeight="1"/>
    <row r="117" ht="19.899999999999999" customHeight="1"/>
    <row r="118" ht="19.899999999999999" customHeight="1"/>
    <row r="119" ht="19.899999999999999" customHeight="1"/>
    <row r="120" ht="19.899999999999999" customHeight="1"/>
    <row r="121" ht="19.899999999999999" customHeight="1"/>
    <row r="122" ht="19.899999999999999" customHeight="1"/>
    <row r="123" ht="19.899999999999999" customHeight="1"/>
    <row r="124" ht="19.899999999999999" customHeight="1"/>
    <row r="125" ht="19.899999999999999" customHeight="1"/>
    <row r="126" ht="19.899999999999999" customHeight="1"/>
    <row r="127" ht="19.899999999999999" customHeight="1"/>
    <row r="128" ht="19.899999999999999" customHeight="1"/>
    <row r="129" ht="19.899999999999999" customHeight="1"/>
    <row r="130" ht="19.899999999999999" customHeight="1"/>
    <row r="131" ht="19.899999999999999" customHeight="1"/>
    <row r="132" ht="19.899999999999999" customHeight="1"/>
    <row r="133" ht="19.899999999999999" customHeight="1"/>
    <row r="134" ht="19.899999999999999" customHeight="1"/>
    <row r="135" ht="19.899999999999999" customHeight="1"/>
    <row r="136" ht="19.899999999999999" customHeight="1"/>
    <row r="137" ht="19.899999999999999" customHeight="1"/>
    <row r="138" ht="19.899999999999999" customHeight="1"/>
    <row r="139" ht="19.899999999999999" customHeight="1"/>
    <row r="140" ht="19.899999999999999" customHeight="1"/>
    <row r="141" ht="19.899999999999999" customHeight="1"/>
    <row r="142" ht="19.899999999999999" customHeight="1"/>
    <row r="143" ht="19.899999999999999" customHeight="1"/>
    <row r="144" ht="19.899999999999999" customHeight="1"/>
    <row r="145" ht="19.899999999999999" customHeight="1"/>
    <row r="146" ht="19.899999999999999" customHeight="1"/>
    <row r="147" ht="19.899999999999999" customHeight="1"/>
    <row r="148" ht="19.899999999999999" customHeight="1"/>
    <row r="149" ht="19.899999999999999" customHeight="1"/>
    <row r="150" ht="19.899999999999999" customHeight="1"/>
    <row r="151" ht="19.899999999999999" customHeight="1"/>
    <row r="152" ht="19.899999999999999" customHeight="1"/>
    <row r="153" ht="19.899999999999999" customHeight="1"/>
    <row r="154" ht="19.899999999999999" customHeight="1"/>
    <row r="155" ht="19.899999999999999" customHeight="1"/>
    <row r="156" ht="19.899999999999999" customHeight="1"/>
    <row r="157" ht="19.899999999999999" customHeight="1"/>
    <row r="158" ht="19.899999999999999" customHeight="1"/>
    <row r="159" ht="19.899999999999999" customHeight="1"/>
    <row r="160" ht="19.899999999999999" customHeight="1"/>
    <row r="161" ht="19.899999999999999" customHeight="1"/>
    <row r="162" ht="19.899999999999999" customHeight="1"/>
    <row r="163" ht="19.899999999999999" customHeight="1"/>
    <row r="164" ht="19.899999999999999" customHeight="1"/>
    <row r="165" ht="19.899999999999999" customHeight="1"/>
    <row r="166" ht="19.899999999999999" customHeight="1"/>
    <row r="167" ht="19.899999999999999" customHeight="1"/>
    <row r="168" ht="19.899999999999999" customHeight="1"/>
    <row r="169" ht="19.899999999999999" customHeight="1"/>
    <row r="170" ht="19.899999999999999" customHeight="1"/>
    <row r="171" ht="19.899999999999999" customHeight="1"/>
    <row r="172" ht="19.899999999999999" customHeight="1"/>
    <row r="173" ht="19.899999999999999" customHeight="1"/>
    <row r="174" ht="19.899999999999999" customHeight="1"/>
    <row r="175" ht="19.899999999999999" customHeight="1"/>
    <row r="176" ht="19.899999999999999" customHeight="1"/>
    <row r="177" ht="19.899999999999999" customHeight="1"/>
    <row r="178" ht="19.899999999999999" customHeight="1"/>
    <row r="179" ht="19.899999999999999" customHeight="1"/>
    <row r="180" ht="19.899999999999999" customHeight="1"/>
    <row r="181" ht="19.899999999999999" customHeight="1"/>
    <row r="182" ht="19.899999999999999" customHeight="1"/>
    <row r="183" ht="19.899999999999999" customHeight="1"/>
    <row r="184" ht="19.899999999999999" customHeight="1"/>
    <row r="185" ht="19.899999999999999" customHeight="1"/>
    <row r="186" ht="19.899999999999999" customHeight="1"/>
    <row r="187" ht="19.899999999999999" customHeight="1"/>
    <row r="188" ht="19.899999999999999" customHeight="1"/>
    <row r="189" ht="19.899999999999999" customHeight="1"/>
    <row r="190" ht="19.899999999999999" customHeight="1"/>
    <row r="191" ht="19.899999999999999" customHeight="1"/>
    <row r="192" ht="19.899999999999999" customHeight="1"/>
    <row r="193" ht="19.899999999999999" customHeight="1"/>
    <row r="194" ht="19.899999999999999" customHeight="1"/>
    <row r="195" ht="19.899999999999999" customHeight="1"/>
    <row r="196" ht="19.899999999999999" customHeight="1"/>
    <row r="197" ht="19.899999999999999" customHeight="1"/>
    <row r="198" ht="19.899999999999999" customHeight="1"/>
    <row r="199" ht="19.899999999999999" customHeight="1"/>
    <row r="200" ht="19.899999999999999" customHeight="1"/>
    <row r="201" ht="19.899999999999999" customHeight="1"/>
    <row r="202" ht="19.899999999999999" customHeight="1"/>
    <row r="203" ht="19.899999999999999" customHeight="1"/>
    <row r="204" ht="19.899999999999999" customHeight="1"/>
    <row r="205" ht="19.899999999999999" customHeight="1"/>
    <row r="206" ht="19.899999999999999" customHeight="1"/>
    <row r="207" ht="19.899999999999999" customHeight="1"/>
    <row r="208" ht="19.899999999999999" customHeight="1"/>
    <row r="209" ht="19.899999999999999" customHeight="1"/>
    <row r="210" ht="19.899999999999999" customHeight="1"/>
    <row r="211" ht="19.899999999999999" customHeight="1"/>
    <row r="212" ht="19.899999999999999" customHeight="1"/>
    <row r="213" ht="19.899999999999999" customHeight="1"/>
    <row r="214" ht="19.899999999999999" customHeight="1"/>
    <row r="215" ht="19.899999999999999" customHeight="1"/>
    <row r="216" ht="19.899999999999999" customHeight="1"/>
    <row r="217" ht="19.899999999999999" customHeight="1"/>
    <row r="218" ht="19.899999999999999" customHeight="1"/>
    <row r="219" ht="19.899999999999999" customHeight="1"/>
    <row r="220" ht="19.899999999999999" customHeight="1"/>
    <row r="221" ht="19.899999999999999" customHeight="1"/>
    <row r="222" ht="19.899999999999999" customHeight="1"/>
    <row r="223" ht="19.899999999999999" customHeight="1"/>
    <row r="224" ht="19.899999999999999" customHeight="1"/>
    <row r="225" ht="19.899999999999999" customHeight="1"/>
    <row r="226" ht="19.899999999999999" customHeight="1"/>
    <row r="227" ht="19.899999999999999" customHeight="1"/>
    <row r="228" ht="19.899999999999999" customHeight="1"/>
    <row r="229" ht="19.899999999999999" customHeight="1"/>
    <row r="230" ht="19.899999999999999" customHeight="1"/>
    <row r="231" ht="19.899999999999999" customHeight="1"/>
    <row r="232" ht="19.899999999999999" customHeight="1"/>
    <row r="233" ht="19.899999999999999" customHeight="1"/>
    <row r="234" ht="19.899999999999999" customHeight="1"/>
    <row r="235" ht="19.899999999999999" customHeight="1"/>
    <row r="236" ht="19.899999999999999" customHeight="1"/>
    <row r="237" ht="19.899999999999999" customHeight="1"/>
    <row r="238" ht="19.899999999999999" customHeight="1"/>
    <row r="239" ht="19.899999999999999" customHeight="1"/>
    <row r="240" ht="19.899999999999999" customHeight="1"/>
    <row r="241" ht="19.899999999999999" customHeight="1"/>
    <row r="242" ht="19.899999999999999" customHeight="1"/>
    <row r="243" ht="19.899999999999999" customHeight="1"/>
    <row r="244" ht="19.899999999999999" customHeight="1"/>
    <row r="245" ht="19.899999999999999" customHeight="1"/>
    <row r="246" ht="19.899999999999999" customHeight="1"/>
    <row r="247" ht="19.899999999999999" customHeight="1"/>
    <row r="248" ht="19.899999999999999" customHeight="1"/>
    <row r="249" ht="19.899999999999999" customHeight="1"/>
    <row r="250" ht="19.899999999999999" customHeight="1"/>
    <row r="251" ht="19.899999999999999" customHeight="1"/>
    <row r="252" ht="19.899999999999999" customHeight="1"/>
    <row r="253" ht="19.899999999999999" customHeight="1"/>
    <row r="254" ht="19.899999999999999" customHeight="1"/>
    <row r="255" ht="19.899999999999999" customHeight="1"/>
    <row r="256" ht="19.899999999999999" customHeight="1"/>
    <row r="257" ht="19.899999999999999" customHeight="1"/>
    <row r="258" ht="19.899999999999999" customHeight="1"/>
    <row r="259" ht="19.899999999999999" customHeight="1"/>
    <row r="260" ht="19.899999999999999" customHeight="1"/>
    <row r="261" ht="19.899999999999999" customHeight="1"/>
    <row r="262" ht="19.899999999999999" customHeight="1"/>
    <row r="263" ht="19.899999999999999" customHeight="1"/>
    <row r="264" ht="19.899999999999999" customHeight="1"/>
    <row r="265" ht="19.899999999999999" customHeight="1"/>
    <row r="266" ht="19.899999999999999" customHeight="1"/>
    <row r="267" ht="19.899999999999999" customHeight="1"/>
    <row r="268" ht="19.899999999999999" customHeight="1"/>
    <row r="269" ht="19.899999999999999" customHeight="1"/>
    <row r="270" ht="19.899999999999999" customHeight="1"/>
    <row r="271" ht="19.899999999999999" customHeight="1"/>
    <row r="272" ht="19.899999999999999" customHeight="1"/>
    <row r="273" ht="19.899999999999999" customHeight="1"/>
    <row r="274" ht="19.899999999999999" customHeight="1"/>
    <row r="275" ht="19.899999999999999" customHeight="1"/>
    <row r="276" ht="19.899999999999999" customHeight="1"/>
    <row r="277" ht="19.899999999999999" customHeight="1"/>
    <row r="278" ht="19.899999999999999" customHeight="1"/>
    <row r="279" ht="19.899999999999999" customHeight="1"/>
    <row r="280" ht="19.899999999999999" customHeight="1"/>
    <row r="281" ht="19.899999999999999" customHeight="1"/>
    <row r="282" ht="19.899999999999999" customHeight="1"/>
    <row r="283" ht="19.899999999999999" customHeight="1"/>
    <row r="284" ht="19.899999999999999" customHeight="1"/>
    <row r="285" ht="19.899999999999999" customHeight="1"/>
    <row r="286" ht="19.899999999999999" customHeight="1"/>
    <row r="287" ht="19.899999999999999" customHeight="1"/>
    <row r="288" ht="19.899999999999999" customHeight="1"/>
    <row r="289" ht="19.899999999999999" customHeight="1"/>
    <row r="290" ht="19.899999999999999" customHeight="1"/>
    <row r="291" ht="19.899999999999999" customHeight="1"/>
    <row r="292" ht="19.899999999999999" customHeight="1"/>
    <row r="293" ht="19.899999999999999" customHeight="1"/>
    <row r="294" ht="19.899999999999999" customHeight="1"/>
    <row r="295" ht="19.899999999999999" customHeight="1"/>
    <row r="296" ht="19.899999999999999" customHeight="1"/>
    <row r="297" ht="19.899999999999999" customHeight="1"/>
    <row r="298" ht="19.899999999999999" customHeight="1"/>
    <row r="299" ht="19.899999999999999" customHeight="1"/>
    <row r="300" ht="19.899999999999999" customHeight="1"/>
    <row r="301" ht="19.899999999999999" customHeight="1"/>
    <row r="302" ht="19.899999999999999" customHeight="1"/>
    <row r="303" ht="19.899999999999999" customHeight="1"/>
    <row r="304" ht="19.899999999999999" customHeight="1"/>
    <row r="305" ht="19.899999999999999" customHeight="1"/>
    <row r="306" ht="19.899999999999999" customHeight="1"/>
    <row r="307" ht="19.899999999999999" customHeight="1"/>
    <row r="308" ht="19.899999999999999" customHeight="1"/>
    <row r="309" ht="19.899999999999999" customHeight="1"/>
    <row r="310" ht="19.899999999999999" customHeight="1"/>
    <row r="311" ht="19.899999999999999" customHeight="1"/>
    <row r="312" ht="19.899999999999999" customHeight="1"/>
    <row r="313" ht="19.899999999999999" customHeight="1"/>
    <row r="314" ht="19.899999999999999" customHeight="1"/>
    <row r="315" ht="19.899999999999999" customHeight="1"/>
    <row r="316" ht="19.899999999999999" customHeight="1"/>
    <row r="317" ht="19.899999999999999" customHeight="1"/>
    <row r="318" ht="19.899999999999999" customHeight="1"/>
    <row r="319" ht="19.899999999999999" customHeight="1"/>
    <row r="320" ht="19.899999999999999" customHeight="1"/>
    <row r="321" ht="19.899999999999999" customHeight="1"/>
    <row r="322" ht="19.899999999999999" customHeight="1"/>
    <row r="323" ht="19.899999999999999" customHeight="1"/>
    <row r="324" ht="19.899999999999999" customHeight="1"/>
    <row r="325" ht="19.899999999999999" customHeight="1"/>
    <row r="326" ht="19.899999999999999" customHeight="1"/>
    <row r="327" ht="19.899999999999999" customHeight="1"/>
    <row r="328" ht="19.899999999999999" customHeight="1"/>
    <row r="329" ht="19.899999999999999" customHeight="1"/>
    <row r="330" ht="19.899999999999999" customHeight="1"/>
    <row r="331" ht="19.899999999999999" customHeight="1"/>
    <row r="332" ht="19.899999999999999" customHeight="1"/>
    <row r="333" ht="19.899999999999999" customHeight="1"/>
    <row r="334" ht="19.899999999999999" customHeight="1"/>
    <row r="335" ht="19.899999999999999" customHeight="1"/>
    <row r="336" ht="19.899999999999999" customHeight="1"/>
    <row r="337" ht="19.899999999999999" customHeight="1"/>
    <row r="338" ht="19.899999999999999" customHeight="1"/>
    <row r="339" ht="19.899999999999999" customHeight="1"/>
    <row r="340" ht="19.899999999999999" customHeight="1"/>
    <row r="341" ht="19.899999999999999" customHeight="1"/>
    <row r="342" ht="19.899999999999999" customHeight="1"/>
    <row r="343" ht="19.899999999999999" customHeight="1"/>
    <row r="344" ht="19.899999999999999" customHeight="1"/>
    <row r="345" ht="19.899999999999999" customHeight="1"/>
    <row r="346" ht="19.899999999999999" customHeight="1"/>
    <row r="347" ht="19.899999999999999" customHeight="1"/>
    <row r="348" ht="19.899999999999999" customHeight="1"/>
    <row r="349" ht="19.899999999999999" customHeight="1"/>
    <row r="350" ht="19.899999999999999" customHeight="1"/>
    <row r="351" ht="19.899999999999999" customHeight="1"/>
    <row r="352" ht="19.899999999999999" customHeight="1"/>
    <row r="353" ht="19.899999999999999" customHeight="1"/>
    <row r="354" ht="19.899999999999999" customHeight="1"/>
    <row r="355" ht="19.899999999999999" customHeight="1"/>
    <row r="356" ht="19.899999999999999" customHeight="1"/>
    <row r="357" ht="19.899999999999999" customHeight="1"/>
    <row r="358" ht="19.899999999999999" customHeight="1"/>
    <row r="359" ht="19.899999999999999" customHeight="1"/>
    <row r="360" ht="19.899999999999999" customHeight="1"/>
    <row r="361" ht="19.899999999999999" customHeight="1"/>
    <row r="362" ht="19.899999999999999" customHeight="1"/>
    <row r="363" ht="19.899999999999999" customHeight="1"/>
    <row r="364" ht="19.899999999999999" customHeight="1"/>
    <row r="365" ht="19.899999999999999" customHeight="1"/>
    <row r="366" ht="19.899999999999999" customHeight="1"/>
    <row r="367" ht="19.899999999999999" customHeight="1"/>
    <row r="368" ht="19.899999999999999" customHeight="1"/>
    <row r="369" ht="19.899999999999999" customHeight="1"/>
    <row r="370" ht="19.899999999999999" customHeight="1"/>
    <row r="371" ht="19.899999999999999" customHeight="1"/>
    <row r="372" ht="19.899999999999999" customHeight="1"/>
    <row r="373" ht="19.899999999999999" customHeight="1"/>
    <row r="374" ht="19.899999999999999" customHeight="1"/>
    <row r="375" ht="19.899999999999999" customHeight="1"/>
    <row r="376" ht="19.899999999999999" customHeight="1"/>
    <row r="377" ht="19.899999999999999" customHeight="1"/>
    <row r="378" ht="19.899999999999999" customHeight="1"/>
    <row r="379" ht="19.899999999999999" customHeight="1"/>
    <row r="380" ht="19.899999999999999" customHeight="1"/>
    <row r="381" ht="19.899999999999999" customHeight="1"/>
    <row r="382" ht="19.899999999999999" customHeight="1"/>
    <row r="383" ht="19.899999999999999" customHeight="1"/>
    <row r="384" ht="19.899999999999999" customHeight="1"/>
    <row r="385" ht="19.899999999999999" customHeight="1"/>
    <row r="386" ht="19.899999999999999" customHeight="1"/>
    <row r="387" ht="19.899999999999999" customHeight="1"/>
    <row r="388" ht="19.899999999999999" customHeight="1"/>
    <row r="389" ht="19.899999999999999" customHeight="1"/>
    <row r="390" ht="19.899999999999999" customHeight="1"/>
    <row r="391" ht="19.899999999999999" customHeight="1"/>
    <row r="392" ht="19.899999999999999" customHeight="1"/>
    <row r="393" ht="19.899999999999999" customHeight="1"/>
    <row r="394" ht="19.899999999999999" customHeight="1"/>
    <row r="395" ht="19.899999999999999" customHeight="1"/>
    <row r="396" ht="19.899999999999999" customHeight="1"/>
    <row r="397" ht="19.899999999999999" customHeight="1"/>
    <row r="398" ht="19.899999999999999" customHeight="1"/>
    <row r="399" ht="19.899999999999999" customHeight="1"/>
    <row r="400" ht="19.899999999999999" customHeight="1"/>
    <row r="401" ht="19.899999999999999" customHeight="1"/>
    <row r="402" ht="19.899999999999999" customHeight="1"/>
  </sheetData>
  <mergeCells count="1">
    <mergeCell ref="A1:M1"/>
  </mergeCells>
  <conditionalFormatting sqref="M4:M18">
    <cfRule type="cellIs" dxfId="12" priority="1" operator="equal">
      <formula>"Atrasado"</formula>
    </cfRule>
    <cfRule type="cellIs" dxfId="11" priority="2" operator="equal">
      <formula>"No Prazo"</formula>
    </cfRule>
  </conditionalFormatting>
  <dataValidations count="3">
    <dataValidation type="list" allowBlank="1" showInputMessage="1" showErrorMessage="1" sqref="E4:E18" xr:uid="{289BDD80-4052-401B-A6B4-56CAC62885B8}">
      <formula1>Lista_clientes</formula1>
    </dataValidation>
    <dataValidation type="list" allowBlank="1" showInputMessage="1" showErrorMessage="1" sqref="J4:J18" xr:uid="{A684F113-CDA5-4251-BB29-50908BF2822C}">
      <formula1>"1 - Pedido Recebido,2 - Pagamento Aprovado,3- Pedido Preparado,4 - Pedido Enviado,5 - Pedido em Rota de Entrega,6 - Pedido Entregue"</formula1>
    </dataValidation>
    <dataValidation type="list" allowBlank="1" showInputMessage="1" showErrorMessage="1" sqref="K4:K18" xr:uid="{45FD3238-89EB-43F2-A92F-CAFD05DB0A97}">
      <formula1>Lista_entregadores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3E57-F9C7-4866-86D5-DACACF73092E}">
  <dimension ref="A1:U15"/>
  <sheetViews>
    <sheetView showGridLines="0" zoomScale="115" zoomScaleNormal="115" workbookViewId="0">
      <selection activeCell="B1" sqref="B1:I1"/>
    </sheetView>
  </sheetViews>
  <sheetFormatPr defaultColWidth="0" defaultRowHeight="14.45"/>
  <cols>
    <col min="1" max="1" width="1.7109375" customWidth="1"/>
    <col min="2" max="2" width="17.85546875" bestFit="1" customWidth="1"/>
    <col min="3" max="3" width="30.7109375" customWidth="1"/>
    <col min="4" max="4" width="2.7109375" customWidth="1"/>
    <col min="5" max="5" width="15.7109375" customWidth="1"/>
    <col min="6" max="6" width="30.7109375" customWidth="1"/>
    <col min="7" max="7" width="2.7109375" customWidth="1"/>
    <col min="8" max="8" width="15.7109375" customWidth="1"/>
    <col min="9" max="9" width="30.7109375" customWidth="1"/>
    <col min="10" max="10" width="1.7109375" customWidth="1"/>
    <col min="11" max="21" width="15.7109375" hidden="1" customWidth="1"/>
    <col min="22" max="16384" width="8.85546875" hidden="1"/>
  </cols>
  <sheetData>
    <row r="1" spans="2:9" ht="30" customHeight="1">
      <c r="B1" s="29" t="s">
        <v>69</v>
      </c>
      <c r="C1" s="29"/>
      <c r="D1" s="29"/>
      <c r="E1" s="29"/>
      <c r="F1" s="29"/>
      <c r="G1" s="29"/>
      <c r="H1" s="29"/>
      <c r="I1" s="29"/>
    </row>
    <row r="2" spans="2:9" ht="15" customHeight="1"/>
    <row r="3" spans="2:9" ht="30" customHeight="1">
      <c r="B3" s="12" t="s">
        <v>70</v>
      </c>
      <c r="C3" s="14" t="s">
        <v>71</v>
      </c>
      <c r="D3" s="13"/>
      <c r="E3" s="12" t="s">
        <v>72</v>
      </c>
      <c r="F3" s="17" t="e">
        <f>VLOOKUP($C$3,Tab_Entregas[[Rastreio]:[Status]],10,0)</f>
        <v>#N/A</v>
      </c>
      <c r="G3" s="13"/>
      <c r="H3" s="12" t="s">
        <v>73</v>
      </c>
      <c r="I3" s="17" t="e">
        <f>VLOOKUP($C$3,Tab_Entregas[[Rastreio]:[Status]],7,0)</f>
        <v>#N/A</v>
      </c>
    </row>
    <row r="4" spans="2:9" ht="30" customHeight="1">
      <c r="B4" s="13"/>
      <c r="C4" s="15"/>
      <c r="D4" s="13"/>
      <c r="E4" s="13"/>
      <c r="F4" s="15"/>
      <c r="G4" s="13"/>
      <c r="H4" s="13"/>
      <c r="I4" s="15"/>
    </row>
    <row r="5" spans="2:9" ht="30" customHeight="1">
      <c r="B5" s="12" t="s">
        <v>74</v>
      </c>
      <c r="C5" s="16" t="e">
        <f>VLOOKUP($C$3,Tab_Entregas[[Rastreio]:[Status]],4,0)</f>
        <v>#N/A</v>
      </c>
      <c r="D5" s="13"/>
      <c r="E5" s="12" t="s">
        <v>75</v>
      </c>
      <c r="F5" s="17" t="e">
        <f>VLOOKUP($C$3,Tab_Entregas[[Rastreio]:[Status]],5,0)</f>
        <v>#N/A</v>
      </c>
      <c r="G5" s="13"/>
      <c r="H5" s="12" t="s">
        <v>76</v>
      </c>
      <c r="I5" s="17" t="e">
        <f>VLOOKUP($C$3,Tab_Entregas[[Rastreio]:[Status]],11,0)</f>
        <v>#N/A</v>
      </c>
    </row>
    <row r="6" spans="2:9" ht="4.9000000000000004" customHeight="1">
      <c r="B6" s="13"/>
      <c r="C6" s="15"/>
      <c r="D6" s="13"/>
      <c r="E6" s="13"/>
      <c r="F6" s="15"/>
      <c r="G6" s="13"/>
      <c r="H6" s="13"/>
      <c r="I6" s="15"/>
    </row>
    <row r="7" spans="2:9" ht="30" customHeight="1">
      <c r="B7" s="12" t="s">
        <v>77</v>
      </c>
      <c r="C7" s="16" t="e">
        <f>VLOOKUP($C$3,Tab_Entregas[[Rastreio]:[Status]],8,0)</f>
        <v>#N/A</v>
      </c>
      <c r="D7" s="13"/>
      <c r="E7" s="12" t="s">
        <v>78</v>
      </c>
      <c r="F7" s="17" t="e">
        <f>VLOOKUP(F5,Tab_Clientes[],3,0)</f>
        <v>#N/A</v>
      </c>
      <c r="G7" s="13"/>
      <c r="H7" s="12" t="s">
        <v>79</v>
      </c>
      <c r="I7" s="18" t="e">
        <f>VLOOKUP(I5,Tab_entregadores[],2,0)</f>
        <v>#N/A</v>
      </c>
    </row>
    <row r="8" spans="2:9" ht="4.9000000000000004" customHeight="1">
      <c r="B8" s="13"/>
      <c r="C8" s="15"/>
      <c r="D8" s="13"/>
      <c r="E8" s="13"/>
      <c r="F8" s="15"/>
      <c r="G8" s="13"/>
      <c r="H8" s="13"/>
      <c r="I8" s="15"/>
    </row>
    <row r="9" spans="2:9" ht="30" customHeight="1">
      <c r="B9" s="12" t="s">
        <v>80</v>
      </c>
      <c r="C9" s="17" t="e">
        <f>VLOOKUP($C$3,Tab_Entregas[[Rastreio]:[Status]],9,0)</f>
        <v>#N/A</v>
      </c>
      <c r="D9" s="13"/>
      <c r="E9" s="12" t="s">
        <v>81</v>
      </c>
      <c r="F9" s="17" t="e">
        <f>VLOOKUP(F5,Tab_Clientes[],7,0)</f>
        <v>#N/A</v>
      </c>
      <c r="G9" s="13"/>
      <c r="H9" s="12" t="s">
        <v>82</v>
      </c>
      <c r="I9" s="17" t="e">
        <f>VLOOKUP(I5,Tab_entregadores[],4,0)</f>
        <v>#N/A</v>
      </c>
    </row>
    <row r="10" spans="2:9" ht="4.9000000000000004" customHeight="1">
      <c r="B10" s="13"/>
      <c r="C10" s="15"/>
      <c r="D10" s="13"/>
      <c r="E10" s="13"/>
      <c r="F10" s="15"/>
      <c r="G10" s="13"/>
      <c r="H10" s="13"/>
      <c r="I10" s="15"/>
    </row>
    <row r="11" spans="2:9" ht="30" customHeight="1">
      <c r="B11" s="12" t="s">
        <v>83</v>
      </c>
      <c r="C11" s="16" t="e">
        <f>IF(VLOOKUP($C$3,Tab_Entregas[[Rastreio]:[Status]],12,0)="","-",VLOOKUP($C$3,Tab_Entregas[[Rastreio]:[Status]],12,0))</f>
        <v>#N/A</v>
      </c>
      <c r="D11" s="13"/>
      <c r="E11" s="12" t="s">
        <v>84</v>
      </c>
      <c r="F11" s="17" t="e">
        <f>VLOOKUP(F5,Tab_Clientes[],6,0)</f>
        <v>#N/A</v>
      </c>
      <c r="G11" s="13"/>
      <c r="H11" s="12" t="s">
        <v>85</v>
      </c>
      <c r="I11" s="17" t="e">
        <f>VLOOKUP(I5,Tab_entregadores[],6,0)</f>
        <v>#N/A</v>
      </c>
    </row>
    <row r="12" spans="2:9" ht="30" customHeight="1"/>
    <row r="13" spans="2:9" ht="30" customHeight="1"/>
    <row r="14" spans="2:9" ht="30" customHeight="1"/>
    <row r="15" spans="2:9" ht="30" customHeight="1"/>
  </sheetData>
  <mergeCells count="1">
    <mergeCell ref="B1:I1"/>
  </mergeCells>
  <dataValidations count="1">
    <dataValidation type="list" allowBlank="1" showInputMessage="1" showErrorMessage="1" sqref="C3" xr:uid="{BA3A19CA-F571-4D30-A6F8-BCCD6C6F4A60}">
      <formula1>Lista_cod_rastreio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E385-401B-487B-9414-EA41258471DA}">
  <dimension ref="A1:S26"/>
  <sheetViews>
    <sheetView showGridLines="0" tabSelected="1" zoomScaleNormal="100" workbookViewId="0">
      <selection sqref="A1:J1"/>
    </sheetView>
  </sheetViews>
  <sheetFormatPr defaultColWidth="0" defaultRowHeight="14.45" zeroHeight="1"/>
  <cols>
    <col min="1" max="1" width="17.28515625" style="10" bestFit="1" customWidth="1"/>
    <col min="2" max="3" width="19.7109375" style="10" bestFit="1" customWidth="1"/>
    <col min="4" max="4" width="15.7109375" style="10" customWidth="1"/>
    <col min="5" max="5" width="30.7109375" style="10" customWidth="1"/>
    <col min="6" max="6" width="2.7109375" style="10" customWidth="1"/>
    <col min="7" max="7" width="15.7109375" style="10" customWidth="1"/>
    <col min="8" max="8" width="30.7109375" style="10" customWidth="1"/>
    <col min="9" max="9" width="1.7109375" style="10" customWidth="1"/>
    <col min="10" max="10" width="9.140625" style="10" customWidth="1"/>
    <col min="11" max="19" width="15.7109375" hidden="1" customWidth="1"/>
    <col min="20" max="16384" width="8.85546875" hidden="1"/>
  </cols>
  <sheetData>
    <row r="1" spans="1:10" ht="30" customHeight="1">
      <c r="A1" s="29" t="s">
        <v>86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5" customHeight="1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" customHeight="1">
      <c r="A3" s="27"/>
      <c r="B3" s="27"/>
      <c r="C3" s="27"/>
      <c r="D3" s="26"/>
      <c r="E3" s="26"/>
      <c r="F3" s="26"/>
      <c r="G3" s="26"/>
      <c r="H3" s="26"/>
      <c r="I3" s="26"/>
      <c r="J3" s="26"/>
    </row>
    <row r="4" spans="1:10" ht="15" customHeight="1">
      <c r="A4" s="27"/>
      <c r="B4" s="28"/>
      <c r="C4" s="27"/>
      <c r="D4" s="27"/>
      <c r="E4" s="28"/>
      <c r="F4" s="27"/>
      <c r="G4" s="27"/>
      <c r="H4" s="28"/>
      <c r="I4" s="26"/>
      <c r="J4" s="26"/>
    </row>
    <row r="5" spans="1:10" ht="15" customHeight="1">
      <c r="A5" s="26"/>
      <c r="B5" s="26"/>
      <c r="C5" s="26"/>
      <c r="D5" s="26"/>
      <c r="E5" s="26"/>
      <c r="F5" s="26"/>
      <c r="G5" s="26"/>
      <c r="H5" s="26"/>
      <c r="I5" s="26"/>
      <c r="J5" s="26"/>
    </row>
    <row r="6" spans="1:10" ht="15" customHeight="1">
      <c r="A6" s="26"/>
      <c r="B6" s="26"/>
      <c r="C6" s="26"/>
      <c r="D6" s="26"/>
      <c r="E6" s="26"/>
      <c r="F6" s="26"/>
      <c r="G6" s="26"/>
      <c r="H6" s="26"/>
      <c r="I6" s="26"/>
      <c r="J6" s="26"/>
    </row>
    <row r="7" spans="1:10" ht="15" customHeight="1">
      <c r="A7" s="26"/>
      <c r="B7" s="26"/>
      <c r="C7" s="26"/>
      <c r="D7" s="26"/>
      <c r="E7" s="26"/>
      <c r="F7" s="26"/>
      <c r="G7" s="26"/>
      <c r="H7" s="26"/>
      <c r="I7" s="26"/>
      <c r="J7" s="26"/>
    </row>
    <row r="8" spans="1:10" ht="15" customHeight="1">
      <c r="A8" s="26"/>
      <c r="B8" s="26"/>
      <c r="C8" s="26"/>
      <c r="D8" s="26"/>
      <c r="E8" s="26"/>
      <c r="F8" s="26"/>
      <c r="G8" s="26"/>
      <c r="H8" s="26"/>
      <c r="I8" s="26"/>
      <c r="J8" s="26"/>
    </row>
    <row r="9" spans="1:10" ht="15" customHeight="1">
      <c r="A9" s="26"/>
      <c r="B9" s="26"/>
      <c r="C9" s="26"/>
      <c r="D9" s="26"/>
      <c r="E9" s="26"/>
      <c r="F9" s="26"/>
      <c r="G9" s="26"/>
      <c r="H9" s="26"/>
      <c r="I9" s="26"/>
      <c r="J9" s="26"/>
    </row>
    <row r="10" spans="1:10" ht="15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</row>
    <row r="11" spans="1:10" ht="15" customHeight="1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spans="1:10" ht="1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</row>
    <row r="13" spans="1:10" ht="15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 ht="1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</row>
    <row r="15" spans="1:10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</row>
    <row r="16" spans="1:10" ht="15" customHeight="1">
      <c r="A16" s="26"/>
      <c r="B16" s="26"/>
      <c r="C16" s="26"/>
      <c r="D16" s="26"/>
      <c r="E16" s="26"/>
      <c r="F16" s="26"/>
      <c r="G16" s="26"/>
      <c r="H16" s="26"/>
      <c r="I16" s="26"/>
      <c r="J16" s="26"/>
    </row>
    <row r="17" spans="1:10" ht="1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</row>
    <row r="18" spans="1:10" ht="15" customHeight="1">
      <c r="A18" s="26"/>
      <c r="B18" s="26"/>
      <c r="C18" s="26"/>
      <c r="D18" s="26"/>
      <c r="E18" s="26"/>
      <c r="F18" s="26"/>
      <c r="G18" s="26"/>
      <c r="H18" s="26"/>
      <c r="I18" s="26"/>
      <c r="J18" s="26"/>
    </row>
    <row r="19" spans="1:10" ht="15" customHeight="1">
      <c r="A19" s="26"/>
      <c r="B19" s="26"/>
      <c r="C19" s="26"/>
      <c r="D19" s="26"/>
      <c r="E19" s="26"/>
      <c r="F19" s="26"/>
      <c r="G19" s="26"/>
      <c r="H19" s="26"/>
      <c r="I19" s="26"/>
      <c r="J19" s="26"/>
    </row>
    <row r="20" spans="1:10" ht="15" customHeight="1">
      <c r="A20" s="26"/>
      <c r="B20" s="26"/>
      <c r="C20" s="26"/>
      <c r="D20" s="26"/>
      <c r="E20" s="26"/>
      <c r="F20" s="26"/>
      <c r="G20" s="26"/>
      <c r="H20" s="26"/>
      <c r="I20" s="26"/>
      <c r="J20" s="26"/>
    </row>
    <row r="21" spans="1:10" ht="15" customHeight="1">
      <c r="A21" s="26"/>
      <c r="B21" s="26"/>
      <c r="C21" s="26"/>
      <c r="D21" s="26"/>
      <c r="E21" s="26"/>
      <c r="F21" s="26"/>
      <c r="G21" s="26"/>
      <c r="H21" s="26"/>
      <c r="I21" s="26"/>
      <c r="J21" s="26"/>
    </row>
    <row r="22" spans="1:10" ht="15" customHeight="1">
      <c r="A22" s="26"/>
      <c r="B22" s="26"/>
      <c r="C22" s="26"/>
      <c r="D22" s="26"/>
      <c r="E22" s="26"/>
      <c r="F22" s="26"/>
      <c r="G22" s="26"/>
      <c r="H22" s="26"/>
      <c r="I22" s="26"/>
      <c r="J22" s="26"/>
    </row>
    <row r="23" spans="1:10" ht="15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</row>
    <row r="24" spans="1:10" ht="15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</row>
    <row r="25" spans="1:10" ht="1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</row>
    <row r="26" spans="1:10" ht="15" hidden="1" customHeight="1"/>
  </sheetData>
  <mergeCells count="1">
    <mergeCell ref="A1:J1"/>
  </mergeCells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80F2-490D-42D3-9076-E07EC6E4171F}">
  <dimension ref="A1:W26"/>
  <sheetViews>
    <sheetView showGridLines="0" topLeftCell="J1" workbookViewId="0">
      <selection activeCell="T5" sqref="T5"/>
    </sheetView>
  </sheetViews>
  <sheetFormatPr defaultRowHeight="14.45"/>
  <cols>
    <col min="1" max="1" width="17.28515625" bestFit="1" customWidth="1"/>
    <col min="2" max="2" width="19.7109375" bestFit="1" customWidth="1"/>
    <col min="4" max="4" width="17.28515625" bestFit="1" customWidth="1"/>
    <col min="5" max="5" width="18.140625" bestFit="1" customWidth="1"/>
    <col min="9" max="9" width="17.28515625" bestFit="1" customWidth="1"/>
    <col min="10" max="10" width="18.7109375" bestFit="1" customWidth="1"/>
    <col min="12" max="12" width="17.28515625" bestFit="1" customWidth="1"/>
    <col min="13" max="13" width="22.28515625" bestFit="1" customWidth="1"/>
    <col min="15" max="15" width="17.28515625" bestFit="1" customWidth="1"/>
    <col min="16" max="16" width="22.28515625" bestFit="1" customWidth="1"/>
    <col min="19" max="19" width="17.28515625" bestFit="1" customWidth="1"/>
    <col min="20" max="20" width="15" bestFit="1" customWidth="1"/>
  </cols>
  <sheetData>
    <row r="1" spans="1:23">
      <c r="A1" s="21" t="s">
        <v>87</v>
      </c>
      <c r="B1" t="s">
        <v>88</v>
      </c>
      <c r="D1" s="21" t="s">
        <v>87</v>
      </c>
      <c r="E1" t="s">
        <v>89</v>
      </c>
      <c r="I1" s="21" t="s">
        <v>87</v>
      </c>
      <c r="J1" t="s">
        <v>90</v>
      </c>
      <c r="L1" s="21" t="s">
        <v>87</v>
      </c>
      <c r="M1" t="s">
        <v>91</v>
      </c>
      <c r="O1" s="21" t="s">
        <v>87</v>
      </c>
      <c r="P1" t="s">
        <v>92</v>
      </c>
      <c r="S1" s="21" t="s">
        <v>87</v>
      </c>
      <c r="T1" t="s">
        <v>93</v>
      </c>
      <c r="V1" s="11"/>
      <c r="W1" s="11"/>
    </row>
    <row r="2" spans="1:23">
      <c r="A2" s="22" t="s">
        <v>94</v>
      </c>
      <c r="B2">
        <v>7</v>
      </c>
      <c r="D2" s="22" t="s">
        <v>95</v>
      </c>
      <c r="E2">
        <v>4</v>
      </c>
      <c r="G2" s="25">
        <f>E2/E4</f>
        <v>0.2857142857142857</v>
      </c>
      <c r="I2" s="22" t="s">
        <v>41</v>
      </c>
      <c r="J2">
        <v>2</v>
      </c>
      <c r="L2" s="22" t="s">
        <v>14</v>
      </c>
      <c r="M2">
        <v>1</v>
      </c>
      <c r="O2" s="22" t="s">
        <v>96</v>
      </c>
      <c r="P2">
        <v>3</v>
      </c>
      <c r="Q2" s="25">
        <f>P2/P4</f>
        <v>0.6</v>
      </c>
      <c r="S2" s="22" t="s">
        <v>40</v>
      </c>
      <c r="T2">
        <v>2</v>
      </c>
      <c r="V2" s="11" t="str" cm="1">
        <f t="array" aca="1" ref="V2:V6" ca="1">OFFSET(S2,,,COUNTA(S:S)-2)</f>
        <v>RJ</v>
      </c>
      <c r="W2" s="11" cm="1">
        <f t="array" aca="1" ref="W2:W6" ca="1">OFFSET(T2,,,COUNTA(S:S)-2)</f>
        <v>2</v>
      </c>
    </row>
    <row r="3" spans="1:23">
      <c r="A3" s="23" t="s">
        <v>97</v>
      </c>
      <c r="B3">
        <v>1</v>
      </c>
      <c r="D3" s="22" t="s">
        <v>98</v>
      </c>
      <c r="E3">
        <v>10</v>
      </c>
      <c r="I3" s="22" t="s">
        <v>39</v>
      </c>
      <c r="J3">
        <v>2</v>
      </c>
      <c r="L3" s="22" t="s">
        <v>11</v>
      </c>
      <c r="M3">
        <v>2</v>
      </c>
      <c r="O3" s="22" t="s">
        <v>99</v>
      </c>
      <c r="P3">
        <v>2</v>
      </c>
      <c r="S3" s="22" t="s">
        <v>38</v>
      </c>
      <c r="T3">
        <v>3</v>
      </c>
      <c r="V3" s="11" t="str">
        <f ca="1"/>
        <v>SP</v>
      </c>
      <c r="W3" s="11">
        <f ca="1"/>
        <v>3</v>
      </c>
    </row>
    <row r="4" spans="1:23">
      <c r="A4" s="23" t="s">
        <v>100</v>
      </c>
      <c r="B4">
        <v>2</v>
      </c>
      <c r="D4" s="22" t="s">
        <v>101</v>
      </c>
      <c r="E4">
        <v>14</v>
      </c>
      <c r="I4" s="22" t="s">
        <v>33</v>
      </c>
      <c r="J4">
        <v>3</v>
      </c>
      <c r="L4" s="22" t="s">
        <v>9</v>
      </c>
      <c r="M4">
        <v>3</v>
      </c>
      <c r="O4" s="22" t="s">
        <v>101</v>
      </c>
      <c r="P4">
        <v>5</v>
      </c>
      <c r="S4" s="22" t="s">
        <v>32</v>
      </c>
      <c r="T4">
        <v>4</v>
      </c>
      <c r="V4" s="11" t="str">
        <f ca="1"/>
        <v>SC</v>
      </c>
      <c r="W4" s="11">
        <f ca="1"/>
        <v>4</v>
      </c>
    </row>
    <row r="5" spans="1:23">
      <c r="A5" s="23" t="s">
        <v>102</v>
      </c>
      <c r="B5">
        <v>3</v>
      </c>
      <c r="I5" s="22" t="s">
        <v>21</v>
      </c>
      <c r="J5">
        <v>3</v>
      </c>
      <c r="L5" s="22" t="s">
        <v>13</v>
      </c>
      <c r="M5">
        <v>3</v>
      </c>
      <c r="S5" s="22" t="s">
        <v>26</v>
      </c>
      <c r="T5">
        <v>3</v>
      </c>
      <c r="V5" s="11" t="str">
        <f ca="1"/>
        <v>PE</v>
      </c>
      <c r="W5" s="11">
        <f ca="1"/>
        <v>3</v>
      </c>
    </row>
    <row r="6" spans="1:23">
      <c r="A6" s="23" t="s">
        <v>103</v>
      </c>
      <c r="B6">
        <v>1</v>
      </c>
      <c r="I6" s="22" t="s">
        <v>27</v>
      </c>
      <c r="J6">
        <v>4</v>
      </c>
      <c r="L6" s="22" t="s">
        <v>7</v>
      </c>
      <c r="M6">
        <v>5</v>
      </c>
      <c r="S6" s="22" t="s">
        <v>42</v>
      </c>
      <c r="T6">
        <v>2</v>
      </c>
      <c r="V6" s="11" t="str">
        <f ca="1"/>
        <v>GO</v>
      </c>
      <c r="W6" s="11">
        <f ca="1"/>
        <v>2</v>
      </c>
    </row>
    <row r="7" spans="1:23">
      <c r="A7" s="22" t="s">
        <v>104</v>
      </c>
      <c r="B7">
        <v>7</v>
      </c>
      <c r="I7" s="22" t="s">
        <v>101</v>
      </c>
      <c r="J7">
        <v>14</v>
      </c>
      <c r="L7" s="22" t="s">
        <v>101</v>
      </c>
      <c r="M7">
        <v>14</v>
      </c>
      <c r="S7" s="22" t="s">
        <v>101</v>
      </c>
      <c r="T7">
        <v>14</v>
      </c>
      <c r="V7" s="11"/>
      <c r="W7" s="11"/>
    </row>
    <row r="8" spans="1:23">
      <c r="A8" s="23" t="s">
        <v>105</v>
      </c>
      <c r="B8">
        <v>2</v>
      </c>
      <c r="V8" s="11"/>
      <c r="W8" s="11"/>
    </row>
    <row r="9" spans="1:23">
      <c r="A9" s="23" t="s">
        <v>106</v>
      </c>
      <c r="B9">
        <v>1</v>
      </c>
      <c r="V9" s="11"/>
      <c r="W9" s="11"/>
    </row>
    <row r="10" spans="1:23">
      <c r="A10" s="23" t="s">
        <v>107</v>
      </c>
      <c r="B10">
        <v>2</v>
      </c>
      <c r="V10" s="11"/>
      <c r="W10" s="11"/>
    </row>
    <row r="11" spans="1:23">
      <c r="A11" s="23" t="s">
        <v>108</v>
      </c>
      <c r="B11">
        <v>2</v>
      </c>
      <c r="V11" s="11"/>
      <c r="W11" s="11"/>
    </row>
    <row r="12" spans="1:23">
      <c r="A12" s="22" t="s">
        <v>101</v>
      </c>
      <c r="B12">
        <v>14</v>
      </c>
      <c r="V12" s="11"/>
      <c r="W12" s="11"/>
    </row>
    <row r="13" spans="1:23">
      <c r="V13" s="11"/>
      <c r="W13" s="11"/>
    </row>
    <row r="14" spans="1:23">
      <c r="V14" s="11"/>
      <c r="W14" s="11"/>
    </row>
    <row r="15" spans="1:23">
      <c r="V15" s="11"/>
      <c r="W15" s="11"/>
    </row>
    <row r="16" spans="1:23">
      <c r="V16" s="11"/>
      <c r="W16" s="11"/>
    </row>
    <row r="17" spans="22:23">
      <c r="V17" s="11"/>
      <c r="W17" s="11"/>
    </row>
    <row r="18" spans="22:23">
      <c r="V18" s="11"/>
      <c r="W18" s="11"/>
    </row>
    <row r="19" spans="22:23">
      <c r="V19" s="11"/>
      <c r="W19" s="11"/>
    </row>
    <row r="20" spans="22:23">
      <c r="V20" s="11"/>
      <c r="W20" s="11"/>
    </row>
    <row r="21" spans="22:23">
      <c r="V21" s="11"/>
      <c r="W21" s="11"/>
    </row>
    <row r="22" spans="22:23">
      <c r="V22" s="11"/>
      <c r="W22" s="11"/>
    </row>
    <row r="23" spans="22:23">
      <c r="V23" s="11"/>
      <c r="W23" s="11"/>
    </row>
    <row r="24" spans="22:23">
      <c r="V24" s="11"/>
      <c r="W24" s="11"/>
    </row>
    <row r="25" spans="22:23">
      <c r="V25" s="11"/>
      <c r="W25" s="11"/>
    </row>
    <row r="26" spans="22:23">
      <c r="V26" s="11"/>
      <c r="W26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/>
  <cp:revision/>
  <dcterms:created xsi:type="dcterms:W3CDTF">2015-06-05T18:19:34Z</dcterms:created>
  <dcterms:modified xsi:type="dcterms:W3CDTF">2022-08-29T10:47:50Z</dcterms:modified>
  <cp:category/>
  <cp:contentStatus/>
</cp:coreProperties>
</file>