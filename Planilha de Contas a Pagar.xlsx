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0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55219\Desktop\"/>
    </mc:Choice>
  </mc:AlternateContent>
  <xr:revisionPtr revIDLastSave="0" documentId="13_ncr:1_{F30F11B9-B108-41F2-9214-0A37DF13CFBE}" xr6:coauthVersionLast="47" xr6:coauthVersionMax="47" xr10:uidLastSave="{00000000-0000-0000-0000-000000000000}"/>
  <bookViews>
    <workbookView xWindow="-108" yWindow="-108" windowWidth="23256" windowHeight="12456" tabRatio="0" firstSheet="3" activeTab="3" xr2:uid="{70EA39EB-2504-44A4-B7B6-433C9105C4DA}"/>
  </bookViews>
  <sheets>
    <sheet name="Cadastros" sheetId="3" r:id="rId1"/>
    <sheet name="Análises" sheetId="19" state="hidden" r:id="rId2"/>
    <sheet name="Despesas" sheetId="17" r:id="rId3"/>
    <sheet name="Dashboard" sheetId="18" r:id="rId4"/>
    <sheet name="Cálculos" sheetId="12" state="hidden" r:id="rId5"/>
  </sheets>
  <definedNames>
    <definedName name="NativeTimeline_Data">#N/A</definedName>
  </definedNames>
  <calcPr calcId="191028"/>
  <pivotCaches>
    <pivotCache cacheId="0" r:id="rId6"/>
    <pivotCache cacheId="1" r:id="rId7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2" l="1"/>
  <c r="I10" i="12" s="1"/>
  <c r="I4" i="12"/>
  <c r="I13" i="12" s="1"/>
</calcChain>
</file>

<file path=xl/sharedStrings.xml><?xml version="1.0" encoding="utf-8"?>
<sst xmlns="http://schemas.openxmlformats.org/spreadsheetml/2006/main" count="157" uniqueCount="95">
  <si>
    <t>Nº</t>
  </si>
  <si>
    <t>Telefone</t>
  </si>
  <si>
    <t>Com Afastamento</t>
  </si>
  <si>
    <t>Sem Afastamento</t>
  </si>
  <si>
    <t>Quedas</t>
  </si>
  <si>
    <t>Choques contra objetos</t>
  </si>
  <si>
    <t>Golpes provocados por ferramentas</t>
  </si>
  <si>
    <t>Ansiedade</t>
  </si>
  <si>
    <t>Estresse</t>
  </si>
  <si>
    <t>Distúrbio osteomuscular relacionado ao trabalho (Dort)</t>
  </si>
  <si>
    <t>Choques elétricos</t>
  </si>
  <si>
    <t>Lesões por Esforços Repetitivos (LER)</t>
  </si>
  <si>
    <t>Contusão e esmagamento</t>
  </si>
  <si>
    <t>Rótulos de Linha</t>
  </si>
  <si>
    <t>set</t>
  </si>
  <si>
    <t>out</t>
  </si>
  <si>
    <t>nov</t>
  </si>
  <si>
    <t>dez</t>
  </si>
  <si>
    <t>Contagem de Nº</t>
  </si>
  <si>
    <t>Rótulos de Coluna</t>
  </si>
  <si>
    <t>Total Acidentes</t>
  </si>
  <si>
    <t>% Afastamento</t>
  </si>
  <si>
    <t>Contagem de Tipo Acidente</t>
  </si>
  <si>
    <t>Tipo</t>
  </si>
  <si>
    <t>Descrição</t>
  </si>
  <si>
    <t>Fornecedor</t>
  </si>
  <si>
    <t>Forma de Pagamento</t>
  </si>
  <si>
    <t>Valor Original</t>
  </si>
  <si>
    <t>Valor Pago</t>
  </si>
  <si>
    <t>Data</t>
  </si>
  <si>
    <t>Justificativa Diferença</t>
  </si>
  <si>
    <t>Juros e/ou Multas Pago</t>
  </si>
  <si>
    <t>Despesa Operacional</t>
  </si>
  <si>
    <t>Custo de Produção</t>
  </si>
  <si>
    <t>Salário</t>
  </si>
  <si>
    <t>Impostos</t>
  </si>
  <si>
    <t>Investimento</t>
  </si>
  <si>
    <t>Conta de água mai/23</t>
  </si>
  <si>
    <t>Mecânico jun/23</t>
  </si>
  <si>
    <t>ISS ago/23</t>
  </si>
  <si>
    <t>ICMS set/23</t>
  </si>
  <si>
    <t>Mecânico ago/23</t>
  </si>
  <si>
    <t>Lubrificante automotivo</t>
  </si>
  <si>
    <t>Novo elevador de carros</t>
  </si>
  <si>
    <t>Lanterna traseira SUV médio</t>
  </si>
  <si>
    <t>Conta de energia set/23</t>
  </si>
  <si>
    <t>Eletricista out/23</t>
  </si>
  <si>
    <t>E-mail</t>
  </si>
  <si>
    <t>Atraso por falta de notificação</t>
  </si>
  <si>
    <t>Mudança de escopo</t>
  </si>
  <si>
    <t>Multa</t>
  </si>
  <si>
    <t>Demora entre orçamento e compra</t>
  </si>
  <si>
    <t>Mudança de fornecedor</t>
  </si>
  <si>
    <t>Atraso por falha da empresa</t>
  </si>
  <si>
    <t>Wagenvolks</t>
  </si>
  <si>
    <t>FAIT</t>
  </si>
  <si>
    <t>Berry</t>
  </si>
  <si>
    <t>Oster Lubrificantes</t>
  </si>
  <si>
    <t>Fish Lubrificantes</t>
  </si>
  <si>
    <t>Luminosa Peças</t>
  </si>
  <si>
    <t>Miltonlin Pneus</t>
  </si>
  <si>
    <t>Bravex Pneus</t>
  </si>
  <si>
    <t>Inovanox</t>
  </si>
  <si>
    <t>Tião Ferragens</t>
  </si>
  <si>
    <t>FAIT@email.com</t>
  </si>
  <si>
    <t>Wagenvolks@email.com</t>
  </si>
  <si>
    <t>Berry@email.com</t>
  </si>
  <si>
    <t>Miltonlin Pneus@email.com</t>
  </si>
  <si>
    <t>Inovanox@email.com</t>
  </si>
  <si>
    <t>OsterLubrificantes@email.com</t>
  </si>
  <si>
    <t>FishLubrificantes@email.com</t>
  </si>
  <si>
    <t>LuminosaPeças@email.com</t>
  </si>
  <si>
    <t>BravexPneus@email.com</t>
  </si>
  <si>
    <t>TiãoFerragens@email.com</t>
  </si>
  <si>
    <t>TED</t>
  </si>
  <si>
    <t>Pix</t>
  </si>
  <si>
    <t>Boleto</t>
  </si>
  <si>
    <t>Débito</t>
  </si>
  <si>
    <t>Crédito</t>
  </si>
  <si>
    <t>Total Geral</t>
  </si>
  <si>
    <t>Soma de Valor Pago</t>
  </si>
  <si>
    <t>Soma de Diferença</t>
  </si>
  <si>
    <t>jun</t>
  </si>
  <si>
    <t>02/jun</t>
  </si>
  <si>
    <t>14/jun</t>
  </si>
  <si>
    <t>20/jun</t>
  </si>
  <si>
    <t>jul</t>
  </si>
  <si>
    <t>01/jul</t>
  </si>
  <si>
    <t>ago</t>
  </si>
  <si>
    <t>15/ago</t>
  </si>
  <si>
    <t>23/ago</t>
  </si>
  <si>
    <t>03/set</t>
  </si>
  <si>
    <t>21/set</t>
  </si>
  <si>
    <t>03/out</t>
  </si>
  <si>
    <t>10/out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</si>
</sst>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\(00\)\ 00000\-0000"/>
    <numFmt numFmtId="165" formatCode="&quot;R$&quot;\ #,##0.00"/>
    <numFmt numFmtId="166" formatCode="&quot;R$&quot;\ #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Montserrat"/>
    </font>
    <font>
      <b/>
      <sz val="22"/>
      <color theme="0"/>
      <name val="Montserrat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164" fontId="0" fillId="3" borderId="0" xfId="0" applyNumberFormat="1" applyFill="1"/>
    <xf numFmtId="16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left" indent="1"/>
    </xf>
    <xf numFmtId="166" fontId="0" fillId="0" borderId="0" xfId="0" applyNumberFormat="1"/>
    <xf numFmtId="0" fontId="2" fillId="2" borderId="0" xfId="0" applyFont="1" applyFill="1" applyAlignment="1">
      <alignment horizontal="center"/>
    </xf>
  </cellXfs>
  <cellStyles count="3">
    <cellStyle name="Hiperlink" xfId="2" builtinId="8"/>
    <cellStyle name="Normal" xfId="0" builtinId="0"/>
    <cellStyle name="Porcentagem" xfId="1" builtinId="5"/>
  </cellStyles>
  <dxfs count="26"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numFmt numFmtId="19" formatCode="dd/m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numFmt numFmtId="165" formatCode="&quot;R$&quot;\ #,##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numFmt numFmtId="165" formatCode="&quot;R$&quot;\ #,##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numFmt numFmtId="165" formatCode="&quot;R$&quot;\ #,##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numFmt numFmtId="21" formatCode="dd/mmm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numFmt numFmtId="1" formatCode="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numFmt numFmtId="164" formatCode="\(00\)\ 00000\-00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sz val="11"/>
        <color theme="1"/>
      </font>
    </dxf>
    <dxf>
      <font>
        <color theme="0"/>
        <name val="Montserrat"/>
      </font>
      <fill>
        <patternFill patternType="solid">
          <fgColor theme="0"/>
          <bgColor theme="3" tint="-0.499984740745262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Estilo de Linha do Tempo 1" pivot="0" table="0" count="8" xr9:uid="{FC60AEA7-4D72-4573-B783-947872EEBB73}">
      <tableStyleElement type="wholeTable" dxfId="25"/>
      <tableStyleElement type="headerRow" dxfId="24"/>
    </tableStyle>
    <tableStyle name="Estilo de Tabela 1" pivot="0" count="3" xr9:uid="{7F4B9CC1-E4FA-4277-9C07-D7647C89182F}">
      <tableStyleElement type="headerRow" dxfId="23"/>
      <tableStyleElement type="firstRowStripe" dxfId="22"/>
      <tableStyleElement type="secondRowStripe" dxfId="21"/>
    </tableStyle>
  </tableStyles>
  <colors>
    <mruColors>
      <color rgb="FFCC0000"/>
      <color rgb="FFFF7989"/>
      <color rgb="FF84DC95"/>
      <color rgb="FFFFE5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6795556505021"/>
              <bgColor theme="3" tint="0.39994506668294322"/>
            </patternFill>
          </fill>
        </dxf>
        <dxf>
          <fill>
            <patternFill patternType="solid">
              <fgColor theme="0"/>
              <bgColor theme="3" tint="0.79998168889431442"/>
            </patternFill>
          </fill>
        </dxf>
        <dxf>
          <font>
            <sz val="7"/>
            <color theme="0"/>
            <name val="Montserrat"/>
            <scheme val="none"/>
          </font>
        </dxf>
        <dxf>
          <font>
            <sz val="7"/>
            <color theme="0"/>
            <name val="Montserrat"/>
            <scheme val="none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Estilo de Linha do Tempo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de Contas a Pagar.xlsx]Análises!Tabela dinâmica4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527624621308534"/>
          <c:y val="3.5054174633524539E-2"/>
          <c:w val="0.70445970799371505"/>
          <c:h val="0.9298916507329508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Análises!$K$3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Análises!$J$4:$J$9</c:f>
              <c:strCache>
                <c:ptCount val="5"/>
                <c:pt idx="0">
                  <c:v>Despesa Operacional</c:v>
                </c:pt>
                <c:pt idx="1">
                  <c:v>Impostos</c:v>
                </c:pt>
                <c:pt idx="2">
                  <c:v>Custo de Produção</c:v>
                </c:pt>
                <c:pt idx="3">
                  <c:v>Salário</c:v>
                </c:pt>
                <c:pt idx="4">
                  <c:v>Investimento</c:v>
                </c:pt>
              </c:strCache>
            </c:strRef>
          </c:cat>
          <c:val>
            <c:numRef>
              <c:f>Análises!$K$4:$K$9</c:f>
              <c:numCache>
                <c:formatCode>"R$"\ #,##0</c:formatCode>
                <c:ptCount val="5"/>
                <c:pt idx="0">
                  <c:v>940</c:v>
                </c:pt>
                <c:pt idx="1">
                  <c:v>1300</c:v>
                </c:pt>
                <c:pt idx="2">
                  <c:v>2755</c:v>
                </c:pt>
                <c:pt idx="3">
                  <c:v>7700</c:v>
                </c:pt>
                <c:pt idx="4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19-4263-B10D-C915CF4801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46864192"/>
        <c:axId val="209031232"/>
      </c:barChart>
      <c:catAx>
        <c:axId val="246864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209031232"/>
        <c:crosses val="autoZero"/>
        <c:auto val="1"/>
        <c:lblAlgn val="ctr"/>
        <c:lblOffset val="100"/>
        <c:noMultiLvlLbl val="0"/>
      </c:catAx>
      <c:valAx>
        <c:axId val="209031232"/>
        <c:scaling>
          <c:orientation val="minMax"/>
        </c:scaling>
        <c:delete val="1"/>
        <c:axPos val="b"/>
        <c:numFmt formatCode="&quot;R$&quot;\ #,##0" sourceLinked="1"/>
        <c:majorTickMark val="none"/>
        <c:minorTickMark val="none"/>
        <c:tickLblPos val="nextTo"/>
        <c:crossAx val="246864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  <a:latin typeface="Montserrat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de Contas a Pagar.xlsx]Análises!Tabela dinâmica5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Análises!$N$3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Análises!$M$4:$M$9</c:f>
              <c:strCache>
                <c:ptCount val="5"/>
                <c:pt idx="0">
                  <c:v>TED</c:v>
                </c:pt>
                <c:pt idx="1">
                  <c:v>Débito</c:v>
                </c:pt>
                <c:pt idx="2">
                  <c:v>Boleto</c:v>
                </c:pt>
                <c:pt idx="3">
                  <c:v>Pix</c:v>
                </c:pt>
                <c:pt idx="4">
                  <c:v>Crédito</c:v>
                </c:pt>
              </c:strCache>
            </c:strRef>
          </c:cat>
          <c:val>
            <c:numRef>
              <c:f>Análises!$N$4:$N$9</c:f>
              <c:numCache>
                <c:formatCode>"R$"\ #,##0</c:formatCode>
                <c:ptCount val="5"/>
                <c:pt idx="0">
                  <c:v>520</c:v>
                </c:pt>
                <c:pt idx="1">
                  <c:v>2235</c:v>
                </c:pt>
                <c:pt idx="2">
                  <c:v>2240</c:v>
                </c:pt>
                <c:pt idx="3">
                  <c:v>7700</c:v>
                </c:pt>
                <c:pt idx="4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94-47F8-AC7C-B9FBA89011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05034304"/>
        <c:axId val="1934395136"/>
      </c:barChart>
      <c:catAx>
        <c:axId val="305034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934395136"/>
        <c:crosses val="autoZero"/>
        <c:auto val="1"/>
        <c:lblAlgn val="ctr"/>
        <c:lblOffset val="100"/>
        <c:noMultiLvlLbl val="0"/>
      </c:catAx>
      <c:valAx>
        <c:axId val="1934395136"/>
        <c:scaling>
          <c:orientation val="minMax"/>
        </c:scaling>
        <c:delete val="1"/>
        <c:axPos val="b"/>
        <c:numFmt formatCode="&quot;R$&quot;\ #,##0" sourceLinked="1"/>
        <c:majorTickMark val="none"/>
        <c:minorTickMark val="none"/>
        <c:tickLblPos val="nextTo"/>
        <c:crossAx val="30503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solidFill>
            <a:schemeClr val="bg1"/>
          </a:solidFill>
          <a:latin typeface="Montserrat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de Contas a Pagar.xlsx]Análises!Tabela dinâmica2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Análises!$D$4:$D$19</c:f>
              <c:multiLvlStrCache>
                <c:ptCount val="10"/>
                <c:lvl>
                  <c:pt idx="0">
                    <c:v>02/jun</c:v>
                  </c:pt>
                  <c:pt idx="1">
                    <c:v>14/jun</c:v>
                  </c:pt>
                  <c:pt idx="2">
                    <c:v>20/jun</c:v>
                  </c:pt>
                  <c:pt idx="3">
                    <c:v>01/jul</c:v>
                  </c:pt>
                  <c:pt idx="4">
                    <c:v>15/ago</c:v>
                  </c:pt>
                  <c:pt idx="5">
                    <c:v>23/ago</c:v>
                  </c:pt>
                  <c:pt idx="6">
                    <c:v>03/set</c:v>
                  </c:pt>
                  <c:pt idx="7">
                    <c:v>21/set</c:v>
                  </c:pt>
                  <c:pt idx="8">
                    <c:v>03/out</c:v>
                  </c:pt>
                  <c:pt idx="9">
                    <c:v>10/out</c:v>
                  </c:pt>
                </c:lvl>
                <c:lvl>
                  <c:pt idx="0">
                    <c:v>jun</c:v>
                  </c:pt>
                  <c:pt idx="3">
                    <c:v>jul</c:v>
                  </c:pt>
                  <c:pt idx="4">
                    <c:v>ago</c:v>
                  </c:pt>
                  <c:pt idx="6">
                    <c:v>set</c:v>
                  </c:pt>
                  <c:pt idx="8">
                    <c:v>out</c:v>
                  </c:pt>
                </c:lvl>
              </c:multiLvlStrCache>
            </c:multiLvlStrRef>
          </c:cat>
          <c:val>
            <c:numRef>
              <c:f>Análises!$E$4:$E$19</c:f>
              <c:numCache>
                <c:formatCode>"R$"\ #,##0</c:formatCode>
                <c:ptCount val="10"/>
                <c:pt idx="0">
                  <c:v>2235</c:v>
                </c:pt>
                <c:pt idx="1">
                  <c:v>520</c:v>
                </c:pt>
                <c:pt idx="2">
                  <c:v>310</c:v>
                </c:pt>
                <c:pt idx="3">
                  <c:v>2500</c:v>
                </c:pt>
                <c:pt idx="4">
                  <c:v>400</c:v>
                </c:pt>
                <c:pt idx="5">
                  <c:v>9000</c:v>
                </c:pt>
                <c:pt idx="6">
                  <c:v>2500</c:v>
                </c:pt>
                <c:pt idx="7">
                  <c:v>900</c:v>
                </c:pt>
                <c:pt idx="8">
                  <c:v>2700</c:v>
                </c:pt>
                <c:pt idx="9">
                  <c:v>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1-42EF-8469-3A21B316D6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54187568"/>
        <c:axId val="209020192"/>
      </c:barChart>
      <c:catAx>
        <c:axId val="25418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209020192"/>
        <c:crosses val="autoZero"/>
        <c:auto val="1"/>
        <c:lblAlgn val="ctr"/>
        <c:lblOffset val="100"/>
        <c:noMultiLvlLbl val="0"/>
      </c:catAx>
      <c:valAx>
        <c:axId val="209020192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254187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700">
          <a:solidFill>
            <a:schemeClr val="bg1"/>
          </a:solidFill>
          <a:latin typeface="Montserrat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de Contas a Pagar.xlsx]Análises!Tabela dinâmica1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2">
              <a:lumMod val="75000"/>
            </a:schemeClr>
          </a:solidFill>
          <a:ln w="19050">
            <a:noFill/>
          </a:ln>
          <a:effectLst/>
        </c:spPr>
      </c:pivotFmt>
      <c:pivotFmt>
        <c:idx val="8"/>
        <c:spPr>
          <a:solidFill>
            <a:schemeClr val="tx2">
              <a:lumMod val="60000"/>
              <a:lumOff val="40000"/>
            </a:schemeClr>
          </a:solidFill>
          <a:ln w="19050">
            <a:noFill/>
          </a:ln>
          <a:effectLst/>
        </c:spPr>
      </c:pivotFmt>
      <c:pivotFmt>
        <c:idx val="9"/>
        <c:spPr>
          <a:solidFill>
            <a:schemeClr val="tx2">
              <a:lumMod val="40000"/>
              <a:lumOff val="60000"/>
            </a:schemeClr>
          </a:solidFill>
          <a:ln w="19050">
            <a:noFill/>
          </a:ln>
          <a:effectLst/>
        </c:spPr>
      </c:pivotFmt>
      <c:pivotFmt>
        <c:idx val="10"/>
        <c:spPr>
          <a:solidFill>
            <a:schemeClr val="tx2">
              <a:lumMod val="20000"/>
              <a:lumOff val="80000"/>
            </a:schemeClr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Análises!$B$3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tx2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426-460A-A098-C943BE17E7E7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426-460A-A098-C943BE17E7E7}"/>
              </c:ext>
            </c:extLst>
          </c:dPt>
          <c:dPt>
            <c:idx val="2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426-460A-A098-C943BE17E7E7}"/>
              </c:ext>
            </c:extLst>
          </c:dPt>
          <c:dPt>
            <c:idx val="3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426-460A-A098-C943BE17E7E7}"/>
              </c:ext>
            </c:extLst>
          </c:dPt>
          <c:cat>
            <c:strRef>
              <c:f>Análises!$A$4:$A$8</c:f>
              <c:strCache>
                <c:ptCount val="4"/>
                <c:pt idx="0">
                  <c:v>Atraso por falta de notificação</c:v>
                </c:pt>
                <c:pt idx="1">
                  <c:v>Multa</c:v>
                </c:pt>
                <c:pt idx="2">
                  <c:v>Mudança de fornecedor</c:v>
                </c:pt>
                <c:pt idx="3">
                  <c:v>Demora entre orçamento e compra</c:v>
                </c:pt>
              </c:strCache>
            </c:strRef>
          </c:cat>
          <c:val>
            <c:numRef>
              <c:f>Análises!$B$4:$B$8</c:f>
              <c:numCache>
                <c:formatCode>"R$"\ #,##0.00</c:formatCode>
                <c:ptCount val="4"/>
                <c:pt idx="0">
                  <c:v>10</c:v>
                </c:pt>
                <c:pt idx="1">
                  <c:v>50</c:v>
                </c:pt>
                <c:pt idx="2">
                  <c:v>235</c:v>
                </c:pt>
                <c:pt idx="3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426-460A-A098-C943BE17E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  <a:latin typeface="Montserrat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de Contas a Pagar.xlsx]Análises!Tabela dinâmica3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2">
              <a:lumMod val="75000"/>
            </a:schemeClr>
          </a:solidFill>
          <a:ln w="19050">
            <a:noFill/>
          </a:ln>
          <a:effectLst/>
        </c:spPr>
      </c:pivotFmt>
      <c:pivotFmt>
        <c:idx val="7"/>
        <c:spPr>
          <a:solidFill>
            <a:schemeClr val="tx2">
              <a:lumMod val="60000"/>
              <a:lumOff val="40000"/>
            </a:schemeClr>
          </a:solidFill>
          <a:ln w="19050">
            <a:noFill/>
          </a:ln>
          <a:effectLst/>
        </c:spPr>
      </c:pivotFmt>
      <c:pivotFmt>
        <c:idx val="8"/>
        <c:spPr>
          <a:solidFill>
            <a:schemeClr val="tx2">
              <a:lumMod val="40000"/>
              <a:lumOff val="60000"/>
            </a:schemeClr>
          </a:solidFill>
          <a:ln w="19050"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Análises!$H$3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tx2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57D-4838-B932-A948DEA7C70C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57D-4838-B932-A948DEA7C70C}"/>
              </c:ext>
            </c:extLst>
          </c:dPt>
          <c:dPt>
            <c:idx val="2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57D-4838-B932-A948DEA7C70C}"/>
              </c:ext>
            </c:extLst>
          </c:dPt>
          <c:cat>
            <c:strRef>
              <c:f>Análises!$G$4:$G$7</c:f>
              <c:strCache>
                <c:ptCount val="3"/>
                <c:pt idx="0">
                  <c:v>Fish Lubrificantes</c:v>
                </c:pt>
                <c:pt idx="1">
                  <c:v>FAIT</c:v>
                </c:pt>
                <c:pt idx="2">
                  <c:v>Inovanox</c:v>
                </c:pt>
              </c:strCache>
            </c:strRef>
          </c:cat>
          <c:val>
            <c:numRef>
              <c:f>Análises!$H$4:$H$7</c:f>
              <c:numCache>
                <c:formatCode>"R$"\ #,##0</c:formatCode>
                <c:ptCount val="3"/>
                <c:pt idx="0">
                  <c:v>520</c:v>
                </c:pt>
                <c:pt idx="1">
                  <c:v>2235</c:v>
                </c:pt>
                <c:pt idx="2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7D-4838-B932-A948DEA7C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  <a:latin typeface="Montserrat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Dashboard!A1"/><Relationship Id="rId3" Type="http://schemas.openxmlformats.org/officeDocument/2006/relationships/image" Target="../media/image2.svg"/><Relationship Id="rId7" Type="http://schemas.openxmlformats.org/officeDocument/2006/relationships/image" Target="../media/image4.svg"/><Relationship Id="rId2" Type="http://schemas.openxmlformats.org/officeDocument/2006/relationships/image" Target="../media/image1.png"/><Relationship Id="rId1" Type="http://schemas.openxmlformats.org/officeDocument/2006/relationships/hyperlink" Target="#Despesas!A1"/><Relationship Id="rId6" Type="http://schemas.openxmlformats.org/officeDocument/2006/relationships/image" Target="../media/image3.png"/><Relationship Id="rId11" Type="http://schemas.openxmlformats.org/officeDocument/2006/relationships/image" Target="../media/image6.svg"/><Relationship Id="rId5" Type="http://schemas.openxmlformats.org/officeDocument/2006/relationships/hyperlink" Target="#Funcion&#225;rios!A1"/><Relationship Id="rId10" Type="http://schemas.openxmlformats.org/officeDocument/2006/relationships/image" Target="../media/image5.png"/><Relationship Id="rId4" Type="http://schemas.openxmlformats.org/officeDocument/2006/relationships/hyperlink" Target="#Cadastros!A1"/><Relationship Id="rId9" Type="http://schemas.openxmlformats.org/officeDocument/2006/relationships/hyperlink" Target="#Vendedores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Dashboard!A1"/><Relationship Id="rId3" Type="http://schemas.openxmlformats.org/officeDocument/2006/relationships/image" Target="../media/image7.svg"/><Relationship Id="rId7" Type="http://schemas.openxmlformats.org/officeDocument/2006/relationships/image" Target="../media/image8.svg"/><Relationship Id="rId2" Type="http://schemas.openxmlformats.org/officeDocument/2006/relationships/image" Target="../media/image1.png"/><Relationship Id="rId1" Type="http://schemas.openxmlformats.org/officeDocument/2006/relationships/hyperlink" Target="#Despesas!A1"/><Relationship Id="rId6" Type="http://schemas.openxmlformats.org/officeDocument/2006/relationships/image" Target="../media/image3.png"/><Relationship Id="rId11" Type="http://schemas.openxmlformats.org/officeDocument/2006/relationships/image" Target="../media/image9.svg"/><Relationship Id="rId5" Type="http://schemas.openxmlformats.org/officeDocument/2006/relationships/hyperlink" Target="#Funcion&#225;rios!A1"/><Relationship Id="rId10" Type="http://schemas.openxmlformats.org/officeDocument/2006/relationships/image" Target="../media/image5.png"/><Relationship Id="rId4" Type="http://schemas.openxmlformats.org/officeDocument/2006/relationships/hyperlink" Target="#Cadastros!A1"/><Relationship Id="rId9" Type="http://schemas.openxmlformats.org/officeDocument/2006/relationships/hyperlink" Target="#Vendedores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Dashboard!A1"/><Relationship Id="rId13" Type="http://schemas.openxmlformats.org/officeDocument/2006/relationships/chart" Target="../charts/chart2.xml"/><Relationship Id="rId3" Type="http://schemas.openxmlformats.org/officeDocument/2006/relationships/image" Target="../media/image10.svg"/><Relationship Id="rId7" Type="http://schemas.openxmlformats.org/officeDocument/2006/relationships/image" Target="../media/image8.svg"/><Relationship Id="rId12" Type="http://schemas.openxmlformats.org/officeDocument/2006/relationships/chart" Target="../charts/chart1.xml"/><Relationship Id="rId2" Type="http://schemas.openxmlformats.org/officeDocument/2006/relationships/image" Target="../media/image1.png"/><Relationship Id="rId16" Type="http://schemas.openxmlformats.org/officeDocument/2006/relationships/chart" Target="../charts/chart5.xml"/><Relationship Id="rId1" Type="http://schemas.openxmlformats.org/officeDocument/2006/relationships/hyperlink" Target="#Despesas!A1"/><Relationship Id="rId6" Type="http://schemas.openxmlformats.org/officeDocument/2006/relationships/image" Target="../media/image3.png"/><Relationship Id="rId11" Type="http://schemas.openxmlformats.org/officeDocument/2006/relationships/image" Target="../media/image11.svg"/><Relationship Id="rId5" Type="http://schemas.openxmlformats.org/officeDocument/2006/relationships/hyperlink" Target="#Funcion&#225;rios!A1"/><Relationship Id="rId15" Type="http://schemas.openxmlformats.org/officeDocument/2006/relationships/chart" Target="../charts/chart4.xml"/><Relationship Id="rId10" Type="http://schemas.openxmlformats.org/officeDocument/2006/relationships/image" Target="../media/image5.png"/><Relationship Id="rId4" Type="http://schemas.openxmlformats.org/officeDocument/2006/relationships/hyperlink" Target="#Cadastros!A1"/><Relationship Id="rId9" Type="http://schemas.openxmlformats.org/officeDocument/2006/relationships/hyperlink" Target="#Vendedores!A1"/><Relationship Id="rId1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0</xdr:col>
      <xdr:colOff>2240</xdr:colOff>
      <xdr:row>2</xdr:row>
      <xdr:rowOff>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27D7765A-213D-4438-AD63-E2DF8F65D858}"/>
            </a:ext>
          </a:extLst>
        </xdr:cNvPr>
        <xdr:cNvSpPr/>
      </xdr:nvSpPr>
      <xdr:spPr>
        <a:xfrm>
          <a:off x="0" y="487790"/>
          <a:ext cx="1198580" cy="655769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0</xdr:col>
      <xdr:colOff>2240</xdr:colOff>
      <xdr:row>2</xdr:row>
      <xdr:rowOff>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56AE6D44-5221-4B88-A9B4-E4F864F5EC32}"/>
            </a:ext>
          </a:extLst>
        </xdr:cNvPr>
        <xdr:cNvSpPr/>
      </xdr:nvSpPr>
      <xdr:spPr>
        <a:xfrm>
          <a:off x="0" y="1288415"/>
          <a:ext cx="1198580" cy="65393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0</xdr:col>
      <xdr:colOff>2240</xdr:colOff>
      <xdr:row>2</xdr:row>
      <xdr:rowOff>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1EE834E-E088-499B-B430-70C553D9CBB2}"/>
            </a:ext>
          </a:extLst>
        </xdr:cNvPr>
        <xdr:cNvSpPr/>
      </xdr:nvSpPr>
      <xdr:spPr>
        <a:xfrm>
          <a:off x="0" y="2087202"/>
          <a:ext cx="1198580" cy="65393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0</xdr:col>
      <xdr:colOff>2240</xdr:colOff>
      <xdr:row>2</xdr:row>
      <xdr:rowOff>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96980461-051D-4F4E-9E5F-7A251F257CD2}"/>
            </a:ext>
          </a:extLst>
        </xdr:cNvPr>
        <xdr:cNvSpPr/>
      </xdr:nvSpPr>
      <xdr:spPr>
        <a:xfrm>
          <a:off x="0" y="2885988"/>
          <a:ext cx="1198580" cy="65393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0</xdr:col>
      <xdr:colOff>2240</xdr:colOff>
      <xdr:row>2</xdr:row>
      <xdr:rowOff>0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D648BAC7-1314-4796-BEE7-206FF36409E1}"/>
            </a:ext>
          </a:extLst>
        </xdr:cNvPr>
        <xdr:cNvSpPr/>
      </xdr:nvSpPr>
      <xdr:spPr>
        <a:xfrm>
          <a:off x="0" y="3724457"/>
          <a:ext cx="1198580" cy="655769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975360</xdr:colOff>
      <xdr:row>2</xdr:row>
      <xdr:rowOff>114887</xdr:rowOff>
    </xdr:from>
    <xdr:to>
      <xdr:col>3</xdr:col>
      <xdr:colOff>2240</xdr:colOff>
      <xdr:row>3</xdr:row>
      <xdr:rowOff>3506</xdr:rowOff>
    </xdr:to>
    <xdr:grpSp>
      <xdr:nvGrpSpPr>
        <xdr:cNvPr id="53" name="Agrupar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4060C-4E0A-4C0E-9DE8-99F2A19F1819}"/>
            </a:ext>
          </a:extLst>
        </xdr:cNvPr>
        <xdr:cNvGrpSpPr/>
      </xdr:nvGrpSpPr>
      <xdr:grpSpPr>
        <a:xfrm>
          <a:off x="1483360" y="114887"/>
          <a:ext cx="1196766" cy="686905"/>
          <a:chOff x="0" y="1269316"/>
          <a:chExt cx="1198580" cy="688719"/>
        </a:xfrm>
        <a:solidFill>
          <a:schemeClr val="tx2">
            <a:lumMod val="60000"/>
            <a:lumOff val="40000"/>
          </a:schemeClr>
        </a:solidFill>
      </xdr:grpSpPr>
      <xdr:sp macro="" textlink="">
        <xdr:nvSpPr>
          <xdr:cNvPr id="54" name="Retângulo 53">
            <a:extLst>
              <a:ext uri="{FF2B5EF4-FFF2-40B4-BE49-F238E27FC236}">
                <a16:creationId xmlns:a16="http://schemas.microsoft.com/office/drawing/2014/main" id="{59C298A1-4542-F0F2-3827-21E92595E784}"/>
              </a:ext>
            </a:extLst>
          </xdr:cNvPr>
          <xdr:cNvSpPr/>
        </xdr:nvSpPr>
        <xdr:spPr>
          <a:xfrm>
            <a:off x="0" y="1288415"/>
            <a:ext cx="1198580" cy="653930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5" name="CaixaDeTexto 54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63BBF865-90DF-A9DD-4A85-9C7145F05C41}"/>
              </a:ext>
            </a:extLst>
          </xdr:cNvPr>
          <xdr:cNvSpPr txBox="1"/>
        </xdr:nvSpPr>
        <xdr:spPr>
          <a:xfrm>
            <a:off x="0" y="1692649"/>
            <a:ext cx="1196340" cy="265386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050">
                <a:solidFill>
                  <a:schemeClr val="bg1"/>
                </a:solidFill>
                <a:latin typeface="Montserrat" panose="00000500000000000000" pitchFamily="2" charset="0"/>
              </a:rPr>
              <a:t>Despesas</a:t>
            </a:r>
          </a:p>
        </xdr:txBody>
      </xdr:sp>
      <xdr:pic>
        <xdr:nvPicPr>
          <xdr:cNvPr id="56" name="Gráfico 55" descr="Comentar com coração com preenchimento sólido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93492249-0EF4-83F2-EF98-4F5D09FDE1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311299" y="1269316"/>
            <a:ext cx="565860" cy="56323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7620</xdr:colOff>
      <xdr:row>2</xdr:row>
      <xdr:rowOff>115842</xdr:rowOff>
    </xdr:from>
    <xdr:to>
      <xdr:col>2</xdr:col>
      <xdr:colOff>886160</xdr:colOff>
      <xdr:row>3</xdr:row>
      <xdr:rowOff>2551</xdr:rowOff>
    </xdr:to>
    <xdr:grpSp>
      <xdr:nvGrpSpPr>
        <xdr:cNvPr id="14" name="Agrupar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3B5C67E-1A52-FA5F-9D15-993B1AA21A8D}"/>
            </a:ext>
          </a:extLst>
        </xdr:cNvPr>
        <xdr:cNvGrpSpPr/>
      </xdr:nvGrpSpPr>
      <xdr:grpSpPr>
        <a:xfrm>
          <a:off x="196306" y="115842"/>
          <a:ext cx="1197854" cy="684995"/>
          <a:chOff x="0" y="457200"/>
          <a:chExt cx="1198580" cy="686809"/>
        </a:xfrm>
        <a:solidFill>
          <a:schemeClr val="tx2">
            <a:lumMod val="75000"/>
          </a:schemeClr>
        </a:solidFill>
      </xdr:grpSpPr>
      <xdr:grpSp>
        <xdr:nvGrpSpPr>
          <xdr:cNvPr id="37" name="Agrupar 36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69A2958B-564A-416C-840D-39CA5E35D959}"/>
              </a:ext>
            </a:extLst>
          </xdr:cNvPr>
          <xdr:cNvGrpSpPr/>
        </xdr:nvGrpSpPr>
        <xdr:grpSpPr>
          <a:xfrm>
            <a:off x="0" y="487790"/>
            <a:ext cx="1198580" cy="656219"/>
            <a:chOff x="0" y="487790"/>
            <a:chExt cx="1198580" cy="656219"/>
          </a:xfrm>
          <a:grpFill/>
        </xdr:grpSpPr>
        <xdr:sp macro="" textlink="">
          <xdr:nvSpPr>
            <xdr:cNvPr id="38" name="Retângulo 37">
              <a:extLst>
                <a:ext uri="{FF2B5EF4-FFF2-40B4-BE49-F238E27FC236}">
                  <a16:creationId xmlns:a16="http://schemas.microsoft.com/office/drawing/2014/main" id="{7CEB5921-8505-BD0B-0CC9-33B2D0A5A561}"/>
                </a:ext>
              </a:extLst>
            </xdr:cNvPr>
            <xdr:cNvSpPr/>
          </xdr:nvSpPr>
          <xdr:spPr>
            <a:xfrm>
              <a:off x="0" y="487790"/>
              <a:ext cx="1198580" cy="655769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40" name="CaixaDeTexto 39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739490A2-59C1-683E-112C-C71DA74E3F93}"/>
                </a:ext>
              </a:extLst>
            </xdr:cNvPr>
            <xdr:cNvSpPr txBox="1"/>
          </xdr:nvSpPr>
          <xdr:spPr>
            <a:xfrm>
              <a:off x="60960" y="877309"/>
              <a:ext cx="1074420" cy="266700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050">
                  <a:solidFill>
                    <a:schemeClr val="bg1"/>
                  </a:solidFill>
                  <a:latin typeface="Montserrat" panose="00000500000000000000" pitchFamily="2" charset="0"/>
                </a:rPr>
                <a:t>Cadastros</a:t>
              </a:r>
            </a:p>
          </xdr:txBody>
        </xdr:sp>
      </xdr:grpSp>
      <xdr:pic>
        <xdr:nvPicPr>
          <xdr:cNvPr id="3" name="Gráfico 2" descr="Usuários com preenchimento sólido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5F70951D-0A8F-4CBF-8BAD-5AAE5301FC2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327660" y="457200"/>
            <a:ext cx="565860" cy="563233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101913</xdr:colOff>
      <xdr:row>2</xdr:row>
      <xdr:rowOff>86675</xdr:rowOff>
    </xdr:from>
    <xdr:to>
      <xdr:col>3</xdr:col>
      <xdr:colOff>1300493</xdr:colOff>
      <xdr:row>3</xdr:row>
      <xdr:rowOff>1237</xdr:rowOff>
    </xdr:to>
    <xdr:grpSp>
      <xdr:nvGrpSpPr>
        <xdr:cNvPr id="12" name="Agrupar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91BDCBA-7A54-C912-3FF8-5217550F70ED}"/>
            </a:ext>
          </a:extLst>
        </xdr:cNvPr>
        <xdr:cNvGrpSpPr/>
      </xdr:nvGrpSpPr>
      <xdr:grpSpPr>
        <a:xfrm>
          <a:off x="2779799" y="86675"/>
          <a:ext cx="1198580" cy="712848"/>
          <a:chOff x="0" y="2026920"/>
          <a:chExt cx="1198580" cy="714662"/>
        </a:xfrm>
        <a:solidFill>
          <a:schemeClr val="tx2">
            <a:lumMod val="60000"/>
            <a:lumOff val="40000"/>
          </a:schemeClr>
        </a:solidFill>
      </xdr:grpSpPr>
      <xdr:grpSp>
        <xdr:nvGrpSpPr>
          <xdr:cNvPr id="49" name="Agrupar 48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2BF2DE55-A51E-41D7-8335-E1A7353E7BEA}"/>
              </a:ext>
            </a:extLst>
          </xdr:cNvPr>
          <xdr:cNvGrpSpPr/>
        </xdr:nvGrpSpPr>
        <xdr:grpSpPr>
          <a:xfrm>
            <a:off x="0" y="2087202"/>
            <a:ext cx="1198580" cy="654380"/>
            <a:chOff x="0" y="2087202"/>
            <a:chExt cx="1198580" cy="654380"/>
          </a:xfrm>
          <a:grpFill/>
        </xdr:grpSpPr>
        <xdr:sp macro="" textlink="">
          <xdr:nvSpPr>
            <xdr:cNvPr id="50" name="Retângulo 49">
              <a:extLst>
                <a:ext uri="{FF2B5EF4-FFF2-40B4-BE49-F238E27FC236}">
                  <a16:creationId xmlns:a16="http://schemas.microsoft.com/office/drawing/2014/main" id="{5CF77325-166A-76D4-2FA0-1903B7CF0FA0}"/>
                </a:ext>
              </a:extLst>
            </xdr:cNvPr>
            <xdr:cNvSpPr/>
          </xdr:nvSpPr>
          <xdr:spPr>
            <a:xfrm>
              <a:off x="0" y="2087202"/>
              <a:ext cx="1198580" cy="65393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51" name="CaixaDeTexto 50">
              <a:hlinkClick xmlns:r="http://schemas.openxmlformats.org/officeDocument/2006/relationships" r:id="rId8"/>
              <a:extLst>
                <a:ext uri="{FF2B5EF4-FFF2-40B4-BE49-F238E27FC236}">
                  <a16:creationId xmlns:a16="http://schemas.microsoft.com/office/drawing/2014/main" id="{CDE579A1-3E06-4CEB-5FDA-E6CA9239A05D}"/>
                </a:ext>
              </a:extLst>
            </xdr:cNvPr>
            <xdr:cNvSpPr txBox="1"/>
          </xdr:nvSpPr>
          <xdr:spPr>
            <a:xfrm>
              <a:off x="60960" y="2476195"/>
              <a:ext cx="1074420" cy="265387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050">
                  <a:solidFill>
                    <a:schemeClr val="bg1"/>
                  </a:solidFill>
                  <a:latin typeface="Montserrat" panose="00000500000000000000" pitchFamily="2" charset="0"/>
                </a:rPr>
                <a:t>Dashboard</a:t>
              </a:r>
            </a:p>
          </xdr:txBody>
        </xdr:sp>
      </xdr:grpSp>
      <xdr:pic>
        <xdr:nvPicPr>
          <xdr:cNvPr id="6" name="Gráfico 5" descr="Gráfico de barras com preenchimento sólido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BF1853D4-2D63-4F0B-3306-592B68D083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xdr:blipFill>
        <xdr:spPr>
          <a:xfrm>
            <a:off x="297180" y="2026920"/>
            <a:ext cx="579120" cy="579120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0</xdr:col>
      <xdr:colOff>2240</xdr:colOff>
      <xdr:row>2</xdr:row>
      <xdr:rowOff>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4D36DFD9-8D9A-4494-B511-A327DA6146C6}"/>
            </a:ext>
          </a:extLst>
        </xdr:cNvPr>
        <xdr:cNvSpPr/>
      </xdr:nvSpPr>
      <xdr:spPr>
        <a:xfrm>
          <a:off x="0" y="0"/>
          <a:ext cx="2240" cy="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0</xdr:col>
      <xdr:colOff>2240</xdr:colOff>
      <xdr:row>2</xdr:row>
      <xdr:rowOff>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7A6AA18-EA16-48F1-AEF3-05DF264B5AF5}"/>
            </a:ext>
          </a:extLst>
        </xdr:cNvPr>
        <xdr:cNvSpPr/>
      </xdr:nvSpPr>
      <xdr:spPr>
        <a:xfrm>
          <a:off x="0" y="0"/>
          <a:ext cx="2240" cy="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0</xdr:col>
      <xdr:colOff>2240</xdr:colOff>
      <xdr:row>2</xdr:row>
      <xdr:rowOff>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59B0248-7231-4B74-8721-5504D8CDF242}"/>
            </a:ext>
          </a:extLst>
        </xdr:cNvPr>
        <xdr:cNvSpPr/>
      </xdr:nvSpPr>
      <xdr:spPr>
        <a:xfrm>
          <a:off x="0" y="0"/>
          <a:ext cx="2240" cy="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0</xdr:col>
      <xdr:colOff>2240</xdr:colOff>
      <xdr:row>2</xdr:row>
      <xdr:rowOff>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26FCBAC1-A9C1-4A2C-846D-471E02A98D5A}"/>
            </a:ext>
          </a:extLst>
        </xdr:cNvPr>
        <xdr:cNvSpPr/>
      </xdr:nvSpPr>
      <xdr:spPr>
        <a:xfrm>
          <a:off x="0" y="0"/>
          <a:ext cx="2240" cy="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0</xdr:col>
      <xdr:colOff>2240</xdr:colOff>
      <xdr:row>2</xdr:row>
      <xdr:rowOff>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B9F37940-C5F3-4114-936A-64C2614C84CD}"/>
            </a:ext>
          </a:extLst>
        </xdr:cNvPr>
        <xdr:cNvSpPr/>
      </xdr:nvSpPr>
      <xdr:spPr>
        <a:xfrm>
          <a:off x="0" y="0"/>
          <a:ext cx="2240" cy="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975360</xdr:colOff>
      <xdr:row>2</xdr:row>
      <xdr:rowOff>114887</xdr:rowOff>
    </xdr:from>
    <xdr:to>
      <xdr:col>3</xdr:col>
      <xdr:colOff>2240</xdr:colOff>
      <xdr:row>3</xdr:row>
      <xdr:rowOff>3506</xdr:rowOff>
    </xdr:to>
    <xdr:grpSp>
      <xdr:nvGrpSpPr>
        <xdr:cNvPr id="7" name="Agrupar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406F79-AFE4-46C5-A189-5991E251ABEA}"/>
            </a:ext>
          </a:extLst>
        </xdr:cNvPr>
        <xdr:cNvGrpSpPr/>
      </xdr:nvGrpSpPr>
      <xdr:grpSpPr>
        <a:xfrm>
          <a:off x="1483360" y="114887"/>
          <a:ext cx="1196766" cy="686905"/>
          <a:chOff x="0" y="1269316"/>
          <a:chExt cx="1198580" cy="688719"/>
        </a:xfrm>
        <a:solidFill>
          <a:schemeClr val="tx2">
            <a:lumMod val="75000"/>
          </a:schemeClr>
        </a:solidFill>
      </xdr:grpSpPr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4FA78A2F-CE70-97B9-34EE-F96EECB02676}"/>
              </a:ext>
            </a:extLst>
          </xdr:cNvPr>
          <xdr:cNvSpPr/>
        </xdr:nvSpPr>
        <xdr:spPr>
          <a:xfrm>
            <a:off x="0" y="1288415"/>
            <a:ext cx="1198580" cy="653930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9" name="CaixaDeTexto 8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21A94AB0-2BD0-D39F-1A9C-BDD35E2DBC4D}"/>
              </a:ext>
            </a:extLst>
          </xdr:cNvPr>
          <xdr:cNvSpPr txBox="1"/>
        </xdr:nvSpPr>
        <xdr:spPr>
          <a:xfrm>
            <a:off x="0" y="1692649"/>
            <a:ext cx="1196340" cy="265386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050">
                <a:solidFill>
                  <a:schemeClr val="bg1"/>
                </a:solidFill>
                <a:latin typeface="Montserrat" panose="00000500000000000000" pitchFamily="2" charset="0"/>
              </a:rPr>
              <a:t>Despesas</a:t>
            </a:r>
          </a:p>
        </xdr:txBody>
      </xdr:sp>
      <xdr:pic>
        <xdr:nvPicPr>
          <xdr:cNvPr id="10" name="Gráfico 9" descr="Comentar com coração com preenchimento sólido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A6A31AE-9146-4E2E-8D8D-4959AA9676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311299" y="1269316"/>
            <a:ext cx="565860" cy="56323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7620</xdr:colOff>
      <xdr:row>2</xdr:row>
      <xdr:rowOff>115842</xdr:rowOff>
    </xdr:from>
    <xdr:to>
      <xdr:col>2</xdr:col>
      <xdr:colOff>886160</xdr:colOff>
      <xdr:row>3</xdr:row>
      <xdr:rowOff>2551</xdr:rowOff>
    </xdr:to>
    <xdr:grpSp>
      <xdr:nvGrpSpPr>
        <xdr:cNvPr id="11" name="Agrupar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F3402E4-894F-4F04-AE8C-066361C53080}"/>
            </a:ext>
          </a:extLst>
        </xdr:cNvPr>
        <xdr:cNvGrpSpPr/>
      </xdr:nvGrpSpPr>
      <xdr:grpSpPr>
        <a:xfrm>
          <a:off x="196306" y="115842"/>
          <a:ext cx="1197854" cy="684995"/>
          <a:chOff x="0" y="457200"/>
          <a:chExt cx="1198580" cy="686809"/>
        </a:xfrm>
        <a:solidFill>
          <a:schemeClr val="tx2">
            <a:lumMod val="60000"/>
            <a:lumOff val="40000"/>
          </a:schemeClr>
        </a:solidFill>
      </xdr:grpSpPr>
      <xdr:grpSp>
        <xdr:nvGrpSpPr>
          <xdr:cNvPr id="12" name="Agrupar 11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D8DE0A46-B652-12AF-4CEC-92CC9ECA9C91}"/>
              </a:ext>
            </a:extLst>
          </xdr:cNvPr>
          <xdr:cNvGrpSpPr/>
        </xdr:nvGrpSpPr>
        <xdr:grpSpPr>
          <a:xfrm>
            <a:off x="0" y="487790"/>
            <a:ext cx="1198580" cy="656219"/>
            <a:chOff x="0" y="487790"/>
            <a:chExt cx="1198580" cy="656219"/>
          </a:xfrm>
          <a:grpFill/>
        </xdr:grpSpPr>
        <xdr:sp macro="" textlink="">
          <xdr:nvSpPr>
            <xdr:cNvPr id="14" name="Retângulo 13">
              <a:extLst>
                <a:ext uri="{FF2B5EF4-FFF2-40B4-BE49-F238E27FC236}">
                  <a16:creationId xmlns:a16="http://schemas.microsoft.com/office/drawing/2014/main" id="{EB7986F3-3A44-50A2-4CD9-1F67F50150B3}"/>
                </a:ext>
              </a:extLst>
            </xdr:cNvPr>
            <xdr:cNvSpPr/>
          </xdr:nvSpPr>
          <xdr:spPr>
            <a:xfrm>
              <a:off x="0" y="487790"/>
              <a:ext cx="1198580" cy="655769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5" name="CaixaDeTexto 14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76718F72-6A31-9D6A-8B18-F989BE6167ED}"/>
                </a:ext>
              </a:extLst>
            </xdr:cNvPr>
            <xdr:cNvSpPr txBox="1"/>
          </xdr:nvSpPr>
          <xdr:spPr>
            <a:xfrm>
              <a:off x="60960" y="877309"/>
              <a:ext cx="1074420" cy="266700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050">
                  <a:solidFill>
                    <a:schemeClr val="bg1"/>
                  </a:solidFill>
                  <a:latin typeface="Montserrat" panose="00000500000000000000" pitchFamily="2" charset="0"/>
                </a:rPr>
                <a:t>Cadastros</a:t>
              </a:r>
            </a:p>
          </xdr:txBody>
        </xdr:sp>
      </xdr:grpSp>
      <xdr:pic>
        <xdr:nvPicPr>
          <xdr:cNvPr id="13" name="Gráfico 12" descr="Usuários com preenchimento sólido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9E5AD851-0C15-E0AB-38E4-FAA592972A0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327660" y="457200"/>
            <a:ext cx="565860" cy="563233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101913</xdr:colOff>
      <xdr:row>2</xdr:row>
      <xdr:rowOff>86675</xdr:rowOff>
    </xdr:from>
    <xdr:to>
      <xdr:col>3</xdr:col>
      <xdr:colOff>1300493</xdr:colOff>
      <xdr:row>3</xdr:row>
      <xdr:rowOff>1237</xdr:rowOff>
    </xdr:to>
    <xdr:grpSp>
      <xdr:nvGrpSpPr>
        <xdr:cNvPr id="16" name="Agrupar 1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4B85211-321B-458A-9B79-89C514A68932}"/>
            </a:ext>
          </a:extLst>
        </xdr:cNvPr>
        <xdr:cNvGrpSpPr/>
      </xdr:nvGrpSpPr>
      <xdr:grpSpPr>
        <a:xfrm>
          <a:off x="2779799" y="86675"/>
          <a:ext cx="1198580" cy="712848"/>
          <a:chOff x="0" y="2026920"/>
          <a:chExt cx="1198580" cy="714662"/>
        </a:xfrm>
        <a:solidFill>
          <a:schemeClr val="tx2">
            <a:lumMod val="60000"/>
            <a:lumOff val="40000"/>
          </a:schemeClr>
        </a:solidFill>
      </xdr:grpSpPr>
      <xdr:grpSp>
        <xdr:nvGrpSpPr>
          <xdr:cNvPr id="17" name="Agrupar 16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DF53D54C-7354-AFCB-D5DD-9E37636DB085}"/>
              </a:ext>
            </a:extLst>
          </xdr:cNvPr>
          <xdr:cNvGrpSpPr/>
        </xdr:nvGrpSpPr>
        <xdr:grpSpPr>
          <a:xfrm>
            <a:off x="0" y="2087202"/>
            <a:ext cx="1198580" cy="654380"/>
            <a:chOff x="0" y="2087202"/>
            <a:chExt cx="1198580" cy="654380"/>
          </a:xfrm>
          <a:grpFill/>
        </xdr:grpSpPr>
        <xdr:sp macro="" textlink="">
          <xdr:nvSpPr>
            <xdr:cNvPr id="19" name="Retângulo 18">
              <a:extLst>
                <a:ext uri="{FF2B5EF4-FFF2-40B4-BE49-F238E27FC236}">
                  <a16:creationId xmlns:a16="http://schemas.microsoft.com/office/drawing/2014/main" id="{A6E09051-2069-7A48-B990-EFA027C4D800}"/>
                </a:ext>
              </a:extLst>
            </xdr:cNvPr>
            <xdr:cNvSpPr/>
          </xdr:nvSpPr>
          <xdr:spPr>
            <a:xfrm>
              <a:off x="0" y="2087202"/>
              <a:ext cx="1198580" cy="65393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0" name="CaixaDeTexto 19">
              <a:hlinkClick xmlns:r="http://schemas.openxmlformats.org/officeDocument/2006/relationships" r:id="rId8"/>
              <a:extLst>
                <a:ext uri="{FF2B5EF4-FFF2-40B4-BE49-F238E27FC236}">
                  <a16:creationId xmlns:a16="http://schemas.microsoft.com/office/drawing/2014/main" id="{585A5A1F-8203-D5A3-8478-347550A26783}"/>
                </a:ext>
              </a:extLst>
            </xdr:cNvPr>
            <xdr:cNvSpPr txBox="1"/>
          </xdr:nvSpPr>
          <xdr:spPr>
            <a:xfrm>
              <a:off x="60960" y="2476195"/>
              <a:ext cx="1074420" cy="265387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050">
                  <a:solidFill>
                    <a:schemeClr val="bg1"/>
                  </a:solidFill>
                  <a:latin typeface="Montserrat" panose="00000500000000000000" pitchFamily="2" charset="0"/>
                </a:rPr>
                <a:t>Dashboard</a:t>
              </a:r>
            </a:p>
          </xdr:txBody>
        </xdr:sp>
      </xdr:grpSp>
      <xdr:pic>
        <xdr:nvPicPr>
          <xdr:cNvPr id="18" name="Gráfico 17" descr="Gráfico de barras com preenchimento sólido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61A46603-A034-6953-C39A-E289B9597B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xdr:blipFill>
        <xdr:spPr>
          <a:xfrm>
            <a:off x="297180" y="2026920"/>
            <a:ext cx="579120" cy="579120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0</xdr:col>
      <xdr:colOff>2240</xdr:colOff>
      <xdr:row>2</xdr:row>
      <xdr:rowOff>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93C966BF-61C3-49F7-A12A-20CDD1B5AEAB}"/>
            </a:ext>
          </a:extLst>
        </xdr:cNvPr>
        <xdr:cNvSpPr/>
      </xdr:nvSpPr>
      <xdr:spPr>
        <a:xfrm>
          <a:off x="0" y="0"/>
          <a:ext cx="2240" cy="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0</xdr:col>
      <xdr:colOff>2240</xdr:colOff>
      <xdr:row>2</xdr:row>
      <xdr:rowOff>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85628CB1-2607-4920-8546-D2DC3306CEA4}"/>
            </a:ext>
          </a:extLst>
        </xdr:cNvPr>
        <xdr:cNvSpPr/>
      </xdr:nvSpPr>
      <xdr:spPr>
        <a:xfrm>
          <a:off x="0" y="0"/>
          <a:ext cx="2240" cy="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0</xdr:col>
      <xdr:colOff>2240</xdr:colOff>
      <xdr:row>2</xdr:row>
      <xdr:rowOff>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847B32DA-14C4-4D5D-8ACA-1A5AF5634B6F}"/>
            </a:ext>
          </a:extLst>
        </xdr:cNvPr>
        <xdr:cNvSpPr/>
      </xdr:nvSpPr>
      <xdr:spPr>
        <a:xfrm>
          <a:off x="0" y="0"/>
          <a:ext cx="2240" cy="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0</xdr:col>
      <xdr:colOff>2240</xdr:colOff>
      <xdr:row>2</xdr:row>
      <xdr:rowOff>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CE147EE0-316F-4657-B091-4874F2CA5E02}"/>
            </a:ext>
          </a:extLst>
        </xdr:cNvPr>
        <xdr:cNvSpPr/>
      </xdr:nvSpPr>
      <xdr:spPr>
        <a:xfrm>
          <a:off x="0" y="0"/>
          <a:ext cx="2240" cy="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0</xdr:col>
      <xdr:colOff>2240</xdr:colOff>
      <xdr:row>2</xdr:row>
      <xdr:rowOff>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69A7CE1C-CA2E-4DDE-91E6-E1C451FCFD10}"/>
            </a:ext>
          </a:extLst>
        </xdr:cNvPr>
        <xdr:cNvSpPr/>
      </xdr:nvSpPr>
      <xdr:spPr>
        <a:xfrm>
          <a:off x="0" y="0"/>
          <a:ext cx="2240" cy="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975360</xdr:colOff>
      <xdr:row>2</xdr:row>
      <xdr:rowOff>114887</xdr:rowOff>
    </xdr:from>
    <xdr:to>
      <xdr:col>3</xdr:col>
      <xdr:colOff>2240</xdr:colOff>
      <xdr:row>3</xdr:row>
      <xdr:rowOff>3506</xdr:rowOff>
    </xdr:to>
    <xdr:grpSp>
      <xdr:nvGrpSpPr>
        <xdr:cNvPr id="7" name="Agrupar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8DD5FE-C870-4B7B-BC38-4C4E738CF742}"/>
            </a:ext>
          </a:extLst>
        </xdr:cNvPr>
        <xdr:cNvGrpSpPr/>
      </xdr:nvGrpSpPr>
      <xdr:grpSpPr>
        <a:xfrm>
          <a:off x="1483360" y="114887"/>
          <a:ext cx="1196766" cy="686905"/>
          <a:chOff x="0" y="1269316"/>
          <a:chExt cx="1198580" cy="688719"/>
        </a:xfrm>
        <a:solidFill>
          <a:schemeClr val="tx2">
            <a:lumMod val="60000"/>
            <a:lumOff val="40000"/>
          </a:schemeClr>
        </a:solidFill>
      </xdr:grpSpPr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1CA4FE5C-28DE-0D0A-7B99-9E3D06C683F8}"/>
              </a:ext>
            </a:extLst>
          </xdr:cNvPr>
          <xdr:cNvSpPr/>
        </xdr:nvSpPr>
        <xdr:spPr>
          <a:xfrm>
            <a:off x="0" y="1288415"/>
            <a:ext cx="1198580" cy="653930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9" name="CaixaDeTexto 8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A6FB04D6-DE2D-0FD0-F236-4AC9CDAD029F}"/>
              </a:ext>
            </a:extLst>
          </xdr:cNvPr>
          <xdr:cNvSpPr txBox="1"/>
        </xdr:nvSpPr>
        <xdr:spPr>
          <a:xfrm>
            <a:off x="0" y="1692649"/>
            <a:ext cx="1196340" cy="265386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050">
                <a:solidFill>
                  <a:schemeClr val="bg1"/>
                </a:solidFill>
                <a:latin typeface="Montserrat" panose="00000500000000000000" pitchFamily="2" charset="0"/>
              </a:rPr>
              <a:t>Despesas</a:t>
            </a:r>
          </a:p>
        </xdr:txBody>
      </xdr:sp>
      <xdr:pic>
        <xdr:nvPicPr>
          <xdr:cNvPr id="10" name="Gráfico 9" descr="Comentar com coração com preenchimento sólido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8C1A2D15-7158-3EB1-A040-5BF1D38681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311299" y="1269316"/>
            <a:ext cx="565860" cy="56323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7620</xdr:colOff>
      <xdr:row>2</xdr:row>
      <xdr:rowOff>115842</xdr:rowOff>
    </xdr:from>
    <xdr:to>
      <xdr:col>2</xdr:col>
      <xdr:colOff>886160</xdr:colOff>
      <xdr:row>3</xdr:row>
      <xdr:rowOff>2551</xdr:rowOff>
    </xdr:to>
    <xdr:grpSp>
      <xdr:nvGrpSpPr>
        <xdr:cNvPr id="11" name="Agrupar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A547CA4-D5EA-4090-9916-F32012E5BCA7}"/>
            </a:ext>
          </a:extLst>
        </xdr:cNvPr>
        <xdr:cNvGrpSpPr/>
      </xdr:nvGrpSpPr>
      <xdr:grpSpPr>
        <a:xfrm>
          <a:off x="196306" y="115842"/>
          <a:ext cx="1197854" cy="684995"/>
          <a:chOff x="0" y="457200"/>
          <a:chExt cx="1198580" cy="686809"/>
        </a:xfrm>
        <a:solidFill>
          <a:schemeClr val="tx2">
            <a:lumMod val="60000"/>
            <a:lumOff val="40000"/>
          </a:schemeClr>
        </a:solidFill>
      </xdr:grpSpPr>
      <xdr:grpSp>
        <xdr:nvGrpSpPr>
          <xdr:cNvPr id="12" name="Agrupar 11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CBEB767C-A5FB-0BCC-396B-C804FFAEC5CF}"/>
              </a:ext>
            </a:extLst>
          </xdr:cNvPr>
          <xdr:cNvGrpSpPr/>
        </xdr:nvGrpSpPr>
        <xdr:grpSpPr>
          <a:xfrm>
            <a:off x="0" y="487790"/>
            <a:ext cx="1198580" cy="656219"/>
            <a:chOff x="0" y="487790"/>
            <a:chExt cx="1198580" cy="656219"/>
          </a:xfrm>
          <a:grpFill/>
        </xdr:grpSpPr>
        <xdr:sp macro="" textlink="">
          <xdr:nvSpPr>
            <xdr:cNvPr id="14" name="Retângulo 13">
              <a:extLst>
                <a:ext uri="{FF2B5EF4-FFF2-40B4-BE49-F238E27FC236}">
                  <a16:creationId xmlns:a16="http://schemas.microsoft.com/office/drawing/2014/main" id="{BE698333-E177-F91F-D312-66A246974A45}"/>
                </a:ext>
              </a:extLst>
            </xdr:cNvPr>
            <xdr:cNvSpPr/>
          </xdr:nvSpPr>
          <xdr:spPr>
            <a:xfrm>
              <a:off x="0" y="487790"/>
              <a:ext cx="1198580" cy="655769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5" name="CaixaDeTexto 14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736957FA-D47F-C6A9-98FF-4362E0F946FF}"/>
                </a:ext>
              </a:extLst>
            </xdr:cNvPr>
            <xdr:cNvSpPr txBox="1"/>
          </xdr:nvSpPr>
          <xdr:spPr>
            <a:xfrm>
              <a:off x="60960" y="877309"/>
              <a:ext cx="1074420" cy="266700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050">
                  <a:solidFill>
                    <a:schemeClr val="bg1"/>
                  </a:solidFill>
                  <a:latin typeface="Montserrat" panose="00000500000000000000" pitchFamily="2" charset="0"/>
                </a:rPr>
                <a:t>Cadastros</a:t>
              </a:r>
            </a:p>
          </xdr:txBody>
        </xdr:sp>
      </xdr:grpSp>
      <xdr:pic>
        <xdr:nvPicPr>
          <xdr:cNvPr id="13" name="Gráfico 12" descr="Usuários com preenchimento sólido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404861A2-239E-24D6-147E-7E870848F4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327660" y="457200"/>
            <a:ext cx="565860" cy="563233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101913</xdr:colOff>
      <xdr:row>2</xdr:row>
      <xdr:rowOff>86675</xdr:rowOff>
    </xdr:from>
    <xdr:to>
      <xdr:col>3</xdr:col>
      <xdr:colOff>1300493</xdr:colOff>
      <xdr:row>3</xdr:row>
      <xdr:rowOff>1237</xdr:rowOff>
    </xdr:to>
    <xdr:grpSp>
      <xdr:nvGrpSpPr>
        <xdr:cNvPr id="16" name="Agrupar 1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DC77E8F-4B7A-47C0-816A-8D6786135360}"/>
            </a:ext>
          </a:extLst>
        </xdr:cNvPr>
        <xdr:cNvGrpSpPr/>
      </xdr:nvGrpSpPr>
      <xdr:grpSpPr>
        <a:xfrm>
          <a:off x="2779799" y="86675"/>
          <a:ext cx="1198580" cy="712848"/>
          <a:chOff x="0" y="2026920"/>
          <a:chExt cx="1198580" cy="714662"/>
        </a:xfrm>
        <a:solidFill>
          <a:schemeClr val="tx2">
            <a:lumMod val="75000"/>
          </a:schemeClr>
        </a:solidFill>
      </xdr:grpSpPr>
      <xdr:grpSp>
        <xdr:nvGrpSpPr>
          <xdr:cNvPr id="17" name="Agrupar 16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07B775CA-1E5E-DF25-5CD5-A3489809C0C5}"/>
              </a:ext>
            </a:extLst>
          </xdr:cNvPr>
          <xdr:cNvGrpSpPr/>
        </xdr:nvGrpSpPr>
        <xdr:grpSpPr>
          <a:xfrm>
            <a:off x="0" y="2087202"/>
            <a:ext cx="1198580" cy="654380"/>
            <a:chOff x="0" y="2087202"/>
            <a:chExt cx="1198580" cy="654380"/>
          </a:xfrm>
          <a:grpFill/>
        </xdr:grpSpPr>
        <xdr:sp macro="" textlink="">
          <xdr:nvSpPr>
            <xdr:cNvPr id="19" name="Retângulo 18">
              <a:extLst>
                <a:ext uri="{FF2B5EF4-FFF2-40B4-BE49-F238E27FC236}">
                  <a16:creationId xmlns:a16="http://schemas.microsoft.com/office/drawing/2014/main" id="{F4E39A24-974C-7A72-E075-23744216961F}"/>
                </a:ext>
              </a:extLst>
            </xdr:cNvPr>
            <xdr:cNvSpPr/>
          </xdr:nvSpPr>
          <xdr:spPr>
            <a:xfrm>
              <a:off x="0" y="2087202"/>
              <a:ext cx="1198580" cy="65393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0" name="CaixaDeTexto 19">
              <a:hlinkClick xmlns:r="http://schemas.openxmlformats.org/officeDocument/2006/relationships" r:id="rId8"/>
              <a:extLst>
                <a:ext uri="{FF2B5EF4-FFF2-40B4-BE49-F238E27FC236}">
                  <a16:creationId xmlns:a16="http://schemas.microsoft.com/office/drawing/2014/main" id="{75BDAEE2-2FE7-5826-93EF-410BB41C0743}"/>
                </a:ext>
              </a:extLst>
            </xdr:cNvPr>
            <xdr:cNvSpPr txBox="1"/>
          </xdr:nvSpPr>
          <xdr:spPr>
            <a:xfrm>
              <a:off x="60960" y="2476195"/>
              <a:ext cx="1074420" cy="265387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050">
                  <a:solidFill>
                    <a:schemeClr val="bg1"/>
                  </a:solidFill>
                  <a:latin typeface="Montserrat" panose="00000500000000000000" pitchFamily="2" charset="0"/>
                </a:rPr>
                <a:t>Dashboard</a:t>
              </a:r>
            </a:p>
          </xdr:txBody>
        </xdr:sp>
      </xdr:grpSp>
      <xdr:pic>
        <xdr:nvPicPr>
          <xdr:cNvPr id="18" name="Gráfico 17" descr="Gráfico de barras com preenchimento sólido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9B5FBB5A-C35B-970A-83E4-C47234007A4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xdr:blipFill>
        <xdr:spPr>
          <a:xfrm>
            <a:off x="297180" y="2026920"/>
            <a:ext cx="579120" cy="57912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7256</xdr:colOff>
      <xdr:row>4</xdr:row>
      <xdr:rowOff>7257</xdr:rowOff>
    </xdr:from>
    <xdr:to>
      <xdr:col>5</xdr:col>
      <xdr:colOff>1182915</xdr:colOff>
      <xdr:row>9</xdr:row>
      <xdr:rowOff>145429</xdr:rowOff>
    </xdr:to>
    <xdr:sp macro="" textlink="">
      <xdr:nvSpPr>
        <xdr:cNvPr id="22" name="Retângulo: Cantos Arredondados 21">
          <a:extLst>
            <a:ext uri="{FF2B5EF4-FFF2-40B4-BE49-F238E27FC236}">
              <a16:creationId xmlns:a16="http://schemas.microsoft.com/office/drawing/2014/main" id="{2651820E-91CB-B7B0-84D7-08736CE85124}"/>
            </a:ext>
          </a:extLst>
        </xdr:cNvPr>
        <xdr:cNvSpPr/>
      </xdr:nvSpPr>
      <xdr:spPr>
        <a:xfrm>
          <a:off x="195942" y="957943"/>
          <a:ext cx="6945087" cy="2250000"/>
        </a:xfrm>
        <a:prstGeom prst="roundRect">
          <a:avLst>
            <a:gd name="adj" fmla="val 4733"/>
          </a:avLst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856293</xdr:colOff>
      <xdr:row>4</xdr:row>
      <xdr:rowOff>7257</xdr:rowOff>
    </xdr:from>
    <xdr:to>
      <xdr:col>8</xdr:col>
      <xdr:colOff>1357037</xdr:colOff>
      <xdr:row>15</xdr:row>
      <xdr:rowOff>188685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04BF4EC3-EC36-4941-A5AD-911F52B9DFBF}"/>
            </a:ext>
          </a:extLst>
        </xdr:cNvPr>
        <xdr:cNvSpPr/>
      </xdr:nvSpPr>
      <xdr:spPr>
        <a:xfrm>
          <a:off x="10305093" y="957943"/>
          <a:ext cx="2641601" cy="4601028"/>
        </a:xfrm>
        <a:prstGeom prst="roundRect">
          <a:avLst>
            <a:gd name="adj" fmla="val 6227"/>
          </a:avLst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1473157</xdr:colOff>
      <xdr:row>4</xdr:row>
      <xdr:rowOff>7259</xdr:rowOff>
    </xdr:from>
    <xdr:to>
      <xdr:col>7</xdr:col>
      <xdr:colOff>624072</xdr:colOff>
      <xdr:row>15</xdr:row>
      <xdr:rowOff>188687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D24732E1-F91D-40B2-83DC-8CB16EE83495}"/>
            </a:ext>
          </a:extLst>
        </xdr:cNvPr>
        <xdr:cNvSpPr/>
      </xdr:nvSpPr>
      <xdr:spPr>
        <a:xfrm>
          <a:off x="7431271" y="957945"/>
          <a:ext cx="2641601" cy="4601028"/>
        </a:xfrm>
        <a:prstGeom prst="roundRect">
          <a:avLst>
            <a:gd name="adj" fmla="val 5953"/>
          </a:avLst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7259</xdr:colOff>
      <xdr:row>9</xdr:row>
      <xdr:rowOff>333818</xdr:rowOff>
    </xdr:from>
    <xdr:to>
      <xdr:col>3</xdr:col>
      <xdr:colOff>822859</xdr:colOff>
      <xdr:row>15</xdr:row>
      <xdr:rowOff>186046</xdr:rowOff>
    </xdr:to>
    <xdr:sp macro="" textlink="">
      <xdr:nvSpPr>
        <xdr:cNvPr id="26" name="Retângulo: Cantos Arredondados 25">
          <a:extLst>
            <a:ext uri="{FF2B5EF4-FFF2-40B4-BE49-F238E27FC236}">
              <a16:creationId xmlns:a16="http://schemas.microsoft.com/office/drawing/2014/main" id="{C5EEBB75-EB6B-4F8E-89F6-1ADA08615435}"/>
            </a:ext>
          </a:extLst>
        </xdr:cNvPr>
        <xdr:cNvSpPr/>
      </xdr:nvSpPr>
      <xdr:spPr>
        <a:xfrm>
          <a:off x="195945" y="3396332"/>
          <a:ext cx="3304800" cy="2160000"/>
        </a:xfrm>
        <a:prstGeom prst="roundRect">
          <a:avLst>
            <a:gd name="adj" fmla="val 4572"/>
          </a:avLst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800"/>
        </a:p>
      </xdr:txBody>
    </xdr:sp>
    <xdr:clientData/>
  </xdr:twoCellAnchor>
  <xdr:twoCellAnchor>
    <xdr:from>
      <xdr:col>3</xdr:col>
      <xdr:colOff>1153885</xdr:colOff>
      <xdr:row>9</xdr:row>
      <xdr:rowOff>333821</xdr:rowOff>
    </xdr:from>
    <xdr:to>
      <xdr:col>5</xdr:col>
      <xdr:colOff>1178957</xdr:colOff>
      <xdr:row>15</xdr:row>
      <xdr:rowOff>186049</xdr:rowOff>
    </xdr:to>
    <xdr:sp macro="" textlink="">
      <xdr:nvSpPr>
        <xdr:cNvPr id="27" name="Retângulo: Cantos Arredondados 26">
          <a:extLst>
            <a:ext uri="{FF2B5EF4-FFF2-40B4-BE49-F238E27FC236}">
              <a16:creationId xmlns:a16="http://schemas.microsoft.com/office/drawing/2014/main" id="{EE540813-D8D8-4D14-B567-66FB2F691AFB}"/>
            </a:ext>
          </a:extLst>
        </xdr:cNvPr>
        <xdr:cNvSpPr/>
      </xdr:nvSpPr>
      <xdr:spPr>
        <a:xfrm>
          <a:off x="3831771" y="3396335"/>
          <a:ext cx="3305300" cy="2160000"/>
        </a:xfrm>
        <a:prstGeom prst="roundRect">
          <a:avLst>
            <a:gd name="adj" fmla="val 4236"/>
          </a:avLst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1473157</xdr:colOff>
      <xdr:row>4</xdr:row>
      <xdr:rowOff>224971</xdr:rowOff>
    </xdr:from>
    <xdr:to>
      <xdr:col>7</xdr:col>
      <xdr:colOff>595086</xdr:colOff>
      <xdr:row>15</xdr:row>
      <xdr:rowOff>138975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A72AFD67-91AE-4CC8-924B-B902F021D9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863600</xdr:colOff>
      <xdr:row>4</xdr:row>
      <xdr:rowOff>232228</xdr:rowOff>
    </xdr:from>
    <xdr:to>
      <xdr:col>8</xdr:col>
      <xdr:colOff>1349833</xdr:colOff>
      <xdr:row>15</xdr:row>
      <xdr:rowOff>166915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8F77677A-D1D6-47C3-BD21-DB0016ACDB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7255</xdr:colOff>
      <xdr:row>4</xdr:row>
      <xdr:rowOff>203200</xdr:rowOff>
    </xdr:from>
    <xdr:to>
      <xdr:col>5</xdr:col>
      <xdr:colOff>1175656</xdr:colOff>
      <xdr:row>9</xdr:row>
      <xdr:rowOff>137886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601C2A84-63A5-4BDD-B160-AE83290A5F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7259</xdr:colOff>
      <xdr:row>10</xdr:row>
      <xdr:rowOff>159657</xdr:rowOff>
    </xdr:from>
    <xdr:to>
      <xdr:col>3</xdr:col>
      <xdr:colOff>798285</xdr:colOff>
      <xdr:row>15</xdr:row>
      <xdr:rowOff>181427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9E0975C2-7C3C-4AB4-A6F1-85750E7258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</xdr:col>
      <xdr:colOff>1153885</xdr:colOff>
      <xdr:row>10</xdr:row>
      <xdr:rowOff>145143</xdr:rowOff>
    </xdr:from>
    <xdr:to>
      <xdr:col>5</xdr:col>
      <xdr:colOff>1168400</xdr:colOff>
      <xdr:row>15</xdr:row>
      <xdr:rowOff>174170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DAD83500-0EDF-432B-997B-D01A3368E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</xdr:col>
      <xdr:colOff>1473157</xdr:colOff>
      <xdr:row>4</xdr:row>
      <xdr:rowOff>29030</xdr:rowOff>
    </xdr:from>
    <xdr:to>
      <xdr:col>7</xdr:col>
      <xdr:colOff>624114</xdr:colOff>
      <xdr:row>4</xdr:row>
      <xdr:rowOff>283030</xdr:rowOff>
    </xdr:to>
    <xdr:sp macro="" textlink="">
      <xdr:nvSpPr>
        <xdr:cNvPr id="23" name="TextBox 24">
          <a:extLst>
            <a:ext uri="{FF2B5EF4-FFF2-40B4-BE49-F238E27FC236}">
              <a16:creationId xmlns:a16="http://schemas.microsoft.com/office/drawing/2014/main" id="{8F5273D1-D56B-4EFF-802E-23CA9E418415}"/>
            </a:ext>
          </a:extLst>
        </xdr:cNvPr>
        <xdr:cNvSpPr txBox="1"/>
      </xdr:nvSpPr>
      <xdr:spPr>
        <a:xfrm>
          <a:off x="7431271" y="979716"/>
          <a:ext cx="2641643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r>
            <a:rPr lang="en-US" sz="1000" b="0" baseline="0">
              <a:solidFill>
                <a:schemeClr val="bg1"/>
              </a:solidFill>
              <a:latin typeface="Montserrat" panose="00000500000000000000" pitchFamily="2" charset="0"/>
            </a:rPr>
            <a:t>   Gastos por Tipo</a:t>
          </a:r>
          <a:endParaRPr lang="en-US" sz="10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</xdr:col>
      <xdr:colOff>7256</xdr:colOff>
      <xdr:row>4</xdr:row>
      <xdr:rowOff>29028</xdr:rowOff>
    </xdr:from>
    <xdr:to>
      <xdr:col>3</xdr:col>
      <xdr:colOff>159699</xdr:colOff>
      <xdr:row>4</xdr:row>
      <xdr:rowOff>283028</xdr:rowOff>
    </xdr:to>
    <xdr:sp macro="" textlink="">
      <xdr:nvSpPr>
        <xdr:cNvPr id="33" name="TextBox 24">
          <a:extLst>
            <a:ext uri="{FF2B5EF4-FFF2-40B4-BE49-F238E27FC236}">
              <a16:creationId xmlns:a16="http://schemas.microsoft.com/office/drawing/2014/main" id="{FCA162A5-559E-405F-A223-701261CCBC7F}"/>
            </a:ext>
          </a:extLst>
        </xdr:cNvPr>
        <xdr:cNvSpPr txBox="1"/>
      </xdr:nvSpPr>
      <xdr:spPr>
        <a:xfrm>
          <a:off x="195942" y="979714"/>
          <a:ext cx="2641643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r>
            <a:rPr lang="en-US" sz="1000" b="0" baseline="0">
              <a:solidFill>
                <a:schemeClr val="bg1"/>
              </a:solidFill>
              <a:latin typeface="Montserrat" panose="00000500000000000000" pitchFamily="2" charset="0"/>
            </a:rPr>
            <a:t>   Gastos Por Mês</a:t>
          </a:r>
          <a:endParaRPr lang="en-US" sz="10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</xdr:col>
      <xdr:colOff>7259</xdr:colOff>
      <xdr:row>9</xdr:row>
      <xdr:rowOff>355589</xdr:rowOff>
    </xdr:from>
    <xdr:to>
      <xdr:col>3</xdr:col>
      <xdr:colOff>159702</xdr:colOff>
      <xdr:row>10</xdr:row>
      <xdr:rowOff>224960</xdr:rowOff>
    </xdr:to>
    <xdr:sp macro="" textlink="">
      <xdr:nvSpPr>
        <xdr:cNvPr id="34" name="TextBox 24">
          <a:extLst>
            <a:ext uri="{FF2B5EF4-FFF2-40B4-BE49-F238E27FC236}">
              <a16:creationId xmlns:a16="http://schemas.microsoft.com/office/drawing/2014/main" id="{BBC700FB-735A-474C-B848-A22A04281606}"/>
            </a:ext>
          </a:extLst>
        </xdr:cNvPr>
        <xdr:cNvSpPr txBox="1"/>
      </xdr:nvSpPr>
      <xdr:spPr>
        <a:xfrm>
          <a:off x="195945" y="3418103"/>
          <a:ext cx="2641643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r>
            <a:rPr lang="en-US" sz="1000" b="0" baseline="0">
              <a:solidFill>
                <a:schemeClr val="bg1"/>
              </a:solidFill>
              <a:latin typeface="Montserrat" panose="00000500000000000000" pitchFamily="2" charset="0"/>
            </a:rPr>
            <a:t>Diferença R$ por Justificativa</a:t>
          </a:r>
          <a:endParaRPr lang="en-US" sz="10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3</xdr:col>
      <xdr:colOff>1153885</xdr:colOff>
      <xdr:row>9</xdr:row>
      <xdr:rowOff>355592</xdr:rowOff>
    </xdr:from>
    <xdr:to>
      <xdr:col>5</xdr:col>
      <xdr:colOff>515300</xdr:colOff>
      <xdr:row>10</xdr:row>
      <xdr:rowOff>224963</xdr:rowOff>
    </xdr:to>
    <xdr:sp macro="" textlink="">
      <xdr:nvSpPr>
        <xdr:cNvPr id="35" name="TextBox 24">
          <a:extLst>
            <a:ext uri="{FF2B5EF4-FFF2-40B4-BE49-F238E27FC236}">
              <a16:creationId xmlns:a16="http://schemas.microsoft.com/office/drawing/2014/main" id="{BA07C37D-1681-4AB8-8D25-31101AF0038A}"/>
            </a:ext>
          </a:extLst>
        </xdr:cNvPr>
        <xdr:cNvSpPr txBox="1"/>
      </xdr:nvSpPr>
      <xdr:spPr>
        <a:xfrm>
          <a:off x="3831771" y="3418106"/>
          <a:ext cx="2641643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r>
            <a:rPr lang="en-US" sz="1000" b="0" baseline="0">
              <a:solidFill>
                <a:schemeClr val="bg1"/>
              </a:solidFill>
              <a:latin typeface="Montserrat" panose="00000500000000000000" pitchFamily="2" charset="0"/>
            </a:rPr>
            <a:t>Gastos por Fornecedor</a:t>
          </a:r>
          <a:endParaRPr lang="en-US" sz="10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7</xdr:col>
      <xdr:colOff>856293</xdr:colOff>
      <xdr:row>4</xdr:row>
      <xdr:rowOff>29028</xdr:rowOff>
    </xdr:from>
    <xdr:to>
      <xdr:col>8</xdr:col>
      <xdr:colOff>1357079</xdr:colOff>
      <xdr:row>4</xdr:row>
      <xdr:rowOff>283028</xdr:rowOff>
    </xdr:to>
    <xdr:sp macro="" textlink="">
      <xdr:nvSpPr>
        <xdr:cNvPr id="36" name="TextBox 24">
          <a:extLst>
            <a:ext uri="{FF2B5EF4-FFF2-40B4-BE49-F238E27FC236}">
              <a16:creationId xmlns:a16="http://schemas.microsoft.com/office/drawing/2014/main" id="{BAFF3C26-77B8-4136-BFD7-B257FCBADE16}"/>
            </a:ext>
          </a:extLst>
        </xdr:cNvPr>
        <xdr:cNvSpPr txBox="1"/>
      </xdr:nvSpPr>
      <xdr:spPr>
        <a:xfrm>
          <a:off x="10305093" y="979714"/>
          <a:ext cx="2641643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r>
            <a:rPr lang="en-US" sz="1000" b="0" baseline="0">
              <a:solidFill>
                <a:schemeClr val="bg1"/>
              </a:solidFill>
              <a:latin typeface="Montserrat" panose="00000500000000000000" pitchFamily="2" charset="0"/>
            </a:rPr>
            <a:t>Gastos por Forma de Pagamento</a:t>
          </a:r>
          <a:endParaRPr lang="en-US" sz="10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 editAs="oneCell">
    <xdr:from>
      <xdr:col>5</xdr:col>
      <xdr:colOff>1400629</xdr:colOff>
      <xdr:row>0</xdr:row>
      <xdr:rowOff>0</xdr:rowOff>
    </xdr:from>
    <xdr:to>
      <xdr:col>8</xdr:col>
      <xdr:colOff>1349830</xdr:colOff>
      <xdr:row>2</xdr:row>
      <xdr:rowOff>791029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7" name="Data">
              <a:extLst>
                <a:ext uri="{FF2B5EF4-FFF2-40B4-BE49-F238E27FC236}">
                  <a16:creationId xmlns:a16="http://schemas.microsoft.com/office/drawing/2014/main" id="{3FAF1D13-ED61-427C-A488-840A556824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58743" y="0"/>
              <a:ext cx="5580744" cy="7910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fredo Araujo" refreshedDate="45107.93442986111" createdVersion="8" refreshedVersion="8" minRefreshableVersion="3" recordCount="10" xr:uid="{D44B3354-3AC3-4302-90DC-C39AD0D1EE4D}">
  <cacheSource type="worksheet">
    <worksheetSource name="Tabela16"/>
  </cacheSource>
  <cacheFields count="9">
    <cacheField name="Nº" numFmtId="0">
      <sharedItems containsSemiMixedTypes="0" containsString="0" containsNumber="1" containsInteger="1" minValue="1" maxValue="10"/>
    </cacheField>
    <cacheField name="Data Acidente" numFmtId="14">
      <sharedItems containsSemiMixedTypes="0" containsNonDate="0" containsDate="1" containsString="0" minDate="2022-09-03T00:00:00" maxDate="2022-12-09T00:00:00" count="10">
        <d v="2022-10-27T00:00:00"/>
        <d v="2022-10-15T00:00:00"/>
        <d v="2022-09-03T00:00:00"/>
        <d v="2022-09-29T00:00:00"/>
        <d v="2022-12-06T00:00:00"/>
        <d v="2022-11-15T00:00:00"/>
        <d v="2022-09-12T00:00:00"/>
        <d v="2022-12-08T00:00:00"/>
        <d v="2022-11-24T00:00:00"/>
        <d v="2022-11-08T00:00:00"/>
      </sharedItems>
      <fieldGroup par="8"/>
    </cacheField>
    <cacheField name="Funcionário" numFmtId="0">
      <sharedItems/>
    </cacheField>
    <cacheField name="Área" numFmtId="0">
      <sharedItems/>
    </cacheField>
    <cacheField name="Tipo Acidente" numFmtId="0">
      <sharedItems count="9">
        <s v="Estresse"/>
        <s v="Contusão e esmagamento"/>
        <s v="Quedas"/>
        <s v="Choques elétricos"/>
        <s v="Choques contra objetos"/>
        <s v="Golpes provocados por ferramentas"/>
        <s v="Lesões por Esforços Repetitivos (LER)"/>
        <s v="Ansiedade"/>
        <s v="Distúrbio osteomuscular relacionado ao trabalho (Dort)"/>
      </sharedItems>
    </cacheField>
    <cacheField name="Afastamento" numFmtId="0">
      <sharedItems count="2">
        <s v="Sem Afastamento"/>
        <s v="Com Afastamento"/>
      </sharedItems>
    </cacheField>
    <cacheField name="Quantidade Dias Afastado" numFmtId="1">
      <sharedItems containsString="0" containsBlank="1" containsNumber="1" containsInteger="1" minValue="5" maxValue="30"/>
    </cacheField>
    <cacheField name="Dias (Data Acidente)" numFmtId="0" databaseField="0">
      <fieldGroup base="1">
        <rangePr groupBy="days" startDate="2022-09-03T00:00:00" endDate="2022-12-09T00:00:00"/>
        <groupItems count="368">
          <s v="&lt;03/09/2022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9/12/2022"/>
        </groupItems>
      </fieldGroup>
    </cacheField>
    <cacheField name="Meses (Data Acidente)" numFmtId="0" databaseField="0">
      <fieldGroup base="1">
        <rangePr groupBy="months" startDate="2022-09-03T00:00:00" endDate="2022-12-09T00:00:00"/>
        <groupItems count="14">
          <s v="&lt;03/09/2022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9/12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fredo Araujo" refreshedDate="45116.658745601853" createdVersion="8" refreshedVersion="8" minRefreshableVersion="3" recordCount="10" xr:uid="{72648931-212E-43CF-B4A6-8EECFDF1FE0E}">
  <cacheSource type="worksheet">
    <worksheetSource name="Tabela13"/>
  </cacheSource>
  <cacheFields count="13">
    <cacheField name="Nº" numFmtId="0">
      <sharedItems containsSemiMixedTypes="0" containsString="0" containsNumber="1" containsInteger="1" minValue="1" maxValue="10"/>
    </cacheField>
    <cacheField name="Tipo" numFmtId="0">
      <sharedItems count="6">
        <s v="Custo de Produção"/>
        <s v="Despesa Operacional"/>
        <s v="Salário"/>
        <s v="Impostos"/>
        <s v="Investimento"/>
        <s v="Custo de Produção ou Serviço" u="1"/>
      </sharedItems>
    </cacheField>
    <cacheField name="Descrição" numFmtId="0">
      <sharedItems/>
    </cacheField>
    <cacheField name="Data" numFmtId="16">
      <sharedItems containsSemiMixedTypes="0" containsNonDate="0" containsDate="1" containsString="0" minDate="2023-06-02T00:00:00" maxDate="2023-10-11T00:00:00" count="10">
        <d v="2023-06-02T00:00:00"/>
        <d v="2023-06-14T00:00:00"/>
        <d v="2023-06-20T00:00:00"/>
        <d v="2023-07-01T00:00:00"/>
        <d v="2023-08-15T00:00:00"/>
        <d v="2023-08-23T00:00:00"/>
        <d v="2023-09-21T00:00:00"/>
        <d v="2023-09-03T00:00:00"/>
        <d v="2023-10-03T00:00:00"/>
        <d v="2023-10-10T00:00:00"/>
      </sharedItems>
      <fieldGroup par="12"/>
    </cacheField>
    <cacheField name="Fornecedor" numFmtId="0">
      <sharedItems containsBlank="1" count="4">
        <s v="FAIT"/>
        <s v="Fish Lubrificantes"/>
        <m/>
        <s v="Inovanox"/>
      </sharedItems>
    </cacheField>
    <cacheField name="Forma de Pagamento" numFmtId="0">
      <sharedItems count="5">
        <s v="Débito"/>
        <s v="TED"/>
        <s v="Boleto"/>
        <s v="Pix"/>
        <s v="Crédito"/>
      </sharedItems>
    </cacheField>
    <cacheField name="Valor Original" numFmtId="165">
      <sharedItems containsSemiMixedTypes="0" containsString="0" containsNumber="1" containsInteger="1" minValue="300" maxValue="8000"/>
    </cacheField>
    <cacheField name="Valor Pago" numFmtId="165">
      <sharedItems containsSemiMixedTypes="0" containsString="0" containsNumber="1" containsInteger="1" minValue="310" maxValue="9000"/>
    </cacheField>
    <cacheField name="Juros e/ou Multas Pago" numFmtId="165">
      <sharedItems containsString="0" containsBlank="1" containsNumber="1" containsInteger="1" minValue="10" maxValue="30"/>
    </cacheField>
    <cacheField name="Justificativa Diferença" numFmtId="14">
      <sharedItems containsBlank="1" count="5">
        <s v="Mudança de fornecedor"/>
        <s v="Multa"/>
        <s v="Atraso por falta de notificação"/>
        <m/>
        <s v="Demora entre orçamento e compra"/>
      </sharedItems>
    </cacheField>
    <cacheField name="Diferença" numFmtId="0" formula="'Valor Pago'-'Valor Original'" databaseField="0"/>
    <cacheField name="Dias (Data)" numFmtId="0" databaseField="0">
      <fieldGroup base="3">
        <rangePr groupBy="days" startDate="2023-06-02T00:00:00" endDate="2023-10-11T00:00:00"/>
        <groupItems count="368">
          <s v="&lt;02/06/2023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1/10/2023"/>
        </groupItems>
      </fieldGroup>
    </cacheField>
    <cacheField name="Meses (Data)" numFmtId="0" databaseField="0">
      <fieldGroup base="3">
        <rangePr groupBy="months" startDate="2023-06-02T00:00:00" endDate="2023-10-11T00:00:00"/>
        <groupItems count="14">
          <s v="&lt;02/06/202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1/10/2023"/>
        </groupItems>
      </fieldGroup>
    </cacheField>
  </cacheFields>
  <extLst>
    <ext xmlns:x14="http://schemas.microsoft.com/office/spreadsheetml/2009/9/main" uri="{725AE2AE-9491-48be-B2B4-4EB974FC3084}">
      <x14:pivotCacheDefinition pivotCacheId="80479694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x v="0"/>
    <s v="Funcionário 1"/>
    <s v="Financeiro"/>
    <x v="0"/>
    <x v="0"/>
    <m/>
  </r>
  <r>
    <n v="2"/>
    <x v="1"/>
    <s v="Funcionário 2"/>
    <s v="Recursos Humanos"/>
    <x v="1"/>
    <x v="1"/>
    <n v="25"/>
  </r>
  <r>
    <n v="3"/>
    <x v="2"/>
    <s v="Funcionário 3"/>
    <s v="Financeiro"/>
    <x v="2"/>
    <x v="0"/>
    <m/>
  </r>
  <r>
    <n v="4"/>
    <x v="3"/>
    <s v="Funcionário 4"/>
    <s v="Operações"/>
    <x v="2"/>
    <x v="0"/>
    <m/>
  </r>
  <r>
    <n v="5"/>
    <x v="4"/>
    <s v="Funcionário 5"/>
    <s v="Operações"/>
    <x v="3"/>
    <x v="1"/>
    <n v="30"/>
  </r>
  <r>
    <n v="6"/>
    <x v="5"/>
    <s v="Funcionário 6"/>
    <s v="Operações"/>
    <x v="4"/>
    <x v="0"/>
    <m/>
  </r>
  <r>
    <n v="7"/>
    <x v="6"/>
    <s v="Funcionário 7"/>
    <s v="Financeiro"/>
    <x v="5"/>
    <x v="0"/>
    <m/>
  </r>
  <r>
    <n v="8"/>
    <x v="7"/>
    <s v="Funcionário 8"/>
    <s v="Operações"/>
    <x v="6"/>
    <x v="1"/>
    <n v="5"/>
  </r>
  <r>
    <n v="9"/>
    <x v="8"/>
    <s v="Funcionário 9"/>
    <s v="Recursos Humanos"/>
    <x v="7"/>
    <x v="0"/>
    <m/>
  </r>
  <r>
    <n v="10"/>
    <x v="9"/>
    <s v="Funcionário 10"/>
    <s v="Financeiro"/>
    <x v="8"/>
    <x v="1"/>
    <n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x v="0"/>
    <s v="Lanterna traseira SUV médio"/>
    <x v="0"/>
    <x v="0"/>
    <x v="0"/>
    <n v="2000"/>
    <n v="2235"/>
    <m/>
    <x v="0"/>
  </r>
  <r>
    <n v="2"/>
    <x v="0"/>
    <s v="Lubrificante automotivo"/>
    <x v="1"/>
    <x v="1"/>
    <x v="1"/>
    <n v="500"/>
    <n v="520"/>
    <n v="20"/>
    <x v="1"/>
  </r>
  <r>
    <n v="3"/>
    <x v="1"/>
    <s v="Conta de água mai/23"/>
    <x v="2"/>
    <x v="2"/>
    <x v="2"/>
    <n v="300"/>
    <n v="310"/>
    <n v="10"/>
    <x v="2"/>
  </r>
  <r>
    <n v="4"/>
    <x v="2"/>
    <s v="Mecânico jun/23"/>
    <x v="3"/>
    <x v="2"/>
    <x v="3"/>
    <n v="2500"/>
    <n v="2500"/>
    <m/>
    <x v="3"/>
  </r>
  <r>
    <n v="5"/>
    <x v="3"/>
    <s v="ISS ago/23"/>
    <x v="4"/>
    <x v="2"/>
    <x v="2"/>
    <n v="400"/>
    <n v="400"/>
    <m/>
    <x v="3"/>
  </r>
  <r>
    <n v="6"/>
    <x v="4"/>
    <s v="Novo elevador de carros"/>
    <x v="5"/>
    <x v="3"/>
    <x v="4"/>
    <n v="8000"/>
    <n v="9000"/>
    <m/>
    <x v="4"/>
  </r>
  <r>
    <n v="7"/>
    <x v="3"/>
    <s v="ICMS set/23"/>
    <x v="6"/>
    <x v="2"/>
    <x v="2"/>
    <n v="900"/>
    <n v="900"/>
    <m/>
    <x v="3"/>
  </r>
  <r>
    <n v="8"/>
    <x v="2"/>
    <s v="Mecânico ago/23"/>
    <x v="7"/>
    <x v="2"/>
    <x v="3"/>
    <n v="2500"/>
    <n v="2500"/>
    <m/>
    <x v="3"/>
  </r>
  <r>
    <n v="9"/>
    <x v="2"/>
    <s v="Eletricista out/23"/>
    <x v="8"/>
    <x v="2"/>
    <x v="3"/>
    <n v="2700"/>
    <n v="2700"/>
    <m/>
    <x v="3"/>
  </r>
  <r>
    <n v="10"/>
    <x v="1"/>
    <s v="Conta de energia set/23"/>
    <x v="9"/>
    <x v="2"/>
    <x v="2"/>
    <n v="600"/>
    <n v="630"/>
    <n v="3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E0D536-5937-4B87-92CD-953D8C52D038}" name="Tabela dinâmica1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7">
  <location ref="A3:B8" firstHeaderRow="1" firstDataRow="1" firstDataCol="1"/>
  <pivotFields count="13">
    <pivotField showAll="0"/>
    <pivotField showAll="0"/>
    <pivotField showAll="0"/>
    <pivotField numFmtId="16" showAll="0">
      <items count="11">
        <item x="0"/>
        <item x="1"/>
        <item x="2"/>
        <item x="3"/>
        <item x="4"/>
        <item x="5"/>
        <item x="7"/>
        <item x="6"/>
        <item x="8"/>
        <item x="9"/>
        <item t="default"/>
      </items>
    </pivotField>
    <pivotField showAll="0"/>
    <pivotField showAll="0"/>
    <pivotField numFmtId="165" showAll="0"/>
    <pivotField numFmtId="165" showAll="0"/>
    <pivotField showAll="0"/>
    <pivotField axis="axisRow" showAll="0" sortType="ascending">
      <items count="6">
        <item x="2"/>
        <item x="4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5">
    <i>
      <x/>
    </i>
    <i>
      <x v="3"/>
    </i>
    <i>
      <x v="2"/>
    </i>
    <i>
      <x v="1"/>
    </i>
    <i t="grand">
      <x/>
    </i>
  </rowItems>
  <colItems count="1">
    <i/>
  </colItems>
  <dataFields count="1">
    <dataField name="Soma de Diferença" fld="10" baseField="0" baseItem="0" numFmtId="165"/>
  </dataFields>
  <chartFormats count="6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3" type="dateBetween" evalOrder="-1" id="103" name="Data">
      <autoFilter ref="A1">
        <filterColumn colId="0">
          <customFilters and="1">
            <customFilter operator="greaterThanOrEqual" val="44927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9" type="captionNotEqual" evalOrder="-1" id="1" stringValue1="">
      <autoFilter ref="A1">
        <filterColumn colId="0">
          <customFilters>
            <customFilter operator="notEqual" val=" 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3316AA-2FEF-4A94-93AD-7783EF823328}" name="Tabela dinâmica5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4">
  <location ref="M3:N9" firstHeaderRow="1" firstDataRow="1" firstDataCol="1"/>
  <pivotFields count="13">
    <pivotField showAll="0"/>
    <pivotField showAll="0"/>
    <pivotField showAll="0"/>
    <pivotField numFmtId="16" showAll="0">
      <items count="11">
        <item x="0"/>
        <item x="1"/>
        <item x="2"/>
        <item x="3"/>
        <item x="4"/>
        <item x="5"/>
        <item x="7"/>
        <item x="6"/>
        <item x="8"/>
        <item x="9"/>
        <item t="default"/>
      </items>
    </pivotField>
    <pivotField showAll="0"/>
    <pivotField axis="axisRow" showAll="0" sortType="ascending">
      <items count="6">
        <item x="2"/>
        <item x="4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dataField="1" numFmtId="165" showAll="0"/>
    <pivotField showAll="0"/>
    <pivotField showAll="0"/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6">
    <i>
      <x v="4"/>
    </i>
    <i>
      <x v="2"/>
    </i>
    <i>
      <x/>
    </i>
    <i>
      <x v="3"/>
    </i>
    <i>
      <x v="1"/>
    </i>
    <i t="grand">
      <x/>
    </i>
  </rowItems>
  <colItems count="1">
    <i/>
  </colItems>
  <dataFields count="1">
    <dataField name="Soma de Valor Pago" fld="7" baseField="4" baseItem="0" numFmtId="166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3">
    <filter fld="3" type="dateBetween" evalOrder="-1" id="104" name="Data">
      <autoFilter ref="A1">
        <filterColumn colId="0">
          <customFilters and="1">
            <customFilter operator="greaterThanOrEqual" val="44927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4" type="captionNotEqual" evalOrder="-1" id="2" stringValue1="">
      <autoFilter ref="A1">
        <filterColumn colId="0">
          <customFilters>
            <customFilter operator="notEqual" val=" "/>
          </customFilters>
        </filterColumn>
      </autoFilter>
    </filter>
    <filter fld="9" type="captionNotEqual" evalOrder="-1" id="1" stringValue1="">
      <autoFilter ref="A1">
        <filterColumn colId="0">
          <customFilters>
            <customFilter operator="notEqual" val=" 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F682FB-24C2-48CF-8292-6360E15EC89E}" name="Tabela dinâmica4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5">
  <location ref="J3:K9" firstHeaderRow="1" firstDataRow="1" firstDataCol="1"/>
  <pivotFields count="13">
    <pivotField showAll="0"/>
    <pivotField axis="axisRow" showAll="0" sortType="ascending">
      <items count="7">
        <item m="1" x="5"/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" showAll="0">
      <items count="11">
        <item x="0"/>
        <item x="1"/>
        <item x="2"/>
        <item x="3"/>
        <item x="4"/>
        <item x="5"/>
        <item x="7"/>
        <item x="6"/>
        <item x="8"/>
        <item x="9"/>
        <item t="default"/>
      </items>
    </pivotField>
    <pivotField showAll="0"/>
    <pivotField showAll="0"/>
    <pivotField numFmtId="165" showAll="0"/>
    <pivotField dataField="1" numFmtId="165" showAll="0"/>
    <pivotField showAll="0"/>
    <pivotField showAll="0"/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6">
    <i>
      <x v="1"/>
    </i>
    <i>
      <x v="2"/>
    </i>
    <i>
      <x v="5"/>
    </i>
    <i>
      <x v="4"/>
    </i>
    <i>
      <x v="3"/>
    </i>
    <i t="grand">
      <x/>
    </i>
  </rowItems>
  <colItems count="1">
    <i/>
  </colItems>
  <dataFields count="1">
    <dataField name="Soma de Valor Pago" fld="7" baseField="4" baseItem="0" numFmtId="166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3">
    <filter fld="3" type="dateBetween" evalOrder="-1" id="104" name="Data">
      <autoFilter ref="A1">
        <filterColumn colId="0">
          <customFilters and="1">
            <customFilter operator="greaterThanOrEqual" val="44927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4" type="captionNotEqual" evalOrder="-1" id="2" stringValue1="">
      <autoFilter ref="A1">
        <filterColumn colId="0">
          <customFilters>
            <customFilter operator="notEqual" val=" "/>
          </customFilters>
        </filterColumn>
      </autoFilter>
    </filter>
    <filter fld="9" type="captionNotEqual" evalOrder="-1" id="1" stringValue1="">
      <autoFilter ref="A1">
        <filterColumn colId="0">
          <customFilters>
            <customFilter operator="notEqual" val=" 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FC3175-0765-43CF-98A1-E819F44CC146}" name="Tabela dinâmica3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3">
  <location ref="G3:H7" firstHeaderRow="1" firstDataRow="1" firstDataCol="1"/>
  <pivotFields count="13">
    <pivotField showAll="0"/>
    <pivotField showAll="0"/>
    <pivotField showAll="0"/>
    <pivotField numFmtId="16" showAll="0">
      <items count="11">
        <item x="0"/>
        <item x="1"/>
        <item x="2"/>
        <item x="3"/>
        <item x="4"/>
        <item x="5"/>
        <item x="7"/>
        <item x="6"/>
        <item x="8"/>
        <item x="9"/>
        <item t="default"/>
      </items>
    </pivotField>
    <pivotField axis="axisRow" showAll="0" sortType="a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  <pivotField dataField="1" numFmtId="165" showAll="0"/>
    <pivotField showAll="0"/>
    <pivotField showAll="0"/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oma de Valor Pago" fld="7" baseField="4" baseItem="0" numFmtId="166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3">
    <filter fld="3" type="dateBetween" evalOrder="-1" id="104" name="Data">
      <autoFilter ref="A1">
        <filterColumn colId="0">
          <customFilters and="1">
            <customFilter operator="greaterThanOrEqual" val="44927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4" type="captionNotEqual" evalOrder="-1" id="2" stringValue1="">
      <autoFilter ref="A1">
        <filterColumn colId="0">
          <customFilters>
            <customFilter operator="notEqual" val=" "/>
          </customFilters>
        </filterColumn>
      </autoFilter>
    </filter>
    <filter fld="9" type="captionNotEqual" evalOrder="-1" id="1" stringValue1="">
      <autoFilter ref="A1">
        <filterColumn colId="0">
          <customFilters>
            <customFilter operator="notEqual" val=" 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3C0E7F-022C-4B1F-BDB7-C5E5A357CA2F}" name="Tabela dinâmica2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4">
  <location ref="D3:E19" firstHeaderRow="1" firstDataRow="1" firstDataCol="1"/>
  <pivotFields count="13">
    <pivotField showAll="0"/>
    <pivotField showAll="0"/>
    <pivotField showAll="0"/>
    <pivotField axis="axisRow" numFmtId="16" showAll="0">
      <items count="11">
        <item x="0"/>
        <item x="1"/>
        <item x="2"/>
        <item x="3"/>
        <item x="4"/>
        <item x="5"/>
        <item x="7"/>
        <item x="6"/>
        <item x="8"/>
        <item x="9"/>
        <item t="default"/>
      </items>
    </pivotField>
    <pivotField showAll="0"/>
    <pivotField showAll="0"/>
    <pivotField numFmtId="165" showAll="0"/>
    <pivotField dataField="1" numFmtId="165" showAll="0"/>
    <pivotField showAll="0"/>
    <pivotField showAll="0"/>
    <pivotField dragToRow="0" dragToCol="0" dragToPage="0" showAll="0" defaultSubtota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x="6"/>
        <item x="7"/>
        <item x="8"/>
        <item x="9"/>
        <item x="10"/>
        <item sd="0" x="11"/>
        <item sd="0" x="12"/>
        <item sd="0" x="13"/>
        <item t="default"/>
      </items>
    </pivotField>
  </pivotFields>
  <rowFields count="3">
    <field x="12"/>
    <field x="11"/>
    <field x="3"/>
  </rowFields>
  <rowItems count="16">
    <i>
      <x v="6"/>
    </i>
    <i r="1">
      <x v="154"/>
    </i>
    <i r="1">
      <x v="166"/>
    </i>
    <i r="1">
      <x v="172"/>
    </i>
    <i>
      <x v="7"/>
    </i>
    <i r="1">
      <x v="183"/>
    </i>
    <i>
      <x v="8"/>
    </i>
    <i r="1">
      <x v="228"/>
    </i>
    <i r="1">
      <x v="236"/>
    </i>
    <i>
      <x v="9"/>
    </i>
    <i r="1">
      <x v="247"/>
    </i>
    <i r="1">
      <x v="265"/>
    </i>
    <i>
      <x v="10"/>
    </i>
    <i r="1">
      <x v="277"/>
    </i>
    <i r="1">
      <x v="284"/>
    </i>
    <i t="grand">
      <x/>
    </i>
  </rowItems>
  <colItems count="1">
    <i/>
  </colItems>
  <dataFields count="1">
    <dataField name="Soma de Valor Pago" fld="7" baseField="12" baseItem="6" numFmtId="166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3" type="dateBetween" evalOrder="-1" id="103" name="Data">
      <autoFilter ref="A1">
        <filterColumn colId="0">
          <customFilters and="1">
            <customFilter operator="greaterThanOrEqual" val="44927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9" type="captionNotEqual" evalOrder="-1" id="1" stringValue1="">
      <autoFilter ref="A1">
        <filterColumn colId="0">
          <customFilters>
            <customFilter operator="notEqual" val=" 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2ABDC0-2D92-4AF6-ADE8-D75D97352C12}" name="Tabela dinâ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4">
  <location ref="A3:B7" firstHeaderRow="1" firstDataRow="1" firstDataCol="1"/>
  <pivotFields count="9">
    <pivotField dataField="1" showAll="0" defaultSubtotal="0"/>
    <pivotField axis="axisRow" numFmtId="14" showAll="0" defaultSubtotal="0">
      <items count="10">
        <item x="2"/>
        <item x="6"/>
        <item x="3"/>
        <item x="1"/>
        <item x="0"/>
        <item x="9"/>
        <item x="5"/>
        <item x="8"/>
        <item x="4"/>
        <item x="7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8"/>
    <field x="7"/>
    <field x="1"/>
  </rowFields>
  <rowItems count="4">
    <i>
      <x v="9"/>
    </i>
    <i>
      <x v="10"/>
    </i>
    <i>
      <x v="11"/>
    </i>
    <i>
      <x v="12"/>
    </i>
  </rowItems>
  <colItems count="1">
    <i/>
  </colItems>
  <dataFields count="1">
    <dataField name="Contagem de Nº" fld="0" subtotal="count" baseField="8" baseItem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5A63C3-16F9-4D08-9592-F57BA1C4D3AF}" name="Tabela dinâmica4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5">
  <location ref="K3:L12" firstHeaderRow="1" firstDataRow="1" firstDataCol="1"/>
  <pivotFields count="9">
    <pivotField showAll="0" defaultSubtotal="0"/>
    <pivotField numFmtId="14" showAll="0" defaultSubtotal="0">
      <items count="10">
        <item x="2"/>
        <item x="6"/>
        <item x="3"/>
        <item x="1"/>
        <item x="0"/>
        <item x="9"/>
        <item x="5"/>
        <item x="8"/>
        <item x="4"/>
        <item x="7"/>
      </items>
    </pivotField>
    <pivotField showAll="0" defaultSubtotal="0"/>
    <pivotField showAll="0" defaultSubtotal="0"/>
    <pivotField axis="axisRow" dataField="1" showAll="0" sortType="ascending" defaultSubtotal="0">
      <items count="9">
        <item x="7"/>
        <item x="4"/>
        <item x="3"/>
        <item x="1"/>
        <item x="8"/>
        <item x="0"/>
        <item x="5"/>
        <item x="6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9">
    <i>
      <x v="4"/>
    </i>
    <i>
      <x/>
    </i>
    <i>
      <x v="5"/>
    </i>
    <i>
      <x v="2"/>
    </i>
    <i>
      <x v="6"/>
    </i>
    <i>
      <x v="1"/>
    </i>
    <i>
      <x v="7"/>
    </i>
    <i>
      <x v="3"/>
    </i>
    <i>
      <x v="8"/>
    </i>
  </rowItems>
  <colItems count="1">
    <i/>
  </colItems>
  <dataFields count="1">
    <dataField name="Contagem de Tipo Acident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D08F08-9C67-48B5-904A-44AF687F60E8}" name="Tabela dinâmica2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7">
  <location ref="E3:G8" firstHeaderRow="1" firstDataRow="2" firstDataCol="1"/>
  <pivotFields count="9">
    <pivotField dataField="1" showAll="0" defaultSubtotal="0"/>
    <pivotField axis="axisRow" numFmtId="14" showAll="0" defaultSubtotal="0">
      <items count="10">
        <item x="2"/>
        <item x="6"/>
        <item x="3"/>
        <item x="1"/>
        <item x="0"/>
        <item x="9"/>
        <item x="5"/>
        <item x="8"/>
        <item x="4"/>
        <item x="7"/>
      </items>
    </pivotField>
    <pivotField showAll="0" defaultSubtotal="0"/>
    <pivotField showAll="0" defaultSubtotal="0"/>
    <pivotField showAll="0" defaultSubtotal="0"/>
    <pivotField axis="axisCol" showAll="0" defaultSubtotal="0">
      <items count="2">
        <item x="1"/>
        <item x="0"/>
      </items>
    </pivotField>
    <pivotField showAll="0" defaultSubtota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8"/>
    <field x="7"/>
    <field x="1"/>
  </rowFields>
  <rowItems count="4">
    <i>
      <x v="9"/>
    </i>
    <i>
      <x v="10"/>
    </i>
    <i>
      <x v="11"/>
    </i>
    <i>
      <x v="12"/>
    </i>
  </rowItems>
  <colFields count="1">
    <field x="5"/>
  </colFields>
  <colItems count="2">
    <i>
      <x/>
    </i>
    <i>
      <x v="1"/>
    </i>
  </colItems>
  <dataFields count="1">
    <dataField name="Contagem de Nº" fld="0" subtotal="count" baseField="8" baseItem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B2AAC0-9EBA-4FD6-BDCD-54422058BD06}" name="Tabela1" displayName="Tabela1" ref="B5:E15" totalsRowShown="0" headerRowDxfId="20" dataDxfId="19">
  <tableColumns count="4">
    <tableColumn id="1" xr3:uid="{E780914D-4674-43B7-9FDD-1DC164DC45F3}" name="Nº" dataDxfId="18"/>
    <tableColumn id="2" xr3:uid="{02B23630-D04D-45D3-94FF-080B9905E4DB}" name="Fornecedor" dataDxfId="17"/>
    <tableColumn id="3" xr3:uid="{648FD112-DF61-4038-8973-D24E7845DDB6}" name="Telefone" dataDxfId="16"/>
    <tableColumn id="4" xr3:uid="{F218D0B6-1239-48AA-A9CA-233D87577C71}" name="E-mail" dataDxfId="15"/>
  </tableColumns>
  <tableStyleInfo name="Estilo de Tabela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5B99A5-A66B-44E4-B6B1-997885139EAE}" name="Tabela3" displayName="Tabela3" ref="G5:H15" totalsRowShown="0" headerRowDxfId="14">
  <autoFilter ref="G5:H15" xr:uid="{B15B99A5-A66B-44E4-B6B1-997885139EAE}"/>
  <tableColumns count="2">
    <tableColumn id="1" xr3:uid="{67E399EC-37BF-428B-B123-778E66436193}" name="Nº" dataDxfId="13"/>
    <tableColumn id="2" xr3:uid="{5C491808-70C3-4494-B212-5E14D1832E82}" name="Justificativa Diferença" dataDxfId="12"/>
  </tableColumns>
  <tableStyleInfo name="Estilo de Tabela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404107-02C7-4679-AB09-D5200DF9E6BE}" name="Tabela13" displayName="Tabela13" ref="B5:K15" totalsRowShown="0" headerRowDxfId="11" dataDxfId="10">
  <tableColumns count="10">
    <tableColumn id="1" xr3:uid="{4BEE3513-E969-47AA-8B9D-37C3CA943391}" name="Nº" dataDxfId="9"/>
    <tableColumn id="2" xr3:uid="{6E376F95-90A6-4119-9EED-DDB60866F414}" name="Tipo" dataDxfId="8"/>
    <tableColumn id="3" xr3:uid="{129B3AFC-CFC3-47B5-8EA7-C26380F996FB}" name="Descrição" dataDxfId="7"/>
    <tableColumn id="10" xr3:uid="{209D8A87-6FB7-4BFA-A958-58BF88337A57}" name="Data" dataDxfId="6"/>
    <tableColumn id="4" xr3:uid="{BCCE0F09-7FD2-472B-A31C-81E20A8081D9}" name="Fornecedor" dataDxfId="5"/>
    <tableColumn id="5" xr3:uid="{0397D46D-6B9B-4959-BFE3-AB311A3493C4}" name="Forma de Pagamento" dataDxfId="4"/>
    <tableColumn id="6" xr3:uid="{AD5F79BA-B0AC-4213-8ACE-E0AE1A0206B2}" name="Valor Original" dataDxfId="3"/>
    <tableColumn id="7" xr3:uid="{EE64C116-22E5-4F7F-89A8-F7260CBCC4C5}" name="Valor Pago" dataDxfId="2"/>
    <tableColumn id="9" xr3:uid="{E651A040-6FE3-43F7-80DE-BD7C9E30C70E}" name="Juros e/ou Multas Pago" dataDxfId="1"/>
    <tableColumn id="8" xr3:uid="{1FDA6E9A-3CCF-493A-B21E-7D9956FE03B1}" name="Justificativa Diferença" dataDxfId="0"/>
  </tableColumns>
  <tableStyleInfo name="Estilo de Tabela 1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a" xr10:uid="{D73F427C-54EC-4AF1-96F2-0631F2731369}" sourceName="Data">
  <pivotTables>
    <pivotTable tabId="19" name="Tabela dinâmica1"/>
    <pivotTable tabId="19" name="Tabela dinâmica2"/>
    <pivotTable tabId="19" name="Tabela dinâmica3"/>
    <pivotTable tabId="19" name="Tabela dinâmica4"/>
    <pivotTable tabId="19" name="Tabela dinâmica5"/>
  </pivotTables>
  <state minimalRefreshVersion="6" lastRefreshVersion="6" pivotCacheId="804796946" filterType="dateBetween">
    <selection startDate="2023-01-01T00:00:00" endDate="2023-12-31T00:00:00"/>
    <bounds startDate="2023-01-01T00:00:00" endDate="2024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" xr10:uid="{AC1401BF-FCE8-4C16-AC92-C6968D5929AA}" cache="NativeTimeline_Data" caption="Data" showHeader="0" showSelectionLabel="0" showTimeLevel="0" showHorizontalScrollbar="0" level="2" selectionLevel="0" scrollPosition="2023-01-01T00:00:00" style="Estilo de Linha do Tempo 1"/>
</timeline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hyperlink" Target="mailto:LuminosaPe&#231;as@email.com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FishLubrificantes@email.com" TargetMode="External"/><Relationship Id="rId1" Type="http://schemas.openxmlformats.org/officeDocument/2006/relationships/hyperlink" Target="mailto:OsterLubrificantes@email.com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mailto:Ti&#227;oFerragens@email.com" TargetMode="External"/><Relationship Id="rId4" Type="http://schemas.openxmlformats.org/officeDocument/2006/relationships/hyperlink" Target="mailto:BravexPneus@e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D98B6-EF2A-4689-9FE8-569ADBB14116}">
  <dimension ref="A1:S115"/>
  <sheetViews>
    <sheetView showGridLines="0" showRowColHeaders="0" topLeftCell="A3" zoomScale="105" zoomScaleNormal="105" workbookViewId="0"/>
  </sheetViews>
  <sheetFormatPr defaultColWidth="0" defaultRowHeight="14.4" x14ac:dyDescent="0.3"/>
  <cols>
    <col min="1" max="1" width="2.77734375" customWidth="1"/>
    <col min="2" max="2" width="4.6640625" customWidth="1"/>
    <col min="3" max="3" width="31.6640625" customWidth="1"/>
    <col min="4" max="4" width="20.77734375" customWidth="1"/>
    <col min="5" max="5" width="37.109375" customWidth="1"/>
    <col min="6" max="6" width="23" customWidth="1"/>
    <col min="7" max="7" width="7.88671875" customWidth="1"/>
    <col min="8" max="8" width="31.21875" customWidth="1"/>
    <col min="9" max="9" width="30.6640625" customWidth="1"/>
    <col min="10" max="10" width="2.77734375" customWidth="1"/>
    <col min="11" max="12" width="8.88671875" hidden="1" customWidth="1"/>
    <col min="13" max="19" width="0" hidden="1" customWidth="1"/>
    <col min="20" max="16384" width="8.88671875" hidden="1"/>
  </cols>
  <sheetData>
    <row r="1" spans="1:10" ht="0.15" customHeight="1" x14ac:dyDescent="0.3"/>
    <row r="2" spans="1:10" ht="0.15" customHeight="1" x14ac:dyDescent="0.3"/>
    <row r="3" spans="1:10" ht="63" customHeight="1" x14ac:dyDescent="0.75">
      <c r="A3" s="7"/>
      <c r="B3" s="19"/>
      <c r="C3" s="19"/>
      <c r="D3" s="19"/>
      <c r="E3" s="19"/>
      <c r="F3" s="19"/>
      <c r="G3" s="19"/>
      <c r="H3" s="19"/>
      <c r="I3" s="19"/>
      <c r="J3" s="7"/>
    </row>
    <row r="4" spans="1:10" ht="12" customHeight="1" x14ac:dyDescent="0.3">
      <c r="A4" s="9"/>
      <c r="B4" s="9"/>
      <c r="C4" s="9"/>
      <c r="D4" s="9"/>
      <c r="E4" s="9"/>
      <c r="F4" s="9"/>
      <c r="G4" s="9"/>
      <c r="H4" s="9"/>
      <c r="I4" s="9"/>
      <c r="J4" s="9"/>
    </row>
    <row r="5" spans="1:10" ht="45" customHeight="1" x14ac:dyDescent="0.3">
      <c r="A5" s="9"/>
      <c r="B5" s="8" t="s">
        <v>0</v>
      </c>
      <c r="C5" s="8" t="s">
        <v>25</v>
      </c>
      <c r="D5" s="8" t="s">
        <v>1</v>
      </c>
      <c r="E5" s="8" t="s">
        <v>47</v>
      </c>
      <c r="F5" s="9"/>
      <c r="G5" s="8" t="s">
        <v>0</v>
      </c>
      <c r="H5" s="8" t="s">
        <v>30</v>
      </c>
      <c r="I5" s="9"/>
      <c r="J5" s="9"/>
    </row>
    <row r="6" spans="1:10" ht="30" customHeight="1" x14ac:dyDescent="0.3">
      <c r="A6" s="9"/>
      <c r="B6" s="1">
        <v>1</v>
      </c>
      <c r="C6" s="1" t="s">
        <v>55</v>
      </c>
      <c r="D6" s="3">
        <v>11123456789</v>
      </c>
      <c r="E6" s="15" t="s">
        <v>64</v>
      </c>
      <c r="F6" s="9"/>
      <c r="G6" s="13">
        <v>1</v>
      </c>
      <c r="H6" s="1" t="s">
        <v>48</v>
      </c>
      <c r="I6" s="9"/>
      <c r="J6" s="9"/>
    </row>
    <row r="7" spans="1:10" ht="30" customHeight="1" x14ac:dyDescent="0.3">
      <c r="A7" s="9"/>
      <c r="B7" s="1">
        <v>2</v>
      </c>
      <c r="C7" s="1" t="s">
        <v>54</v>
      </c>
      <c r="D7" s="3">
        <v>21369852147</v>
      </c>
      <c r="E7" s="15" t="s">
        <v>65</v>
      </c>
      <c r="F7" s="9"/>
      <c r="G7" s="13">
        <v>2</v>
      </c>
      <c r="H7" s="1" t="s">
        <v>49</v>
      </c>
      <c r="I7" s="9"/>
      <c r="J7" s="9"/>
    </row>
    <row r="8" spans="1:10" ht="30" customHeight="1" x14ac:dyDescent="0.3">
      <c r="A8" s="9"/>
      <c r="B8" s="1">
        <v>3</v>
      </c>
      <c r="C8" s="1" t="s">
        <v>56</v>
      </c>
      <c r="D8" s="3">
        <v>31452369871</v>
      </c>
      <c r="E8" s="15" t="s">
        <v>66</v>
      </c>
      <c r="F8" s="9"/>
      <c r="G8" s="13">
        <v>3</v>
      </c>
      <c r="H8" s="1" t="s">
        <v>50</v>
      </c>
      <c r="I8" s="9"/>
      <c r="J8" s="9"/>
    </row>
    <row r="9" spans="1:10" ht="30" customHeight="1" x14ac:dyDescent="0.3">
      <c r="A9" s="9"/>
      <c r="B9" s="1">
        <v>4</v>
      </c>
      <c r="C9" s="1" t="s">
        <v>57</v>
      </c>
      <c r="D9" s="3">
        <v>62321478965</v>
      </c>
      <c r="E9" s="14" t="s">
        <v>69</v>
      </c>
      <c r="F9" s="9"/>
      <c r="G9" s="13">
        <v>4</v>
      </c>
      <c r="H9" s="1" t="s">
        <v>51</v>
      </c>
      <c r="I9" s="9"/>
      <c r="J9" s="9"/>
    </row>
    <row r="10" spans="1:10" ht="30" customHeight="1" x14ac:dyDescent="0.3">
      <c r="A10" s="9"/>
      <c r="B10" s="1">
        <v>5</v>
      </c>
      <c r="C10" s="1" t="s">
        <v>58</v>
      </c>
      <c r="D10" s="3">
        <v>52974632581</v>
      </c>
      <c r="E10" s="14" t="s">
        <v>70</v>
      </c>
      <c r="F10" s="9"/>
      <c r="G10" s="13">
        <v>5</v>
      </c>
      <c r="H10" s="1" t="s">
        <v>52</v>
      </c>
      <c r="I10" s="9"/>
      <c r="J10" s="9"/>
    </row>
    <row r="11" spans="1:10" ht="30" customHeight="1" x14ac:dyDescent="0.3">
      <c r="A11" s="9"/>
      <c r="B11" s="1">
        <v>6</v>
      </c>
      <c r="C11" s="1" t="s">
        <v>59</v>
      </c>
      <c r="D11" s="3">
        <v>24963258741</v>
      </c>
      <c r="E11" s="14" t="s">
        <v>71</v>
      </c>
      <c r="F11" s="9"/>
      <c r="G11" s="13">
        <v>6</v>
      </c>
      <c r="H11" s="1" t="s">
        <v>53</v>
      </c>
      <c r="I11" s="9"/>
      <c r="J11" s="9"/>
    </row>
    <row r="12" spans="1:10" ht="30" customHeight="1" x14ac:dyDescent="0.3">
      <c r="A12" s="9"/>
      <c r="B12" s="1">
        <v>7</v>
      </c>
      <c r="C12" s="1" t="s">
        <v>60</v>
      </c>
      <c r="D12" s="3">
        <v>68147852369</v>
      </c>
      <c r="E12" s="14" t="s">
        <v>67</v>
      </c>
      <c r="F12" s="9"/>
      <c r="G12" s="9"/>
      <c r="H12" s="9"/>
      <c r="I12" s="9"/>
      <c r="J12" s="9"/>
    </row>
    <row r="13" spans="1:10" ht="30" customHeight="1" x14ac:dyDescent="0.3">
      <c r="A13" s="9"/>
      <c r="B13" s="1">
        <v>8</v>
      </c>
      <c r="C13" s="1" t="s">
        <v>61</v>
      </c>
      <c r="D13" s="3">
        <v>45654789321</v>
      </c>
      <c r="E13" s="14" t="s">
        <v>72</v>
      </c>
      <c r="F13" s="9"/>
      <c r="G13" s="9"/>
      <c r="H13" s="9"/>
      <c r="I13" s="9"/>
      <c r="J13" s="9"/>
    </row>
    <row r="14" spans="1:10" ht="30" customHeight="1" x14ac:dyDescent="0.3">
      <c r="A14" s="9"/>
      <c r="B14" s="1">
        <v>9</v>
      </c>
      <c r="C14" s="1" t="s">
        <v>62</v>
      </c>
      <c r="D14" s="3">
        <v>33258641937</v>
      </c>
      <c r="E14" s="15" t="s">
        <v>68</v>
      </c>
      <c r="F14" s="9"/>
      <c r="G14" s="9"/>
      <c r="H14" s="9"/>
      <c r="I14" s="9"/>
      <c r="J14" s="9"/>
    </row>
    <row r="15" spans="1:10" ht="30" customHeight="1" x14ac:dyDescent="0.3">
      <c r="A15" s="9"/>
      <c r="B15" s="1">
        <v>10</v>
      </c>
      <c r="C15" s="1" t="s">
        <v>63</v>
      </c>
      <c r="D15" s="3">
        <v>49197368245</v>
      </c>
      <c r="E15" s="14" t="s">
        <v>73</v>
      </c>
      <c r="F15" s="9"/>
      <c r="G15" s="9"/>
      <c r="H15" s="9"/>
      <c r="I15" s="9"/>
      <c r="J15" s="9"/>
    </row>
    <row r="16" spans="1:10" ht="30" customHeight="1" x14ac:dyDescent="0.3">
      <c r="A16" s="9"/>
      <c r="B16" s="9"/>
      <c r="C16" s="9"/>
      <c r="D16" s="9"/>
      <c r="E16" s="9"/>
      <c r="F16" s="9"/>
      <c r="G16" s="10"/>
      <c r="H16" s="9"/>
      <c r="I16" s="9"/>
      <c r="J16" s="9"/>
    </row>
    <row r="17" spans="1:10" ht="30" customHeight="1" x14ac:dyDescent="0.3">
      <c r="A17" s="9"/>
      <c r="B17" s="9"/>
      <c r="C17" s="9"/>
      <c r="D17" s="9"/>
      <c r="E17" s="9"/>
      <c r="F17" s="9"/>
      <c r="G17" s="10"/>
      <c r="H17" s="9"/>
      <c r="I17" s="9"/>
      <c r="J17" s="9"/>
    </row>
    <row r="18" spans="1:10" ht="30" customHeight="1" x14ac:dyDescent="0.3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spans="1:10" ht="30" customHeight="1" x14ac:dyDescent="0.3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0" ht="30" customHeight="1" x14ac:dyDescent="0.3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0" ht="30" customHeight="1" x14ac:dyDescent="0.3">
      <c r="A21" s="9"/>
      <c r="B21" s="9"/>
      <c r="C21" s="9"/>
      <c r="D21" s="9"/>
      <c r="E21" s="9"/>
      <c r="F21" s="9"/>
      <c r="G21" s="9"/>
      <c r="H21" s="9"/>
      <c r="I21" s="9"/>
      <c r="J21" s="9"/>
    </row>
    <row r="22" spans="1:10" ht="30" customHeight="1" x14ac:dyDescent="0.3">
      <c r="A22" s="9"/>
      <c r="B22" s="9"/>
      <c r="C22" s="9"/>
      <c r="D22" s="9"/>
      <c r="E22" s="9"/>
      <c r="F22" s="9"/>
      <c r="G22" s="9"/>
      <c r="H22" s="9"/>
      <c r="I22" s="9"/>
      <c r="J22" s="9"/>
    </row>
    <row r="23" spans="1:10" ht="30" customHeight="1" x14ac:dyDescent="0.3">
      <c r="A23" s="9"/>
      <c r="B23" s="9"/>
      <c r="C23" s="9"/>
      <c r="D23" s="9"/>
      <c r="E23" s="9"/>
      <c r="F23" s="9"/>
      <c r="G23" s="9"/>
      <c r="H23" s="9"/>
      <c r="I23" s="9"/>
      <c r="J23" s="9"/>
    </row>
    <row r="24" spans="1:10" ht="30" customHeight="1" x14ac:dyDescent="0.3">
      <c r="A24" s="9"/>
      <c r="B24" s="9"/>
      <c r="C24" s="9"/>
      <c r="D24" s="9"/>
      <c r="E24" s="9"/>
      <c r="F24" s="9"/>
      <c r="G24" s="9"/>
      <c r="H24" s="9"/>
      <c r="I24" s="9"/>
      <c r="J24" s="9"/>
    </row>
    <row r="25" spans="1:10" ht="30" customHeight="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</row>
    <row r="26" spans="1:10" ht="30" customHeight="1" x14ac:dyDescent="0.3">
      <c r="A26" s="9"/>
      <c r="B26" s="9"/>
      <c r="C26" s="9"/>
      <c r="D26" s="9"/>
      <c r="E26" s="9"/>
      <c r="F26" s="9"/>
      <c r="G26" s="9"/>
      <c r="H26" s="9"/>
      <c r="I26" s="9"/>
      <c r="J26" s="9"/>
    </row>
    <row r="27" spans="1:10" ht="30" customHeight="1" x14ac:dyDescent="0.3">
      <c r="A27" s="9"/>
      <c r="B27" s="9"/>
      <c r="C27" s="9"/>
      <c r="D27" s="9"/>
      <c r="E27" s="9"/>
      <c r="F27" s="9"/>
      <c r="G27" s="9"/>
      <c r="H27" s="9"/>
      <c r="I27" s="9"/>
      <c r="J27" s="9"/>
    </row>
    <row r="28" spans="1:10" ht="30" customHeight="1" x14ac:dyDescent="0.3">
      <c r="A28" s="9"/>
      <c r="B28" s="9"/>
      <c r="C28" s="9"/>
      <c r="D28" s="9"/>
      <c r="E28" s="9"/>
      <c r="F28" s="9"/>
      <c r="G28" s="9"/>
      <c r="H28" s="9"/>
      <c r="I28" s="9"/>
      <c r="J28" s="9"/>
    </row>
    <row r="29" spans="1:10" ht="30" customHeight="1" x14ac:dyDescent="0.3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spans="1:10" ht="30" customHeight="1" x14ac:dyDescent="0.3">
      <c r="A30" s="9"/>
      <c r="B30" s="9"/>
      <c r="C30" s="9"/>
      <c r="D30" s="9"/>
      <c r="E30" s="9"/>
      <c r="F30" s="9"/>
      <c r="G30" s="9"/>
      <c r="H30" s="9"/>
      <c r="I30" s="9"/>
      <c r="J30" s="9"/>
    </row>
    <row r="31" spans="1:10" ht="30" customHeight="1" x14ac:dyDescent="0.3">
      <c r="A31" s="9"/>
      <c r="B31" s="9"/>
      <c r="C31" s="9"/>
      <c r="D31" s="9"/>
      <c r="E31" s="9"/>
      <c r="F31" s="9"/>
      <c r="G31" s="9"/>
      <c r="H31" s="9"/>
      <c r="I31" s="9"/>
      <c r="J31" s="9"/>
    </row>
    <row r="32" spans="1:10" ht="30" customHeight="1" x14ac:dyDescent="0.3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spans="1:10" ht="30" customHeight="1" x14ac:dyDescent="0.3">
      <c r="A33" s="9"/>
      <c r="B33" s="9"/>
      <c r="C33" s="9"/>
      <c r="D33" s="9"/>
      <c r="E33" s="9"/>
      <c r="F33" s="9"/>
      <c r="G33" s="9"/>
      <c r="H33" s="9"/>
      <c r="I33" s="9"/>
      <c r="J33" s="9"/>
    </row>
    <row r="34" spans="1:10" ht="30" customHeight="1" x14ac:dyDescent="0.3">
      <c r="A34" s="9"/>
      <c r="B34" s="9"/>
      <c r="C34" s="9"/>
      <c r="D34" s="9"/>
      <c r="E34" s="9"/>
      <c r="F34" s="9"/>
      <c r="G34" s="9"/>
      <c r="H34" s="9"/>
      <c r="I34" s="9"/>
      <c r="J34" s="9"/>
    </row>
    <row r="35" spans="1:10" ht="30" customHeight="1" x14ac:dyDescent="0.3">
      <c r="A35" s="9"/>
      <c r="B35" s="9"/>
      <c r="C35" s="9"/>
      <c r="D35" s="9"/>
      <c r="E35" s="9"/>
      <c r="F35" s="9"/>
      <c r="G35" s="9"/>
      <c r="H35" s="9"/>
      <c r="I35" s="9"/>
      <c r="J35" s="9"/>
    </row>
    <row r="36" spans="1:10" ht="30" customHeight="1" x14ac:dyDescent="0.3">
      <c r="A36" s="9"/>
      <c r="B36" s="9"/>
      <c r="C36" s="9"/>
      <c r="D36" s="9"/>
      <c r="E36" s="9"/>
      <c r="F36" s="9"/>
      <c r="G36" s="9"/>
      <c r="H36" s="9"/>
      <c r="I36" s="9"/>
      <c r="J36" s="9"/>
    </row>
    <row r="37" spans="1:10" ht="30" customHeight="1" x14ac:dyDescent="0.3">
      <c r="A37" s="9"/>
      <c r="B37" s="9"/>
      <c r="C37" s="9"/>
      <c r="D37" s="9"/>
      <c r="E37" s="9"/>
      <c r="F37" s="9"/>
      <c r="G37" s="9"/>
      <c r="H37" s="9"/>
      <c r="I37" s="9"/>
      <c r="J37" s="9"/>
    </row>
    <row r="38" spans="1:10" ht="30" customHeight="1" x14ac:dyDescent="0.3">
      <c r="A38" s="9"/>
      <c r="B38" s="9"/>
      <c r="C38" s="9"/>
      <c r="D38" s="9"/>
      <c r="E38" s="9"/>
      <c r="F38" s="9"/>
      <c r="G38" s="9"/>
      <c r="H38" s="9"/>
      <c r="I38" s="9"/>
      <c r="J38" s="9"/>
    </row>
    <row r="39" spans="1:10" ht="30" customHeight="1" x14ac:dyDescent="0.3">
      <c r="A39" s="9"/>
      <c r="B39" s="9"/>
      <c r="C39" s="9"/>
      <c r="D39" s="9"/>
      <c r="E39" s="9"/>
      <c r="F39" s="9"/>
      <c r="G39" s="9"/>
      <c r="H39" s="9"/>
      <c r="I39" s="9"/>
      <c r="J39" s="9"/>
    </row>
    <row r="40" spans="1:10" ht="30" customHeight="1" x14ac:dyDescent="0.3">
      <c r="A40" s="9"/>
      <c r="B40" s="9"/>
      <c r="C40" s="9"/>
      <c r="D40" s="9"/>
      <c r="E40" s="9"/>
      <c r="F40" s="9"/>
      <c r="G40" s="9"/>
      <c r="H40" s="9"/>
      <c r="I40" s="9"/>
      <c r="J40" s="9"/>
    </row>
    <row r="41" spans="1:10" ht="30" customHeight="1" x14ac:dyDescent="0.3">
      <c r="A41" s="9"/>
      <c r="B41" s="9"/>
      <c r="C41" s="9"/>
      <c r="D41" s="9"/>
      <c r="E41" s="9"/>
      <c r="F41" s="9"/>
      <c r="G41" s="9"/>
      <c r="H41" s="9"/>
      <c r="I41" s="9"/>
      <c r="J41" s="9"/>
    </row>
    <row r="42" spans="1:10" ht="30" customHeight="1" x14ac:dyDescent="0.3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spans="1:10" ht="30" customHeight="1" x14ac:dyDescent="0.3">
      <c r="A43" s="9"/>
      <c r="B43" s="9"/>
      <c r="C43" s="9"/>
      <c r="D43" s="9"/>
      <c r="E43" s="9"/>
      <c r="F43" s="9"/>
      <c r="G43" s="9"/>
      <c r="H43" s="9"/>
      <c r="I43" s="9"/>
      <c r="J43" s="9"/>
    </row>
    <row r="44" spans="1:10" ht="30" customHeight="1" x14ac:dyDescent="0.3">
      <c r="A44" s="9"/>
      <c r="B44" s="9"/>
      <c r="C44" s="9"/>
      <c r="D44" s="9"/>
      <c r="E44" s="9"/>
      <c r="F44" s="9"/>
      <c r="G44" s="9"/>
      <c r="H44" s="9"/>
      <c r="I44" s="9"/>
      <c r="J44" s="9"/>
    </row>
    <row r="45" spans="1:10" ht="30" customHeight="1" x14ac:dyDescent="0.3">
      <c r="A45" s="9"/>
      <c r="B45" s="9"/>
      <c r="C45" s="9"/>
      <c r="D45" s="9"/>
      <c r="E45" s="9"/>
      <c r="F45" s="9"/>
      <c r="G45" s="9"/>
      <c r="H45" s="9"/>
      <c r="I45" s="9"/>
      <c r="J45" s="9"/>
    </row>
    <row r="46" spans="1:10" ht="30" customHeight="1" x14ac:dyDescent="0.3">
      <c r="A46" s="9"/>
      <c r="B46" s="9"/>
      <c r="C46" s="9"/>
      <c r="D46" s="9"/>
      <c r="E46" s="9"/>
      <c r="F46" s="9"/>
      <c r="G46" s="9"/>
      <c r="H46" s="9"/>
      <c r="I46" s="9"/>
      <c r="J46" s="9"/>
    </row>
    <row r="47" spans="1:10" ht="30" customHeight="1" x14ac:dyDescent="0.3">
      <c r="A47" s="9"/>
      <c r="B47" s="9"/>
      <c r="C47" s="9"/>
      <c r="D47" s="9"/>
      <c r="E47" s="9"/>
      <c r="F47" s="9"/>
      <c r="G47" s="9"/>
      <c r="H47" s="9"/>
      <c r="I47" s="9"/>
      <c r="J47" s="9"/>
    </row>
    <row r="48" spans="1:10" ht="30" customHeight="1" x14ac:dyDescent="0.3">
      <c r="A48" s="9"/>
      <c r="B48" s="9"/>
      <c r="C48" s="9"/>
      <c r="D48" s="9"/>
      <c r="E48" s="9"/>
      <c r="F48" s="9"/>
      <c r="G48" s="9"/>
      <c r="H48" s="9"/>
      <c r="I48" s="9"/>
      <c r="J48" s="9"/>
    </row>
    <row r="49" spans="1:10" ht="30" customHeight="1" x14ac:dyDescent="0.3">
      <c r="A49" s="9"/>
      <c r="B49" s="9"/>
      <c r="C49" s="9"/>
      <c r="D49" s="9"/>
      <c r="E49" s="9"/>
      <c r="F49" s="9"/>
      <c r="G49" s="9"/>
      <c r="H49" s="9"/>
      <c r="I49" s="9"/>
      <c r="J49" s="9"/>
    </row>
    <row r="50" spans="1:10" ht="30" customHeight="1" x14ac:dyDescent="0.3">
      <c r="A50" s="9"/>
      <c r="B50" s="9"/>
      <c r="C50" s="9"/>
      <c r="D50" s="9"/>
      <c r="E50" s="9"/>
      <c r="F50" s="9"/>
      <c r="G50" s="9"/>
      <c r="H50" s="9"/>
      <c r="I50" s="9"/>
      <c r="J50" s="9"/>
    </row>
    <row r="51" spans="1:10" ht="30" customHeight="1" x14ac:dyDescent="0.3">
      <c r="A51" s="9"/>
      <c r="B51" s="9"/>
      <c r="C51" s="9"/>
      <c r="D51" s="9"/>
      <c r="E51" s="9"/>
      <c r="F51" s="9"/>
      <c r="G51" s="9"/>
      <c r="H51" s="9"/>
      <c r="I51" s="9"/>
      <c r="J51" s="9"/>
    </row>
    <row r="52" spans="1:10" ht="30" customHeight="1" x14ac:dyDescent="0.3">
      <c r="A52" s="9"/>
      <c r="B52" s="9"/>
      <c r="C52" s="9"/>
      <c r="D52" s="9"/>
      <c r="E52" s="9"/>
      <c r="F52" s="9"/>
      <c r="G52" s="9"/>
      <c r="H52" s="9"/>
      <c r="I52" s="9"/>
      <c r="J52" s="9"/>
    </row>
    <row r="53" spans="1:10" ht="30" customHeight="1" x14ac:dyDescent="0.3">
      <c r="A53" s="9"/>
      <c r="B53" s="9"/>
      <c r="C53" s="9"/>
      <c r="D53" s="9"/>
      <c r="E53" s="9"/>
      <c r="F53" s="9"/>
      <c r="G53" s="9"/>
      <c r="H53" s="9"/>
      <c r="I53" s="9"/>
      <c r="J53" s="9"/>
    </row>
    <row r="54" spans="1:10" ht="30" customHeight="1" x14ac:dyDescent="0.3">
      <c r="A54" s="9"/>
      <c r="B54" s="9"/>
      <c r="C54" s="9"/>
      <c r="D54" s="9"/>
      <c r="E54" s="9"/>
      <c r="F54" s="9"/>
      <c r="G54" s="9"/>
      <c r="H54" s="9"/>
      <c r="I54" s="9"/>
      <c r="J54" s="9"/>
    </row>
    <row r="55" spans="1:10" ht="30" customHeight="1" x14ac:dyDescent="0.3">
      <c r="A55" s="9"/>
      <c r="B55" s="9"/>
      <c r="C55" s="9"/>
      <c r="D55" s="9"/>
      <c r="E55" s="9"/>
      <c r="F55" s="9"/>
      <c r="G55" s="9"/>
      <c r="H55" s="9"/>
      <c r="I55" s="9"/>
      <c r="J55" s="9"/>
    </row>
    <row r="56" spans="1:10" ht="30" customHeight="1" x14ac:dyDescent="0.3">
      <c r="A56" s="9"/>
      <c r="B56" s="9"/>
      <c r="C56" s="9"/>
      <c r="D56" s="9"/>
      <c r="E56" s="9"/>
      <c r="F56" s="9"/>
      <c r="G56" s="9"/>
      <c r="H56" s="9"/>
      <c r="I56" s="9"/>
      <c r="J56" s="9"/>
    </row>
    <row r="57" spans="1:10" ht="30" customHeight="1" x14ac:dyDescent="0.3">
      <c r="A57" s="9"/>
      <c r="B57" s="9"/>
      <c r="C57" s="9"/>
      <c r="D57" s="9"/>
      <c r="E57" s="9"/>
      <c r="F57" s="9"/>
      <c r="G57" s="9"/>
      <c r="H57" s="9"/>
      <c r="I57" s="9"/>
      <c r="J57" s="9"/>
    </row>
    <row r="58" spans="1:10" ht="30" customHeight="1" x14ac:dyDescent="0.3">
      <c r="A58" s="9"/>
      <c r="B58" s="9"/>
      <c r="C58" s="9"/>
      <c r="D58" s="9"/>
      <c r="E58" s="9"/>
      <c r="F58" s="9"/>
      <c r="G58" s="9"/>
      <c r="H58" s="9"/>
      <c r="I58" s="9"/>
      <c r="J58" s="9"/>
    </row>
    <row r="59" spans="1:10" ht="30" customHeight="1" x14ac:dyDescent="0.3">
      <c r="A59" s="9"/>
      <c r="B59" s="9"/>
      <c r="C59" s="9"/>
      <c r="D59" s="9"/>
      <c r="E59" s="9"/>
      <c r="F59" s="9"/>
      <c r="G59" s="9"/>
      <c r="H59" s="9"/>
      <c r="I59" s="9"/>
      <c r="J59" s="9"/>
    </row>
    <row r="60" spans="1:10" ht="30" customHeight="1" x14ac:dyDescent="0.3">
      <c r="A60" s="9"/>
      <c r="B60" s="9"/>
      <c r="C60" s="9"/>
      <c r="D60" s="9"/>
      <c r="E60" s="9"/>
      <c r="F60" s="9"/>
      <c r="G60" s="9"/>
      <c r="H60" s="9"/>
      <c r="I60" s="9"/>
      <c r="J60" s="9"/>
    </row>
    <row r="61" spans="1:10" ht="30" customHeight="1" x14ac:dyDescent="0.3">
      <c r="A61" s="9"/>
      <c r="B61" s="9"/>
      <c r="C61" s="9"/>
      <c r="D61" s="9"/>
      <c r="E61" s="9"/>
      <c r="F61" s="9"/>
      <c r="G61" s="9"/>
      <c r="H61" s="9"/>
      <c r="I61" s="9"/>
      <c r="J61" s="9"/>
    </row>
    <row r="62" spans="1:10" ht="30" customHeight="1" x14ac:dyDescent="0.3">
      <c r="A62" s="9"/>
      <c r="B62" s="9"/>
      <c r="C62" s="9"/>
      <c r="D62" s="9"/>
      <c r="E62" s="9"/>
      <c r="F62" s="9"/>
      <c r="G62" s="9"/>
      <c r="H62" s="9"/>
      <c r="I62" s="9"/>
      <c r="J62" s="9"/>
    </row>
    <row r="63" spans="1:10" ht="30" customHeight="1" x14ac:dyDescent="0.3">
      <c r="A63" s="9"/>
      <c r="B63" s="9"/>
      <c r="C63" s="9"/>
      <c r="D63" s="9"/>
      <c r="E63" s="9"/>
      <c r="F63" s="9"/>
      <c r="G63" s="9"/>
      <c r="H63" s="9"/>
      <c r="I63" s="9"/>
      <c r="J63" s="9"/>
    </row>
    <row r="64" spans="1:10" ht="30" customHeight="1" x14ac:dyDescent="0.3">
      <c r="A64" s="9"/>
      <c r="B64" s="9"/>
      <c r="C64" s="9"/>
      <c r="D64" s="9"/>
      <c r="E64" s="9"/>
      <c r="F64" s="9"/>
      <c r="G64" s="9"/>
      <c r="H64" s="9"/>
      <c r="I64" s="9"/>
      <c r="J64" s="9"/>
    </row>
    <row r="65" spans="1:10" ht="30" customHeight="1" x14ac:dyDescent="0.3">
      <c r="A65" s="9"/>
      <c r="B65" s="9"/>
      <c r="C65" s="9"/>
      <c r="D65" s="9"/>
      <c r="E65" s="9"/>
      <c r="F65" s="9"/>
      <c r="G65" s="9"/>
      <c r="H65" s="9"/>
      <c r="I65" s="9"/>
      <c r="J65" s="9"/>
    </row>
    <row r="66" spans="1:10" ht="30" customHeight="1" x14ac:dyDescent="0.3">
      <c r="A66" s="9"/>
      <c r="B66" s="9"/>
      <c r="C66" s="9"/>
      <c r="D66" s="9"/>
      <c r="E66" s="9"/>
      <c r="F66" s="9"/>
      <c r="G66" s="9"/>
      <c r="H66" s="9"/>
      <c r="I66" s="9"/>
      <c r="J66" s="9"/>
    </row>
    <row r="67" spans="1:10" ht="30" customHeight="1" x14ac:dyDescent="0.3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spans="1:10" ht="30" customHeight="1" x14ac:dyDescent="0.3">
      <c r="A68" s="9"/>
      <c r="B68" s="9"/>
      <c r="C68" s="9"/>
      <c r="D68" s="9"/>
      <c r="E68" s="9"/>
      <c r="F68" s="9"/>
      <c r="G68" s="9"/>
      <c r="H68" s="9"/>
      <c r="I68" s="9"/>
      <c r="J68" s="9"/>
    </row>
    <row r="69" spans="1:10" ht="30" customHeight="1" x14ac:dyDescent="0.3">
      <c r="A69" s="9"/>
      <c r="B69" s="9"/>
      <c r="C69" s="9"/>
      <c r="D69" s="9"/>
      <c r="E69" s="9"/>
      <c r="F69" s="9"/>
      <c r="G69" s="9"/>
      <c r="H69" s="9"/>
      <c r="I69" s="9"/>
      <c r="J69" s="9"/>
    </row>
    <row r="70" spans="1:10" ht="30" customHeight="1" x14ac:dyDescent="0.3">
      <c r="A70" s="9"/>
      <c r="B70" s="9"/>
      <c r="C70" s="9"/>
      <c r="D70" s="9"/>
      <c r="E70" s="9"/>
      <c r="F70" s="9"/>
      <c r="G70" s="9"/>
      <c r="H70" s="9"/>
      <c r="I70" s="9"/>
      <c r="J70" s="9"/>
    </row>
    <row r="71" spans="1:10" ht="30" customHeight="1" x14ac:dyDescent="0.3">
      <c r="A71" s="9"/>
      <c r="B71" s="9"/>
      <c r="C71" s="9"/>
      <c r="D71" s="9"/>
      <c r="E71" s="9"/>
      <c r="F71" s="9"/>
      <c r="G71" s="9"/>
      <c r="H71" s="9"/>
      <c r="I71" s="9"/>
      <c r="J71" s="9"/>
    </row>
    <row r="72" spans="1:10" ht="30" customHeight="1" x14ac:dyDescent="0.3">
      <c r="A72" s="9"/>
      <c r="B72" s="9"/>
      <c r="C72" s="9"/>
      <c r="D72" s="9"/>
      <c r="E72" s="9"/>
      <c r="F72" s="9"/>
      <c r="G72" s="9"/>
      <c r="H72" s="9"/>
      <c r="I72" s="9"/>
      <c r="J72" s="9"/>
    </row>
    <row r="73" spans="1:10" ht="30" customHeight="1" x14ac:dyDescent="0.3">
      <c r="A73" s="9"/>
      <c r="B73" s="9"/>
      <c r="C73" s="9"/>
      <c r="D73" s="9"/>
      <c r="E73" s="9"/>
      <c r="F73" s="9"/>
      <c r="G73" s="9"/>
      <c r="H73" s="9"/>
      <c r="I73" s="9"/>
      <c r="J73" s="9"/>
    </row>
    <row r="74" spans="1:10" ht="30" customHeight="1" x14ac:dyDescent="0.3">
      <c r="A74" s="9"/>
      <c r="B74" s="9"/>
      <c r="C74" s="9"/>
      <c r="D74" s="9"/>
      <c r="E74" s="9"/>
      <c r="F74" s="9"/>
      <c r="G74" s="9"/>
      <c r="H74" s="9"/>
      <c r="I74" s="9"/>
      <c r="J74" s="9"/>
    </row>
    <row r="75" spans="1:10" ht="30" customHeight="1" x14ac:dyDescent="0.3">
      <c r="A75" s="9"/>
      <c r="B75" s="9"/>
      <c r="C75" s="9"/>
      <c r="D75" s="9"/>
      <c r="E75" s="9"/>
      <c r="F75" s="9"/>
      <c r="G75" s="9"/>
      <c r="H75" s="9"/>
      <c r="I75" s="9"/>
      <c r="J75" s="9"/>
    </row>
    <row r="76" spans="1:10" ht="30" customHeight="1" x14ac:dyDescent="0.3">
      <c r="A76" s="9"/>
      <c r="B76" s="9"/>
      <c r="C76" s="9"/>
      <c r="D76" s="9"/>
      <c r="E76" s="9"/>
      <c r="F76" s="9"/>
      <c r="G76" s="9"/>
      <c r="H76" s="9"/>
      <c r="I76" s="9"/>
      <c r="J76" s="9"/>
    </row>
    <row r="77" spans="1:10" ht="30" customHeight="1" x14ac:dyDescent="0.3">
      <c r="A77" s="9"/>
      <c r="B77" s="9"/>
      <c r="C77" s="9"/>
      <c r="D77" s="9"/>
      <c r="E77" s="9"/>
      <c r="F77" s="9"/>
      <c r="G77" s="9"/>
      <c r="H77" s="9"/>
      <c r="I77" s="9"/>
      <c r="J77" s="9"/>
    </row>
    <row r="78" spans="1:10" ht="30" customHeight="1" x14ac:dyDescent="0.3">
      <c r="A78" s="9"/>
      <c r="B78" s="9"/>
      <c r="C78" s="9"/>
      <c r="D78" s="9"/>
      <c r="E78" s="9"/>
      <c r="F78" s="9"/>
      <c r="G78" s="9"/>
      <c r="H78" s="9"/>
      <c r="I78" s="9"/>
      <c r="J78" s="9"/>
    </row>
    <row r="79" spans="1:10" ht="30" customHeight="1" x14ac:dyDescent="0.3">
      <c r="A79" s="9"/>
      <c r="B79" s="9"/>
      <c r="C79" s="9"/>
      <c r="D79" s="9"/>
      <c r="E79" s="9"/>
      <c r="F79" s="9"/>
      <c r="G79" s="9"/>
      <c r="H79" s="9"/>
      <c r="I79" s="9"/>
      <c r="J79" s="9"/>
    </row>
    <row r="80" spans="1:10" ht="30" customHeight="1" x14ac:dyDescent="0.3">
      <c r="A80" s="9"/>
      <c r="B80" s="9"/>
      <c r="C80" s="9"/>
      <c r="D80" s="9"/>
      <c r="E80" s="9"/>
      <c r="F80" s="9"/>
      <c r="G80" s="9"/>
      <c r="H80" s="9"/>
      <c r="I80" s="9"/>
      <c r="J80" s="9"/>
    </row>
    <row r="81" spans="1:10" ht="30" customHeight="1" x14ac:dyDescent="0.3">
      <c r="A81" s="9"/>
      <c r="B81" s="9"/>
      <c r="C81" s="9"/>
      <c r="D81" s="9"/>
      <c r="E81" s="9"/>
      <c r="F81" s="9"/>
      <c r="G81" s="9"/>
      <c r="H81" s="9"/>
      <c r="I81" s="9"/>
      <c r="J81" s="9"/>
    </row>
    <row r="82" spans="1:10" ht="30" customHeight="1" x14ac:dyDescent="0.3">
      <c r="A82" s="9"/>
      <c r="B82" s="9"/>
      <c r="C82" s="9"/>
      <c r="D82" s="9"/>
      <c r="E82" s="9"/>
      <c r="F82" s="9"/>
      <c r="G82" s="9"/>
      <c r="H82" s="9"/>
      <c r="I82" s="9"/>
      <c r="J82" s="9"/>
    </row>
    <row r="83" spans="1:10" ht="30" customHeight="1" x14ac:dyDescent="0.3">
      <c r="A83" s="9"/>
      <c r="B83" s="9"/>
      <c r="C83" s="9"/>
      <c r="D83" s="9"/>
      <c r="E83" s="9"/>
      <c r="F83" s="9"/>
      <c r="G83" s="9"/>
      <c r="H83" s="9"/>
      <c r="I83" s="9"/>
      <c r="J83" s="9"/>
    </row>
    <row r="84" spans="1:10" ht="30" customHeight="1" x14ac:dyDescent="0.3">
      <c r="A84" s="9"/>
      <c r="B84" s="9"/>
      <c r="C84" s="9"/>
      <c r="D84" s="9"/>
      <c r="E84" s="9"/>
      <c r="F84" s="9"/>
      <c r="G84" s="9"/>
      <c r="H84" s="9"/>
      <c r="I84" s="9"/>
      <c r="J84" s="9"/>
    </row>
    <row r="85" spans="1:10" ht="30" customHeight="1" x14ac:dyDescent="0.3">
      <c r="A85" s="9"/>
      <c r="B85" s="9"/>
      <c r="C85" s="9"/>
      <c r="D85" s="9"/>
      <c r="E85" s="9"/>
      <c r="F85" s="9"/>
      <c r="G85" s="9"/>
      <c r="H85" s="9"/>
      <c r="I85" s="9"/>
      <c r="J85" s="9"/>
    </row>
    <row r="86" spans="1:10" ht="30" customHeight="1" x14ac:dyDescent="0.3">
      <c r="A86" s="9"/>
      <c r="B86" s="9"/>
      <c r="C86" s="9"/>
      <c r="D86" s="9"/>
      <c r="E86" s="9"/>
      <c r="F86" s="9"/>
      <c r="G86" s="9"/>
      <c r="H86" s="9"/>
      <c r="I86" s="9"/>
      <c r="J86" s="9"/>
    </row>
    <row r="87" spans="1:10" ht="30" customHeight="1" x14ac:dyDescent="0.3">
      <c r="A87" s="9"/>
      <c r="B87" s="9"/>
      <c r="C87" s="9"/>
      <c r="D87" s="9"/>
      <c r="E87" s="9"/>
      <c r="F87" s="9"/>
      <c r="G87" s="9"/>
      <c r="H87" s="9"/>
      <c r="I87" s="9"/>
      <c r="J87" s="9"/>
    </row>
    <row r="88" spans="1:10" ht="30" customHeight="1" x14ac:dyDescent="0.3">
      <c r="A88" s="9"/>
      <c r="B88" s="9"/>
      <c r="C88" s="9"/>
      <c r="D88" s="9"/>
      <c r="E88" s="9"/>
      <c r="F88" s="9"/>
      <c r="G88" s="9"/>
      <c r="H88" s="9"/>
      <c r="I88" s="9"/>
      <c r="J88" s="9"/>
    </row>
    <row r="89" spans="1:10" ht="30" customHeight="1" x14ac:dyDescent="0.3">
      <c r="A89" s="9"/>
      <c r="B89" s="9"/>
      <c r="C89" s="9"/>
      <c r="D89" s="9"/>
      <c r="E89" s="9"/>
      <c r="F89" s="9"/>
      <c r="G89" s="9"/>
      <c r="H89" s="9"/>
      <c r="I89" s="9"/>
      <c r="J89" s="9"/>
    </row>
    <row r="90" spans="1:10" ht="30" customHeight="1" x14ac:dyDescent="0.3">
      <c r="A90" s="9"/>
      <c r="B90" s="9"/>
      <c r="C90" s="9"/>
      <c r="D90" s="9"/>
      <c r="E90" s="9"/>
      <c r="F90" s="9"/>
      <c r="G90" s="9"/>
      <c r="H90" s="9"/>
      <c r="I90" s="9"/>
      <c r="J90" s="9"/>
    </row>
    <row r="91" spans="1:10" ht="30" customHeight="1" x14ac:dyDescent="0.3">
      <c r="A91" s="9"/>
      <c r="B91" s="9"/>
      <c r="C91" s="9"/>
      <c r="D91" s="9"/>
      <c r="E91" s="9"/>
      <c r="F91" s="9"/>
      <c r="G91" s="9"/>
      <c r="H91" s="9"/>
      <c r="I91" s="9"/>
      <c r="J91" s="9"/>
    </row>
    <row r="92" spans="1:10" ht="30" customHeight="1" x14ac:dyDescent="0.3">
      <c r="A92" s="9"/>
      <c r="B92" s="9"/>
      <c r="C92" s="9"/>
      <c r="D92" s="9"/>
      <c r="E92" s="9"/>
      <c r="F92" s="9"/>
      <c r="G92" s="9"/>
      <c r="H92" s="9"/>
      <c r="I92" s="9"/>
      <c r="J92" s="9"/>
    </row>
    <row r="93" spans="1:10" ht="30" customHeight="1" x14ac:dyDescent="0.3">
      <c r="A93" s="9"/>
      <c r="B93" s="9"/>
      <c r="C93" s="9"/>
      <c r="D93" s="9"/>
      <c r="E93" s="9"/>
      <c r="F93" s="9"/>
      <c r="G93" s="9"/>
      <c r="H93" s="9"/>
      <c r="I93" s="9"/>
      <c r="J93" s="9"/>
    </row>
    <row r="94" spans="1:10" ht="30" customHeight="1" x14ac:dyDescent="0.3">
      <c r="A94" s="9"/>
      <c r="B94" s="9"/>
      <c r="C94" s="9"/>
      <c r="D94" s="9"/>
      <c r="E94" s="9"/>
      <c r="F94" s="9"/>
      <c r="G94" s="9"/>
      <c r="H94" s="9"/>
      <c r="I94" s="9"/>
      <c r="J94" s="9"/>
    </row>
    <row r="95" spans="1:10" ht="30" customHeight="1" x14ac:dyDescent="0.3">
      <c r="A95" s="9"/>
      <c r="B95" s="9"/>
      <c r="C95" s="9"/>
      <c r="D95" s="9"/>
      <c r="E95" s="9"/>
      <c r="F95" s="9"/>
      <c r="G95" s="9"/>
      <c r="H95" s="9"/>
      <c r="I95" s="9"/>
      <c r="J95" s="9"/>
    </row>
    <row r="96" spans="1:10" ht="30" customHeight="1" x14ac:dyDescent="0.3">
      <c r="A96" s="9"/>
      <c r="B96" s="9"/>
      <c r="C96" s="9"/>
      <c r="D96" s="9"/>
      <c r="E96" s="9"/>
      <c r="F96" s="9"/>
      <c r="G96" s="9"/>
      <c r="H96" s="9"/>
      <c r="I96" s="9"/>
      <c r="J96" s="9"/>
    </row>
    <row r="97" spans="1:10" ht="30" customHeight="1" x14ac:dyDescent="0.3">
      <c r="A97" s="9"/>
      <c r="B97" s="9"/>
      <c r="C97" s="9"/>
      <c r="D97" s="9"/>
      <c r="E97" s="9"/>
      <c r="F97" s="9"/>
      <c r="G97" s="9"/>
      <c r="H97" s="9"/>
      <c r="I97" s="9"/>
      <c r="J97" s="9"/>
    </row>
    <row r="98" spans="1:10" ht="30" customHeight="1" x14ac:dyDescent="0.3">
      <c r="A98" s="9"/>
      <c r="B98" s="9"/>
      <c r="C98" s="9"/>
      <c r="D98" s="9"/>
      <c r="E98" s="9"/>
      <c r="F98" s="9"/>
      <c r="G98" s="9"/>
      <c r="H98" s="9"/>
      <c r="I98" s="9"/>
      <c r="J98" s="9"/>
    </row>
    <row r="99" spans="1:10" ht="30" customHeight="1" x14ac:dyDescent="0.3">
      <c r="A99" s="9"/>
      <c r="B99" s="9"/>
      <c r="C99" s="9"/>
      <c r="D99" s="9"/>
      <c r="E99" s="9"/>
      <c r="F99" s="9"/>
      <c r="G99" s="9"/>
      <c r="H99" s="9"/>
      <c r="I99" s="9"/>
      <c r="J99" s="9"/>
    </row>
    <row r="100" spans="1:10" ht="30" customHeight="1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</row>
    <row r="101" spans="1:10" ht="30" customHeight="1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</row>
    <row r="102" spans="1:10" ht="30" customHeight="1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</row>
    <row r="103" spans="1:10" ht="30" customHeight="1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</row>
    <row r="104" spans="1:10" ht="30" customHeight="1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</row>
    <row r="105" spans="1:10" ht="30" customHeight="1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</row>
    <row r="106" spans="1:10" ht="30" customHeight="1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</row>
    <row r="107" spans="1:10" ht="30" customHeight="1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</row>
    <row r="108" spans="1:10" ht="30" customHeight="1" x14ac:dyDescent="0.3"/>
    <row r="109" spans="1:10" ht="30" customHeight="1" x14ac:dyDescent="0.3"/>
    <row r="110" spans="1:10" ht="30" customHeight="1" x14ac:dyDescent="0.3"/>
    <row r="111" spans="1:10" ht="30" customHeight="1" x14ac:dyDescent="0.3"/>
    <row r="112" spans="1:10" ht="30" customHeight="1" x14ac:dyDescent="0.3"/>
    <row r="113" ht="30" customHeight="1" x14ac:dyDescent="0.3"/>
    <row r="114" ht="30" customHeight="1" x14ac:dyDescent="0.3"/>
    <row r="115" ht="30" customHeight="1" x14ac:dyDescent="0.3"/>
  </sheetData>
  <mergeCells count="1">
    <mergeCell ref="B3:I3"/>
  </mergeCells>
  <phoneticPr fontId="3" type="noConversion"/>
  <hyperlinks>
    <hyperlink ref="E9" r:id="rId1" xr:uid="{03FF3A6C-DC29-4F06-A648-3366B3F2A4E2}"/>
    <hyperlink ref="E10" r:id="rId2" xr:uid="{EC988EA3-FBB3-4CD4-B72C-17BC5BE4CABF}"/>
    <hyperlink ref="E11" r:id="rId3" xr:uid="{F56FDE7C-D2E6-4D02-923E-8E9074B29B7F}"/>
    <hyperlink ref="E13" r:id="rId4" xr:uid="{DE5C2D3E-C4A7-431C-8761-8DD9BEE75E93}"/>
    <hyperlink ref="E15" r:id="rId5" xr:uid="{E504B3B4-439E-4629-8DF2-0EBD8379DD16}"/>
  </hyperlinks>
  <pageMargins left="0.511811024" right="0.511811024" top="0.78740157499999996" bottom="0.78740157499999996" header="0.31496062000000002" footer="0.31496062000000002"/>
  <drawing r:id="rId6"/>
  <tableParts count="2"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CD615-F500-48E4-AD2E-1BBDC81B7B64}">
  <dimension ref="A3:N19"/>
  <sheetViews>
    <sheetView workbookViewId="0">
      <selection activeCell="A4" sqref="A4"/>
    </sheetView>
  </sheetViews>
  <sheetFormatPr defaultRowHeight="14.4" x14ac:dyDescent="0.3"/>
  <cols>
    <col min="1" max="1" width="30.44140625" bestFit="1" customWidth="1"/>
    <col min="2" max="2" width="16.88671875" bestFit="1" customWidth="1"/>
    <col min="3" max="3" width="8.88671875" customWidth="1"/>
    <col min="4" max="4" width="17.21875" bestFit="1" customWidth="1"/>
    <col min="5" max="5" width="18.109375" bestFit="1" customWidth="1"/>
    <col min="7" max="7" width="17.21875" bestFit="1" customWidth="1"/>
    <col min="8" max="8" width="18.109375" bestFit="1" customWidth="1"/>
    <col min="10" max="10" width="18.33203125" bestFit="1" customWidth="1"/>
    <col min="11" max="11" width="18.109375" bestFit="1" customWidth="1"/>
    <col min="13" max="13" width="17.21875" bestFit="1" customWidth="1"/>
    <col min="14" max="14" width="18.109375" bestFit="1" customWidth="1"/>
  </cols>
  <sheetData>
    <row r="3" spans="1:14" x14ac:dyDescent="0.3">
      <c r="A3" s="4" t="s">
        <v>13</v>
      </c>
      <c r="B3" t="s">
        <v>81</v>
      </c>
      <c r="D3" s="4" t="s">
        <v>13</v>
      </c>
      <c r="E3" t="s">
        <v>80</v>
      </c>
      <c r="G3" s="4" t="s">
        <v>13</v>
      </c>
      <c r="H3" t="s">
        <v>80</v>
      </c>
      <c r="J3" s="4" t="s">
        <v>13</v>
      </c>
      <c r="K3" t="s">
        <v>80</v>
      </c>
      <c r="M3" s="4" t="s">
        <v>13</v>
      </c>
      <c r="N3" t="s">
        <v>80</v>
      </c>
    </row>
    <row r="4" spans="1:14" x14ac:dyDescent="0.3">
      <c r="A4" s="5" t="s">
        <v>48</v>
      </c>
      <c r="B4" s="16">
        <v>10</v>
      </c>
      <c r="D4" s="5" t="s">
        <v>82</v>
      </c>
      <c r="E4" s="18">
        <v>3065</v>
      </c>
      <c r="G4" s="5" t="s">
        <v>58</v>
      </c>
      <c r="H4" s="18">
        <v>520</v>
      </c>
      <c r="J4" s="5" t="s">
        <v>32</v>
      </c>
      <c r="K4" s="18">
        <v>940</v>
      </c>
      <c r="M4" s="5" t="s">
        <v>74</v>
      </c>
      <c r="N4" s="18">
        <v>520</v>
      </c>
    </row>
    <row r="5" spans="1:14" x14ac:dyDescent="0.3">
      <c r="A5" s="5" t="s">
        <v>50</v>
      </c>
      <c r="B5" s="16">
        <v>50</v>
      </c>
      <c r="D5" s="17" t="s">
        <v>83</v>
      </c>
      <c r="E5" s="18">
        <v>2235</v>
      </c>
      <c r="G5" s="5" t="s">
        <v>55</v>
      </c>
      <c r="H5" s="18">
        <v>2235</v>
      </c>
      <c r="J5" s="5" t="s">
        <v>35</v>
      </c>
      <c r="K5" s="18">
        <v>1300</v>
      </c>
      <c r="M5" s="5" t="s">
        <v>77</v>
      </c>
      <c r="N5" s="18">
        <v>2235</v>
      </c>
    </row>
    <row r="6" spans="1:14" x14ac:dyDescent="0.3">
      <c r="A6" s="5" t="s">
        <v>52</v>
      </c>
      <c r="B6" s="16">
        <v>235</v>
      </c>
      <c r="D6" s="17" t="s">
        <v>84</v>
      </c>
      <c r="E6" s="18">
        <v>520</v>
      </c>
      <c r="G6" s="5" t="s">
        <v>62</v>
      </c>
      <c r="H6" s="18">
        <v>9000</v>
      </c>
      <c r="J6" s="5" t="s">
        <v>33</v>
      </c>
      <c r="K6" s="18">
        <v>2755</v>
      </c>
      <c r="M6" s="5" t="s">
        <v>76</v>
      </c>
      <c r="N6" s="18">
        <v>2240</v>
      </c>
    </row>
    <row r="7" spans="1:14" x14ac:dyDescent="0.3">
      <c r="A7" s="5" t="s">
        <v>51</v>
      </c>
      <c r="B7" s="16">
        <v>1000</v>
      </c>
      <c r="D7" s="17" t="s">
        <v>85</v>
      </c>
      <c r="E7" s="18">
        <v>310</v>
      </c>
      <c r="G7" s="5" t="s">
        <v>79</v>
      </c>
      <c r="H7" s="18">
        <v>11755</v>
      </c>
      <c r="J7" s="5" t="s">
        <v>34</v>
      </c>
      <c r="K7" s="18">
        <v>7700</v>
      </c>
      <c r="M7" s="5" t="s">
        <v>75</v>
      </c>
      <c r="N7" s="18">
        <v>7700</v>
      </c>
    </row>
    <row r="8" spans="1:14" x14ac:dyDescent="0.3">
      <c r="A8" s="5" t="s">
        <v>79</v>
      </c>
      <c r="B8" s="16">
        <v>1295</v>
      </c>
      <c r="D8" s="5" t="s">
        <v>86</v>
      </c>
      <c r="E8" s="18">
        <v>2500</v>
      </c>
      <c r="J8" s="5" t="s">
        <v>36</v>
      </c>
      <c r="K8" s="18">
        <v>9000</v>
      </c>
      <c r="M8" s="5" t="s">
        <v>78</v>
      </c>
      <c r="N8" s="18">
        <v>9000</v>
      </c>
    </row>
    <row r="9" spans="1:14" x14ac:dyDescent="0.3">
      <c r="D9" s="17" t="s">
        <v>87</v>
      </c>
      <c r="E9" s="18">
        <v>2500</v>
      </c>
      <c r="J9" s="5" t="s">
        <v>79</v>
      </c>
      <c r="K9" s="18">
        <v>21695</v>
      </c>
      <c r="M9" s="5" t="s">
        <v>79</v>
      </c>
      <c r="N9" s="18">
        <v>21695</v>
      </c>
    </row>
    <row r="10" spans="1:14" x14ac:dyDescent="0.3">
      <c r="D10" s="5" t="s">
        <v>88</v>
      </c>
      <c r="E10" s="18">
        <v>9400</v>
      </c>
    </row>
    <row r="11" spans="1:14" x14ac:dyDescent="0.3">
      <c r="D11" s="17" t="s">
        <v>89</v>
      </c>
      <c r="E11" s="18">
        <v>400</v>
      </c>
    </row>
    <row r="12" spans="1:14" x14ac:dyDescent="0.3">
      <c r="D12" s="17" t="s">
        <v>90</v>
      </c>
      <c r="E12" s="18">
        <v>9000</v>
      </c>
    </row>
    <row r="13" spans="1:14" x14ac:dyDescent="0.3">
      <c r="D13" s="5" t="s">
        <v>14</v>
      </c>
      <c r="E13" s="18">
        <v>3400</v>
      </c>
    </row>
    <row r="14" spans="1:14" x14ac:dyDescent="0.3">
      <c r="D14" s="17" t="s">
        <v>91</v>
      </c>
      <c r="E14" s="18">
        <v>2500</v>
      </c>
    </row>
    <row r="15" spans="1:14" x14ac:dyDescent="0.3">
      <c r="D15" s="17" t="s">
        <v>92</v>
      </c>
      <c r="E15" s="18">
        <v>900</v>
      </c>
    </row>
    <row r="16" spans="1:14" x14ac:dyDescent="0.3">
      <c r="D16" s="5" t="s">
        <v>15</v>
      </c>
      <c r="E16" s="18">
        <v>3330</v>
      </c>
    </row>
    <row r="17" spans="4:5" x14ac:dyDescent="0.3">
      <c r="D17" s="17" t="s">
        <v>93</v>
      </c>
      <c r="E17" s="18">
        <v>2700</v>
      </c>
    </row>
    <row r="18" spans="4:5" x14ac:dyDescent="0.3">
      <c r="D18" s="17" t="s">
        <v>94</v>
      </c>
      <c r="E18" s="18">
        <v>630</v>
      </c>
    </row>
    <row r="19" spans="4:5" x14ac:dyDescent="0.3">
      <c r="D19" s="5" t="s">
        <v>79</v>
      </c>
      <c r="E19" s="18">
        <v>21695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90921-F4F2-496F-9376-94AFF5BE315B}">
  <dimension ref="A1:L115"/>
  <sheetViews>
    <sheetView showGridLines="0" showRowColHeaders="0" topLeftCell="A3" zoomScale="105" zoomScaleNormal="105" workbookViewId="0"/>
  </sheetViews>
  <sheetFormatPr defaultColWidth="0" defaultRowHeight="14.4" x14ac:dyDescent="0.3"/>
  <cols>
    <col min="1" max="1" width="2.77734375" customWidth="1"/>
    <col min="2" max="2" width="4.6640625" customWidth="1"/>
    <col min="3" max="3" width="31.6640625" customWidth="1"/>
    <col min="4" max="4" width="20.77734375" customWidth="1"/>
    <col min="5" max="5" width="10.77734375" customWidth="1"/>
    <col min="6" max="6" width="26.109375" customWidth="1"/>
    <col min="7" max="7" width="22" customWidth="1"/>
    <col min="8" max="8" width="17.88671875" customWidth="1"/>
    <col min="9" max="9" width="16.21875" customWidth="1"/>
    <col min="10" max="10" width="20.6640625" customWidth="1"/>
    <col min="11" max="11" width="17.77734375" customWidth="1"/>
    <col min="12" max="12" width="2.77734375" customWidth="1"/>
    <col min="13" max="16384" width="8.88671875" hidden="1"/>
  </cols>
  <sheetData>
    <row r="1" spans="1:12" ht="0.15" customHeight="1" x14ac:dyDescent="0.3"/>
    <row r="2" spans="1:12" ht="0.15" customHeight="1" x14ac:dyDescent="0.3"/>
    <row r="3" spans="1:12" ht="63" customHeight="1" x14ac:dyDescent="0.75">
      <c r="A3" s="7"/>
      <c r="B3" s="19"/>
      <c r="C3" s="19"/>
      <c r="D3" s="19"/>
      <c r="E3" s="19"/>
      <c r="F3" s="19"/>
      <c r="G3" s="19"/>
      <c r="H3" s="19"/>
      <c r="I3" s="19"/>
      <c r="J3" s="19"/>
      <c r="K3" s="7"/>
      <c r="L3" s="7"/>
    </row>
    <row r="4" spans="1:12" ht="12" customHeight="1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ht="45" customHeight="1" x14ac:dyDescent="0.3">
      <c r="A5" s="9"/>
      <c r="B5" s="8" t="s">
        <v>0</v>
      </c>
      <c r="C5" s="8" t="s">
        <v>23</v>
      </c>
      <c r="D5" s="8" t="s">
        <v>24</v>
      </c>
      <c r="E5" s="8" t="s">
        <v>29</v>
      </c>
      <c r="F5" s="8" t="s">
        <v>25</v>
      </c>
      <c r="G5" s="8" t="s">
        <v>26</v>
      </c>
      <c r="H5" s="8" t="s">
        <v>27</v>
      </c>
      <c r="I5" s="8" t="s">
        <v>28</v>
      </c>
      <c r="J5" s="8" t="s">
        <v>31</v>
      </c>
      <c r="K5" s="8" t="s">
        <v>30</v>
      </c>
      <c r="L5" s="9"/>
    </row>
    <row r="6" spans="1:12" ht="30" customHeight="1" x14ac:dyDescent="0.3">
      <c r="A6" s="9"/>
      <c r="B6" s="1">
        <v>1</v>
      </c>
      <c r="C6" s="1" t="s">
        <v>33</v>
      </c>
      <c r="D6" s="2" t="s">
        <v>44</v>
      </c>
      <c r="E6" s="11">
        <v>45079</v>
      </c>
      <c r="F6" s="1" t="s">
        <v>55</v>
      </c>
      <c r="G6" s="1" t="s">
        <v>77</v>
      </c>
      <c r="H6" s="12">
        <v>2000</v>
      </c>
      <c r="I6" s="12">
        <v>2235</v>
      </c>
      <c r="J6" s="12"/>
      <c r="K6" s="2" t="s">
        <v>52</v>
      </c>
      <c r="L6" s="9"/>
    </row>
    <row r="7" spans="1:12" ht="30" customHeight="1" x14ac:dyDescent="0.3">
      <c r="A7" s="9"/>
      <c r="B7" s="1">
        <v>2</v>
      </c>
      <c r="C7" s="1" t="s">
        <v>33</v>
      </c>
      <c r="D7" s="2" t="s">
        <v>42</v>
      </c>
      <c r="E7" s="11">
        <v>45091</v>
      </c>
      <c r="F7" s="1" t="s">
        <v>58</v>
      </c>
      <c r="G7" s="1" t="s">
        <v>74</v>
      </c>
      <c r="H7" s="12">
        <v>500</v>
      </c>
      <c r="I7" s="12">
        <v>520</v>
      </c>
      <c r="J7" s="12">
        <v>20</v>
      </c>
      <c r="K7" s="2" t="s">
        <v>50</v>
      </c>
      <c r="L7" s="9"/>
    </row>
    <row r="8" spans="1:12" ht="30" customHeight="1" x14ac:dyDescent="0.3">
      <c r="A8" s="9"/>
      <c r="B8" s="1">
        <v>3</v>
      </c>
      <c r="C8" s="1" t="s">
        <v>32</v>
      </c>
      <c r="D8" s="2" t="s">
        <v>37</v>
      </c>
      <c r="E8" s="11">
        <v>45097</v>
      </c>
      <c r="F8" s="1"/>
      <c r="G8" s="1" t="s">
        <v>76</v>
      </c>
      <c r="H8" s="12">
        <v>300</v>
      </c>
      <c r="I8" s="12">
        <v>310</v>
      </c>
      <c r="J8" s="12">
        <v>10</v>
      </c>
      <c r="K8" s="2" t="s">
        <v>48</v>
      </c>
      <c r="L8" s="9"/>
    </row>
    <row r="9" spans="1:12" ht="30" customHeight="1" x14ac:dyDescent="0.3">
      <c r="A9" s="9"/>
      <c r="B9" s="1">
        <v>4</v>
      </c>
      <c r="C9" s="1" t="s">
        <v>34</v>
      </c>
      <c r="D9" s="2" t="s">
        <v>38</v>
      </c>
      <c r="E9" s="11">
        <v>45108</v>
      </c>
      <c r="F9" s="1"/>
      <c r="G9" s="1" t="s">
        <v>75</v>
      </c>
      <c r="H9" s="12">
        <v>2500</v>
      </c>
      <c r="I9" s="12">
        <v>2500</v>
      </c>
      <c r="J9" s="12"/>
      <c r="K9" s="2"/>
      <c r="L9" s="9"/>
    </row>
    <row r="10" spans="1:12" ht="30" customHeight="1" x14ac:dyDescent="0.3">
      <c r="A10" s="9"/>
      <c r="B10" s="1">
        <v>5</v>
      </c>
      <c r="C10" s="1" t="s">
        <v>35</v>
      </c>
      <c r="D10" s="2" t="s">
        <v>39</v>
      </c>
      <c r="E10" s="11">
        <v>45153</v>
      </c>
      <c r="F10" s="1"/>
      <c r="G10" s="1" t="s">
        <v>76</v>
      </c>
      <c r="H10" s="12">
        <v>400</v>
      </c>
      <c r="I10" s="12">
        <v>400</v>
      </c>
      <c r="J10" s="12"/>
      <c r="K10" s="2"/>
      <c r="L10" s="9"/>
    </row>
    <row r="11" spans="1:12" ht="30" customHeight="1" x14ac:dyDescent="0.3">
      <c r="A11" s="9"/>
      <c r="B11" s="1">
        <v>6</v>
      </c>
      <c r="C11" s="1" t="s">
        <v>36</v>
      </c>
      <c r="D11" s="2" t="s">
        <v>43</v>
      </c>
      <c r="E11" s="11">
        <v>45161</v>
      </c>
      <c r="F11" s="1" t="s">
        <v>62</v>
      </c>
      <c r="G11" s="1" t="s">
        <v>78</v>
      </c>
      <c r="H11" s="12">
        <v>8000</v>
      </c>
      <c r="I11" s="12">
        <v>9000</v>
      </c>
      <c r="J11" s="12"/>
      <c r="K11" s="2" t="s">
        <v>51</v>
      </c>
      <c r="L11" s="9"/>
    </row>
    <row r="12" spans="1:12" ht="30" customHeight="1" x14ac:dyDescent="0.3">
      <c r="A12" s="9"/>
      <c r="B12" s="1">
        <v>7</v>
      </c>
      <c r="C12" s="1" t="s">
        <v>35</v>
      </c>
      <c r="D12" s="1" t="s">
        <v>40</v>
      </c>
      <c r="E12" s="11">
        <v>45190</v>
      </c>
      <c r="F12" s="1"/>
      <c r="G12" s="1" t="s">
        <v>76</v>
      </c>
      <c r="H12" s="12">
        <v>900</v>
      </c>
      <c r="I12" s="12">
        <v>900</v>
      </c>
      <c r="J12" s="12"/>
      <c r="K12" s="2"/>
      <c r="L12" s="9"/>
    </row>
    <row r="13" spans="1:12" ht="30" customHeight="1" x14ac:dyDescent="0.3">
      <c r="A13" s="9"/>
      <c r="B13" s="1">
        <v>8</v>
      </c>
      <c r="C13" s="1" t="s">
        <v>34</v>
      </c>
      <c r="D13" s="1" t="s">
        <v>41</v>
      </c>
      <c r="E13" s="11">
        <v>45172</v>
      </c>
      <c r="F13" s="1"/>
      <c r="G13" s="1" t="s">
        <v>75</v>
      </c>
      <c r="H13" s="12">
        <v>2500</v>
      </c>
      <c r="I13" s="12">
        <v>2500</v>
      </c>
      <c r="J13" s="12"/>
      <c r="K13" s="2"/>
      <c r="L13" s="9"/>
    </row>
    <row r="14" spans="1:12" ht="30" customHeight="1" x14ac:dyDescent="0.3">
      <c r="A14" s="9"/>
      <c r="B14" s="1">
        <v>9</v>
      </c>
      <c r="C14" s="1" t="s">
        <v>34</v>
      </c>
      <c r="D14" s="1" t="s">
        <v>46</v>
      </c>
      <c r="E14" s="11">
        <v>45202</v>
      </c>
      <c r="F14" s="1"/>
      <c r="G14" s="1" t="s">
        <v>75</v>
      </c>
      <c r="H14" s="12">
        <v>2700</v>
      </c>
      <c r="I14" s="12">
        <v>2700</v>
      </c>
      <c r="J14" s="12"/>
      <c r="K14" s="2"/>
      <c r="L14" s="9"/>
    </row>
    <row r="15" spans="1:12" ht="30" customHeight="1" x14ac:dyDescent="0.3">
      <c r="A15" s="9"/>
      <c r="B15" s="1">
        <v>10</v>
      </c>
      <c r="C15" s="1" t="s">
        <v>32</v>
      </c>
      <c r="D15" s="1" t="s">
        <v>45</v>
      </c>
      <c r="E15" s="11">
        <v>45209</v>
      </c>
      <c r="F15" s="1"/>
      <c r="G15" s="1" t="s">
        <v>76</v>
      </c>
      <c r="H15" s="12">
        <v>600</v>
      </c>
      <c r="I15" s="12">
        <v>630</v>
      </c>
      <c r="J15" s="12">
        <v>30</v>
      </c>
      <c r="K15" s="2" t="s">
        <v>50</v>
      </c>
      <c r="L15" s="9"/>
    </row>
    <row r="16" spans="1:12" ht="30" customHeight="1" x14ac:dyDescent="0.3">
      <c r="A16" s="9"/>
      <c r="B16" s="9"/>
      <c r="C16" s="9"/>
      <c r="D16" s="9"/>
      <c r="E16" s="9"/>
      <c r="F16" s="9"/>
      <c r="G16" s="9"/>
      <c r="H16" s="10"/>
      <c r="I16" s="9"/>
      <c r="J16" s="9"/>
      <c r="K16" s="9"/>
      <c r="L16" s="9"/>
    </row>
    <row r="17" spans="1:12" ht="30" customHeight="1" x14ac:dyDescent="0.3">
      <c r="A17" s="9"/>
      <c r="B17" s="9"/>
      <c r="C17" s="9"/>
      <c r="D17" s="9"/>
      <c r="E17" s="9"/>
      <c r="F17" s="9"/>
      <c r="G17" s="9"/>
      <c r="H17" s="10"/>
      <c r="I17" s="9"/>
      <c r="J17" s="9"/>
      <c r="K17" s="9"/>
      <c r="L17" s="9"/>
    </row>
    <row r="18" spans="1:12" ht="30" customHeight="1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ht="30" customHeight="1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30" customHeight="1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ht="30" customHeight="1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ht="30" customHeight="1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ht="30" customHeight="1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ht="30" customHeight="1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ht="30" customHeight="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ht="30" customHeight="1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ht="30" customHeight="1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ht="30" customHeight="1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ht="30" customHeight="1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ht="30" customHeight="1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ht="30" customHeight="1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ht="30" customHeight="1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ht="30" customHeight="1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30" customHeight="1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ht="30" customHeight="1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ht="30" customHeight="1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ht="30" customHeight="1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ht="30" customHeight="1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ht="30" customHeight="1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30" customHeight="1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30" customHeight="1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30" customHeight="1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30" customHeight="1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 ht="30" customHeight="1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ht="30" customHeight="1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ht="30" customHeight="1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30" customHeight="1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30" customHeight="1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30" customHeight="1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30" customHeight="1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ht="30" customHeight="1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 ht="30" customHeight="1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 ht="30" customHeight="1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ht="30" customHeight="1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ht="30" customHeight="1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ht="30" customHeight="1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ht="30" customHeight="1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ht="30" customHeight="1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ht="30" customHeight="1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ht="30" customHeight="1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ht="30" customHeight="1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ht="30" customHeight="1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ht="30" customHeight="1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ht="30" customHeight="1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ht="30" customHeight="1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ht="30" customHeight="1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ht="30" customHeight="1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ht="30" customHeight="1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ht="30" customHeight="1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ht="30" customHeight="1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ht="30" customHeight="1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ht="30" customHeight="1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ht="30" customHeight="1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ht="30" customHeight="1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ht="30" customHeight="1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ht="30" customHeight="1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ht="30" customHeight="1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ht="30" customHeight="1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ht="30" customHeight="1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ht="30" customHeight="1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ht="30" customHeight="1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ht="30" customHeight="1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ht="30" customHeight="1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ht="30" customHeight="1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ht="30" customHeight="1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ht="30" customHeight="1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ht="30" customHeight="1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ht="30" customHeight="1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ht="30" customHeight="1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ht="30" customHeight="1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ht="30" customHeight="1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ht="30" customHeight="1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ht="30" customHeight="1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ht="30" customHeight="1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 ht="30" customHeight="1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 ht="30" customHeight="1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</row>
    <row r="97" spans="1:12" ht="30" customHeight="1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</row>
    <row r="98" spans="1:12" ht="30" customHeight="1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</row>
    <row r="99" spans="1:12" ht="30" customHeight="1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spans="1:12" ht="30" customHeight="1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</row>
    <row r="101" spans="1:12" ht="30" customHeight="1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</row>
    <row r="102" spans="1:12" ht="30" customHeight="1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</row>
    <row r="103" spans="1:12" ht="30" customHeight="1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</row>
    <row r="104" spans="1:12" ht="30" customHeight="1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</row>
    <row r="105" spans="1:12" ht="30" customHeight="1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</row>
    <row r="106" spans="1:12" ht="30" customHeight="1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</row>
    <row r="107" spans="1:12" ht="30" customHeight="1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</row>
    <row r="108" spans="1:12" ht="30" customHeight="1" x14ac:dyDescent="0.3"/>
    <row r="109" spans="1:12" ht="30" customHeight="1" x14ac:dyDescent="0.3"/>
    <row r="110" spans="1:12" ht="30" customHeight="1" x14ac:dyDescent="0.3"/>
    <row r="111" spans="1:12" ht="30" customHeight="1" x14ac:dyDescent="0.3"/>
    <row r="112" spans="1:12" ht="30" customHeight="1" x14ac:dyDescent="0.3"/>
    <row r="113" ht="30" customHeight="1" x14ac:dyDescent="0.3"/>
    <row r="114" ht="30" customHeight="1" x14ac:dyDescent="0.3"/>
    <row r="115" ht="30" customHeight="1" x14ac:dyDescent="0.3"/>
  </sheetData>
  <mergeCells count="1">
    <mergeCell ref="B3:J3"/>
  </mergeCells>
  <dataValidations count="2">
    <dataValidation type="list" allowBlank="1" showInputMessage="1" showErrorMessage="1" sqref="G6:G15" xr:uid="{F5B491DF-2407-499D-A58B-48DDBE9196E1}">
      <formula1>"Pix,TED,DOC,Boleto,Crédito,Débito,Dinheiro,Cheque"</formula1>
    </dataValidation>
    <dataValidation type="list" allowBlank="1" showInputMessage="1" showErrorMessage="1" sqref="C6:C15" xr:uid="{BD91239D-6950-46B5-8D7B-568C7A99E289}">
      <formula1>"Custo de Produção,Despesa Operacional,Salário,Provisão,Impostos,Investimento,Depreciação"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CFA08C3-D98E-447F-B60E-0420E53DC42A}">
          <x14:formula1>
            <xm:f>Cadastros!$H$6:$H$17</xm:f>
          </x14:formula1>
          <xm:sqref>K6:K15</xm:sqref>
        </x14:dataValidation>
        <x14:dataValidation type="list" allowBlank="1" showInputMessage="1" showErrorMessage="1" xr:uid="{FA4E386E-E642-4DCA-A7F3-F656ED73BE4E}">
          <x14:formula1>
            <xm:f>Cadastros!$C$6:$C$22</xm:f>
          </x14:formula1>
          <xm:sqref>F6:F15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67EDA-A2A4-457A-BE53-AA02E5B7215A}">
  <dimension ref="A1:S115"/>
  <sheetViews>
    <sheetView showGridLines="0" showRowColHeaders="0" tabSelected="1" topLeftCell="A3" zoomScale="105" zoomScaleNormal="105" workbookViewId="0"/>
  </sheetViews>
  <sheetFormatPr defaultColWidth="0" defaultRowHeight="14.4" x14ac:dyDescent="0.3"/>
  <cols>
    <col min="1" max="1" width="2.77734375" customWidth="1"/>
    <col min="2" max="2" width="4.6640625" customWidth="1"/>
    <col min="3" max="3" width="31.6640625" customWidth="1"/>
    <col min="4" max="4" width="20.77734375" customWidth="1"/>
    <col min="5" max="5" width="27.109375" customWidth="1"/>
    <col min="6" max="6" width="33" customWidth="1"/>
    <col min="7" max="7" width="17.88671875" customWidth="1"/>
    <col min="8" max="8" width="31.21875" customWidth="1"/>
    <col min="9" max="9" width="20.6640625" customWidth="1"/>
    <col min="10" max="10" width="2.77734375" customWidth="1"/>
    <col min="11" max="12" width="8.88671875" hidden="1" customWidth="1"/>
    <col min="13" max="19" width="0" hidden="1" customWidth="1"/>
    <col min="20" max="16384" width="8.88671875" hidden="1"/>
  </cols>
  <sheetData>
    <row r="1" spans="1:10" ht="0.15" customHeight="1" x14ac:dyDescent="0.3"/>
    <row r="2" spans="1:10" ht="0.15" customHeight="1" x14ac:dyDescent="0.3"/>
    <row r="3" spans="1:10" ht="63" customHeight="1" x14ac:dyDescent="0.75">
      <c r="A3" s="7"/>
      <c r="B3" s="19"/>
      <c r="C3" s="19"/>
      <c r="D3" s="19"/>
      <c r="E3" s="19"/>
      <c r="F3" s="19"/>
      <c r="G3" s="19"/>
      <c r="H3" s="19"/>
      <c r="I3" s="19"/>
      <c r="J3" s="7"/>
    </row>
    <row r="4" spans="1:10" ht="12" customHeight="1" x14ac:dyDescent="0.3">
      <c r="A4" s="9"/>
      <c r="B4" s="9"/>
      <c r="C4" s="9"/>
      <c r="D4" s="9"/>
      <c r="E4" s="9"/>
      <c r="F4" s="9"/>
      <c r="G4" s="9"/>
      <c r="H4" s="9"/>
      <c r="I4" s="9"/>
      <c r="J4" s="9"/>
    </row>
    <row r="5" spans="1:10" ht="45" customHeight="1" x14ac:dyDescent="0.3">
      <c r="A5" s="9"/>
      <c r="B5" s="9"/>
      <c r="C5" s="9"/>
      <c r="D5" s="9"/>
      <c r="E5" s="9"/>
      <c r="F5" s="9"/>
      <c r="G5" s="9"/>
      <c r="H5" s="9"/>
      <c r="I5" s="9"/>
      <c r="J5" s="9"/>
    </row>
    <row r="6" spans="1:10" ht="30" customHeight="1" x14ac:dyDescent="0.3">
      <c r="A6" s="9"/>
      <c r="B6" s="9"/>
      <c r="C6" s="9"/>
      <c r="D6" s="9"/>
      <c r="E6" s="9"/>
      <c r="F6" s="9"/>
      <c r="G6" s="9"/>
      <c r="H6" s="9"/>
      <c r="I6" s="9"/>
      <c r="J6" s="9"/>
    </row>
    <row r="7" spans="1:10" ht="30" customHeight="1" x14ac:dyDescent="0.3">
      <c r="A7" s="9"/>
      <c r="B7" s="9"/>
      <c r="C7" s="9"/>
      <c r="D7" s="9"/>
      <c r="E7" s="9"/>
      <c r="F7" s="9"/>
      <c r="G7" s="9"/>
      <c r="H7" s="9"/>
      <c r="I7" s="9"/>
      <c r="J7" s="9"/>
    </row>
    <row r="8" spans="1:10" ht="30" customHeight="1" x14ac:dyDescent="0.3">
      <c r="A8" s="9"/>
      <c r="B8" s="9"/>
      <c r="C8" s="9"/>
      <c r="D8" s="9"/>
      <c r="E8" s="9"/>
      <c r="F8" s="9"/>
      <c r="G8" s="9"/>
      <c r="H8" s="9"/>
      <c r="I8" s="9"/>
      <c r="J8" s="9"/>
    </row>
    <row r="9" spans="1:10" ht="30" customHeight="1" x14ac:dyDescent="0.3">
      <c r="A9" s="9"/>
      <c r="B9" s="9"/>
      <c r="C9" s="9"/>
      <c r="D9" s="9"/>
      <c r="E9" s="9"/>
      <c r="F9" s="9"/>
      <c r="G9" s="9"/>
      <c r="H9" s="9"/>
      <c r="I9" s="9"/>
      <c r="J9" s="9"/>
    </row>
    <row r="10" spans="1:10" ht="30" customHeight="1" x14ac:dyDescent="0.3">
      <c r="A10" s="9"/>
      <c r="B10" s="9"/>
      <c r="C10" s="9"/>
      <c r="D10" s="9"/>
      <c r="E10" s="9"/>
      <c r="F10" s="9"/>
      <c r="G10" s="9"/>
      <c r="H10" s="9"/>
      <c r="I10" s="9"/>
      <c r="J10" s="9"/>
    </row>
    <row r="11" spans="1:10" ht="30" customHeight="1" x14ac:dyDescent="0.3">
      <c r="A11" s="9"/>
      <c r="B11" s="9"/>
      <c r="C11" s="9"/>
      <c r="D11" s="9"/>
      <c r="E11" s="9"/>
      <c r="F11" s="9"/>
      <c r="G11" s="9"/>
      <c r="H11" s="9"/>
      <c r="I11" s="9"/>
      <c r="J11" s="9"/>
    </row>
    <row r="12" spans="1:10" ht="30" customHeight="1" x14ac:dyDescent="0.3">
      <c r="A12" s="9"/>
      <c r="B12" s="9"/>
      <c r="C12" s="9"/>
      <c r="D12" s="9"/>
      <c r="E12" s="9"/>
      <c r="F12" s="9"/>
      <c r="G12" s="9"/>
      <c r="H12" s="9"/>
      <c r="I12" s="9"/>
      <c r="J12" s="9"/>
    </row>
    <row r="13" spans="1:10" ht="30" customHeight="1" x14ac:dyDescent="0.3">
      <c r="A13" s="9"/>
      <c r="B13" s="9"/>
      <c r="C13" s="9"/>
      <c r="D13" s="9"/>
      <c r="E13" s="9"/>
      <c r="F13" s="9"/>
      <c r="G13" s="9"/>
      <c r="H13" s="9"/>
      <c r="I13" s="9"/>
      <c r="J13" s="9"/>
    </row>
    <row r="14" spans="1:10" ht="30" customHeight="1" x14ac:dyDescent="0.3">
      <c r="A14" s="9"/>
      <c r="B14" s="9"/>
      <c r="C14" s="9"/>
      <c r="D14" s="9"/>
      <c r="E14" s="9"/>
      <c r="F14" s="9"/>
      <c r="G14" s="9"/>
      <c r="H14" s="9"/>
      <c r="I14" s="9"/>
      <c r="J14" s="9"/>
    </row>
    <row r="15" spans="1:10" ht="30" customHeight="1" x14ac:dyDescent="0.3">
      <c r="A15" s="9"/>
      <c r="B15" s="9"/>
      <c r="C15" s="9"/>
      <c r="D15" s="9"/>
      <c r="E15" s="9"/>
      <c r="F15" s="9"/>
      <c r="G15" s="9"/>
      <c r="H15" s="9"/>
      <c r="I15" s="9"/>
      <c r="J15" s="9"/>
    </row>
    <row r="16" spans="1:10" ht="30" customHeight="1" x14ac:dyDescent="0.3">
      <c r="A16" s="9"/>
      <c r="B16" s="9"/>
      <c r="C16" s="9"/>
      <c r="D16" s="9"/>
      <c r="E16" s="9"/>
      <c r="F16" s="9"/>
      <c r="G16" s="10"/>
      <c r="H16" s="9"/>
      <c r="I16" s="9"/>
      <c r="J16" s="9"/>
    </row>
    <row r="17" spans="1:10" ht="30" customHeight="1" x14ac:dyDescent="0.3">
      <c r="A17" s="9"/>
      <c r="B17" s="9"/>
      <c r="C17" s="9"/>
      <c r="D17" s="9"/>
      <c r="E17" s="9"/>
      <c r="F17" s="9"/>
      <c r="G17" s="10"/>
      <c r="H17" s="9"/>
      <c r="I17" s="9"/>
      <c r="J17" s="9"/>
    </row>
    <row r="18" spans="1:10" ht="30" customHeight="1" x14ac:dyDescent="0.3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spans="1:10" ht="30" customHeight="1" x14ac:dyDescent="0.3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0" ht="30" customHeight="1" x14ac:dyDescent="0.3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0" ht="30" customHeight="1" x14ac:dyDescent="0.3">
      <c r="A21" s="9"/>
      <c r="B21" s="9"/>
      <c r="C21" s="9"/>
      <c r="D21" s="9"/>
      <c r="E21" s="9"/>
      <c r="F21" s="9"/>
      <c r="G21" s="9"/>
      <c r="H21" s="9"/>
      <c r="I21" s="9"/>
      <c r="J21" s="9"/>
    </row>
    <row r="22" spans="1:10" ht="30" customHeight="1" x14ac:dyDescent="0.3">
      <c r="A22" s="9"/>
      <c r="B22" s="9"/>
      <c r="C22" s="9"/>
      <c r="D22" s="9"/>
      <c r="E22" s="9"/>
      <c r="F22" s="9"/>
      <c r="G22" s="9"/>
      <c r="H22" s="9"/>
      <c r="I22" s="9"/>
      <c r="J22" s="9"/>
    </row>
    <row r="23" spans="1:10" ht="30" customHeight="1" x14ac:dyDescent="0.3">
      <c r="A23" s="9"/>
      <c r="B23" s="9"/>
      <c r="C23" s="9"/>
      <c r="D23" s="9"/>
      <c r="E23" s="9"/>
      <c r="F23" s="9"/>
      <c r="G23" s="9"/>
      <c r="H23" s="9"/>
      <c r="I23" s="9"/>
      <c r="J23" s="9"/>
    </row>
    <row r="24" spans="1:10" ht="30" customHeight="1" x14ac:dyDescent="0.3">
      <c r="A24" s="9"/>
      <c r="B24" s="9"/>
      <c r="C24" s="9"/>
      <c r="D24" s="9"/>
      <c r="E24" s="9"/>
      <c r="F24" s="9"/>
      <c r="G24" s="9"/>
      <c r="H24" s="9"/>
      <c r="I24" s="9"/>
      <c r="J24" s="9"/>
    </row>
    <row r="25" spans="1:10" ht="30" customHeight="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</row>
    <row r="26" spans="1:10" ht="30" customHeight="1" x14ac:dyDescent="0.3">
      <c r="A26" s="9"/>
      <c r="B26" s="9"/>
      <c r="C26" s="9"/>
      <c r="D26" s="9"/>
      <c r="E26" s="9"/>
      <c r="F26" s="9"/>
      <c r="G26" s="9"/>
      <c r="H26" s="9"/>
      <c r="I26" s="9"/>
      <c r="J26" s="9"/>
    </row>
    <row r="27" spans="1:10" ht="30" customHeight="1" x14ac:dyDescent="0.3">
      <c r="A27" s="9"/>
      <c r="B27" s="9"/>
      <c r="C27" s="9"/>
      <c r="D27" s="9"/>
      <c r="E27" s="9"/>
      <c r="F27" s="9"/>
      <c r="G27" s="9"/>
      <c r="H27" s="9"/>
      <c r="I27" s="9"/>
      <c r="J27" s="9"/>
    </row>
    <row r="28" spans="1:10" ht="30" customHeight="1" x14ac:dyDescent="0.3">
      <c r="A28" s="9"/>
      <c r="B28" s="9"/>
      <c r="C28" s="9"/>
      <c r="D28" s="9"/>
      <c r="E28" s="9"/>
      <c r="F28" s="9"/>
      <c r="G28" s="9"/>
      <c r="H28" s="9"/>
      <c r="I28" s="9"/>
      <c r="J28" s="9"/>
    </row>
    <row r="29" spans="1:10" ht="30" customHeight="1" x14ac:dyDescent="0.3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spans="1:10" ht="30" customHeight="1" x14ac:dyDescent="0.3">
      <c r="A30" s="9"/>
      <c r="B30" s="9"/>
      <c r="C30" s="9"/>
      <c r="D30" s="9"/>
      <c r="E30" s="9"/>
      <c r="F30" s="9"/>
      <c r="G30" s="9"/>
      <c r="H30" s="9"/>
      <c r="I30" s="9"/>
      <c r="J30" s="9"/>
    </row>
    <row r="31" spans="1:10" ht="30" customHeight="1" x14ac:dyDescent="0.3">
      <c r="A31" s="9"/>
      <c r="B31" s="9"/>
      <c r="C31" s="9"/>
      <c r="D31" s="9"/>
      <c r="E31" s="9"/>
      <c r="F31" s="9"/>
      <c r="G31" s="9"/>
      <c r="H31" s="9"/>
      <c r="I31" s="9"/>
      <c r="J31" s="9"/>
    </row>
    <row r="32" spans="1:10" ht="30" customHeight="1" x14ac:dyDescent="0.3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spans="1:10" ht="30" customHeight="1" x14ac:dyDescent="0.3">
      <c r="A33" s="9"/>
      <c r="B33" s="9"/>
      <c r="C33" s="9"/>
      <c r="D33" s="9"/>
      <c r="E33" s="9"/>
      <c r="F33" s="9"/>
      <c r="G33" s="9"/>
      <c r="H33" s="9"/>
      <c r="I33" s="9"/>
      <c r="J33" s="9"/>
    </row>
    <row r="34" spans="1:10" ht="30" customHeight="1" x14ac:dyDescent="0.3">
      <c r="A34" s="9"/>
      <c r="B34" s="9"/>
      <c r="C34" s="9"/>
      <c r="D34" s="9"/>
      <c r="E34" s="9"/>
      <c r="F34" s="9"/>
      <c r="G34" s="9"/>
      <c r="H34" s="9"/>
      <c r="I34" s="9"/>
      <c r="J34" s="9"/>
    </row>
    <row r="35" spans="1:10" ht="30" customHeight="1" x14ac:dyDescent="0.3">
      <c r="A35" s="9"/>
      <c r="B35" s="9"/>
      <c r="C35" s="9"/>
      <c r="D35" s="9"/>
      <c r="E35" s="9"/>
      <c r="F35" s="9"/>
      <c r="G35" s="9"/>
      <c r="H35" s="9"/>
      <c r="I35" s="9"/>
      <c r="J35" s="9"/>
    </row>
    <row r="36" spans="1:10" ht="30" customHeight="1" x14ac:dyDescent="0.3">
      <c r="A36" s="9"/>
      <c r="B36" s="9"/>
      <c r="C36" s="9"/>
      <c r="D36" s="9"/>
      <c r="E36" s="9"/>
      <c r="F36" s="9"/>
      <c r="G36" s="9"/>
      <c r="H36" s="9"/>
      <c r="I36" s="9"/>
      <c r="J36" s="9"/>
    </row>
    <row r="37" spans="1:10" ht="30" customHeight="1" x14ac:dyDescent="0.3">
      <c r="A37" s="9"/>
      <c r="B37" s="9"/>
      <c r="C37" s="9"/>
      <c r="D37" s="9"/>
      <c r="E37" s="9"/>
      <c r="F37" s="9"/>
      <c r="G37" s="9"/>
      <c r="H37" s="9"/>
      <c r="I37" s="9"/>
      <c r="J37" s="9"/>
    </row>
    <row r="38" spans="1:10" ht="30" customHeight="1" x14ac:dyDescent="0.3">
      <c r="A38" s="9"/>
      <c r="B38" s="9"/>
      <c r="C38" s="9"/>
      <c r="D38" s="9"/>
      <c r="E38" s="9"/>
      <c r="F38" s="9"/>
      <c r="G38" s="9"/>
      <c r="H38" s="9"/>
      <c r="I38" s="9"/>
      <c r="J38" s="9"/>
    </row>
    <row r="39" spans="1:10" ht="30" customHeight="1" x14ac:dyDescent="0.3">
      <c r="A39" s="9"/>
      <c r="B39" s="9"/>
      <c r="C39" s="9"/>
      <c r="D39" s="9"/>
      <c r="E39" s="9"/>
      <c r="F39" s="9"/>
      <c r="G39" s="9"/>
      <c r="H39" s="9"/>
      <c r="I39" s="9"/>
      <c r="J39" s="9"/>
    </row>
    <row r="40" spans="1:10" ht="30" customHeight="1" x14ac:dyDescent="0.3">
      <c r="A40" s="9"/>
      <c r="B40" s="9"/>
      <c r="C40" s="9"/>
      <c r="D40" s="9"/>
      <c r="E40" s="9"/>
      <c r="F40" s="9"/>
      <c r="G40" s="9"/>
      <c r="H40" s="9"/>
      <c r="I40" s="9"/>
      <c r="J40" s="9"/>
    </row>
    <row r="41" spans="1:10" ht="30" customHeight="1" x14ac:dyDescent="0.3">
      <c r="A41" s="9"/>
      <c r="B41" s="9"/>
      <c r="C41" s="9"/>
      <c r="D41" s="9"/>
      <c r="E41" s="9"/>
      <c r="F41" s="9"/>
      <c r="G41" s="9"/>
      <c r="H41" s="9"/>
      <c r="I41" s="9"/>
      <c r="J41" s="9"/>
    </row>
    <row r="42" spans="1:10" ht="30" customHeight="1" x14ac:dyDescent="0.3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spans="1:10" ht="30" customHeight="1" x14ac:dyDescent="0.3">
      <c r="A43" s="9"/>
      <c r="B43" s="9"/>
      <c r="C43" s="9"/>
      <c r="D43" s="9"/>
      <c r="E43" s="9"/>
      <c r="F43" s="9"/>
      <c r="G43" s="9"/>
      <c r="H43" s="9"/>
      <c r="I43" s="9"/>
      <c r="J43" s="9"/>
    </row>
    <row r="44" spans="1:10" ht="30" customHeight="1" x14ac:dyDescent="0.3">
      <c r="A44" s="9"/>
      <c r="B44" s="9"/>
      <c r="C44" s="9"/>
      <c r="D44" s="9"/>
      <c r="E44" s="9"/>
      <c r="F44" s="9"/>
      <c r="G44" s="9"/>
      <c r="H44" s="9"/>
      <c r="I44" s="9"/>
      <c r="J44" s="9"/>
    </row>
    <row r="45" spans="1:10" ht="30" customHeight="1" x14ac:dyDescent="0.3">
      <c r="A45" s="9"/>
      <c r="B45" s="9"/>
      <c r="C45" s="9"/>
      <c r="D45" s="9"/>
      <c r="E45" s="9"/>
      <c r="F45" s="9"/>
      <c r="G45" s="9"/>
      <c r="H45" s="9"/>
      <c r="I45" s="9"/>
      <c r="J45" s="9"/>
    </row>
    <row r="46" spans="1:10" ht="30" customHeight="1" x14ac:dyDescent="0.3">
      <c r="A46" s="9"/>
      <c r="B46" s="9"/>
      <c r="C46" s="9"/>
      <c r="D46" s="9"/>
      <c r="E46" s="9"/>
      <c r="F46" s="9"/>
      <c r="G46" s="9"/>
      <c r="H46" s="9"/>
      <c r="I46" s="9"/>
      <c r="J46" s="9"/>
    </row>
    <row r="47" spans="1:10" ht="30" customHeight="1" x14ac:dyDescent="0.3">
      <c r="A47" s="9"/>
      <c r="B47" s="9"/>
      <c r="C47" s="9"/>
      <c r="D47" s="9"/>
      <c r="E47" s="9"/>
      <c r="F47" s="9"/>
      <c r="G47" s="9"/>
      <c r="H47" s="9"/>
      <c r="I47" s="9"/>
      <c r="J47" s="9"/>
    </row>
    <row r="48" spans="1:10" ht="30" customHeight="1" x14ac:dyDescent="0.3">
      <c r="A48" s="9"/>
      <c r="B48" s="9"/>
      <c r="C48" s="9"/>
      <c r="D48" s="9"/>
      <c r="E48" s="9"/>
      <c r="F48" s="9"/>
      <c r="G48" s="9"/>
      <c r="H48" s="9"/>
      <c r="I48" s="9"/>
      <c r="J48" s="9"/>
    </row>
    <row r="49" spans="1:10" ht="30" customHeight="1" x14ac:dyDescent="0.3">
      <c r="A49" s="9"/>
      <c r="B49" s="9"/>
      <c r="C49" s="9"/>
      <c r="D49" s="9"/>
      <c r="E49" s="9"/>
      <c r="F49" s="9"/>
      <c r="G49" s="9"/>
      <c r="H49" s="9"/>
      <c r="I49" s="9"/>
      <c r="J49" s="9"/>
    </row>
    <row r="50" spans="1:10" ht="30" customHeight="1" x14ac:dyDescent="0.3">
      <c r="A50" s="9"/>
      <c r="B50" s="9"/>
      <c r="C50" s="9"/>
      <c r="D50" s="9"/>
      <c r="E50" s="9"/>
      <c r="F50" s="9"/>
      <c r="G50" s="9"/>
      <c r="H50" s="9"/>
      <c r="I50" s="9"/>
      <c r="J50" s="9"/>
    </row>
    <row r="51" spans="1:10" ht="30" customHeight="1" x14ac:dyDescent="0.3">
      <c r="A51" s="9"/>
      <c r="B51" s="9"/>
      <c r="C51" s="9"/>
      <c r="D51" s="9"/>
      <c r="E51" s="9"/>
      <c r="F51" s="9"/>
      <c r="G51" s="9"/>
      <c r="H51" s="9"/>
      <c r="I51" s="9"/>
      <c r="J51" s="9"/>
    </row>
    <row r="52" spans="1:10" ht="30" customHeight="1" x14ac:dyDescent="0.3">
      <c r="A52" s="9"/>
      <c r="B52" s="9"/>
      <c r="C52" s="9"/>
      <c r="D52" s="9"/>
      <c r="E52" s="9"/>
      <c r="F52" s="9"/>
      <c r="G52" s="9"/>
      <c r="H52" s="9"/>
      <c r="I52" s="9"/>
      <c r="J52" s="9"/>
    </row>
    <row r="53" spans="1:10" ht="30" customHeight="1" x14ac:dyDescent="0.3">
      <c r="A53" s="9"/>
      <c r="B53" s="9"/>
      <c r="C53" s="9"/>
      <c r="D53" s="9"/>
      <c r="E53" s="9"/>
      <c r="F53" s="9"/>
      <c r="G53" s="9"/>
      <c r="H53" s="9"/>
      <c r="I53" s="9"/>
      <c r="J53" s="9"/>
    </row>
    <row r="54" spans="1:10" ht="30" customHeight="1" x14ac:dyDescent="0.3">
      <c r="A54" s="9"/>
      <c r="B54" s="9"/>
      <c r="C54" s="9"/>
      <c r="D54" s="9"/>
      <c r="E54" s="9"/>
      <c r="F54" s="9"/>
      <c r="G54" s="9"/>
      <c r="H54" s="9"/>
      <c r="I54" s="9"/>
      <c r="J54" s="9"/>
    </row>
    <row r="55" spans="1:10" ht="30" customHeight="1" x14ac:dyDescent="0.3">
      <c r="A55" s="9"/>
      <c r="B55" s="9"/>
      <c r="C55" s="9"/>
      <c r="D55" s="9"/>
      <c r="E55" s="9"/>
      <c r="F55" s="9"/>
      <c r="G55" s="9"/>
      <c r="H55" s="9"/>
      <c r="I55" s="9"/>
      <c r="J55" s="9"/>
    </row>
    <row r="56" spans="1:10" ht="30" customHeight="1" x14ac:dyDescent="0.3">
      <c r="A56" s="9"/>
      <c r="B56" s="9"/>
      <c r="C56" s="9"/>
      <c r="D56" s="9"/>
      <c r="E56" s="9"/>
      <c r="F56" s="9"/>
      <c r="G56" s="9"/>
      <c r="H56" s="9"/>
      <c r="I56" s="9"/>
      <c r="J56" s="9"/>
    </row>
    <row r="57" spans="1:10" ht="30" customHeight="1" x14ac:dyDescent="0.3">
      <c r="A57" s="9"/>
      <c r="B57" s="9"/>
      <c r="C57" s="9"/>
      <c r="D57" s="9"/>
      <c r="E57" s="9"/>
      <c r="F57" s="9"/>
      <c r="G57" s="9"/>
      <c r="H57" s="9"/>
      <c r="I57" s="9"/>
      <c r="J57" s="9"/>
    </row>
    <row r="58" spans="1:10" ht="30" customHeight="1" x14ac:dyDescent="0.3">
      <c r="A58" s="9"/>
      <c r="B58" s="9"/>
      <c r="C58" s="9"/>
      <c r="D58" s="9"/>
      <c r="E58" s="9"/>
      <c r="F58" s="9"/>
      <c r="G58" s="9"/>
      <c r="H58" s="9"/>
      <c r="I58" s="9"/>
      <c r="J58" s="9"/>
    </row>
    <row r="59" spans="1:10" ht="30" customHeight="1" x14ac:dyDescent="0.3">
      <c r="A59" s="9"/>
      <c r="B59" s="9"/>
      <c r="C59" s="9"/>
      <c r="D59" s="9"/>
      <c r="E59" s="9"/>
      <c r="F59" s="9"/>
      <c r="G59" s="9"/>
      <c r="H59" s="9"/>
      <c r="I59" s="9"/>
      <c r="J59" s="9"/>
    </row>
    <row r="60" spans="1:10" ht="30" customHeight="1" x14ac:dyDescent="0.3">
      <c r="A60" s="9"/>
      <c r="B60" s="9"/>
      <c r="C60" s="9"/>
      <c r="D60" s="9"/>
      <c r="E60" s="9"/>
      <c r="F60" s="9"/>
      <c r="G60" s="9"/>
      <c r="H60" s="9"/>
      <c r="I60" s="9"/>
      <c r="J60" s="9"/>
    </row>
    <row r="61" spans="1:10" ht="30" customHeight="1" x14ac:dyDescent="0.3">
      <c r="A61" s="9"/>
      <c r="B61" s="9"/>
      <c r="C61" s="9"/>
      <c r="D61" s="9"/>
      <c r="E61" s="9"/>
      <c r="F61" s="9"/>
      <c r="G61" s="9"/>
      <c r="H61" s="9"/>
      <c r="I61" s="9"/>
      <c r="J61" s="9"/>
    </row>
    <row r="62" spans="1:10" ht="30" customHeight="1" x14ac:dyDescent="0.3">
      <c r="A62" s="9"/>
      <c r="B62" s="9"/>
      <c r="C62" s="9"/>
      <c r="D62" s="9"/>
      <c r="E62" s="9"/>
      <c r="F62" s="9"/>
      <c r="G62" s="9"/>
      <c r="H62" s="9"/>
      <c r="I62" s="9"/>
      <c r="J62" s="9"/>
    </row>
    <row r="63" spans="1:10" ht="30" customHeight="1" x14ac:dyDescent="0.3">
      <c r="A63" s="9"/>
      <c r="B63" s="9"/>
      <c r="C63" s="9"/>
      <c r="D63" s="9"/>
      <c r="E63" s="9"/>
      <c r="F63" s="9"/>
      <c r="G63" s="9"/>
      <c r="H63" s="9"/>
      <c r="I63" s="9"/>
      <c r="J63" s="9"/>
    </row>
    <row r="64" spans="1:10" ht="30" customHeight="1" x14ac:dyDescent="0.3">
      <c r="A64" s="9"/>
      <c r="B64" s="9"/>
      <c r="C64" s="9"/>
      <c r="D64" s="9"/>
      <c r="E64" s="9"/>
      <c r="F64" s="9"/>
      <c r="G64" s="9"/>
      <c r="H64" s="9"/>
      <c r="I64" s="9"/>
      <c r="J64" s="9"/>
    </row>
    <row r="65" spans="1:10" ht="30" customHeight="1" x14ac:dyDescent="0.3">
      <c r="A65" s="9"/>
      <c r="B65" s="9"/>
      <c r="C65" s="9"/>
      <c r="D65" s="9"/>
      <c r="E65" s="9"/>
      <c r="F65" s="9"/>
      <c r="G65" s="9"/>
      <c r="H65" s="9"/>
      <c r="I65" s="9"/>
      <c r="J65" s="9"/>
    </row>
    <row r="66" spans="1:10" ht="30" customHeight="1" x14ac:dyDescent="0.3">
      <c r="A66" s="9"/>
      <c r="B66" s="9"/>
      <c r="C66" s="9"/>
      <c r="D66" s="9"/>
      <c r="E66" s="9"/>
      <c r="F66" s="9"/>
      <c r="G66" s="9"/>
      <c r="H66" s="9"/>
      <c r="I66" s="9"/>
      <c r="J66" s="9"/>
    </row>
    <row r="67" spans="1:10" ht="30" customHeight="1" x14ac:dyDescent="0.3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spans="1:10" ht="30" customHeight="1" x14ac:dyDescent="0.3">
      <c r="A68" s="9"/>
      <c r="B68" s="9"/>
      <c r="C68" s="9"/>
      <c r="D68" s="9"/>
      <c r="E68" s="9"/>
      <c r="F68" s="9"/>
      <c r="G68" s="9"/>
      <c r="H68" s="9"/>
      <c r="I68" s="9"/>
      <c r="J68" s="9"/>
    </row>
    <row r="69" spans="1:10" ht="30" customHeight="1" x14ac:dyDescent="0.3">
      <c r="A69" s="9"/>
      <c r="B69" s="9"/>
      <c r="C69" s="9"/>
      <c r="D69" s="9"/>
      <c r="E69" s="9"/>
      <c r="F69" s="9"/>
      <c r="G69" s="9"/>
      <c r="H69" s="9"/>
      <c r="I69" s="9"/>
      <c r="J69" s="9"/>
    </row>
    <row r="70" spans="1:10" ht="30" customHeight="1" x14ac:dyDescent="0.3">
      <c r="A70" s="9"/>
      <c r="B70" s="9"/>
      <c r="C70" s="9"/>
      <c r="D70" s="9"/>
      <c r="E70" s="9"/>
      <c r="F70" s="9"/>
      <c r="G70" s="9"/>
      <c r="H70" s="9"/>
      <c r="I70" s="9"/>
      <c r="J70" s="9"/>
    </row>
    <row r="71" spans="1:10" ht="30" customHeight="1" x14ac:dyDescent="0.3">
      <c r="A71" s="9"/>
      <c r="B71" s="9"/>
      <c r="C71" s="9"/>
      <c r="D71" s="9"/>
      <c r="E71" s="9"/>
      <c r="F71" s="9"/>
      <c r="G71" s="9"/>
      <c r="H71" s="9"/>
      <c r="I71" s="9"/>
      <c r="J71" s="9"/>
    </row>
    <row r="72" spans="1:10" ht="30" customHeight="1" x14ac:dyDescent="0.3">
      <c r="A72" s="9"/>
      <c r="B72" s="9"/>
      <c r="C72" s="9"/>
      <c r="D72" s="9"/>
      <c r="E72" s="9"/>
      <c r="F72" s="9"/>
      <c r="G72" s="9"/>
      <c r="H72" s="9"/>
      <c r="I72" s="9"/>
      <c r="J72" s="9"/>
    </row>
    <row r="73" spans="1:10" ht="30" customHeight="1" x14ac:dyDescent="0.3">
      <c r="A73" s="9"/>
      <c r="B73" s="9"/>
      <c r="C73" s="9"/>
      <c r="D73" s="9"/>
      <c r="E73" s="9"/>
      <c r="F73" s="9"/>
      <c r="G73" s="9"/>
      <c r="H73" s="9"/>
      <c r="I73" s="9"/>
      <c r="J73" s="9"/>
    </row>
    <row r="74" spans="1:10" ht="30" customHeight="1" x14ac:dyDescent="0.3">
      <c r="A74" s="9"/>
      <c r="B74" s="9"/>
      <c r="C74" s="9"/>
      <c r="D74" s="9"/>
      <c r="E74" s="9"/>
      <c r="F74" s="9"/>
      <c r="G74" s="9"/>
      <c r="H74" s="9"/>
      <c r="I74" s="9"/>
      <c r="J74" s="9"/>
    </row>
    <row r="75" spans="1:10" ht="30" customHeight="1" x14ac:dyDescent="0.3">
      <c r="A75" s="9"/>
      <c r="B75" s="9"/>
      <c r="C75" s="9"/>
      <c r="D75" s="9"/>
      <c r="E75" s="9"/>
      <c r="F75" s="9"/>
      <c r="G75" s="9"/>
      <c r="H75" s="9"/>
      <c r="I75" s="9"/>
      <c r="J75" s="9"/>
    </row>
    <row r="76" spans="1:10" ht="30" customHeight="1" x14ac:dyDescent="0.3">
      <c r="A76" s="9"/>
      <c r="B76" s="9"/>
      <c r="C76" s="9"/>
      <c r="D76" s="9"/>
      <c r="E76" s="9"/>
      <c r="F76" s="9"/>
      <c r="G76" s="9"/>
      <c r="H76" s="9"/>
      <c r="I76" s="9"/>
      <c r="J76" s="9"/>
    </row>
    <row r="77" spans="1:10" ht="30" customHeight="1" x14ac:dyDescent="0.3">
      <c r="A77" s="9"/>
      <c r="B77" s="9"/>
      <c r="C77" s="9"/>
      <c r="D77" s="9"/>
      <c r="E77" s="9"/>
      <c r="F77" s="9"/>
      <c r="G77" s="9"/>
      <c r="H77" s="9"/>
      <c r="I77" s="9"/>
      <c r="J77" s="9"/>
    </row>
    <row r="78" spans="1:10" ht="30" customHeight="1" x14ac:dyDescent="0.3">
      <c r="A78" s="9"/>
      <c r="B78" s="9"/>
      <c r="C78" s="9"/>
      <c r="D78" s="9"/>
      <c r="E78" s="9"/>
      <c r="F78" s="9"/>
      <c r="G78" s="9"/>
      <c r="H78" s="9"/>
      <c r="I78" s="9"/>
      <c r="J78" s="9"/>
    </row>
    <row r="79" spans="1:10" ht="30" customHeight="1" x14ac:dyDescent="0.3">
      <c r="A79" s="9"/>
      <c r="B79" s="9"/>
      <c r="C79" s="9"/>
      <c r="D79" s="9"/>
      <c r="E79" s="9"/>
      <c r="F79" s="9"/>
      <c r="G79" s="9"/>
      <c r="H79" s="9"/>
      <c r="I79" s="9"/>
      <c r="J79" s="9"/>
    </row>
    <row r="80" spans="1:10" ht="30" customHeight="1" x14ac:dyDescent="0.3">
      <c r="A80" s="9"/>
      <c r="B80" s="9"/>
      <c r="C80" s="9"/>
      <c r="D80" s="9"/>
      <c r="E80" s="9"/>
      <c r="F80" s="9"/>
      <c r="G80" s="9"/>
      <c r="H80" s="9"/>
      <c r="I80" s="9"/>
      <c r="J80" s="9"/>
    </row>
    <row r="81" spans="1:10" ht="30" customHeight="1" x14ac:dyDescent="0.3">
      <c r="A81" s="9"/>
      <c r="B81" s="9"/>
      <c r="C81" s="9"/>
      <c r="D81" s="9"/>
      <c r="E81" s="9"/>
      <c r="F81" s="9"/>
      <c r="G81" s="9"/>
      <c r="H81" s="9"/>
      <c r="I81" s="9"/>
      <c r="J81" s="9"/>
    </row>
    <row r="82" spans="1:10" ht="30" customHeight="1" x14ac:dyDescent="0.3">
      <c r="A82" s="9"/>
      <c r="B82" s="9"/>
      <c r="C82" s="9"/>
      <c r="D82" s="9"/>
      <c r="E82" s="9"/>
      <c r="F82" s="9"/>
      <c r="G82" s="9"/>
      <c r="H82" s="9"/>
      <c r="I82" s="9"/>
      <c r="J82" s="9"/>
    </row>
    <row r="83" spans="1:10" ht="30" customHeight="1" x14ac:dyDescent="0.3">
      <c r="A83" s="9"/>
      <c r="B83" s="9"/>
      <c r="C83" s="9"/>
      <c r="D83" s="9"/>
      <c r="E83" s="9"/>
      <c r="F83" s="9"/>
      <c r="G83" s="9"/>
      <c r="H83" s="9"/>
      <c r="I83" s="9"/>
      <c r="J83" s="9"/>
    </row>
    <row r="84" spans="1:10" ht="30" customHeight="1" x14ac:dyDescent="0.3">
      <c r="A84" s="9"/>
      <c r="B84" s="9"/>
      <c r="C84" s="9"/>
      <c r="D84" s="9"/>
      <c r="E84" s="9"/>
      <c r="F84" s="9"/>
      <c r="G84" s="9"/>
      <c r="H84" s="9"/>
      <c r="I84" s="9"/>
      <c r="J84" s="9"/>
    </row>
    <row r="85" spans="1:10" ht="30" customHeight="1" x14ac:dyDescent="0.3">
      <c r="A85" s="9"/>
      <c r="B85" s="9"/>
      <c r="C85" s="9"/>
      <c r="D85" s="9"/>
      <c r="E85" s="9"/>
      <c r="F85" s="9"/>
      <c r="G85" s="9"/>
      <c r="H85" s="9"/>
      <c r="I85" s="9"/>
      <c r="J85" s="9"/>
    </row>
    <row r="86" spans="1:10" ht="30" customHeight="1" x14ac:dyDescent="0.3">
      <c r="A86" s="9"/>
      <c r="B86" s="9"/>
      <c r="C86" s="9"/>
      <c r="D86" s="9"/>
      <c r="E86" s="9"/>
      <c r="F86" s="9"/>
      <c r="G86" s="9"/>
      <c r="H86" s="9"/>
      <c r="I86" s="9"/>
      <c r="J86" s="9"/>
    </row>
    <row r="87" spans="1:10" ht="30" customHeight="1" x14ac:dyDescent="0.3">
      <c r="A87" s="9"/>
      <c r="B87" s="9"/>
      <c r="C87" s="9"/>
      <c r="D87" s="9"/>
      <c r="E87" s="9"/>
      <c r="F87" s="9"/>
      <c r="G87" s="9"/>
      <c r="H87" s="9"/>
      <c r="I87" s="9"/>
      <c r="J87" s="9"/>
    </row>
    <row r="88" spans="1:10" ht="30" customHeight="1" x14ac:dyDescent="0.3">
      <c r="A88" s="9"/>
      <c r="B88" s="9"/>
      <c r="C88" s="9"/>
      <c r="D88" s="9"/>
      <c r="E88" s="9"/>
      <c r="F88" s="9"/>
      <c r="G88" s="9"/>
      <c r="H88" s="9"/>
      <c r="I88" s="9"/>
      <c r="J88" s="9"/>
    </row>
    <row r="89" spans="1:10" ht="30" customHeight="1" x14ac:dyDescent="0.3">
      <c r="A89" s="9"/>
      <c r="B89" s="9"/>
      <c r="C89" s="9"/>
      <c r="D89" s="9"/>
      <c r="E89" s="9"/>
      <c r="F89" s="9"/>
      <c r="G89" s="9"/>
      <c r="H89" s="9"/>
      <c r="I89" s="9"/>
      <c r="J89" s="9"/>
    </row>
    <row r="90" spans="1:10" ht="30" customHeight="1" x14ac:dyDescent="0.3">
      <c r="A90" s="9"/>
      <c r="B90" s="9"/>
      <c r="C90" s="9"/>
      <c r="D90" s="9"/>
      <c r="E90" s="9"/>
      <c r="F90" s="9"/>
      <c r="G90" s="9"/>
      <c r="H90" s="9"/>
      <c r="I90" s="9"/>
      <c r="J90" s="9"/>
    </row>
    <row r="91" spans="1:10" ht="30" customHeight="1" x14ac:dyDescent="0.3">
      <c r="A91" s="9"/>
      <c r="B91" s="9"/>
      <c r="C91" s="9"/>
      <c r="D91" s="9"/>
      <c r="E91" s="9"/>
      <c r="F91" s="9"/>
      <c r="G91" s="9"/>
      <c r="H91" s="9"/>
      <c r="I91" s="9"/>
      <c r="J91" s="9"/>
    </row>
    <row r="92" spans="1:10" ht="30" customHeight="1" x14ac:dyDescent="0.3">
      <c r="A92" s="9"/>
      <c r="B92" s="9"/>
      <c r="C92" s="9"/>
      <c r="D92" s="9"/>
      <c r="E92" s="9"/>
      <c r="F92" s="9"/>
      <c r="G92" s="9"/>
      <c r="H92" s="9"/>
      <c r="I92" s="9"/>
      <c r="J92" s="9"/>
    </row>
    <row r="93" spans="1:10" ht="30" customHeight="1" x14ac:dyDescent="0.3">
      <c r="A93" s="9"/>
      <c r="B93" s="9"/>
      <c r="C93" s="9"/>
      <c r="D93" s="9"/>
      <c r="E93" s="9"/>
      <c r="F93" s="9"/>
      <c r="G93" s="9"/>
      <c r="H93" s="9"/>
      <c r="I93" s="9"/>
      <c r="J93" s="9"/>
    </row>
    <row r="94" spans="1:10" ht="30" customHeight="1" x14ac:dyDescent="0.3">
      <c r="A94" s="9"/>
      <c r="B94" s="9"/>
      <c r="C94" s="9"/>
      <c r="D94" s="9"/>
      <c r="E94" s="9"/>
      <c r="F94" s="9"/>
      <c r="G94" s="9"/>
      <c r="H94" s="9"/>
      <c r="I94" s="9"/>
      <c r="J94" s="9"/>
    </row>
    <row r="95" spans="1:10" ht="30" customHeight="1" x14ac:dyDescent="0.3">
      <c r="A95" s="9"/>
      <c r="B95" s="9"/>
      <c r="C95" s="9"/>
      <c r="D95" s="9"/>
      <c r="E95" s="9"/>
      <c r="F95" s="9"/>
      <c r="G95" s="9"/>
      <c r="H95" s="9"/>
      <c r="I95" s="9"/>
      <c r="J95" s="9"/>
    </row>
    <row r="96" spans="1:10" ht="30" customHeight="1" x14ac:dyDescent="0.3">
      <c r="A96" s="9"/>
      <c r="B96" s="9"/>
      <c r="C96" s="9"/>
      <c r="D96" s="9"/>
      <c r="E96" s="9"/>
      <c r="F96" s="9"/>
      <c r="G96" s="9"/>
      <c r="H96" s="9"/>
      <c r="I96" s="9"/>
      <c r="J96" s="9"/>
    </row>
    <row r="97" spans="1:10" ht="30" customHeight="1" x14ac:dyDescent="0.3">
      <c r="A97" s="9"/>
      <c r="B97" s="9"/>
      <c r="C97" s="9"/>
      <c r="D97" s="9"/>
      <c r="E97" s="9"/>
      <c r="F97" s="9"/>
      <c r="G97" s="9"/>
      <c r="H97" s="9"/>
      <c r="I97" s="9"/>
      <c r="J97" s="9"/>
    </row>
    <row r="98" spans="1:10" ht="30" customHeight="1" x14ac:dyDescent="0.3">
      <c r="A98" s="9"/>
      <c r="B98" s="9"/>
      <c r="C98" s="9"/>
      <c r="D98" s="9"/>
      <c r="E98" s="9"/>
      <c r="F98" s="9"/>
      <c r="G98" s="9"/>
      <c r="H98" s="9"/>
      <c r="I98" s="9"/>
      <c r="J98" s="9"/>
    </row>
    <row r="99" spans="1:10" ht="30" customHeight="1" x14ac:dyDescent="0.3">
      <c r="A99" s="9"/>
      <c r="B99" s="9"/>
      <c r="C99" s="9"/>
      <c r="D99" s="9"/>
      <c r="E99" s="9"/>
      <c r="F99" s="9"/>
      <c r="G99" s="9"/>
      <c r="H99" s="9"/>
      <c r="I99" s="9"/>
      <c r="J99" s="9"/>
    </row>
    <row r="100" spans="1:10" ht="30" customHeight="1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</row>
    <row r="101" spans="1:10" ht="30" customHeight="1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</row>
    <row r="102" spans="1:10" ht="30" customHeight="1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</row>
    <row r="103" spans="1:10" ht="30" customHeight="1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</row>
    <row r="104" spans="1:10" ht="30" customHeight="1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</row>
    <row r="105" spans="1:10" ht="30" customHeight="1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</row>
    <row r="106" spans="1:10" ht="30" customHeight="1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</row>
    <row r="107" spans="1:10" ht="30" customHeight="1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</row>
    <row r="108" spans="1:10" ht="30" customHeight="1" x14ac:dyDescent="0.3"/>
    <row r="109" spans="1:10" ht="30" customHeight="1" x14ac:dyDescent="0.3"/>
    <row r="110" spans="1:10" ht="30" customHeight="1" x14ac:dyDescent="0.3"/>
    <row r="111" spans="1:10" ht="30" customHeight="1" x14ac:dyDescent="0.3"/>
    <row r="112" spans="1:10" ht="30" customHeight="1" x14ac:dyDescent="0.3"/>
    <row r="113" ht="30" customHeight="1" x14ac:dyDescent="0.3"/>
    <row r="114" ht="30" customHeight="1" x14ac:dyDescent="0.3"/>
    <row r="115" ht="30" customHeight="1" x14ac:dyDescent="0.3"/>
  </sheetData>
  <mergeCells count="1">
    <mergeCell ref="B3:I3"/>
  </mergeCells>
  <pageMargins left="0.511811024" right="0.511811024" top="0.78740157499999996" bottom="0.78740157499999996" header="0.31496062000000002" footer="0.31496062000000002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2EC0F-48BA-45A8-841A-0E0FCA549C26}">
  <dimension ref="A3:L13"/>
  <sheetViews>
    <sheetView workbookViewId="0">
      <selection activeCell="K9" sqref="K9"/>
    </sheetView>
  </sheetViews>
  <sheetFormatPr defaultRowHeight="14.4" x14ac:dyDescent="0.3"/>
  <cols>
    <col min="1" max="1" width="17.21875" bestFit="1" customWidth="1"/>
    <col min="2" max="2" width="15" bestFit="1" customWidth="1"/>
    <col min="5" max="5" width="17.21875" bestFit="1" customWidth="1"/>
    <col min="6" max="6" width="18.5546875" bestFit="1" customWidth="1"/>
    <col min="7" max="7" width="16.109375" bestFit="1" customWidth="1"/>
    <col min="8" max="8" width="10" bestFit="1" customWidth="1"/>
    <col min="9" max="9" width="23.21875" bestFit="1" customWidth="1"/>
    <col min="10" max="10" width="12.6640625" customWidth="1"/>
    <col min="11" max="11" width="47" bestFit="1" customWidth="1"/>
    <col min="12" max="12" width="24.5546875" bestFit="1" customWidth="1"/>
    <col min="13" max="13" width="32.44140625" bestFit="1" customWidth="1"/>
    <col min="14" max="14" width="7.33203125" bestFit="1" customWidth="1"/>
    <col min="15" max="15" width="10" bestFit="1" customWidth="1"/>
  </cols>
  <sheetData>
    <row r="3" spans="1:12" x14ac:dyDescent="0.3">
      <c r="A3" s="4" t="s">
        <v>13</v>
      </c>
      <c r="B3" t="s">
        <v>18</v>
      </c>
      <c r="E3" s="4" t="s">
        <v>18</v>
      </c>
      <c r="F3" s="4" t="s">
        <v>19</v>
      </c>
      <c r="I3" t="s">
        <v>2</v>
      </c>
      <c r="K3" s="4" t="s">
        <v>13</v>
      </c>
      <c r="L3" t="s">
        <v>22</v>
      </c>
    </row>
    <row r="4" spans="1:12" x14ac:dyDescent="0.3">
      <c r="A4" s="5" t="s">
        <v>14</v>
      </c>
      <c r="B4">
        <v>3</v>
      </c>
      <c r="E4" s="4" t="s">
        <v>13</v>
      </c>
      <c r="F4" t="s">
        <v>2</v>
      </c>
      <c r="G4" t="s">
        <v>3</v>
      </c>
      <c r="I4">
        <f>SUM(F:F)</f>
        <v>4</v>
      </c>
      <c r="K4" s="5" t="s">
        <v>9</v>
      </c>
      <c r="L4">
        <v>1</v>
      </c>
    </row>
    <row r="5" spans="1:12" x14ac:dyDescent="0.3">
      <c r="A5" s="5" t="s">
        <v>15</v>
      </c>
      <c r="B5">
        <v>2</v>
      </c>
      <c r="E5" s="5" t="s">
        <v>14</v>
      </c>
      <c r="G5">
        <v>3</v>
      </c>
      <c r="K5" s="5" t="s">
        <v>7</v>
      </c>
      <c r="L5">
        <v>1</v>
      </c>
    </row>
    <row r="6" spans="1:12" x14ac:dyDescent="0.3">
      <c r="A6" s="5" t="s">
        <v>16</v>
      </c>
      <c r="B6">
        <v>3</v>
      </c>
      <c r="E6" s="5" t="s">
        <v>15</v>
      </c>
      <c r="F6">
        <v>1</v>
      </c>
      <c r="G6">
        <v>1</v>
      </c>
      <c r="I6" t="s">
        <v>3</v>
      </c>
      <c r="K6" s="5" t="s">
        <v>8</v>
      </c>
      <c r="L6">
        <v>1</v>
      </c>
    </row>
    <row r="7" spans="1:12" x14ac:dyDescent="0.3">
      <c r="A7" s="5" t="s">
        <v>17</v>
      </c>
      <c r="B7">
        <v>2</v>
      </c>
      <c r="E7" s="5" t="s">
        <v>16</v>
      </c>
      <c r="F7">
        <v>1</v>
      </c>
      <c r="G7">
        <v>2</v>
      </c>
      <c r="I7">
        <f>SUM(G:G)</f>
        <v>6</v>
      </c>
      <c r="K7" s="5" t="s">
        <v>10</v>
      </c>
      <c r="L7">
        <v>1</v>
      </c>
    </row>
    <row r="8" spans="1:12" x14ac:dyDescent="0.3">
      <c r="E8" s="5" t="s">
        <v>17</v>
      </c>
      <c r="F8">
        <v>2</v>
      </c>
      <c r="K8" s="5" t="s">
        <v>6</v>
      </c>
      <c r="L8">
        <v>1</v>
      </c>
    </row>
    <row r="9" spans="1:12" x14ac:dyDescent="0.3">
      <c r="I9" t="s">
        <v>20</v>
      </c>
      <c r="K9" s="5" t="s">
        <v>5</v>
      </c>
      <c r="L9">
        <v>1</v>
      </c>
    </row>
    <row r="10" spans="1:12" x14ac:dyDescent="0.3">
      <c r="I10">
        <f>I7+I4</f>
        <v>10</v>
      </c>
      <c r="K10" s="5" t="s">
        <v>11</v>
      </c>
      <c r="L10">
        <v>1</v>
      </c>
    </row>
    <row r="11" spans="1:12" x14ac:dyDescent="0.3">
      <c r="K11" s="5" t="s">
        <v>12</v>
      </c>
      <c r="L11">
        <v>1</v>
      </c>
    </row>
    <row r="12" spans="1:12" x14ac:dyDescent="0.3">
      <c r="I12" t="s">
        <v>21</v>
      </c>
      <c r="K12" s="5" t="s">
        <v>4</v>
      </c>
      <c r="L12">
        <v>2</v>
      </c>
    </row>
    <row r="13" spans="1:12" x14ac:dyDescent="0.3">
      <c r="I13" s="6">
        <f>I4/I10</f>
        <v>0.4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Cadastros</vt:lpstr>
      <vt:lpstr>Análises</vt:lpstr>
      <vt:lpstr>Despesas</vt:lpstr>
      <vt:lpstr>Dashboard</vt:lpstr>
      <vt:lpstr>Cálculos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Alfredo Araujo</dc:creator>
  <cp:keywords/>
  <dc:description/>
  <cp:lastModifiedBy>Alfredo Araujo</cp:lastModifiedBy>
  <cp:revision/>
  <dcterms:created xsi:type="dcterms:W3CDTF">2023-05-22T12:02:23Z</dcterms:created>
  <dcterms:modified xsi:type="dcterms:W3CDTF">2023-07-13T21:14:04Z</dcterms:modified>
  <cp:category/>
  <cp:contentStatus/>
</cp:coreProperties>
</file>