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ef611a7aa12e5d/2. Hashtag Treinamentos/1. Online/6. Suporte/Planilhas Excel/Planilha de Controle de Viagem/"/>
    </mc:Choice>
  </mc:AlternateContent>
  <xr:revisionPtr revIDLastSave="1570" documentId="8_{386D2BC6-A253-416A-AEE0-F5FF1BA0D2F6}" xr6:coauthVersionLast="45" xr6:coauthVersionMax="45" xr10:uidLastSave="{BC669624-6F67-4382-AE2E-654DB599A3D4}"/>
  <bookViews>
    <workbookView xWindow="-120" yWindow="-120" windowWidth="20730" windowHeight="11760" xr2:uid="{1E83A7C0-2DBA-4933-8521-6B667D51DE1D}"/>
  </bookViews>
  <sheets>
    <sheet name="Principal" sheetId="7" r:id="rId1"/>
    <sheet name="Checklist" sheetId="8" r:id="rId2"/>
    <sheet name="Categorias" sheetId="9" r:id="rId3"/>
    <sheet name="Auxiliar" sheetId="10" r:id="rId4"/>
    <sheet name="Instruções" sheetId="11" r:id="rId5"/>
  </sheets>
  <externalReferences>
    <externalReference r:id="rId6"/>
  </externalReferences>
  <definedNames>
    <definedName name="Adicionar_Combustível">#REF!</definedName>
    <definedName name="Adicionar_Hospedagem">#REF!</definedName>
    <definedName name="Adicionar_Passagens">#REF!</definedName>
    <definedName name="Adicionar_Refeições">#REF!</definedName>
    <definedName name="Comprimento">#REF!</definedName>
    <definedName name="Custo_Total_da_Viagem">#REF!</definedName>
    <definedName name="Total_com_Combustível">[1]!Combustível[[#Totals],[Valor]]</definedName>
    <definedName name="Total_com_Entretenimento">[1]!Diversos[[#Totals],[Custo total]]</definedName>
    <definedName name="Total_com_Hospedagem">[1]!Hospedagem[[#Totals],[Valor]]</definedName>
    <definedName name="Total_com_Passagens">[1]!Passagens[[#Totals],[Valor]]</definedName>
    <definedName name="Total_com_Refeições">[1]!Refeições[[#Totals],[Valor]]</definedName>
    <definedName name="Total_de_Viajant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7" l="1"/>
  <c r="I45" i="7"/>
  <c r="C7" i="8"/>
  <c r="G22" i="7" l="1"/>
  <c r="H22" i="7" s="1"/>
  <c r="I44" i="7"/>
  <c r="I43" i="7"/>
  <c r="F21" i="7" s="1"/>
  <c r="I42" i="7"/>
  <c r="F23" i="7" s="1"/>
  <c r="G23" i="7" s="1"/>
  <c r="H23" i="7" s="1"/>
  <c r="G21" i="7" l="1"/>
  <c r="H21" i="7" s="1"/>
  <c r="I32" i="7"/>
  <c r="I33" i="7"/>
  <c r="I34" i="7"/>
  <c r="I35" i="7"/>
  <c r="F18" i="7" s="1"/>
  <c r="I36" i="7"/>
  <c r="I37" i="7"/>
  <c r="I38" i="7"/>
  <c r="I39" i="7"/>
  <c r="I40" i="7"/>
  <c r="I41" i="7"/>
  <c r="F20" i="7" l="1"/>
  <c r="C6" i="10"/>
  <c r="C7" i="10" s="1"/>
  <c r="G18" i="7"/>
  <c r="H18" i="7" s="1"/>
  <c r="F17" i="7"/>
  <c r="F19" i="7"/>
  <c r="C6" i="8"/>
  <c r="C3" i="8"/>
  <c r="C5" i="8"/>
  <c r="E19" i="7" l="1"/>
  <c r="F24" i="7"/>
  <c r="G24" i="7" s="1"/>
  <c r="H24" i="7" s="1"/>
  <c r="E17" i="7"/>
  <c r="E23" i="7"/>
  <c r="E22" i="7"/>
  <c r="E21" i="7"/>
  <c r="G20" i="7"/>
  <c r="H20" i="7" s="1"/>
  <c r="E20" i="7"/>
  <c r="E18" i="7"/>
  <c r="C12" i="10"/>
  <c r="C13" i="10"/>
  <c r="G19" i="7"/>
  <c r="H19" i="7" s="1"/>
  <c r="G17" i="7"/>
  <c r="H17" i="7" s="1"/>
</calcChain>
</file>

<file path=xl/sharedStrings.xml><?xml version="1.0" encoding="utf-8"?>
<sst xmlns="http://schemas.openxmlformats.org/spreadsheetml/2006/main" count="170" uniqueCount="90">
  <si>
    <t>Transporte</t>
  </si>
  <si>
    <t>Aluguel de carro</t>
  </si>
  <si>
    <t>Pedágio</t>
  </si>
  <si>
    <t>Passagem</t>
  </si>
  <si>
    <t>Ônibus</t>
  </si>
  <si>
    <t>Hospedagem</t>
  </si>
  <si>
    <t>Airbnb</t>
  </si>
  <si>
    <t>Cartão de Crédito</t>
  </si>
  <si>
    <t>Outros</t>
  </si>
  <si>
    <t>Data</t>
  </si>
  <si>
    <t>Categoria</t>
  </si>
  <si>
    <t>Hotel</t>
  </si>
  <si>
    <t>Alimentação</t>
  </si>
  <si>
    <t>Combustível</t>
  </si>
  <si>
    <t>Presentes</t>
  </si>
  <si>
    <t>Item</t>
  </si>
  <si>
    <t>Situação</t>
  </si>
  <si>
    <t>Identidade</t>
  </si>
  <si>
    <t>CPF</t>
  </si>
  <si>
    <t>Sim</t>
  </si>
  <si>
    <t>Não</t>
  </si>
  <si>
    <t>Imprevistos</t>
  </si>
  <si>
    <t>Pendências</t>
  </si>
  <si>
    <t>Checklist de Viagem</t>
  </si>
  <si>
    <t>Carteira de Motorista</t>
  </si>
  <si>
    <t>Celular</t>
  </si>
  <si>
    <t>Dinheiro</t>
  </si>
  <si>
    <t>Roupas</t>
  </si>
  <si>
    <t>Passaporte</t>
  </si>
  <si>
    <t>Reserva de Hotel</t>
  </si>
  <si>
    <t>Passagens</t>
  </si>
  <si>
    <t>Ok</t>
  </si>
  <si>
    <t>Total de Itens</t>
  </si>
  <si>
    <t>Itens Ok</t>
  </si>
  <si>
    <t>Tudo certo para viagem?</t>
  </si>
  <si>
    <t>Orçamento Limite</t>
  </si>
  <si>
    <t>Gasto</t>
  </si>
  <si>
    <t>Quantidade</t>
  </si>
  <si>
    <t>Preço</t>
  </si>
  <si>
    <t>Seguro viagem</t>
  </si>
  <si>
    <t>Entretenimento</t>
  </si>
  <si>
    <t>Compras</t>
  </si>
  <si>
    <t>Aérea</t>
  </si>
  <si>
    <t>Visto</t>
  </si>
  <si>
    <t>Vacinas</t>
  </si>
  <si>
    <t>Emissão de passaporte</t>
  </si>
  <si>
    <t>Transporte público</t>
  </si>
  <si>
    <t>Taxi</t>
  </si>
  <si>
    <t>Uber</t>
  </si>
  <si>
    <t>Ingressos</t>
  </si>
  <si>
    <t>Tour guiado</t>
  </si>
  <si>
    <t>Parque</t>
  </si>
  <si>
    <t>Bar</t>
  </si>
  <si>
    <t>Jantar</t>
  </si>
  <si>
    <t>Valor Total</t>
  </si>
  <si>
    <t>Observação</t>
  </si>
  <si>
    <t>Valor de 7 diárias Prisma Sedan - Localiza Tijuca</t>
  </si>
  <si>
    <t>Total para X L de gasolina</t>
  </si>
  <si>
    <t>Hostel</t>
  </si>
  <si>
    <t>Pousada Canyons (Capitólio) - 7 diárias</t>
  </si>
  <si>
    <t>Café da manhã</t>
  </si>
  <si>
    <t>Almoço</t>
  </si>
  <si>
    <t>Lanche</t>
  </si>
  <si>
    <t>Passeios</t>
  </si>
  <si>
    <t>Barco+Jipe</t>
  </si>
  <si>
    <t>Unidade</t>
  </si>
  <si>
    <t>un.</t>
  </si>
  <si>
    <t>L</t>
  </si>
  <si>
    <t>diária</t>
  </si>
  <si>
    <t>Incluir nas despesas?</t>
  </si>
  <si>
    <t>Total R$</t>
  </si>
  <si>
    <t>Por dia</t>
  </si>
  <si>
    <t>Por pessoa</t>
  </si>
  <si>
    <t>Gasto R$</t>
  </si>
  <si>
    <t>Total viajantes</t>
  </si>
  <si>
    <t>Quantidade de dias</t>
  </si>
  <si>
    <t>Planejamento de Viagem</t>
  </si>
  <si>
    <t>Custo por pessoa/dia</t>
  </si>
  <si>
    <t>Custo Total da Viagem</t>
  </si>
  <si>
    <t>Saldo Restante</t>
  </si>
  <si>
    <t>Auxiliar</t>
  </si>
  <si>
    <t>Pessoal</t>
  </si>
  <si>
    <t>Categorias</t>
  </si>
  <si>
    <t>← Preencher com orçamento limite desejado</t>
  </si>
  <si>
    <t>Custo total por pessoa</t>
  </si>
  <si>
    <t>Instruções</t>
  </si>
  <si>
    <r>
      <rPr>
        <b/>
        <sz val="14"/>
        <color theme="0" tint="-0.34998626667073579"/>
        <rFont val="Calibri"/>
        <family val="2"/>
        <scheme val="minor"/>
      </rPr>
      <t>Aba</t>
    </r>
    <r>
      <rPr>
        <b/>
        <sz val="14"/>
        <color theme="3"/>
        <rFont val="Calibri"/>
        <family val="2"/>
        <scheme val="minor"/>
      </rPr>
      <t xml:space="preserve"> Principal</t>
    </r>
  </si>
  <si>
    <r>
      <rPr>
        <b/>
        <sz val="14"/>
        <color theme="0" tint="-0.34998626667073579"/>
        <rFont val="Calibri"/>
        <family val="2"/>
        <scheme val="minor"/>
      </rPr>
      <t>Aba</t>
    </r>
    <r>
      <rPr>
        <b/>
        <sz val="14"/>
        <color theme="3"/>
        <rFont val="Calibri"/>
        <family val="2"/>
        <scheme val="minor"/>
      </rPr>
      <t xml:space="preserve"> Checklist</t>
    </r>
  </si>
  <si>
    <r>
      <rPr>
        <b/>
        <sz val="14"/>
        <color theme="0" tint="-0.34998626667073579"/>
        <rFont val="Calibri"/>
        <family val="2"/>
        <scheme val="minor"/>
      </rPr>
      <t>Aba</t>
    </r>
    <r>
      <rPr>
        <b/>
        <sz val="14"/>
        <color theme="3"/>
        <rFont val="Calibri"/>
        <family val="2"/>
        <scheme val="minor"/>
      </rPr>
      <t xml:space="preserve"> Categorias</t>
    </r>
  </si>
  <si>
    <r>
      <rPr>
        <b/>
        <sz val="14"/>
        <color theme="0" tint="-0.34998626667073579"/>
        <rFont val="Calibri"/>
        <family val="2"/>
        <scheme val="minor"/>
      </rPr>
      <t>Aba</t>
    </r>
    <r>
      <rPr>
        <b/>
        <sz val="14"/>
        <color theme="3"/>
        <rFont val="Calibri"/>
        <family val="2"/>
        <scheme val="minor"/>
      </rPr>
      <t xml:space="preserve"> Auxiliar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</si>
</sst>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164" formatCode="_(&quot;$&quot;* #,##0.00_);_(&quot;$&quot;* \(#,##0.00\);_(&quot;$&quot;* &quot;-&quot;??_);_(@_)"/>
    <numFmt numFmtId="165" formatCode="&quot;R$&quot;\ 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3" tint="-0.249977111117893"/>
      <name val="Calibri"/>
      <family val="2"/>
      <scheme val="minor"/>
    </font>
    <font>
      <b/>
      <sz val="26"/>
      <color theme="3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28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theme="0" tint="-0.3499862666707357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3" tint="-0.24994659260841701"/>
      </left>
      <right/>
      <top style="medium">
        <color theme="3" tint="-0.24994659260841701"/>
      </top>
      <bottom style="medium">
        <color theme="3" tint="-0.24994659260841701"/>
      </bottom>
      <diagonal/>
    </border>
    <border>
      <left/>
      <right/>
      <top style="medium">
        <color theme="3" tint="-0.24994659260841701"/>
      </top>
      <bottom style="medium">
        <color theme="3" tint="-0.24994659260841701"/>
      </bottom>
      <diagonal/>
    </border>
    <border>
      <left/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/>
      <right/>
      <top/>
      <bottom style="thin">
        <color theme="3" tint="-0.499984740745262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65" fontId="0" fillId="0" borderId="0" xfId="0" applyNumberFormat="1"/>
    <xf numFmtId="165" fontId="1" fillId="0" borderId="0" xfId="0" applyNumberFormat="1" applyFont="1"/>
    <xf numFmtId="165" fontId="0" fillId="0" borderId="0" xfId="0" applyNumberForma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9" fontId="6" fillId="4" borderId="3" xfId="0" applyNumberFormat="1" applyFont="1" applyFill="1" applyBorder="1" applyAlignment="1">
      <alignment horizontal="center"/>
    </xf>
    <xf numFmtId="9" fontId="6" fillId="2" borderId="3" xfId="0" applyNumberFormat="1" applyFont="1" applyFill="1" applyBorder="1" applyAlignment="1">
      <alignment horizontal="center"/>
    </xf>
    <xf numFmtId="9" fontId="6" fillId="5" borderId="3" xfId="0" applyNumberFormat="1" applyFont="1" applyFill="1" applyBorder="1" applyAlignment="1">
      <alignment horizontal="center"/>
    </xf>
    <xf numFmtId="9" fontId="6" fillId="6" borderId="3" xfId="0" applyNumberFormat="1" applyFont="1" applyFill="1" applyBorder="1" applyAlignment="1">
      <alignment horizontal="center"/>
    </xf>
    <xf numFmtId="9" fontId="6" fillId="3" borderId="3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7" fillId="0" borderId="0" xfId="0" applyFont="1" applyFill="1" applyBorder="1"/>
    <xf numFmtId="9" fontId="6" fillId="8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7" borderId="3" xfId="0" applyNumberFormat="1" applyFill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12" fillId="0" borderId="1" xfId="0" applyFont="1" applyBorder="1"/>
    <xf numFmtId="0" fontId="11" fillId="0" borderId="0" xfId="0" applyFont="1" applyAlignment="1">
      <alignment horizontal="center"/>
    </xf>
    <xf numFmtId="1" fontId="14" fillId="10" borderId="3" xfId="0" applyNumberFormat="1" applyFont="1" applyFill="1" applyBorder="1" applyAlignment="1">
      <alignment horizontal="center" vertical="center"/>
    </xf>
    <xf numFmtId="0" fontId="16" fillId="0" borderId="1" xfId="0" applyFont="1" applyBorder="1"/>
    <xf numFmtId="0" fontId="15" fillId="0" borderId="2" xfId="0" applyFont="1" applyBorder="1"/>
    <xf numFmtId="0" fontId="13" fillId="0" borderId="1" xfId="0" applyFont="1" applyBorder="1"/>
    <xf numFmtId="0" fontId="1" fillId="11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5" fontId="0" fillId="7" borderId="0" xfId="0" applyNumberFormat="1" applyFill="1" applyBorder="1" applyAlignment="1">
      <alignment horizontal="center"/>
    </xf>
    <xf numFmtId="9" fontId="6" fillId="12" borderId="0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8" borderId="7" xfId="0" applyFont="1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8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9" fillId="9" borderId="0" xfId="0" applyNumberFormat="1" applyFont="1" applyFill="1" applyAlignment="1">
      <alignment horizontal="center" vertical="center"/>
    </xf>
    <xf numFmtId="165" fontId="0" fillId="10" borderId="3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13" borderId="0" xfId="0" applyFill="1"/>
    <xf numFmtId="0" fontId="17" fillId="0" borderId="0" xfId="0" applyFont="1" applyAlignment="1">
      <alignment horizontal="left"/>
    </xf>
    <xf numFmtId="0" fontId="18" fillId="0" borderId="10" xfId="0" applyFont="1" applyBorder="1"/>
    <xf numFmtId="0" fontId="0" fillId="0" borderId="10" xfId="0" applyBorder="1"/>
  </cellXfs>
  <cellStyles count="3">
    <cellStyle name="Moeda 2" xfId="2" xr:uid="{A1332E31-C7D0-4F85-913E-B83A513142F5}"/>
    <cellStyle name="Normal" xfId="0" builtinId="0"/>
    <cellStyle name="Normal 2" xfId="1" xr:uid="{79A4A708-4034-43E3-8B37-FF84A8B5195F}"/>
  </cellStyles>
  <dxfs count="60"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5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3" tint="-0.499984740745262"/>
        </top>
        <bottom style="thin">
          <color theme="3" tint="-0.499984740745262"/>
        </bottom>
        <vertical/>
        <horizontal style="thin">
          <color theme="3" tint="-0.499984740745262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3" tint="-0.499984740745262"/>
        </top>
        <bottom style="thin">
          <color theme="3" tint="-0.499984740745262"/>
        </bottom>
        <vertical/>
        <horizontal style="thin">
          <color theme="3" tint="-0.499984740745262"/>
        </horizontal>
      </border>
    </dxf>
    <dxf>
      <border>
        <top style="thin">
          <color theme="3" tint="-0.499984740745262"/>
        </top>
      </border>
    </dxf>
    <dxf>
      <border diagonalUp="0" diagonalDown="0">
        <left style="thin">
          <color theme="3" tint="-0.499984740745262"/>
        </left>
        <right style="thin">
          <color theme="3" tint="-0.499984740745262"/>
        </right>
        <top style="thin">
          <color theme="3" tint="-0.499984740745262"/>
        </top>
        <bottom style="thin">
          <color theme="3" tint="-0.499984740745262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theme="3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3" tint="-0.499984740745262"/>
        </top>
        <bottom style="thin">
          <color theme="3" tint="-0.499984740745262"/>
        </bottom>
        <vertical/>
        <horizontal style="thin">
          <color theme="3" tint="-0.499984740745262"/>
        </horizontal>
      </border>
    </dxf>
    <dxf>
      <numFmt numFmtId="12" formatCode="&quot;R$&quot;\ #,##0.00;[Red]\-&quot;R$&quot;\ #,##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3" tint="-0.499984740745262"/>
        </top>
        <bottom style="thin">
          <color theme="3" tint="-0.499984740745262"/>
        </bottom>
        <vertical/>
        <horizontal style="thin">
          <color theme="3" tint="-0.499984740745262"/>
        </horizontal>
      </border>
    </dxf>
    <dxf>
      <alignment horizontal="center" vertical="center" textRotation="0" wrapText="0" indent="0" justifyLastLine="0" shrinkToFit="0" readingOrder="0"/>
    </dxf>
    <dxf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3" tint="-0.499984740745262"/>
        </top>
        <bottom style="thin">
          <color theme="3" tint="-0.499984740745262"/>
        </bottom>
        <vertical/>
        <horizontal style="thin">
          <color theme="3" tint="-0.499984740745262"/>
        </horizontal>
      </border>
    </dxf>
    <dxf>
      <alignment horizontal="center" vertical="center" textRotation="0" wrapText="0" indent="0" justifyLastLine="0" shrinkToFit="0" readingOrder="0"/>
    </dxf>
    <dxf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3" tint="-0.499984740745262"/>
        </top>
        <bottom style="thin">
          <color theme="3" tint="-0.499984740745262"/>
        </bottom>
        <vertical/>
        <horizontal style="thin">
          <color theme="3" tint="-0.499984740745262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3" tint="-0.499984740745262"/>
        </top>
        <bottom style="thin">
          <color theme="3" tint="-0.499984740745262"/>
        </bottom>
        <vertical/>
        <horizontal style="thin">
          <color theme="3" tint="-0.499984740745262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3" tint="-0.499984740745262"/>
        </top>
        <bottom style="thin">
          <color theme="3" tint="-0.499984740745262"/>
        </bottom>
        <vertical/>
        <horizontal style="thin">
          <color theme="3" tint="-0.499984740745262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3" tint="-0.499984740745262"/>
        </top>
        <bottom style="thin">
          <color theme="3" tint="-0.499984740745262"/>
        </bottom>
        <vertical/>
        <horizontal style="thin">
          <color theme="3" tint="-0.499984740745262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3" tint="-0.499984740745262"/>
        </top>
        <bottom style="thin">
          <color theme="3" tint="-0.499984740745262"/>
        </bottom>
        <vertical/>
        <horizontal style="thin">
          <color theme="3" tint="-0.499984740745262"/>
        </horizontal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3" tint="-0.499984740745262"/>
        </top>
        <bottom style="thin">
          <color theme="3" tint="-0.499984740745262"/>
        </bottom>
        <vertical/>
        <horizontal style="thin">
          <color theme="3" tint="-0.499984740745262"/>
        </horizontal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theme="3" tint="-0.499984740745262"/>
        </left>
        <right style="thin">
          <color theme="3" tint="-0.499984740745262"/>
        </right>
        <top style="thin">
          <color theme="3" tint="-0.499984740745262"/>
        </top>
        <bottom style="thin">
          <color theme="3" tint="-0.499984740745262"/>
        </bottom>
      </border>
    </dxf>
    <dxf>
      <border>
        <bottom style="thin">
          <color theme="3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</dxf>
    <dxf>
      <border>
        <horizontal style="thin">
          <color theme="0" tint="-0.14996795556505021"/>
        </horizontal>
      </border>
    </dxf>
    <dxf>
      <font>
        <b/>
        <i val="0"/>
        <color theme="4"/>
      </font>
    </dxf>
    <dxf>
      <font>
        <b/>
        <i val="0"/>
      </font>
      <border>
        <top style="medium">
          <color theme="4" tint="0.39991454817346722"/>
        </top>
        <bottom style="medium">
          <color theme="4" tint="0.39991454817346722"/>
        </bottom>
      </border>
    </dxf>
    <dxf>
      <font>
        <color theme="4" tint="-0.24994659260841701"/>
      </font>
      <border>
        <bottom style="medium">
          <color theme="4" tint="0.39991454817346722"/>
        </bottom>
      </border>
    </dxf>
  </dxfs>
  <tableStyles count="1" defaultTableStyle="TableStyleMedium2" defaultPivotStyle="PivotStyleLight16">
    <tableStyle name="Planejador de Viagens" pivot="0" count="4" xr9:uid="{AF12F225-144B-414C-AF8B-41FBA9A354A8}">
      <tableStyleElement type="headerRow" dxfId="59"/>
      <tableStyleElement type="totalRow" dxfId="58"/>
      <tableStyleElement type="lastColumn" dxfId="57"/>
      <tableStyleElement type="firstRowStripe" dxfId="56"/>
    </tableStyle>
  </tableStyles>
  <colors>
    <mruColors>
      <color rgb="FFFF8D3F"/>
      <color rgb="FFFF832F"/>
      <color rgb="FFEE6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>
                <a:solidFill>
                  <a:schemeClr val="tx2">
                    <a:lumMod val="50000"/>
                  </a:schemeClr>
                </a:solidFill>
              </a:rPr>
              <a:t>Total de gastos</a:t>
            </a:r>
            <a:r>
              <a:rPr lang="pt-BR" sz="1800" b="0" baseline="0">
                <a:solidFill>
                  <a:schemeClr val="tx2">
                    <a:lumMod val="50000"/>
                  </a:schemeClr>
                </a:solidFill>
              </a:rPr>
              <a:t> por categoria</a:t>
            </a:r>
            <a:endParaRPr lang="pt-BR" sz="1800" b="0">
              <a:solidFill>
                <a:schemeClr val="tx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82-43CE-983E-CA4A08899D3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82-43CE-983E-CA4A08899D3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82-43CE-983E-CA4A08899D3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82-43CE-983E-CA4A08899D35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A82-43CE-983E-CA4A08899D3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6DD-47B3-88BE-023A4E92457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E21-464B-8206-4E852643F1DF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3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A82-43CE-983E-CA4A08899D3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A82-43CE-983E-CA4A08899D3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A82-43CE-983E-CA4A08899D3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EA82-43CE-983E-CA4A08899D3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16DD-47B3-88BE-023A4E92457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DE21-464B-8206-4E852643F1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Principal!$D$17:$D$23</c:f>
              <c:strCache>
                <c:ptCount val="7"/>
                <c:pt idx="0">
                  <c:v>Passagem</c:v>
                </c:pt>
                <c:pt idx="1">
                  <c:v>Hospedagem</c:v>
                </c:pt>
                <c:pt idx="2">
                  <c:v>Alimentação</c:v>
                </c:pt>
                <c:pt idx="3">
                  <c:v>Entretenimento</c:v>
                </c:pt>
                <c:pt idx="4">
                  <c:v>Compras</c:v>
                </c:pt>
                <c:pt idx="5">
                  <c:v>Transporte</c:v>
                </c:pt>
                <c:pt idx="6">
                  <c:v>Outros</c:v>
                </c:pt>
              </c:strCache>
            </c:strRef>
          </c:cat>
          <c:val>
            <c:numRef>
              <c:f>Principal!$F$17:$F$23</c:f>
              <c:numCache>
                <c:formatCode>"R$"\ #,##0.00</c:formatCode>
                <c:ptCount val="7"/>
                <c:pt idx="0">
                  <c:v>1248.06</c:v>
                </c:pt>
                <c:pt idx="1">
                  <c:v>1141</c:v>
                </c:pt>
                <c:pt idx="2">
                  <c:v>1600</c:v>
                </c:pt>
                <c:pt idx="3">
                  <c:v>1490</c:v>
                </c:pt>
                <c:pt idx="4">
                  <c:v>1800</c:v>
                </c:pt>
                <c:pt idx="5">
                  <c:v>210</c:v>
                </c:pt>
                <c:pt idx="6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3-437C-B9A1-BAE947125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32"/>
        <c:axId val="1959386655"/>
        <c:axId val="1569814127"/>
      </c:barChart>
      <c:catAx>
        <c:axId val="1959386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814127"/>
        <c:crosses val="autoZero"/>
        <c:auto val="1"/>
        <c:lblAlgn val="ctr"/>
        <c:lblOffset val="100"/>
        <c:noMultiLvlLbl val="0"/>
      </c:catAx>
      <c:valAx>
        <c:axId val="1569814127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95938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2">
                    <a:lumMod val="50000"/>
                  </a:schemeClr>
                </a:solidFill>
              </a:rPr>
              <a:t>% de gastos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354582544740911"/>
          <c:y val="0.20308137192648165"/>
          <c:w val="0.54808565708609147"/>
          <c:h val="0.7445101327389577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28-44E2-AF19-B92B0ADDF08A}"/>
              </c:ext>
            </c:extLst>
          </c:dPt>
          <c:dPt>
            <c:idx val="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528-44E2-AF19-B92B0ADDF08A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28-44E2-AF19-B92B0ADDF08A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528-44E2-AF19-B92B0ADDF08A}"/>
              </c:ext>
            </c:extLst>
          </c:dPt>
          <c:dPt>
            <c:idx val="4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28-44E2-AF19-B92B0ADDF08A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528-44E2-AF19-B92B0ADDF0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D89-4038-977A-0869C282C7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Principal!$D$17:$D$23</c:f>
              <c:strCache>
                <c:ptCount val="7"/>
                <c:pt idx="0">
                  <c:v>Passagem</c:v>
                </c:pt>
                <c:pt idx="1">
                  <c:v>Hospedagem</c:v>
                </c:pt>
                <c:pt idx="2">
                  <c:v>Alimentação</c:v>
                </c:pt>
                <c:pt idx="3">
                  <c:v>Entretenimento</c:v>
                </c:pt>
                <c:pt idx="4">
                  <c:v>Compras</c:v>
                </c:pt>
                <c:pt idx="5">
                  <c:v>Transporte</c:v>
                </c:pt>
                <c:pt idx="6">
                  <c:v>Outros</c:v>
                </c:pt>
              </c:strCache>
            </c:strRef>
          </c:cat>
          <c:val>
            <c:numRef>
              <c:f>Principal!$E$17:$E$23</c:f>
              <c:numCache>
                <c:formatCode>0%</c:formatCode>
                <c:ptCount val="7"/>
                <c:pt idx="0">
                  <c:v>0.1373145297753563</c:v>
                </c:pt>
                <c:pt idx="1">
                  <c:v>0.12553553392760089</c:v>
                </c:pt>
                <c:pt idx="2">
                  <c:v>0.17603580568287591</c:v>
                </c:pt>
                <c:pt idx="3">
                  <c:v>0.16393334404217819</c:v>
                </c:pt>
                <c:pt idx="4">
                  <c:v>0.1980402813932354</c:v>
                </c:pt>
                <c:pt idx="5">
                  <c:v>2.3104699495877463E-2</c:v>
                </c:pt>
                <c:pt idx="6">
                  <c:v>0.17603580568287591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8-44E2-AF19-B92B0ADDF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847164</xdr:colOff>
      <xdr:row>1</xdr:row>
      <xdr:rowOff>29136</xdr:rowOff>
    </xdr:from>
    <xdr:to>
      <xdr:col>10</xdr:col>
      <xdr:colOff>0</xdr:colOff>
      <xdr:row>25</xdr:row>
      <xdr:rowOff>179294</xdr:rowOff>
    </xdr:to>
    <xdr:sp macro="" textlink="">
      <xdr:nvSpPr>
        <xdr:cNvPr id="18" name="Quadro 17">
          <a:extLst>
            <a:ext uri="{FF2B5EF4-FFF2-40B4-BE49-F238E27FC236}">
              <a16:creationId xmlns:a16="http://schemas.microsoft.com/office/drawing/2014/main" id="{16551276-5FC5-472F-B06E-4D836371D74C}"/>
            </a:ext>
          </a:extLst>
        </xdr:cNvPr>
        <xdr:cNvSpPr/>
      </xdr:nvSpPr>
      <xdr:spPr>
        <a:xfrm>
          <a:off x="2528046" y="533401"/>
          <a:ext cx="10661278" cy="4923864"/>
        </a:xfrm>
        <a:prstGeom prst="frame">
          <a:avLst>
            <a:gd name="adj1" fmla="val 0"/>
          </a:avLst>
        </a:prstGeom>
        <a:solidFill>
          <a:schemeClr val="bg1">
            <a:alpha val="20000"/>
          </a:schemeClr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1217519</xdr:colOff>
      <xdr:row>5</xdr:row>
      <xdr:rowOff>78441</xdr:rowOff>
    </xdr:from>
    <xdr:to>
      <xdr:col>9</xdr:col>
      <xdr:colOff>2823883</xdr:colOff>
      <xdr:row>14</xdr:row>
      <xdr:rowOff>56029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AD3F15-F05C-49F4-94CF-45AAFFFAC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280146</xdr:colOff>
      <xdr:row>15</xdr:row>
      <xdr:rowOff>22411</xdr:rowOff>
    </xdr:from>
    <xdr:to>
      <xdr:col>9</xdr:col>
      <xdr:colOff>2767852</xdr:colOff>
      <xdr:row>24</xdr:row>
      <xdr:rowOff>44822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9E8B674-B034-4C77-951E-7F1CA2C42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112059</xdr:colOff>
      <xdr:row>1</xdr:row>
      <xdr:rowOff>1</xdr:rowOff>
    </xdr:from>
    <xdr:to>
      <xdr:col>2</xdr:col>
      <xdr:colOff>851647</xdr:colOff>
      <xdr:row>25</xdr:row>
      <xdr:rowOff>179295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8A206540-7600-4637-8C7A-A36B2FA66ADD}"/>
            </a:ext>
          </a:extLst>
        </xdr:cNvPr>
        <xdr:cNvSpPr/>
      </xdr:nvSpPr>
      <xdr:spPr>
        <a:xfrm>
          <a:off x="112059" y="504266"/>
          <a:ext cx="2420470" cy="5188323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156882</xdr:colOff>
      <xdr:row>5</xdr:row>
      <xdr:rowOff>156888</xdr:rowOff>
    </xdr:from>
    <xdr:to>
      <xdr:col>2</xdr:col>
      <xdr:colOff>649942</xdr:colOff>
      <xdr:row>9</xdr:row>
      <xdr:rowOff>145676</xdr:rowOff>
    </xdr:to>
    <xdr:sp macro="" textlink="Auxiliar!C4">
      <xdr:nvSpPr>
        <xdr:cNvPr id="5" name="CaixaDeTexto 4">
          <a:extLst>
            <a:ext uri="{FF2B5EF4-FFF2-40B4-BE49-F238E27FC236}">
              <a16:creationId xmlns:a16="http://schemas.microsoft.com/office/drawing/2014/main" id="{5AD9AA6F-CEDA-430A-ADEE-DC66FCC8157B}"/>
            </a:ext>
          </a:extLst>
        </xdr:cNvPr>
        <xdr:cNvSpPr txBox="1"/>
      </xdr:nvSpPr>
      <xdr:spPr>
        <a:xfrm>
          <a:off x="280147" y="1423153"/>
          <a:ext cx="2050677" cy="750788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388C1DAA-50A1-4F08-8E0C-46468D2CF437}" type="TxLink">
            <a:rPr lang="en-US" sz="2400" b="1" i="0" u="none" strike="noStrike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R$ 10.000,00</a:t>
          </a:fld>
          <a:endParaRPr lang="pt-BR" sz="24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439830</xdr:colOff>
      <xdr:row>5</xdr:row>
      <xdr:rowOff>156887</xdr:rowOff>
    </xdr:from>
    <xdr:to>
      <xdr:col>2</xdr:col>
      <xdr:colOff>406213</xdr:colOff>
      <xdr:row>7</xdr:row>
      <xdr:rowOff>11210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CEC70464-B69F-4171-9B8D-C8D90D5C1DE0}"/>
            </a:ext>
          </a:extLst>
        </xdr:cNvPr>
        <xdr:cNvSpPr txBox="1"/>
      </xdr:nvSpPr>
      <xdr:spPr>
        <a:xfrm>
          <a:off x="563095" y="1423152"/>
          <a:ext cx="1524000" cy="235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Orçamento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Limite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146796</xdr:colOff>
      <xdr:row>11</xdr:row>
      <xdr:rowOff>29142</xdr:rowOff>
    </xdr:from>
    <xdr:to>
      <xdr:col>2</xdr:col>
      <xdr:colOff>641179</xdr:colOff>
      <xdr:row>15</xdr:row>
      <xdr:rowOff>19542</xdr:rowOff>
    </xdr:to>
    <xdr:sp macro="" textlink="Auxiliar!C6">
      <xdr:nvSpPr>
        <xdr:cNvPr id="7" name="CaixaDeTexto 6">
          <a:extLst>
            <a:ext uri="{FF2B5EF4-FFF2-40B4-BE49-F238E27FC236}">
              <a16:creationId xmlns:a16="http://schemas.microsoft.com/office/drawing/2014/main" id="{A20EAE92-E5E5-4016-873A-5AB59C5BE387}"/>
            </a:ext>
          </a:extLst>
        </xdr:cNvPr>
        <xdr:cNvSpPr txBox="1"/>
      </xdr:nvSpPr>
      <xdr:spPr>
        <a:xfrm>
          <a:off x="270061" y="2438407"/>
          <a:ext cx="2052000" cy="7524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39B721AB-FD06-46C1-B32D-1A861B96CDAE}" type="TxLink">
            <a:rPr lang="en-US" sz="2400" b="1" i="0" u="none" strike="noStrike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R$ 9.089,06</a:t>
          </a:fld>
          <a:endParaRPr lang="pt-BR" sz="54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410796</xdr:colOff>
      <xdr:row>11</xdr:row>
      <xdr:rowOff>29141</xdr:rowOff>
    </xdr:from>
    <xdr:to>
      <xdr:col>2</xdr:col>
      <xdr:colOff>377179</xdr:colOff>
      <xdr:row>12</xdr:row>
      <xdr:rowOff>73964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517C4D4-AB47-4EF5-8963-292D371DEFB8}"/>
            </a:ext>
          </a:extLst>
        </xdr:cNvPr>
        <xdr:cNvSpPr txBox="1"/>
      </xdr:nvSpPr>
      <xdr:spPr>
        <a:xfrm>
          <a:off x="534061" y="2438406"/>
          <a:ext cx="1524000" cy="235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Custo total da viagem</a:t>
          </a:r>
        </a:p>
      </xdr:txBody>
    </xdr:sp>
    <xdr:clientData/>
  </xdr:twoCellAnchor>
  <xdr:twoCellAnchor>
    <xdr:from>
      <xdr:col>1</xdr:col>
      <xdr:colOff>131109</xdr:colOff>
      <xdr:row>17</xdr:row>
      <xdr:rowOff>103102</xdr:rowOff>
    </xdr:from>
    <xdr:to>
      <xdr:col>2</xdr:col>
      <xdr:colOff>625492</xdr:colOff>
      <xdr:row>20</xdr:row>
      <xdr:rowOff>115914</xdr:rowOff>
    </xdr:to>
    <xdr:sp macro="" textlink="Auxiliar!C7">
      <xdr:nvSpPr>
        <xdr:cNvPr id="9" name="CaixaDeTexto 8">
          <a:extLst>
            <a:ext uri="{FF2B5EF4-FFF2-40B4-BE49-F238E27FC236}">
              <a16:creationId xmlns:a16="http://schemas.microsoft.com/office/drawing/2014/main" id="{424E6619-3D0D-49AC-BD64-60265AB0A6FB}"/>
            </a:ext>
          </a:extLst>
        </xdr:cNvPr>
        <xdr:cNvSpPr txBox="1"/>
      </xdr:nvSpPr>
      <xdr:spPr>
        <a:xfrm>
          <a:off x="254374" y="3722602"/>
          <a:ext cx="2052000" cy="7524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C2E4A44D-A675-4281-8CBF-4B7C1D20561E}" type="TxLink">
            <a:rPr lang="en-US" sz="2000" b="1" i="0" u="none" strike="noStrike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R$ 910,94</a:t>
          </a:fld>
          <a:endParaRPr lang="pt-BR" sz="72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395109</xdr:colOff>
      <xdr:row>17</xdr:row>
      <xdr:rowOff>103101</xdr:rowOff>
    </xdr:from>
    <xdr:to>
      <xdr:col>2</xdr:col>
      <xdr:colOff>361492</xdr:colOff>
      <xdr:row>18</xdr:row>
      <xdr:rowOff>103101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C9C7329B-5F78-424C-BED1-556DCD1B0179}"/>
            </a:ext>
          </a:extLst>
        </xdr:cNvPr>
        <xdr:cNvSpPr txBox="1"/>
      </xdr:nvSpPr>
      <xdr:spPr>
        <a:xfrm>
          <a:off x="518374" y="3722601"/>
          <a:ext cx="1524000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Saldo restante</a:t>
          </a:r>
        </a:p>
      </xdr:txBody>
    </xdr:sp>
    <xdr:clientData/>
  </xdr:twoCellAnchor>
  <xdr:twoCellAnchor>
    <xdr:from>
      <xdr:col>2</xdr:col>
      <xdr:colOff>851647</xdr:colOff>
      <xdr:row>1</xdr:row>
      <xdr:rowOff>11207</xdr:rowOff>
    </xdr:from>
    <xdr:to>
      <xdr:col>10</xdr:col>
      <xdr:colOff>0</xdr:colOff>
      <xdr:row>4</xdr:row>
      <xdr:rowOff>168089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A81E9AC2-8113-4BD6-9DAE-0450C03BBB86}"/>
            </a:ext>
          </a:extLst>
        </xdr:cNvPr>
        <xdr:cNvSpPr/>
      </xdr:nvSpPr>
      <xdr:spPr>
        <a:xfrm>
          <a:off x="2532529" y="515472"/>
          <a:ext cx="10656795" cy="728382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1115544</xdr:colOff>
      <xdr:row>1</xdr:row>
      <xdr:rowOff>114299</xdr:rowOff>
    </xdr:from>
    <xdr:to>
      <xdr:col>9</xdr:col>
      <xdr:colOff>3048559</xdr:colOff>
      <xdr:row>4</xdr:row>
      <xdr:rowOff>159124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DFF8D237-CA10-4C2C-AE33-935CBE8D98D3}"/>
            </a:ext>
          </a:extLst>
        </xdr:cNvPr>
        <xdr:cNvGrpSpPr/>
      </xdr:nvGrpSpPr>
      <xdr:grpSpPr>
        <a:xfrm>
          <a:off x="11189632" y="618564"/>
          <a:ext cx="1933015" cy="616325"/>
          <a:chOff x="11189632" y="618564"/>
          <a:chExt cx="1933015" cy="616325"/>
        </a:xfrm>
      </xdr:grpSpPr>
      <xdr:sp macro="" textlink="Auxiliar!C12">
        <xdr:nvSpPr>
          <xdr:cNvPr id="21" name="CaixaDeTexto 20">
            <a:extLst>
              <a:ext uri="{FF2B5EF4-FFF2-40B4-BE49-F238E27FC236}">
                <a16:creationId xmlns:a16="http://schemas.microsoft.com/office/drawing/2014/main" id="{4DE4028D-1C7D-41D3-A2C2-7D4943D50972}"/>
              </a:ext>
            </a:extLst>
          </xdr:cNvPr>
          <xdr:cNvSpPr txBox="1"/>
        </xdr:nvSpPr>
        <xdr:spPr>
          <a:xfrm>
            <a:off x="11189632" y="663389"/>
            <a:ext cx="1933015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l"/>
            <a:fld id="{747F0672-215C-4710-B767-C1CDC6513AEA}" type="TxLink">
              <a:rPr lang="en-US" sz="2000" b="0" i="0" u="none" strike="noStrike">
                <a:solidFill>
                  <a:srgbClr val="FF8D3F"/>
                </a:solidFill>
                <a:latin typeface="Calibri"/>
                <a:cs typeface="Calibri"/>
              </a:rPr>
              <a:pPr algn="l"/>
              <a:t>R$ 2.272,27</a:t>
            </a:fld>
            <a:endParaRPr lang="pt-BR" sz="2000" b="0">
              <a:solidFill>
                <a:srgbClr val="FF8D3F"/>
              </a:solidFill>
            </a:endParaRPr>
          </a:p>
        </xdr:txBody>
      </xdr:sp>
      <xdr:sp macro="" textlink="">
        <xdr:nvSpPr>
          <xdr:cNvPr id="22" name="CaixaDeTexto 21">
            <a:extLst>
              <a:ext uri="{FF2B5EF4-FFF2-40B4-BE49-F238E27FC236}">
                <a16:creationId xmlns:a16="http://schemas.microsoft.com/office/drawing/2014/main" id="{F35E7491-7775-4C82-AE32-5A55244A1CD8}"/>
              </a:ext>
            </a:extLst>
          </xdr:cNvPr>
          <xdr:cNvSpPr txBox="1"/>
        </xdr:nvSpPr>
        <xdr:spPr>
          <a:xfrm>
            <a:off x="11192153" y="618564"/>
            <a:ext cx="1815914" cy="235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1000">
                <a:solidFill>
                  <a:srgbClr val="FF8D3F"/>
                </a:solidFill>
              </a:rPr>
              <a:t>Custo total por pessoa</a:t>
            </a:r>
          </a:p>
        </xdr:txBody>
      </xdr:sp>
      <xdr:cxnSp macro="">
        <xdr:nvCxnSpPr>
          <xdr:cNvPr id="4" name="Conector reto 3">
            <a:extLst>
              <a:ext uri="{FF2B5EF4-FFF2-40B4-BE49-F238E27FC236}">
                <a16:creationId xmlns:a16="http://schemas.microsoft.com/office/drawing/2014/main" id="{13259592-C4E0-47D3-BD9B-299EDA3E3BF7}"/>
              </a:ext>
            </a:extLst>
          </xdr:cNvPr>
          <xdr:cNvCxnSpPr/>
        </xdr:nvCxnSpPr>
        <xdr:spPr>
          <a:xfrm>
            <a:off x="11192153" y="672353"/>
            <a:ext cx="0" cy="481852"/>
          </a:xfrm>
          <a:prstGeom prst="line">
            <a:avLst/>
          </a:prstGeom>
          <a:ln w="19050">
            <a:solidFill>
              <a:srgbClr val="FF8D3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215993</xdr:colOff>
      <xdr:row>1</xdr:row>
      <xdr:rowOff>143436</xdr:rowOff>
    </xdr:from>
    <xdr:to>
      <xdr:col>9</xdr:col>
      <xdr:colOff>344859</xdr:colOff>
      <xdr:row>4</xdr:row>
      <xdr:rowOff>154641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ADEF2DD9-2C99-423D-88D6-CC63580F28F0}"/>
            </a:ext>
          </a:extLst>
        </xdr:cNvPr>
        <xdr:cNvGrpSpPr/>
      </xdr:nvGrpSpPr>
      <xdr:grpSpPr>
        <a:xfrm>
          <a:off x="8205787" y="647701"/>
          <a:ext cx="2213160" cy="582705"/>
          <a:chOff x="7690596" y="647701"/>
          <a:chExt cx="2213160" cy="582705"/>
        </a:xfrm>
      </xdr:grpSpPr>
      <xdr:sp macro="" textlink="Auxiliar!C13">
        <xdr:nvSpPr>
          <xdr:cNvPr id="16" name="CaixaDeTexto 15">
            <a:extLst>
              <a:ext uri="{FF2B5EF4-FFF2-40B4-BE49-F238E27FC236}">
                <a16:creationId xmlns:a16="http://schemas.microsoft.com/office/drawing/2014/main" id="{42DA81ED-18AF-4025-A91F-04AE5742CD13}"/>
              </a:ext>
            </a:extLst>
          </xdr:cNvPr>
          <xdr:cNvSpPr txBox="1"/>
        </xdr:nvSpPr>
        <xdr:spPr>
          <a:xfrm>
            <a:off x="7690596" y="658906"/>
            <a:ext cx="221316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l"/>
            <a:fld id="{956C10B0-B2EE-4F5B-8988-A71264DC8E5B}" type="TxLink">
              <a:rPr lang="en-US" sz="2000" b="0" i="0" u="none" strike="noStrike">
                <a:solidFill>
                  <a:schemeClr val="bg1"/>
                </a:solidFill>
                <a:latin typeface="Calibri"/>
                <a:cs typeface="Calibri"/>
              </a:rPr>
              <a:pPr algn="l"/>
              <a:t>R$ 324,61</a:t>
            </a:fld>
            <a:endParaRPr lang="pt-BR" sz="16600" b="0">
              <a:solidFill>
                <a:schemeClr val="bg1"/>
              </a:solidFill>
            </a:endParaRPr>
          </a:p>
        </xdr:txBody>
      </xdr:sp>
      <xdr:sp macro="" textlink="">
        <xdr:nvSpPr>
          <xdr:cNvPr id="17" name="CaixaDeTexto 16">
            <a:extLst>
              <a:ext uri="{FF2B5EF4-FFF2-40B4-BE49-F238E27FC236}">
                <a16:creationId xmlns:a16="http://schemas.microsoft.com/office/drawing/2014/main" id="{D61CDB46-A8A3-4624-8C1A-240E22CE7FDC}"/>
              </a:ext>
            </a:extLst>
          </xdr:cNvPr>
          <xdr:cNvSpPr txBox="1"/>
        </xdr:nvSpPr>
        <xdr:spPr>
          <a:xfrm>
            <a:off x="7704604" y="647701"/>
            <a:ext cx="1826558" cy="235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1000">
                <a:solidFill>
                  <a:schemeClr val="bg1"/>
                </a:solidFill>
              </a:rPr>
              <a:t>Custo por pessoa/dia</a:t>
            </a:r>
          </a:p>
        </xdr:txBody>
      </xdr:sp>
      <xdr:cxnSp macro="">
        <xdr:nvCxnSpPr>
          <xdr:cNvPr id="26" name="Conector reto 25">
            <a:extLst>
              <a:ext uri="{FF2B5EF4-FFF2-40B4-BE49-F238E27FC236}">
                <a16:creationId xmlns:a16="http://schemas.microsoft.com/office/drawing/2014/main" id="{5767B858-2B67-405C-BC62-61406D571E9B}"/>
              </a:ext>
            </a:extLst>
          </xdr:cNvPr>
          <xdr:cNvCxnSpPr/>
        </xdr:nvCxnSpPr>
        <xdr:spPr>
          <a:xfrm>
            <a:off x="7707123" y="694765"/>
            <a:ext cx="0" cy="459440"/>
          </a:xfrm>
          <a:prstGeom prst="line">
            <a:avLst/>
          </a:prstGeom>
          <a:ln w="190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123265</xdr:colOff>
      <xdr:row>1</xdr:row>
      <xdr:rowOff>125505</xdr:rowOff>
    </xdr:from>
    <xdr:to>
      <xdr:col>6</xdr:col>
      <xdr:colOff>666750</xdr:colOff>
      <xdr:row>4</xdr:row>
      <xdr:rowOff>159123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09B03423-073B-41B6-B997-17588F32214A}"/>
            </a:ext>
          </a:extLst>
        </xdr:cNvPr>
        <xdr:cNvGrpSpPr/>
      </xdr:nvGrpSpPr>
      <xdr:grpSpPr>
        <a:xfrm>
          <a:off x="5670177" y="629770"/>
          <a:ext cx="1764926" cy="605118"/>
          <a:chOff x="5117728" y="629770"/>
          <a:chExt cx="1764926" cy="605118"/>
        </a:xfrm>
      </xdr:grpSpPr>
      <xdr:sp macro="" textlink="Auxiliar!C11">
        <xdr:nvSpPr>
          <xdr:cNvPr id="14" name="CaixaDeTexto 13">
            <a:extLst>
              <a:ext uri="{FF2B5EF4-FFF2-40B4-BE49-F238E27FC236}">
                <a16:creationId xmlns:a16="http://schemas.microsoft.com/office/drawing/2014/main" id="{8460D68E-FA46-42B9-B49C-42FAC24A6C5A}"/>
              </a:ext>
            </a:extLst>
          </xdr:cNvPr>
          <xdr:cNvSpPr txBox="1"/>
        </xdr:nvSpPr>
        <xdr:spPr>
          <a:xfrm>
            <a:off x="5117728" y="663388"/>
            <a:ext cx="1764926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l"/>
            <a:fld id="{C460B989-EC50-4AA6-BC27-DCF17346248D}" type="TxLink">
              <a:rPr lang="en-US" sz="2000" b="0" i="0" u="none" strike="noStrike">
                <a:solidFill>
                  <a:schemeClr val="bg1"/>
                </a:solidFill>
                <a:latin typeface="Calibri"/>
                <a:cs typeface="Calibri"/>
              </a:rPr>
              <a:pPr algn="l"/>
              <a:t>7</a:t>
            </a:fld>
            <a:endParaRPr lang="pt-BR" sz="8800" b="0">
              <a:solidFill>
                <a:schemeClr val="bg1"/>
              </a:solidFill>
            </a:endParaRPr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BFD67F98-6014-43C0-B572-705EB4592D96}"/>
              </a:ext>
            </a:extLst>
          </xdr:cNvPr>
          <xdr:cNvSpPr txBox="1"/>
        </xdr:nvSpPr>
        <xdr:spPr>
          <a:xfrm>
            <a:off x="5126131" y="629770"/>
            <a:ext cx="1524000" cy="235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1000">
                <a:solidFill>
                  <a:schemeClr val="bg1"/>
                </a:solidFill>
              </a:rPr>
              <a:t>Quantidade de dias</a:t>
            </a:r>
          </a:p>
        </xdr:txBody>
      </xdr:sp>
      <xdr:cxnSp macro="">
        <xdr:nvCxnSpPr>
          <xdr:cNvPr id="27" name="Conector reto 26">
            <a:extLst>
              <a:ext uri="{FF2B5EF4-FFF2-40B4-BE49-F238E27FC236}">
                <a16:creationId xmlns:a16="http://schemas.microsoft.com/office/drawing/2014/main" id="{E69D82E5-AF49-48E5-A957-443DC0EE0E5F}"/>
              </a:ext>
            </a:extLst>
          </xdr:cNvPr>
          <xdr:cNvCxnSpPr/>
        </xdr:nvCxnSpPr>
        <xdr:spPr>
          <a:xfrm>
            <a:off x="5129770" y="661147"/>
            <a:ext cx="0" cy="493058"/>
          </a:xfrm>
          <a:prstGeom prst="line">
            <a:avLst/>
          </a:prstGeom>
          <a:ln w="190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181255</xdr:colOff>
      <xdr:row>1</xdr:row>
      <xdr:rowOff>129989</xdr:rowOff>
    </xdr:from>
    <xdr:to>
      <xdr:col>4</xdr:col>
      <xdr:colOff>204228</xdr:colOff>
      <xdr:row>4</xdr:row>
      <xdr:rowOff>141194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267B4757-88A0-4F77-80CE-3BF08B965312}"/>
            </a:ext>
          </a:extLst>
        </xdr:cNvPr>
        <xdr:cNvGrpSpPr/>
      </xdr:nvGrpSpPr>
      <xdr:grpSpPr>
        <a:xfrm>
          <a:off x="3083579" y="634254"/>
          <a:ext cx="1815914" cy="582705"/>
          <a:chOff x="2657753" y="634254"/>
          <a:chExt cx="1815914" cy="582705"/>
        </a:xfrm>
      </xdr:grpSpPr>
      <xdr:sp macro="" textlink="Auxiliar!C10">
        <xdr:nvSpPr>
          <xdr:cNvPr id="12" name="CaixaDeTexto 11">
            <a:extLst>
              <a:ext uri="{FF2B5EF4-FFF2-40B4-BE49-F238E27FC236}">
                <a16:creationId xmlns:a16="http://schemas.microsoft.com/office/drawing/2014/main" id="{2C5A7F75-DA1B-4BED-83D7-C88289E15C64}"/>
              </a:ext>
            </a:extLst>
          </xdr:cNvPr>
          <xdr:cNvSpPr txBox="1"/>
        </xdr:nvSpPr>
        <xdr:spPr>
          <a:xfrm>
            <a:off x="2688851" y="645459"/>
            <a:ext cx="1524561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l"/>
            <a:fld id="{75F24214-D911-4B47-9C1A-4C94C05B9F0B}" type="TxLink">
              <a:rPr lang="en-US" sz="2000" b="0" i="0" u="none" strike="noStrike">
                <a:solidFill>
                  <a:schemeClr val="bg1"/>
                </a:solidFill>
                <a:latin typeface="Calibri"/>
                <a:cs typeface="Calibri"/>
              </a:rPr>
              <a:pPr algn="l"/>
              <a:t>4</a:t>
            </a:fld>
            <a:endParaRPr lang="pt-BR" sz="6000" b="0">
              <a:solidFill>
                <a:schemeClr val="bg1"/>
              </a:solidFill>
            </a:endParaRPr>
          </a:p>
        </xdr:txBody>
      </xdr:sp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375F84C9-116C-4201-9C1B-51AF8FFA970A}"/>
              </a:ext>
            </a:extLst>
          </xdr:cNvPr>
          <xdr:cNvSpPr txBox="1"/>
        </xdr:nvSpPr>
        <xdr:spPr>
          <a:xfrm>
            <a:off x="2657753" y="634254"/>
            <a:ext cx="1815914" cy="235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1000">
                <a:solidFill>
                  <a:schemeClr val="bg1"/>
                </a:solidFill>
              </a:rPr>
              <a:t>Total de Viajantes</a:t>
            </a:r>
          </a:p>
        </xdr:txBody>
      </xdr:sp>
      <xdr:cxnSp macro="">
        <xdr:nvCxnSpPr>
          <xdr:cNvPr id="28" name="Conector reto 27">
            <a:extLst>
              <a:ext uri="{FF2B5EF4-FFF2-40B4-BE49-F238E27FC236}">
                <a16:creationId xmlns:a16="http://schemas.microsoft.com/office/drawing/2014/main" id="{BC52BB8A-106E-440A-997C-8DC99ABCA33B}"/>
              </a:ext>
            </a:extLst>
          </xdr:cNvPr>
          <xdr:cNvCxnSpPr/>
        </xdr:nvCxnSpPr>
        <xdr:spPr>
          <a:xfrm>
            <a:off x="2675682" y="661147"/>
            <a:ext cx="0" cy="493058"/>
          </a:xfrm>
          <a:prstGeom prst="line">
            <a:avLst/>
          </a:prstGeom>
          <a:ln w="190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930089</xdr:colOff>
      <xdr:row>2</xdr:row>
      <xdr:rowOff>11207</xdr:rowOff>
    </xdr:from>
    <xdr:to>
      <xdr:col>2</xdr:col>
      <xdr:colOff>1094647</xdr:colOff>
      <xdr:row>4</xdr:row>
      <xdr:rowOff>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12FAE0A3-EE02-4280-9C30-C28FBEFC8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0971" y="705972"/>
          <a:ext cx="164558" cy="369793"/>
        </a:xfrm>
        <a:prstGeom prst="rect">
          <a:avLst/>
        </a:prstGeom>
      </xdr:spPr>
    </xdr:pic>
    <xdr:clientData/>
  </xdr:twoCellAnchor>
  <xdr:twoCellAnchor editAs="oneCell">
    <xdr:from>
      <xdr:col>2</xdr:col>
      <xdr:colOff>1172136</xdr:colOff>
      <xdr:row>2</xdr:row>
      <xdr:rowOff>6725</xdr:rowOff>
    </xdr:from>
    <xdr:to>
      <xdr:col>3</xdr:col>
      <xdr:colOff>115252</xdr:colOff>
      <xdr:row>3</xdr:row>
      <xdr:rowOff>186018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C8E8838E-E564-4AF4-971D-AECA5B7FB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3018" y="701490"/>
          <a:ext cx="164558" cy="369793"/>
        </a:xfrm>
        <a:prstGeom prst="rect">
          <a:avLst/>
        </a:prstGeom>
      </xdr:spPr>
    </xdr:pic>
    <xdr:clientData/>
  </xdr:twoCellAnchor>
  <xdr:twoCellAnchor editAs="oneCell">
    <xdr:from>
      <xdr:col>4</xdr:col>
      <xdr:colOff>481851</xdr:colOff>
      <xdr:row>2</xdr:row>
      <xdr:rowOff>0</xdr:rowOff>
    </xdr:from>
    <xdr:to>
      <xdr:col>5</xdr:col>
      <xdr:colOff>22411</xdr:colOff>
      <xdr:row>4</xdr:row>
      <xdr:rowOff>21263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D38125CF-8E9D-481B-8C70-4B1019FD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7116" y="694765"/>
          <a:ext cx="392207" cy="402263"/>
        </a:xfrm>
        <a:prstGeom prst="rect">
          <a:avLst/>
        </a:prstGeom>
      </xdr:spPr>
    </xdr:pic>
    <xdr:clientData/>
  </xdr:twoCellAnchor>
  <xdr:twoCellAnchor editAs="oneCell">
    <xdr:from>
      <xdr:col>6</xdr:col>
      <xdr:colOff>1210235</xdr:colOff>
      <xdr:row>1</xdr:row>
      <xdr:rowOff>190240</xdr:rowOff>
    </xdr:from>
    <xdr:to>
      <xdr:col>7</xdr:col>
      <xdr:colOff>161365</xdr:colOff>
      <xdr:row>3</xdr:row>
      <xdr:rowOff>9904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51F00F23-7E9E-4962-9845-AF5EAC223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8588" y="694505"/>
          <a:ext cx="172571" cy="200664"/>
        </a:xfrm>
        <a:prstGeom prst="rect">
          <a:avLst/>
        </a:prstGeom>
      </xdr:spPr>
    </xdr:pic>
    <xdr:clientData/>
  </xdr:twoCellAnchor>
  <xdr:twoCellAnchor editAs="oneCell">
    <xdr:from>
      <xdr:col>6</xdr:col>
      <xdr:colOff>1075797</xdr:colOff>
      <xdr:row>2</xdr:row>
      <xdr:rowOff>100852</xdr:rowOff>
    </xdr:from>
    <xdr:to>
      <xdr:col>6</xdr:col>
      <xdr:colOff>1213428</xdr:colOff>
      <xdr:row>4</xdr:row>
      <xdr:rowOff>29136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A2B16D5C-69C9-4642-93AA-FEFFFF6C9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50" y="795617"/>
          <a:ext cx="137631" cy="309284"/>
        </a:xfrm>
        <a:prstGeom prst="rect">
          <a:avLst/>
        </a:prstGeom>
      </xdr:spPr>
    </xdr:pic>
    <xdr:clientData/>
  </xdr:twoCellAnchor>
  <xdr:twoCellAnchor editAs="oneCell">
    <xdr:from>
      <xdr:col>9</xdr:col>
      <xdr:colOff>487628</xdr:colOff>
      <xdr:row>2</xdr:row>
      <xdr:rowOff>22411</xdr:rowOff>
    </xdr:from>
    <xdr:to>
      <xdr:col>9</xdr:col>
      <xdr:colOff>1008528</xdr:colOff>
      <xdr:row>4</xdr:row>
      <xdr:rowOff>22970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2C1A31E8-1EAB-45A6-9B57-76D7B471F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1716" y="717176"/>
          <a:ext cx="520900" cy="381559"/>
        </a:xfrm>
        <a:prstGeom prst="rect">
          <a:avLst/>
        </a:prstGeom>
      </xdr:spPr>
    </xdr:pic>
    <xdr:clientData/>
  </xdr:twoCellAnchor>
  <xdr:twoCellAnchor editAs="oneCell">
    <xdr:from>
      <xdr:col>1</xdr:col>
      <xdr:colOff>739589</xdr:colOff>
      <xdr:row>1</xdr:row>
      <xdr:rowOff>112059</xdr:rowOff>
    </xdr:from>
    <xdr:to>
      <xdr:col>2</xdr:col>
      <xdr:colOff>78442</xdr:colOff>
      <xdr:row>3</xdr:row>
      <xdr:rowOff>164379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2F1DF3CC-98D6-4B41-BBEF-909EA5618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854" y="616324"/>
          <a:ext cx="896470" cy="433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6</xdr:row>
      <xdr:rowOff>9524</xdr:rowOff>
    </xdr:from>
    <xdr:to>
      <xdr:col>11</xdr:col>
      <xdr:colOff>523875</xdr:colOff>
      <xdr:row>21</xdr:row>
      <xdr:rowOff>66675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8C49DFF-2BCB-4C61-A7EF-1F4E7E3FAD5D}"/>
            </a:ext>
          </a:extLst>
        </xdr:cNvPr>
        <xdr:cNvSpPr txBox="1"/>
      </xdr:nvSpPr>
      <xdr:spPr>
        <a:xfrm>
          <a:off x="2028825" y="1476374"/>
          <a:ext cx="4800600" cy="29146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 aba Principal possui duas áreas:</a:t>
          </a:r>
        </a:p>
        <a:p>
          <a:endParaRPr lang="pt-BR" sz="1100"/>
        </a:p>
        <a:p>
          <a:r>
            <a:rPr lang="pt-BR" sz="1100"/>
            <a:t>1 - A primeira é mostrada</a:t>
          </a:r>
          <a:r>
            <a:rPr lang="pt-BR" sz="1100" baseline="0"/>
            <a:t> ao lado e se trata de um resumo de todos os gastos de viagem, divididos por cada uma das categorias. Ele também permite visualizar o orçamento limite configurado e o total de gastos na viagem, provenientes da tabela que fica na mesma aba, logo abaixo dos gráficos.</a:t>
          </a:r>
        </a:p>
        <a:p>
          <a:endParaRPr lang="pt-BR" sz="1100" baseline="0"/>
        </a:p>
        <a:p>
          <a:r>
            <a:rPr lang="pt-BR" sz="1100" baseline="0"/>
            <a:t>2 - Os valores resumidos nos gráficos vêm da tabela que deve ser preenchida na mesma aba. Para ilustrar, abaixo você pode visualizar um print de cada gasto registrado. Também é possível incluir uma coluna de Observação para detalhar alguma informação adicional de interesse.</a:t>
          </a:r>
        </a:p>
        <a:p>
          <a:endParaRPr lang="pt-BR" sz="1100" baseline="0"/>
        </a:p>
        <a:p>
          <a:r>
            <a:rPr lang="pt-BR" sz="1100" baseline="0"/>
            <a:t>Nesta tabela, você tem a opção de informar na coluna "Incluir nas despesas" se você deseja incluir ou não aqueles gastos. Essa opção é interessante caso você queira deixar em "stand-by" algum gasto por não saber se entrará ou não na sua lista de despesas.</a:t>
          </a:r>
        </a:p>
      </xdr:txBody>
    </xdr:sp>
    <xdr:clientData/>
  </xdr:twoCellAnchor>
  <xdr:twoCellAnchor>
    <xdr:from>
      <xdr:col>4</xdr:col>
      <xdr:colOff>19049</xdr:colOff>
      <xdr:row>54</xdr:row>
      <xdr:rowOff>38100</xdr:rowOff>
    </xdr:from>
    <xdr:to>
      <xdr:col>11</xdr:col>
      <xdr:colOff>581024</xdr:colOff>
      <xdr:row>63</xdr:row>
      <xdr:rowOff>66675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93DADD2F-B4D5-4FD9-9D6E-7638224813CE}"/>
            </a:ext>
          </a:extLst>
        </xdr:cNvPr>
        <xdr:cNvSpPr txBox="1"/>
      </xdr:nvSpPr>
      <xdr:spPr>
        <a:xfrm>
          <a:off x="2057399" y="4610100"/>
          <a:ext cx="4829175" cy="1743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Na aba Checklist de Viagem você pode</a:t>
          </a:r>
          <a:r>
            <a:rPr lang="pt-BR" sz="1100" baseline="0"/>
            <a:t> criar uma lista de itens que não podem ser esquecidos na sua viagem. Logo acima da tabela, é possível visualizar o total de itens a serem enviados e o total de itens Ok e pendências. Com este controle de checklist você minimiza as possibilidades de esquecer algum item importante para a sua viagem.</a:t>
          </a:r>
        </a:p>
        <a:p>
          <a:endParaRPr lang="pt-BR" sz="1100" baseline="0"/>
        </a:p>
        <a:p>
          <a:r>
            <a:rPr lang="pt-BR" sz="1100" baseline="0"/>
            <a:t>Lembrando que você pode adicionar novos itens nessa tabela, ou até mesmo excluir os existentes.</a:t>
          </a:r>
          <a:endParaRPr lang="pt-BR" sz="1100"/>
        </a:p>
      </xdr:txBody>
    </xdr:sp>
    <xdr:clientData/>
  </xdr:twoCellAnchor>
  <xdr:twoCellAnchor>
    <xdr:from>
      <xdr:col>3</xdr:col>
      <xdr:colOff>76199</xdr:colOff>
      <xdr:row>76</xdr:row>
      <xdr:rowOff>85725</xdr:rowOff>
    </xdr:from>
    <xdr:to>
      <xdr:col>10</xdr:col>
      <xdr:colOff>342900</xdr:colOff>
      <xdr:row>84</xdr:row>
      <xdr:rowOff>161924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30293C94-9F62-4D52-B5CE-7BB1625DF824}"/>
            </a:ext>
          </a:extLst>
        </xdr:cNvPr>
        <xdr:cNvSpPr txBox="1"/>
      </xdr:nvSpPr>
      <xdr:spPr>
        <a:xfrm>
          <a:off x="2009774" y="15001875"/>
          <a:ext cx="4029076" cy="16001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</a:t>
          </a:r>
          <a:r>
            <a:rPr lang="pt-BR" sz="1100" baseline="0"/>
            <a:t> aba Categorias contém todas as categorias de gastos de viagem. Elas alimentam as validações de dados (listas de opções) na tabela da aba Principal, nas colunas de Categoria e Gastos.</a:t>
          </a:r>
          <a:endParaRPr lang="pt-BR" sz="1100"/>
        </a:p>
      </xdr:txBody>
    </xdr:sp>
    <xdr:clientData/>
  </xdr:twoCellAnchor>
  <xdr:twoCellAnchor>
    <xdr:from>
      <xdr:col>3</xdr:col>
      <xdr:colOff>76200</xdr:colOff>
      <xdr:row>90</xdr:row>
      <xdr:rowOff>123825</xdr:rowOff>
    </xdr:from>
    <xdr:to>
      <xdr:col>12</xdr:col>
      <xdr:colOff>257175</xdr:colOff>
      <xdr:row>96</xdr:row>
      <xdr:rowOff>76200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C65004A2-B7D5-4E3E-A759-6F7C0DDE13A4}"/>
            </a:ext>
          </a:extLst>
        </xdr:cNvPr>
        <xdr:cNvSpPr txBox="1"/>
      </xdr:nvSpPr>
      <xdr:spPr>
        <a:xfrm>
          <a:off x="2009775" y="18145125"/>
          <a:ext cx="5162550" cy="1095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Esta aba contém os cálculos utilizados nas</a:t>
          </a:r>
          <a:r>
            <a:rPr lang="pt-BR" sz="1100" baseline="0"/>
            <a:t> visualizações da aba Principal, além de uma célula que permite você informar o orçamento limite da sua viagem. Portanto, antes de começar a preencher as informações de gastos na aba Principal, lembre de estabelecer um limite de orçamento na célula C4 desta aba para garantir um melhor planejamento dos seus gastos.</a:t>
          </a:r>
          <a:endParaRPr lang="pt-BR" sz="1100"/>
        </a:p>
      </xdr:txBody>
    </xdr:sp>
    <xdr:clientData/>
  </xdr:twoCellAnchor>
  <xdr:twoCellAnchor editAs="oneCell">
    <xdr:from>
      <xdr:col>12</xdr:col>
      <xdr:colOff>338919</xdr:colOff>
      <xdr:row>6</xdr:row>
      <xdr:rowOff>19050</xdr:rowOff>
    </xdr:from>
    <xdr:to>
      <xdr:col>19</xdr:col>
      <xdr:colOff>476472</xdr:colOff>
      <xdr:row>16</xdr:row>
      <xdr:rowOff>152400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6035AA8A-AA96-4E6C-8BAB-E5543E49D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4069" y="1485900"/>
          <a:ext cx="4404753" cy="203835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47622</xdr:colOff>
      <xdr:row>21</xdr:row>
      <xdr:rowOff>185494</xdr:rowOff>
    </xdr:from>
    <xdr:to>
      <xdr:col>19</xdr:col>
      <xdr:colOff>515323</xdr:colOff>
      <xdr:row>33</xdr:row>
      <xdr:rowOff>123825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EFDAF37A-267E-4592-83CB-42758DCD5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5972" y="4509844"/>
          <a:ext cx="9611701" cy="2224331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34</xdr:row>
      <xdr:rowOff>114299</xdr:rowOff>
    </xdr:from>
    <xdr:to>
      <xdr:col>10</xdr:col>
      <xdr:colOff>247650</xdr:colOff>
      <xdr:row>49</xdr:row>
      <xdr:rowOff>171450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8D17C07C-5659-49B6-B565-B57C933DDC5C}"/>
            </a:ext>
          </a:extLst>
        </xdr:cNvPr>
        <xdr:cNvSpPr txBox="1"/>
      </xdr:nvSpPr>
      <xdr:spPr>
        <a:xfrm>
          <a:off x="2181225" y="6915149"/>
          <a:ext cx="3762375" cy="29146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Outro</a:t>
          </a:r>
          <a:r>
            <a:rPr lang="pt-BR" sz="1100" baseline="0"/>
            <a:t> detalhe é: caso você tente cadastrar um gasto que exceda o seu orçamento limite, uma mensagem de erro irá aparecer. Desta forma, você terá 2 opções: </a:t>
          </a:r>
        </a:p>
        <a:p>
          <a:endParaRPr lang="pt-BR" sz="1100" baseline="0"/>
        </a:p>
        <a:p>
          <a:r>
            <a:rPr lang="pt-BR" sz="1100" baseline="0"/>
            <a:t>(1) alterar o orçamento limite na aba Auxiliar ou </a:t>
          </a:r>
        </a:p>
        <a:p>
          <a:endParaRPr lang="pt-BR" sz="1100" baseline="0"/>
        </a:p>
        <a:p>
          <a:r>
            <a:rPr lang="pt-BR" sz="1100" baseline="0"/>
            <a:t>(2) Retirar aquele gasto da sua lista.</a:t>
          </a:r>
        </a:p>
        <a:p>
          <a:endParaRPr lang="pt-BR" sz="1100" baseline="0"/>
        </a:p>
        <a:p>
          <a:r>
            <a:rPr lang="pt-BR" sz="1100" baseline="0"/>
            <a:t>Desta forma você garante que não irá exceder os gastos de viagem e conseguirá fazer um melhor controle e planejamento.</a:t>
          </a:r>
        </a:p>
      </xdr:txBody>
    </xdr:sp>
    <xdr:clientData/>
  </xdr:twoCellAnchor>
  <xdr:twoCellAnchor editAs="oneCell">
    <xdr:from>
      <xdr:col>11</xdr:col>
      <xdr:colOff>76200</xdr:colOff>
      <xdr:row>35</xdr:row>
      <xdr:rowOff>5123</xdr:rowOff>
    </xdr:from>
    <xdr:to>
      <xdr:col>19</xdr:col>
      <xdr:colOff>417626</xdr:colOff>
      <xdr:row>51</xdr:row>
      <xdr:rowOff>46751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7B1F651-5E7E-4E67-91D2-AB4A61216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1750" y="6996473"/>
          <a:ext cx="5218226" cy="3089628"/>
        </a:xfrm>
        <a:prstGeom prst="rect">
          <a:avLst/>
        </a:prstGeom>
      </xdr:spPr>
    </xdr:pic>
    <xdr:clientData/>
  </xdr:twoCellAnchor>
  <xdr:twoCellAnchor>
    <xdr:from>
      <xdr:col>14</xdr:col>
      <xdr:colOff>400050</xdr:colOff>
      <xdr:row>48</xdr:row>
      <xdr:rowOff>85725</xdr:rowOff>
    </xdr:from>
    <xdr:to>
      <xdr:col>15</xdr:col>
      <xdr:colOff>190500</xdr:colOff>
      <xdr:row>50</xdr:row>
      <xdr:rowOff>95250</xdr:rowOff>
    </xdr:to>
    <xdr:cxnSp macro="">
      <xdr:nvCxnSpPr>
        <xdr:cNvPr id="26" name="Conector de Seta Reta 25">
          <a:extLst>
            <a:ext uri="{FF2B5EF4-FFF2-40B4-BE49-F238E27FC236}">
              <a16:creationId xmlns:a16="http://schemas.microsoft.com/office/drawing/2014/main" id="{79726E34-2484-491F-B4F0-716237234FA5}"/>
            </a:ext>
          </a:extLst>
        </xdr:cNvPr>
        <xdr:cNvCxnSpPr/>
      </xdr:nvCxnSpPr>
      <xdr:spPr>
        <a:xfrm>
          <a:off x="8534400" y="9553575"/>
          <a:ext cx="400050" cy="390525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196543</xdr:colOff>
      <xdr:row>54</xdr:row>
      <xdr:rowOff>66675</xdr:rowOff>
    </xdr:from>
    <xdr:to>
      <xdr:col>19</xdr:col>
      <xdr:colOff>542006</xdr:colOff>
      <xdr:row>72</xdr:row>
      <xdr:rowOff>37423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98B006D3-A771-4236-80DD-41F0FFAE0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11693" y="10734675"/>
          <a:ext cx="4612663" cy="3399748"/>
        </a:xfrm>
        <a:prstGeom prst="rect">
          <a:avLst/>
        </a:prstGeom>
      </xdr:spPr>
    </xdr:pic>
    <xdr:clientData/>
  </xdr:twoCellAnchor>
  <xdr:twoCellAnchor editAs="oneCell">
    <xdr:from>
      <xdr:col>10</xdr:col>
      <xdr:colOff>581024</xdr:colOff>
      <xdr:row>76</xdr:row>
      <xdr:rowOff>184026</xdr:rowOff>
    </xdr:from>
    <xdr:to>
      <xdr:col>20</xdr:col>
      <xdr:colOff>17621</xdr:colOff>
      <xdr:row>83</xdr:row>
      <xdr:rowOff>142542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426B4638-7B17-477A-B2B9-97F4E2B3D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76974" y="15100176"/>
          <a:ext cx="5532597" cy="1292016"/>
        </a:xfrm>
        <a:prstGeom prst="rect">
          <a:avLst/>
        </a:prstGeom>
      </xdr:spPr>
    </xdr:pic>
    <xdr:clientData/>
  </xdr:twoCellAnchor>
  <xdr:twoCellAnchor editAs="oneCell">
    <xdr:from>
      <xdr:col>12</xdr:col>
      <xdr:colOff>495299</xdr:colOff>
      <xdr:row>90</xdr:row>
      <xdr:rowOff>21677</xdr:rowOff>
    </xdr:from>
    <xdr:to>
      <xdr:col>20</xdr:col>
      <xdr:colOff>122440</xdr:colOff>
      <xdr:row>100</xdr:row>
      <xdr:rowOff>28575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437F9871-42E2-4910-89E8-294A0838B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10449" y="17661977"/>
          <a:ext cx="4503941" cy="191189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6ef611a7aa12e5d/2.%20Hashtag%20Treinamentos/1.%20Online/6.%20Suporte/Planilhas%20Excel/Modelos/Templates%20Excel/Dia%20a%20dia/1.%20Planejador%20de%20Viagens%20de%20F&#233;r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ejador de Viagens"/>
      <sheetName val="1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A196E0-8041-4484-9499-B536CDFADEEA}" name="PLANEJADO" displayName="PLANEJADO" ref="B31:J45" headerRowDxfId="55" totalsRowDxfId="52" headerRowBorderDxfId="54" tableBorderDxfId="53">
  <autoFilter ref="B31:J45" xr:uid="{1D6458C7-B533-482A-B0A1-6F0CDC3F7BB7}"/>
  <tableColumns count="9">
    <tableColumn id="1" xr3:uid="{85F935C6-DD9C-4651-8444-09EBFDD41B17}" name="Data" totalsRowLabel="Total" dataDxfId="51" totalsRowDxfId="50"/>
    <tableColumn id="2" xr3:uid="{38AC879B-3FC3-4FEB-9EF3-5922320A73A8}" name="Categoria" dataDxfId="49" totalsRowDxfId="48"/>
    <tableColumn id="3" xr3:uid="{5DFFD127-3F3B-403C-8567-56E83805E686}" name="Gasto" dataDxfId="47" totalsRowDxfId="46"/>
    <tableColumn id="7" xr3:uid="{B2E6F86E-2BC6-4D6A-97AB-18AAC73E943C}" name="Unidade" dataDxfId="45" totalsRowDxfId="44"/>
    <tableColumn id="8" xr3:uid="{2625DA2D-B481-4310-9BAD-00DC578121B3}" name="Quantidade" dataDxfId="43" totalsRowDxfId="42"/>
    <tableColumn id="9" xr3:uid="{D7E75F09-B3D5-42BD-8CF6-D410230C16BD}" name="Preço" dataDxfId="41" totalsRowDxfId="40"/>
    <tableColumn id="10" xr3:uid="{704BBA6E-A3EB-4267-A989-DAE5B39514B2}" name="Incluir nas despesas?" dataDxfId="39" totalsRowDxfId="38"/>
    <tableColumn id="4" xr3:uid="{7CC0DBD0-B6E2-49ED-8A6A-562A5C73A497}" name="Valor Total" totalsRowFunction="sum" dataDxfId="37" totalsRowDxfId="36">
      <calculatedColumnFormula>IF(PLANEJADO[[#This Row],[Incluir nas despesas?]]="Sim",PLANEJADO[[#This Row],[Preço]]*PLANEJADO[[#This Row],[Quantidade]],0)</calculatedColumnFormula>
    </tableColumn>
    <tableColumn id="5" xr3:uid="{92889705-60E3-465A-82F5-4C947007F716}" name="Observação" dataDxfId="35" totalsRowDxfId="3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414D83-6006-4669-B4F1-06D286F2C2CE}" name="CHECKLIST" displayName="CHECKLIST" ref="B10:C20" totalsRowShown="0" headerRowDxfId="33" dataDxfId="31" headerRowBorderDxfId="32" tableBorderDxfId="30" totalsRowBorderDxfId="29">
  <autoFilter ref="B10:C20" xr:uid="{AE8330AB-F2D8-45B6-9A37-BCE7AB3115D3}"/>
  <tableColumns count="2">
    <tableColumn id="1" xr3:uid="{471A0CA4-81A5-4F98-98E1-A42C15E4CB18}" name="Item" dataDxfId="28"/>
    <tableColumn id="2" xr3:uid="{0DC125B8-400A-455C-A1AA-EE98EF79FC87}" name="Situação" dataDxfId="2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1797C-1529-471F-BC0C-B725EE14CCB5}" name="PASSAGEM" displayName="PASSAGEM" ref="D4:D9" totalsRowShown="0" headerRowDxfId="26" dataDxfId="25">
  <autoFilter ref="D4:D9" xr:uid="{BA242A31-634B-4D39-A459-81A1F3FF9195}"/>
  <tableColumns count="1">
    <tableColumn id="1" xr3:uid="{700A1596-7380-4480-BDED-7FD8DBD0C2FC}" name="Passagem" dataDxfId="2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8D96B4-F9F8-4449-B138-FBB44612D24B}" name="HOSPEDAGEM" displayName="HOSPEDAGEM" ref="F4:F7" totalsRowShown="0" headerRowDxfId="23" dataDxfId="22">
  <autoFilter ref="F4:F7" xr:uid="{50855699-1747-47C8-9CD8-D9D94B1C923A}"/>
  <tableColumns count="1">
    <tableColumn id="1" xr3:uid="{C874CED3-2160-4192-A32D-58CAE0E045D2}" name="Hospedagem" dataDxfId="21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88942E-18FD-4B58-A3A6-C5E48505C439}" name="ALIMENTAÇÃO" displayName="ALIMENTAÇÃO" ref="H4:H9" totalsRowShown="0" headerRowDxfId="20" dataDxfId="19">
  <autoFilter ref="H4:H9" xr:uid="{05AE4533-39CA-4BA9-ABCE-75FE69CFE37A}"/>
  <tableColumns count="1">
    <tableColumn id="1" xr3:uid="{E166C2DE-0121-4A0B-8D4B-BAEC9E7DD044}" name="Alimentação" dataDxfId="18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C6EE6D-C53E-475B-B077-E202F07D991B}" name="TRANSPORTE" displayName="TRANSPORTE" ref="J4:J8" totalsRowShown="0" headerRowDxfId="17" dataDxfId="16">
  <autoFilter ref="J4:J8" xr:uid="{A454C046-110F-439E-82DF-CA8B0DABB375}"/>
  <tableColumns count="1">
    <tableColumn id="1" xr3:uid="{AB0C9615-544B-4876-9181-84E782A70D22}" name="Transporte" dataDxfId="15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3475DF-7928-4904-BFAA-5573D9960C85}" name="ENTRETENIMENTO" displayName="ENTRETENIMENTO" ref="L4:L11" totalsRowShown="0" headerRowDxfId="14" dataDxfId="13">
  <autoFilter ref="L4:L11" xr:uid="{1696B21A-4491-420E-B74A-64E28E611055}"/>
  <tableColumns count="1">
    <tableColumn id="1" xr3:uid="{E744E05B-EFE1-4B43-9428-44F78FE7A425}" name="Entretenimento" dataDxfId="12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101122-D747-478E-B02D-22C2B614C9F8}" name="COMPRAS" displayName="COMPRAS" ref="N4:N6" totalsRowShown="0" headerRowDxfId="11" dataDxfId="10">
  <autoFilter ref="N4:N6" xr:uid="{79B4D061-41A0-44BC-9133-D92DE0E65E4E}"/>
  <tableColumns count="1">
    <tableColumn id="1" xr3:uid="{A5B0F7F0-CD22-4691-AD55-418FE9BCA237}" name="Compras" dataDxfId="9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3E71281-B3CA-4582-992A-51B3C71D8F14}" name="OUTROS" displayName="OUTROS" ref="P4:P9" totalsRowShown="0" headerRowDxfId="8" dataDxfId="7">
  <autoFilter ref="P4:P9" xr:uid="{46862512-3045-46E9-95AE-E2CA4D7A641E}"/>
  <tableColumns count="1">
    <tableColumn id="1" xr3:uid="{EB7B9BB0-9E80-488E-827D-0730D54E93CA}" name="Outros" dataDxfId="6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B7781EB-1343-4007-9490-AAA891C15AED}" name="CATEGORIAS" displayName="CATEGORIAS" ref="B4:B11" totalsRowShown="0" headerRowDxfId="5" dataDxfId="4">
  <autoFilter ref="B4:B11" xr:uid="{DB0B5F10-B2FE-443F-98E7-FCEF48D92413}"/>
  <tableColumns count="1">
    <tableColumn id="1" xr3:uid="{7B104256-2849-449D-88C9-AE4F809E769F}" name="Categorias" dataDxfId="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AB8B-6FC5-4647-B9E7-0ACEAF4EB4A8}">
  <dimension ref="B1:J46"/>
  <sheetViews>
    <sheetView showGridLines="0" showRowColHeaders="0" tabSelected="1" topLeftCell="A7" zoomScale="85" zoomScaleNormal="85" workbookViewId="0">
      <selection activeCell="G45" sqref="G45"/>
    </sheetView>
  </sheetViews>
  <sheetFormatPr defaultRowHeight="15" x14ac:dyDescent="0.25"/>
  <cols>
    <col min="1" max="1" width="1.85546875" customWidth="1"/>
    <col min="2" max="2" width="23.42578125" customWidth="1"/>
    <col min="3" max="3" width="18.28515625" customWidth="1"/>
    <col min="4" max="4" width="26.85546875" customWidth="1"/>
    <col min="5" max="5" width="12.7109375" customWidth="1"/>
    <col min="6" max="8" width="18.28515625" customWidth="1"/>
    <col min="9" max="9" width="12.85546875" bestFit="1" customWidth="1"/>
    <col min="10" max="10" width="46.7109375" bestFit="1" customWidth="1"/>
  </cols>
  <sheetData>
    <row r="1" spans="2:10" ht="39.75" customHeight="1" thickBot="1" x14ac:dyDescent="0.3">
      <c r="B1" s="49" t="s">
        <v>76</v>
      </c>
      <c r="C1" s="50"/>
      <c r="D1" s="50"/>
      <c r="E1" s="50"/>
      <c r="F1" s="50"/>
      <c r="G1" s="50"/>
      <c r="H1" s="50"/>
      <c r="I1" s="50"/>
      <c r="J1" s="51"/>
    </row>
    <row r="5" spans="2:10" x14ac:dyDescent="0.25">
      <c r="B5" s="9"/>
    </row>
    <row r="6" spans="2:10" x14ac:dyDescent="0.25">
      <c r="B6" s="9"/>
    </row>
    <row r="7" spans="2:10" x14ac:dyDescent="0.25">
      <c r="B7" s="9"/>
    </row>
    <row r="8" spans="2:10" x14ac:dyDescent="0.25">
      <c r="B8" s="9"/>
    </row>
    <row r="9" spans="2:10" x14ac:dyDescent="0.25">
      <c r="B9" s="9"/>
    </row>
    <row r="10" spans="2:10" x14ac:dyDescent="0.25">
      <c r="B10" s="9"/>
    </row>
    <row r="11" spans="2:10" x14ac:dyDescent="0.25">
      <c r="B11" s="9"/>
    </row>
    <row r="12" spans="2:10" x14ac:dyDescent="0.25">
      <c r="B12" s="9"/>
    </row>
    <row r="13" spans="2:10" x14ac:dyDescent="0.25">
      <c r="B13" s="9"/>
    </row>
    <row r="14" spans="2:10" x14ac:dyDescent="0.25">
      <c r="B14" s="9"/>
    </row>
    <row r="15" spans="2:10" x14ac:dyDescent="0.25">
      <c r="B15" s="10"/>
    </row>
    <row r="16" spans="2:10" ht="15.75" thickBot="1" x14ac:dyDescent="0.3">
      <c r="B16" s="10"/>
      <c r="E16" s="2"/>
      <c r="F16" s="3" t="s">
        <v>73</v>
      </c>
      <c r="G16" s="3" t="s">
        <v>71</v>
      </c>
      <c r="H16" s="3" t="s">
        <v>72</v>
      </c>
    </row>
    <row r="17" spans="2:10" ht="19.5" thickBot="1" x14ac:dyDescent="0.35">
      <c r="B17" s="11"/>
      <c r="D17" s="18" t="s">
        <v>3</v>
      </c>
      <c r="E17" s="12">
        <f t="shared" ref="E17:E23" si="0">F17/SUM($F$17:$F$23)</f>
        <v>0.1373145297753563</v>
      </c>
      <c r="F17" s="21">
        <f>SUMIF(PLANEJADO[Categoria],D17,PLANEJADO[Valor Total])</f>
        <v>1248.06</v>
      </c>
      <c r="G17" s="21">
        <f t="shared" ref="G17:G21" si="1">F17/7</f>
        <v>178.29428571428571</v>
      </c>
      <c r="H17" s="21">
        <f t="shared" ref="H17:H21" si="2">G17/2</f>
        <v>89.147142857142853</v>
      </c>
    </row>
    <row r="18" spans="2:10" ht="19.5" thickBot="1" x14ac:dyDescent="0.35">
      <c r="B18" s="9"/>
      <c r="D18" s="18" t="s">
        <v>5</v>
      </c>
      <c r="E18" s="13">
        <f t="shared" si="0"/>
        <v>0.12553553392760089</v>
      </c>
      <c r="F18" s="21">
        <f>SUMIF(PLANEJADO[Categoria],D18,PLANEJADO[Valor Total])</f>
        <v>1141</v>
      </c>
      <c r="G18" s="21">
        <f t="shared" si="1"/>
        <v>163</v>
      </c>
      <c r="H18" s="21">
        <f t="shared" si="2"/>
        <v>81.5</v>
      </c>
    </row>
    <row r="19" spans="2:10" ht="19.5" thickBot="1" x14ac:dyDescent="0.35">
      <c r="B19" s="10"/>
      <c r="D19" s="18" t="s">
        <v>12</v>
      </c>
      <c r="E19" s="14">
        <f t="shared" si="0"/>
        <v>0.17603580568287591</v>
      </c>
      <c r="F19" s="21">
        <f>SUMIF(PLANEJADO[Categoria],D19,PLANEJADO[Valor Total])</f>
        <v>1600</v>
      </c>
      <c r="G19" s="21">
        <f t="shared" si="1"/>
        <v>228.57142857142858</v>
      </c>
      <c r="H19" s="21">
        <f t="shared" si="2"/>
        <v>114.28571428571429</v>
      </c>
    </row>
    <row r="20" spans="2:10" ht="19.5" thickBot="1" x14ac:dyDescent="0.35">
      <c r="B20" s="8"/>
      <c r="D20" s="18" t="s">
        <v>40</v>
      </c>
      <c r="E20" s="15">
        <f t="shared" si="0"/>
        <v>0.16393334404217819</v>
      </c>
      <c r="F20" s="21">
        <f>SUMIF(PLANEJADO[Categoria],D20,PLANEJADO[Valor Total])</f>
        <v>1490</v>
      </c>
      <c r="G20" s="21">
        <f t="shared" si="1"/>
        <v>212.85714285714286</v>
      </c>
      <c r="H20" s="21">
        <f t="shared" si="2"/>
        <v>106.42857142857143</v>
      </c>
    </row>
    <row r="21" spans="2:10" ht="19.5" thickBot="1" x14ac:dyDescent="0.35">
      <c r="B21" s="8"/>
      <c r="D21" s="18" t="s">
        <v>41</v>
      </c>
      <c r="E21" s="19">
        <f t="shared" si="0"/>
        <v>0.1980402813932354</v>
      </c>
      <c r="F21" s="21">
        <f>SUMIF(PLANEJADO[Categoria],D21,PLANEJADO[Valor Total])</f>
        <v>1800</v>
      </c>
      <c r="G21" s="21">
        <f t="shared" si="1"/>
        <v>257.14285714285717</v>
      </c>
      <c r="H21" s="21">
        <f t="shared" si="2"/>
        <v>128.57142857142858</v>
      </c>
    </row>
    <row r="22" spans="2:10" ht="19.5" thickBot="1" x14ac:dyDescent="0.35">
      <c r="B22" s="8"/>
      <c r="D22" s="18" t="s">
        <v>0</v>
      </c>
      <c r="E22" s="16">
        <f t="shared" si="0"/>
        <v>2.3104699495877463E-2</v>
      </c>
      <c r="F22" s="21">
        <f>SUMIF(PLANEJADO[Categoria],D22,PLANEJADO[Valor Total])</f>
        <v>210</v>
      </c>
      <c r="G22" s="21">
        <f t="shared" ref="G22:G23" si="3">F22/7</f>
        <v>30</v>
      </c>
      <c r="H22" s="21">
        <f t="shared" ref="H22:H23" si="4">G22/2</f>
        <v>15</v>
      </c>
    </row>
    <row r="23" spans="2:10" ht="18.75" x14ac:dyDescent="0.3">
      <c r="B23" s="8"/>
      <c r="D23" s="18" t="s">
        <v>8</v>
      </c>
      <c r="E23" s="35">
        <f t="shared" si="0"/>
        <v>0.17603580568287591</v>
      </c>
      <c r="F23" s="34">
        <f>SUMIF(PLANEJADO[Categoria],D23,PLANEJADO[Valor Total])</f>
        <v>1600</v>
      </c>
      <c r="G23" s="34">
        <f t="shared" si="3"/>
        <v>228.57142857142858</v>
      </c>
      <c r="H23" s="34">
        <f t="shared" si="4"/>
        <v>114.28571428571429</v>
      </c>
    </row>
    <row r="24" spans="2:10" ht="18.75" x14ac:dyDescent="0.3">
      <c r="D24" s="17" t="s">
        <v>70</v>
      </c>
      <c r="E24" s="2"/>
      <c r="F24" s="22">
        <f>SUM(F17:F23)</f>
        <v>9089.06</v>
      </c>
      <c r="G24" s="22">
        <f>F24/Auxiliar!C11</f>
        <v>1298.4371428571428</v>
      </c>
      <c r="H24" s="22">
        <f>G24/Auxiliar!C10</f>
        <v>324.6092857142857</v>
      </c>
    </row>
    <row r="25" spans="2:10" x14ac:dyDescent="0.25">
      <c r="E25" s="6"/>
    </row>
    <row r="26" spans="2:10" x14ac:dyDescent="0.25">
      <c r="E26" s="6"/>
    </row>
    <row r="27" spans="2:10" x14ac:dyDescent="0.25">
      <c r="E27" s="6"/>
    </row>
    <row r="28" spans="2:10" x14ac:dyDescent="0.25">
      <c r="E28" s="6"/>
    </row>
    <row r="29" spans="2:10" x14ac:dyDescent="0.25">
      <c r="E29" s="6"/>
    </row>
    <row r="31" spans="2:10" x14ac:dyDescent="0.25">
      <c r="B31" s="38" t="s">
        <v>9</v>
      </c>
      <c r="C31" s="38" t="s">
        <v>10</v>
      </c>
      <c r="D31" s="38" t="s">
        <v>36</v>
      </c>
      <c r="E31" s="38" t="s">
        <v>65</v>
      </c>
      <c r="F31" s="38" t="s">
        <v>37</v>
      </c>
      <c r="G31" s="38" t="s">
        <v>38</v>
      </c>
      <c r="H31" s="38" t="s">
        <v>69</v>
      </c>
      <c r="I31" s="38" t="s">
        <v>54</v>
      </c>
      <c r="J31" s="38" t="s">
        <v>55</v>
      </c>
    </row>
    <row r="32" spans="2:10" x14ac:dyDescent="0.25">
      <c r="B32" s="39">
        <v>44119</v>
      </c>
      <c r="C32" s="32" t="s">
        <v>3</v>
      </c>
      <c r="D32" s="32" t="s">
        <v>1</v>
      </c>
      <c r="E32" s="32" t="s">
        <v>68</v>
      </c>
      <c r="F32" s="32">
        <v>7</v>
      </c>
      <c r="G32" s="40">
        <v>98.18</v>
      </c>
      <c r="H32" s="40" t="s">
        <v>19</v>
      </c>
      <c r="I32" s="40">
        <f>IF(PLANEJADO[[#This Row],[Incluir nas despesas?]]="Sim",PLANEJADO[[#This Row],[Preço]]*PLANEJADO[[#This Row],[Quantidade]],0)</f>
        <v>687.26</v>
      </c>
      <c r="J32" s="32" t="s">
        <v>56</v>
      </c>
    </row>
    <row r="33" spans="2:10" x14ac:dyDescent="0.25">
      <c r="B33" s="39">
        <v>44119</v>
      </c>
      <c r="C33" s="32" t="s">
        <v>3</v>
      </c>
      <c r="D33" s="32" t="s">
        <v>13</v>
      </c>
      <c r="E33" s="32" t="s">
        <v>67</v>
      </c>
      <c r="F33" s="32">
        <v>90</v>
      </c>
      <c r="G33" s="40">
        <v>5.12</v>
      </c>
      <c r="H33" s="40" t="s">
        <v>19</v>
      </c>
      <c r="I33" s="40">
        <f>IF(PLANEJADO[[#This Row],[Incluir nas despesas?]]="Sim",PLANEJADO[[#This Row],[Preço]]*PLANEJADO[[#This Row],[Quantidade]],0)</f>
        <v>460.8</v>
      </c>
      <c r="J33" s="32" t="s">
        <v>57</v>
      </c>
    </row>
    <row r="34" spans="2:10" x14ac:dyDescent="0.25">
      <c r="B34" s="39">
        <v>44119</v>
      </c>
      <c r="C34" s="32" t="s">
        <v>3</v>
      </c>
      <c r="D34" s="32" t="s">
        <v>2</v>
      </c>
      <c r="E34" s="32" t="s">
        <v>66</v>
      </c>
      <c r="F34" s="32">
        <v>1</v>
      </c>
      <c r="G34" s="40">
        <v>100</v>
      </c>
      <c r="H34" s="40" t="s">
        <v>19</v>
      </c>
      <c r="I34" s="40">
        <f>IF(PLANEJADO[[#This Row],[Incluir nas despesas?]]="Sim",PLANEJADO[[#This Row],[Preço]]*PLANEJADO[[#This Row],[Quantidade]],0)</f>
        <v>100</v>
      </c>
      <c r="J34" s="32"/>
    </row>
    <row r="35" spans="2:10" x14ac:dyDescent="0.25">
      <c r="B35" s="39">
        <v>44119</v>
      </c>
      <c r="C35" s="32" t="s">
        <v>5</v>
      </c>
      <c r="D35" s="32" t="s">
        <v>11</v>
      </c>
      <c r="E35" s="32" t="s">
        <v>68</v>
      </c>
      <c r="F35" s="32">
        <v>7</v>
      </c>
      <c r="G35" s="40">
        <v>163</v>
      </c>
      <c r="H35" s="40" t="s">
        <v>19</v>
      </c>
      <c r="I35" s="40">
        <f>IF(PLANEJADO[[#This Row],[Incluir nas despesas?]]="Sim",PLANEJADO[[#This Row],[Preço]]*PLANEJADO[[#This Row],[Quantidade]],0)</f>
        <v>1141</v>
      </c>
      <c r="J35" s="32" t="s">
        <v>59</v>
      </c>
    </row>
    <row r="36" spans="2:10" x14ac:dyDescent="0.25">
      <c r="B36" s="39">
        <v>44119</v>
      </c>
      <c r="C36" s="32" t="s">
        <v>12</v>
      </c>
      <c r="D36" s="32" t="s">
        <v>41</v>
      </c>
      <c r="E36" s="32" t="s">
        <v>66</v>
      </c>
      <c r="F36" s="32">
        <v>1</v>
      </c>
      <c r="G36" s="40">
        <v>520</v>
      </c>
      <c r="H36" s="40" t="s">
        <v>19</v>
      </c>
      <c r="I36" s="40">
        <f>IF(PLANEJADO[[#This Row],[Incluir nas despesas?]]="Sim",PLANEJADO[[#This Row],[Preço]]*PLANEJADO[[#This Row],[Quantidade]],0)</f>
        <v>520</v>
      </c>
      <c r="J36" s="32"/>
    </row>
    <row r="37" spans="2:10" x14ac:dyDescent="0.25">
      <c r="B37" s="39">
        <v>44119</v>
      </c>
      <c r="C37" s="32" t="s">
        <v>12</v>
      </c>
      <c r="D37" s="32" t="s">
        <v>60</v>
      </c>
      <c r="E37" s="32" t="s">
        <v>66</v>
      </c>
      <c r="F37" s="32">
        <v>7</v>
      </c>
      <c r="G37" s="40">
        <v>40</v>
      </c>
      <c r="H37" s="40" t="s">
        <v>19</v>
      </c>
      <c r="I37" s="40">
        <f>IF(PLANEJADO[[#This Row],[Incluir nas despesas?]]="Sim",PLANEJADO[[#This Row],[Preço]]*PLANEJADO[[#This Row],[Quantidade]],0)</f>
        <v>280</v>
      </c>
      <c r="J37" s="32"/>
    </row>
    <row r="38" spans="2:10" x14ac:dyDescent="0.25">
      <c r="B38" s="39">
        <v>44119</v>
      </c>
      <c r="C38" s="32" t="s">
        <v>12</v>
      </c>
      <c r="D38" s="32" t="s">
        <v>53</v>
      </c>
      <c r="E38" s="32" t="s">
        <v>66</v>
      </c>
      <c r="F38" s="32">
        <v>4</v>
      </c>
      <c r="G38" s="40">
        <v>200</v>
      </c>
      <c r="H38" s="40" t="s">
        <v>19</v>
      </c>
      <c r="I38" s="40">
        <f>IF(PLANEJADO[[#This Row],[Incluir nas despesas?]]="Sim",PLANEJADO[[#This Row],[Preço]]*PLANEJADO[[#This Row],[Quantidade]],0)</f>
        <v>800</v>
      </c>
      <c r="J38" s="32"/>
    </row>
    <row r="39" spans="2:10" x14ac:dyDescent="0.25">
      <c r="B39" s="39">
        <v>44119</v>
      </c>
      <c r="C39" s="32" t="s">
        <v>40</v>
      </c>
      <c r="D39" s="32" t="s">
        <v>50</v>
      </c>
      <c r="E39" s="32" t="s">
        <v>66</v>
      </c>
      <c r="F39" s="32">
        <v>4</v>
      </c>
      <c r="G39" s="40">
        <v>140</v>
      </c>
      <c r="H39" s="40" t="s">
        <v>19</v>
      </c>
      <c r="I39" s="40">
        <f>IF(PLANEJADO[[#This Row],[Incluir nas despesas?]]="Sim",PLANEJADO[[#This Row],[Preço]]*PLANEJADO[[#This Row],[Quantidade]],0)</f>
        <v>560</v>
      </c>
      <c r="J39" s="32"/>
    </row>
    <row r="40" spans="2:10" x14ac:dyDescent="0.25">
      <c r="B40" s="39">
        <v>44119</v>
      </c>
      <c r="C40" s="32" t="s">
        <v>40</v>
      </c>
      <c r="D40" s="32" t="s">
        <v>63</v>
      </c>
      <c r="E40" s="32" t="s">
        <v>66</v>
      </c>
      <c r="F40" s="32">
        <v>4</v>
      </c>
      <c r="G40" s="40">
        <v>400</v>
      </c>
      <c r="H40" s="40" t="s">
        <v>20</v>
      </c>
      <c r="I40" s="40">
        <f>IF(PLANEJADO[[#This Row],[Incluir nas despesas?]]="Sim",PLANEJADO[[#This Row],[Preço]]*PLANEJADO[[#This Row],[Quantidade]],0)</f>
        <v>0</v>
      </c>
      <c r="J40" s="32" t="s">
        <v>64</v>
      </c>
    </row>
    <row r="41" spans="2:10" x14ac:dyDescent="0.25">
      <c r="B41" s="39">
        <v>44119</v>
      </c>
      <c r="C41" s="32" t="s">
        <v>40</v>
      </c>
      <c r="D41" s="32" t="s">
        <v>52</v>
      </c>
      <c r="E41" s="32" t="s">
        <v>66</v>
      </c>
      <c r="F41" s="32">
        <v>1</v>
      </c>
      <c r="G41" s="40">
        <v>930</v>
      </c>
      <c r="H41" s="40" t="s">
        <v>19</v>
      </c>
      <c r="I41" s="41">
        <f>IF(PLANEJADO[[#This Row],[Incluir nas despesas?]]="Sim",PLANEJADO[[#This Row],[Preço]]*PLANEJADO[[#This Row],[Quantidade]],0)</f>
        <v>930</v>
      </c>
      <c r="J41" s="32"/>
    </row>
    <row r="42" spans="2:10" x14ac:dyDescent="0.25">
      <c r="B42" s="39">
        <v>44119</v>
      </c>
      <c r="C42" s="32" t="s">
        <v>8</v>
      </c>
      <c r="D42" s="32" t="s">
        <v>21</v>
      </c>
      <c r="E42" s="32" t="s">
        <v>66</v>
      </c>
      <c r="F42" s="32">
        <v>4</v>
      </c>
      <c r="G42" s="40">
        <v>400</v>
      </c>
      <c r="H42" s="40" t="s">
        <v>19</v>
      </c>
      <c r="I42" s="41">
        <f>IF(PLANEJADO[[#This Row],[Incluir nas despesas?]]="Sim",PLANEJADO[[#This Row],[Preço]]*PLANEJADO[[#This Row],[Quantidade]],0)</f>
        <v>1600</v>
      </c>
      <c r="J42" s="32"/>
    </row>
    <row r="43" spans="2:10" x14ac:dyDescent="0.25">
      <c r="B43" s="39">
        <v>44119</v>
      </c>
      <c r="C43" s="32" t="s">
        <v>41</v>
      </c>
      <c r="D43" s="32" t="s">
        <v>14</v>
      </c>
      <c r="E43" s="32" t="s">
        <v>66</v>
      </c>
      <c r="F43" s="32">
        <v>4</v>
      </c>
      <c r="G43" s="40">
        <v>250</v>
      </c>
      <c r="H43" s="40" t="s">
        <v>19</v>
      </c>
      <c r="I43" s="41">
        <f>IF(PLANEJADO[[#This Row],[Incluir nas despesas?]]="Sim",PLANEJADO[[#This Row],[Preço]]*PLANEJADO[[#This Row],[Quantidade]],0)</f>
        <v>1000</v>
      </c>
      <c r="J43" s="32"/>
    </row>
    <row r="44" spans="2:10" x14ac:dyDescent="0.25">
      <c r="B44" s="39">
        <v>44119</v>
      </c>
      <c r="C44" s="32" t="s">
        <v>41</v>
      </c>
      <c r="D44" s="32" t="s">
        <v>81</v>
      </c>
      <c r="E44" s="32" t="s">
        <v>66</v>
      </c>
      <c r="F44" s="32">
        <v>4</v>
      </c>
      <c r="G44" s="40">
        <v>200</v>
      </c>
      <c r="H44" s="40" t="s">
        <v>19</v>
      </c>
      <c r="I44" s="41">
        <f>IF(PLANEJADO[[#This Row],[Incluir nas despesas?]]="Sim",PLANEJADO[[#This Row],[Preço]]*PLANEJADO[[#This Row],[Quantidade]],0)</f>
        <v>800</v>
      </c>
      <c r="J44" s="32"/>
    </row>
    <row r="45" spans="2:10" x14ac:dyDescent="0.25">
      <c r="B45" s="42">
        <v>44119</v>
      </c>
      <c r="C45" s="33" t="s">
        <v>0</v>
      </c>
      <c r="D45" s="33" t="s">
        <v>48</v>
      </c>
      <c r="E45" s="33" t="s">
        <v>66</v>
      </c>
      <c r="F45" s="33">
        <v>14</v>
      </c>
      <c r="G45" s="43">
        <v>15</v>
      </c>
      <c r="H45" s="43" t="s">
        <v>19</v>
      </c>
      <c r="I45" s="43">
        <f>IF(PLANEJADO[[#This Row],[Incluir nas despesas?]]="Sim",PLANEJADO[[#This Row],[Preço]]*PLANEJADO[[#This Row],[Quantidade]],0)</f>
        <v>210</v>
      </c>
      <c r="J45" s="33"/>
    </row>
    <row r="46" spans="2:10" x14ac:dyDescent="0.25">
      <c r="E46" s="7"/>
    </row>
  </sheetData>
  <mergeCells count="1">
    <mergeCell ref="B1:J1"/>
  </mergeCells>
  <conditionalFormatting sqref="B32:J45">
    <cfRule type="expression" dxfId="2" priority="1">
      <formula>$H32="Não"</formula>
    </cfRule>
  </conditionalFormatting>
  <dataValidations count="2">
    <dataValidation type="list" allowBlank="1" showInputMessage="1" showErrorMessage="1" sqref="C32:C45" xr:uid="{E5492171-CF60-4DDB-A3DE-E16E41F60364}">
      <formula1>INDIRECT("CATEGORIAS[Categorias]")</formula1>
    </dataValidation>
    <dataValidation type="list" allowBlank="1" showInputMessage="1" showErrorMessage="1" sqref="D32:D45" xr:uid="{50687764-22FF-462D-955C-4854330E27A0}">
      <formula1>INDIRECT($C32 &amp; "[" &amp; $C32 &amp; "]")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ORÇAMENTO LIMITE ATINGIDO" error="O valor deste gasto excede o orçamento limite estipulado._x000a__x000a_Reveja os seus gastos ou aumente seu orçamento limite." promptTitle="Instrução" prompt="Preencha essa coluna com &quot;Sim&quot; ou &quot;Não&quot;." xr:uid="{5AA14F90-CAF7-46DB-8D89-B9F43FBFC90D}">
          <x14:formula1>
            <xm:f>AND(OR($H32="Sim",$H32="Não"),SUM(INDIRECT("PLANEJADO[Valor Total]"))&lt;=Auxiliar!$C$4)</xm:f>
          </x14:formula1>
          <xm:sqref>H32:H45</xm:sqref>
        </x14:dataValidation>
        <x14:dataValidation type="custom" allowBlank="1" showInputMessage="1" showErrorMessage="1" errorTitle="ORÇAMENTO LIMITE ATINGIDO" error="O valor deste gasto excede o orçamento limite estipulado._x000a__x000a_Reveja os seus gastos ou aumente seu orçamento limite." xr:uid="{79E15EBF-C7D4-4045-8775-B04302471248}">
          <x14:formula1>
            <xm:f>SUM(INDIRECT("PLANEJADO[Valor Total]"))&lt;=Auxiliar!$C$4</xm:f>
          </x14:formula1>
          <xm:sqref>G32:G45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51E7-FFA6-4667-9991-389275B9EEB9}">
  <dimension ref="B1:C20"/>
  <sheetViews>
    <sheetView showGridLines="0" workbookViewId="0">
      <pane ySplit="10" topLeftCell="A11" activePane="bottomLeft" state="frozen"/>
      <selection pane="bottomLeft" activeCell="C11" sqref="C11"/>
    </sheetView>
  </sheetViews>
  <sheetFormatPr defaultRowHeight="15" x14ac:dyDescent="0.25"/>
  <cols>
    <col min="2" max="2" width="79.7109375" customWidth="1"/>
    <col min="3" max="3" width="13" customWidth="1"/>
  </cols>
  <sheetData>
    <row r="1" spans="2:3" ht="32.25" customHeight="1" thickBot="1" x14ac:dyDescent="0.3">
      <c r="B1" s="49" t="s">
        <v>23</v>
      </c>
      <c r="C1" s="51"/>
    </row>
    <row r="3" spans="2:3" ht="18.75" x14ac:dyDescent="0.3">
      <c r="B3" s="24" t="s">
        <v>34</v>
      </c>
      <c r="C3" s="26" t="str">
        <f>IF(C7=0,"SIM","NÃO")</f>
        <v>SIM</v>
      </c>
    </row>
    <row r="4" spans="2:3" ht="15.75" thickBot="1" x14ac:dyDescent="0.3"/>
    <row r="5" spans="2:3" ht="19.5" thickBot="1" x14ac:dyDescent="0.35">
      <c r="B5" s="28" t="s">
        <v>32</v>
      </c>
      <c r="C5" s="27">
        <f>COUNTA(CHECKLIST[Item])</f>
        <v>10</v>
      </c>
    </row>
    <row r="6" spans="2:3" ht="19.5" thickBot="1" x14ac:dyDescent="0.35">
      <c r="B6" s="29" t="s">
        <v>33</v>
      </c>
      <c r="C6" s="27">
        <f>COUNTIF(CHECKLIST[Situação],"Ok")</f>
        <v>10</v>
      </c>
    </row>
    <row r="7" spans="2:3" ht="19.5" thickBot="1" x14ac:dyDescent="0.35">
      <c r="B7" s="30" t="s">
        <v>22</v>
      </c>
      <c r="C7" s="27">
        <f>COUNTIF(CHECKLIST[Situação],"&lt;&gt;Ok")</f>
        <v>0</v>
      </c>
    </row>
    <row r="8" spans="2:3" ht="8.25" customHeight="1" x14ac:dyDescent="0.25"/>
    <row r="10" spans="2:3" x14ac:dyDescent="0.25">
      <c r="B10" s="31" t="s">
        <v>15</v>
      </c>
      <c r="C10" s="31" t="s">
        <v>16</v>
      </c>
    </row>
    <row r="11" spans="2:3" x14ac:dyDescent="0.25">
      <c r="B11" s="32" t="s">
        <v>17</v>
      </c>
      <c r="C11" s="32" t="s">
        <v>31</v>
      </c>
    </row>
    <row r="12" spans="2:3" x14ac:dyDescent="0.25">
      <c r="B12" s="32" t="s">
        <v>18</v>
      </c>
      <c r="C12" s="32" t="s">
        <v>31</v>
      </c>
    </row>
    <row r="13" spans="2:3" x14ac:dyDescent="0.25">
      <c r="B13" s="32" t="s">
        <v>24</v>
      </c>
      <c r="C13" s="32" t="s">
        <v>31</v>
      </c>
    </row>
    <row r="14" spans="2:3" x14ac:dyDescent="0.25">
      <c r="B14" s="32" t="s">
        <v>7</v>
      </c>
      <c r="C14" s="32" t="s">
        <v>31</v>
      </c>
    </row>
    <row r="15" spans="2:3" x14ac:dyDescent="0.25">
      <c r="B15" s="32" t="s">
        <v>25</v>
      </c>
      <c r="C15" s="32" t="s">
        <v>31</v>
      </c>
    </row>
    <row r="16" spans="2:3" x14ac:dyDescent="0.25">
      <c r="B16" s="32" t="s">
        <v>26</v>
      </c>
      <c r="C16" s="32" t="s">
        <v>31</v>
      </c>
    </row>
    <row r="17" spans="2:3" x14ac:dyDescent="0.25">
      <c r="B17" s="32" t="s">
        <v>27</v>
      </c>
      <c r="C17" s="32" t="s">
        <v>31</v>
      </c>
    </row>
    <row r="18" spans="2:3" x14ac:dyDescent="0.25">
      <c r="B18" s="32" t="s">
        <v>28</v>
      </c>
      <c r="C18" s="32" t="s">
        <v>31</v>
      </c>
    </row>
    <row r="19" spans="2:3" x14ac:dyDescent="0.25">
      <c r="B19" s="32" t="s">
        <v>29</v>
      </c>
      <c r="C19" s="32" t="s">
        <v>31</v>
      </c>
    </row>
    <row r="20" spans="2:3" x14ac:dyDescent="0.25">
      <c r="B20" s="33" t="s">
        <v>30</v>
      </c>
      <c r="C20" s="32" t="s">
        <v>31</v>
      </c>
    </row>
  </sheetData>
  <mergeCells count="1">
    <mergeCell ref="B1:C1"/>
  </mergeCells>
  <conditionalFormatting sqref="C3">
    <cfRule type="containsText" dxfId="1" priority="1" operator="containsText" text="SIM">
      <formula>NOT(ISERROR(SEARCH("SIM",C3)))</formula>
    </cfRule>
    <cfRule type="containsText" dxfId="0" priority="2" operator="containsText" text="NÃO">
      <formula>NOT(ISERROR(SEARCH("NÃO",C3)))</formula>
    </cfRule>
  </conditionalFormatting>
  <dataValidations count="1">
    <dataValidation type="list" allowBlank="1" showInputMessage="1" showErrorMessage="1" sqref="C11:C20" xr:uid="{22C50B51-9F33-4E5C-8DD0-EF258FFF181B}">
      <formula1>"Ok,Nok"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6046-7B2F-4540-926A-8166745E964B}">
  <dimension ref="A1:P30"/>
  <sheetViews>
    <sheetView showGridLines="0" zoomScale="85" zoomScaleNormal="85" workbookViewId="0">
      <selection activeCell="B5" sqref="B5"/>
    </sheetView>
  </sheetViews>
  <sheetFormatPr defaultRowHeight="15" x14ac:dyDescent="0.25"/>
  <cols>
    <col min="1" max="1" width="2.85546875" customWidth="1"/>
    <col min="2" max="2" width="18.140625" bestFit="1" customWidth="1"/>
    <col min="3" max="3" width="4.7109375" customWidth="1"/>
    <col min="4" max="4" width="17.42578125" bestFit="1" customWidth="1"/>
    <col min="5" max="5" width="4.7109375" customWidth="1"/>
    <col min="6" max="6" width="17" bestFit="1" customWidth="1"/>
    <col min="7" max="7" width="4.7109375" customWidth="1"/>
    <col min="8" max="8" width="18.85546875" bestFit="1" customWidth="1"/>
    <col min="9" max="9" width="4.7109375" customWidth="1"/>
    <col min="10" max="10" width="19.85546875" bestFit="1" customWidth="1"/>
    <col min="11" max="11" width="4.7109375" customWidth="1"/>
    <col min="12" max="12" width="14.42578125" customWidth="1"/>
    <col min="13" max="13" width="4.7109375" customWidth="1"/>
    <col min="14" max="14" width="23.140625" bestFit="1" customWidth="1"/>
    <col min="15" max="15" width="4.7109375" customWidth="1"/>
    <col min="16" max="16" width="23.140625" bestFit="1" customWidth="1"/>
  </cols>
  <sheetData>
    <row r="1" spans="1:16" ht="26.25" x14ac:dyDescent="0.4">
      <c r="A1" s="4"/>
      <c r="B1" s="25" t="s">
        <v>82</v>
      </c>
      <c r="C1" s="25"/>
      <c r="D1" s="4"/>
      <c r="E1" s="4"/>
      <c r="F1" s="4"/>
      <c r="G1" s="4"/>
      <c r="H1" s="4"/>
      <c r="I1" s="36"/>
    </row>
    <row r="4" spans="1:16" x14ac:dyDescent="0.25">
      <c r="B4" s="23" t="s">
        <v>82</v>
      </c>
      <c r="D4" s="37" t="s">
        <v>3</v>
      </c>
      <c r="E4" s="5"/>
      <c r="F4" s="37" t="s">
        <v>5</v>
      </c>
      <c r="G4" s="5"/>
      <c r="H4" s="37" t="s">
        <v>12</v>
      </c>
      <c r="I4" s="5"/>
      <c r="J4" s="37" t="s">
        <v>0</v>
      </c>
      <c r="K4" s="5"/>
      <c r="L4" s="37" t="s">
        <v>40</v>
      </c>
      <c r="M4" s="5"/>
      <c r="N4" s="37" t="s">
        <v>41</v>
      </c>
      <c r="O4" s="5"/>
      <c r="P4" s="37" t="s">
        <v>8</v>
      </c>
    </row>
    <row r="5" spans="1:16" x14ac:dyDescent="0.25">
      <c r="B5" s="23" t="s">
        <v>3</v>
      </c>
      <c r="D5" s="20" t="s">
        <v>42</v>
      </c>
      <c r="F5" s="20" t="s">
        <v>58</v>
      </c>
      <c r="H5" s="20" t="s">
        <v>41</v>
      </c>
      <c r="J5" s="20" t="s">
        <v>46</v>
      </c>
      <c r="L5" s="20" t="s">
        <v>49</v>
      </c>
      <c r="N5" s="20" t="s">
        <v>14</v>
      </c>
      <c r="P5" s="20" t="s">
        <v>43</v>
      </c>
    </row>
    <row r="6" spans="1:16" x14ac:dyDescent="0.25">
      <c r="B6" s="23" t="s">
        <v>5</v>
      </c>
      <c r="D6" s="20" t="s">
        <v>4</v>
      </c>
      <c r="F6" s="20" t="s">
        <v>6</v>
      </c>
      <c r="H6" s="20" t="s">
        <v>60</v>
      </c>
      <c r="J6" s="20" t="s">
        <v>47</v>
      </c>
      <c r="L6" s="20" t="s">
        <v>50</v>
      </c>
      <c r="N6" s="20" t="s">
        <v>81</v>
      </c>
      <c r="P6" s="20" t="s">
        <v>44</v>
      </c>
    </row>
    <row r="7" spans="1:16" x14ac:dyDescent="0.25">
      <c r="B7" s="23" t="s">
        <v>12</v>
      </c>
      <c r="D7" s="20" t="s">
        <v>1</v>
      </c>
      <c r="F7" s="20" t="s">
        <v>11</v>
      </c>
      <c r="H7" s="20" t="s">
        <v>61</v>
      </c>
      <c r="J7" s="20" t="s">
        <v>48</v>
      </c>
      <c r="L7" s="20" t="s">
        <v>51</v>
      </c>
      <c r="P7" s="20" t="s">
        <v>45</v>
      </c>
    </row>
    <row r="8" spans="1:16" x14ac:dyDescent="0.25">
      <c r="B8" s="23" t="s">
        <v>0</v>
      </c>
      <c r="D8" s="20" t="s">
        <v>13</v>
      </c>
      <c r="H8" s="20" t="s">
        <v>53</v>
      </c>
      <c r="J8" s="20" t="s">
        <v>1</v>
      </c>
      <c r="L8" s="20" t="s">
        <v>8</v>
      </c>
      <c r="P8" s="20" t="s">
        <v>39</v>
      </c>
    </row>
    <row r="9" spans="1:16" x14ac:dyDescent="0.25">
      <c r="B9" s="23" t="s">
        <v>40</v>
      </c>
      <c r="D9" s="20" t="s">
        <v>2</v>
      </c>
      <c r="H9" s="20" t="s">
        <v>62</v>
      </c>
      <c r="L9" s="20" t="s">
        <v>52</v>
      </c>
      <c r="P9" s="20" t="s">
        <v>21</v>
      </c>
    </row>
    <row r="10" spans="1:16" x14ac:dyDescent="0.25">
      <c r="B10" s="23" t="s">
        <v>41</v>
      </c>
      <c r="L10" s="20" t="s">
        <v>53</v>
      </c>
    </row>
    <row r="11" spans="1:16" x14ac:dyDescent="0.25">
      <c r="B11" s="23" t="s">
        <v>8</v>
      </c>
      <c r="L11" s="20" t="s">
        <v>63</v>
      </c>
    </row>
    <row r="12" spans="1:16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6" s="36" customFormat="1" x14ac:dyDescent="0.25"/>
    <row r="30" spans="2:2" x14ac:dyDescent="0.25">
      <c r="B30" s="23" t="s">
        <v>8</v>
      </c>
    </row>
  </sheetData>
  <pageMargins left="0.511811024" right="0.511811024" top="0.78740157499999996" bottom="0.78740157499999996" header="0.31496062000000002" footer="0.31496062000000002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8047-6C18-4357-8C1B-81E5ABBD7F34}">
  <dimension ref="A1:E13"/>
  <sheetViews>
    <sheetView showGridLines="0" workbookViewId="0">
      <selection activeCell="B12" sqref="B12"/>
    </sheetView>
  </sheetViews>
  <sheetFormatPr defaultRowHeight="15" x14ac:dyDescent="0.25"/>
  <cols>
    <col min="1" max="1" width="2.42578125" customWidth="1"/>
    <col min="2" max="2" width="23.5703125" customWidth="1"/>
    <col min="3" max="3" width="24" customWidth="1"/>
    <col min="5" max="5" width="42.140625" bestFit="1" customWidth="1"/>
  </cols>
  <sheetData>
    <row r="1" spans="1:5" ht="26.25" x14ac:dyDescent="0.4">
      <c r="A1" s="4"/>
      <c r="B1" s="25" t="s">
        <v>80</v>
      </c>
      <c r="C1" s="4"/>
      <c r="D1" s="4"/>
      <c r="E1" s="4"/>
    </row>
    <row r="4" spans="1:5" ht="23.25" x14ac:dyDescent="0.25">
      <c r="B4" s="47" t="s">
        <v>35</v>
      </c>
      <c r="C4" s="44">
        <v>10000</v>
      </c>
      <c r="E4" s="48" t="s">
        <v>83</v>
      </c>
    </row>
    <row r="5" spans="1:5" ht="15.75" thickBot="1" x14ac:dyDescent="0.3"/>
    <row r="6" spans="1:5" ht="15.75" thickBot="1" x14ac:dyDescent="0.3">
      <c r="B6" s="1" t="s">
        <v>78</v>
      </c>
      <c r="C6" s="45">
        <f>SUM(PLANEJADO[Valor Total])</f>
        <v>9089.06</v>
      </c>
    </row>
    <row r="7" spans="1:5" ht="15.75" thickBot="1" x14ac:dyDescent="0.3">
      <c r="B7" s="1" t="s">
        <v>79</v>
      </c>
      <c r="C7" s="45">
        <f>C4-C6</f>
        <v>910.94000000000051</v>
      </c>
    </row>
    <row r="9" spans="1:5" ht="15.75" thickBot="1" x14ac:dyDescent="0.3"/>
    <row r="10" spans="1:5" ht="15.75" thickBot="1" x14ac:dyDescent="0.3">
      <c r="B10" s="1" t="s">
        <v>74</v>
      </c>
      <c r="C10" s="46">
        <v>4</v>
      </c>
    </row>
    <row r="11" spans="1:5" ht="15.75" thickBot="1" x14ac:dyDescent="0.3">
      <c r="B11" s="1" t="s">
        <v>75</v>
      </c>
      <c r="C11" s="46">
        <v>7</v>
      </c>
    </row>
    <row r="12" spans="1:5" ht="15.75" thickBot="1" x14ac:dyDescent="0.3">
      <c r="B12" s="1" t="s">
        <v>84</v>
      </c>
      <c r="C12" s="45">
        <f>C6/C10</f>
        <v>2272.2649999999999</v>
      </c>
    </row>
    <row r="13" spans="1:5" ht="15.75" thickBot="1" x14ac:dyDescent="0.3">
      <c r="B13" s="1" t="s">
        <v>77</v>
      </c>
      <c r="C13" s="45">
        <f>C6/(C10*C11)</f>
        <v>324.6092857142857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854F-61E0-4CF2-8B6F-7BF5035B00D8}">
  <dimension ref="A1:T89"/>
  <sheetViews>
    <sheetView showGridLines="0" workbookViewId="0">
      <selection activeCell="E90" sqref="E90"/>
    </sheetView>
  </sheetViews>
  <sheetFormatPr defaultRowHeight="15" x14ac:dyDescent="0.25"/>
  <cols>
    <col min="1" max="1" width="2.140625" style="52" customWidth="1"/>
    <col min="2" max="2" width="26.5703125" style="52" customWidth="1"/>
    <col min="3" max="3" width="0.28515625" customWidth="1"/>
    <col min="4" max="4" width="1.5703125" customWidth="1"/>
  </cols>
  <sheetData>
    <row r="1" spans="5:20" s="52" customFormat="1" x14ac:dyDescent="0.25"/>
    <row r="2" spans="5:20" ht="36" x14ac:dyDescent="0.55000000000000004">
      <c r="E2" s="53" t="s">
        <v>85</v>
      </c>
    </row>
    <row r="5" spans="5:20" ht="19.5" thickBot="1" x14ac:dyDescent="0.35">
      <c r="E5" s="54" t="s">
        <v>86</v>
      </c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</row>
    <row r="53" spans="5:20" ht="19.5" thickBot="1" x14ac:dyDescent="0.35">
      <c r="E53" s="54" t="s">
        <v>87</v>
      </c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</row>
    <row r="75" spans="5:20" ht="19.5" thickBot="1" x14ac:dyDescent="0.35">
      <c r="E75" s="54" t="s">
        <v>88</v>
      </c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</row>
    <row r="89" spans="5:20" ht="19.5" thickBot="1" x14ac:dyDescent="0.35">
      <c r="E89" s="54" t="s">
        <v>89</v>
      </c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Principal</vt:lpstr>
      <vt:lpstr>Checklist</vt:lpstr>
      <vt:lpstr>Categorias</vt:lpstr>
      <vt:lpstr>Auxiliar</vt:lpstr>
      <vt:lpstr>Instruções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Cavalcanti</dc:creator>
  <cp:lastModifiedBy>Marcus Vinicius Cavalcanti de Jesus</cp:lastModifiedBy>
  <dcterms:created xsi:type="dcterms:W3CDTF">2020-10-15T07:24:54Z</dcterms:created>
  <dcterms:modified xsi:type="dcterms:W3CDTF">2020-10-23T13:49:40Z</dcterms:modified>
</cp:coreProperties>
</file>