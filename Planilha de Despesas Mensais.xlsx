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3C03A286-4B0C-4348-9A32-DE438B390901}" xr6:coauthVersionLast="47" xr6:coauthVersionMax="47" xr10:uidLastSave="{00000000-0000-0000-0000-000000000000}"/>
  <bookViews>
    <workbookView xWindow="-108" yWindow="-108" windowWidth="23256" windowHeight="13176" xr2:uid="{87C43D4C-A9AB-4E77-AB5B-044049CB301A}"/>
  </bookViews>
  <sheets>
    <sheet name="Despesas" sheetId="1" r:id="rId1"/>
    <sheet name="Cálculos" sheetId="2" state="hidden" r:id="rId2"/>
    <sheet name="Dashboard" sheetId="4" r:id="rId3"/>
  </sheets>
  <definedNames>
    <definedName name="_xlchart.v1.0" hidden="1">Cálculos!$D$4:$E$19</definedName>
    <definedName name="_xlchart.v1.1" hidden="1">Cálculos!$F$4:$F$19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 s="1"/>
  <c r="C6" i="2"/>
  <c r="B3" i="2" a="1"/>
  <c r="B3" i="2" s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B24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B6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B3" i="1"/>
  <c r="A9" i="2" l="1"/>
  <c r="E1" i="2"/>
  <c r="F5" i="2"/>
  <c r="F8" i="2"/>
  <c r="F6" i="2"/>
  <c r="F9" i="2"/>
  <c r="F10" i="2"/>
  <c r="F11" i="2"/>
  <c r="F12" i="2"/>
  <c r="F13" i="2"/>
  <c r="F15" i="2"/>
  <c r="F17" i="2"/>
  <c r="F19" i="2"/>
  <c r="F7" i="2"/>
  <c r="F14" i="2"/>
  <c r="F16" i="2"/>
  <c r="F18" i="2"/>
  <c r="F4" i="2"/>
  <c r="B14" i="1"/>
  <c r="B27" i="1" s="1"/>
  <c r="B28" i="1" s="1"/>
  <c r="C14" i="1"/>
  <c r="C27" i="1" s="1"/>
  <c r="S14" i="1"/>
  <c r="O14" i="1"/>
  <c r="N14" i="1"/>
  <c r="X14" i="1"/>
  <c r="X27" i="1" s="1"/>
  <c r="H14" i="1"/>
  <c r="H27" i="1" s="1"/>
  <c r="L14" i="1"/>
  <c r="L27" i="1" s="1"/>
  <c r="I14" i="1"/>
  <c r="I27" i="1" s="1"/>
  <c r="W14" i="1"/>
  <c r="W27" i="1" s="1"/>
  <c r="G14" i="1"/>
  <c r="G27" i="1" s="1"/>
  <c r="M14" i="1"/>
  <c r="M27" i="1" s="1"/>
  <c r="K14" i="1"/>
  <c r="K27" i="1" s="1"/>
  <c r="Q14" i="1"/>
  <c r="Q27" i="1" s="1"/>
  <c r="P14" i="1"/>
  <c r="P27" i="1" s="1"/>
  <c r="V14" i="1"/>
  <c r="V27" i="1" s="1"/>
  <c r="F14" i="1"/>
  <c r="F27" i="1" s="1"/>
  <c r="R14" i="1"/>
  <c r="R27" i="1" s="1"/>
  <c r="Y14" i="1"/>
  <c r="Y27" i="1" s="1"/>
  <c r="U14" i="1"/>
  <c r="U27" i="1" s="1"/>
  <c r="E14" i="1"/>
  <c r="E27" i="1" s="1"/>
  <c r="J14" i="1"/>
  <c r="J27" i="1" s="1"/>
  <c r="T14" i="1"/>
  <c r="T27" i="1" s="1"/>
  <c r="D14" i="1"/>
  <c r="D27" i="1" s="1"/>
  <c r="S27" i="1"/>
  <c r="O27" i="1"/>
  <c r="N27" i="1"/>
  <c r="E2" i="2" l="1"/>
  <c r="C28" i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<sst xmlns="http://schemas.openxmlformats.org/spreadsheetml/2006/main" count="96" uniqueCount="40">
  <si>
    <t>Receitas</t>
  </si>
  <si>
    <t>Salário</t>
  </si>
  <si>
    <t>Outros</t>
  </si>
  <si>
    <t>Despesas Fixas</t>
  </si>
  <si>
    <t>Aluguel</t>
  </si>
  <si>
    <t>Seguros</t>
  </si>
  <si>
    <t>Educação</t>
  </si>
  <si>
    <t>Internet</t>
  </si>
  <si>
    <t>TV a cabo</t>
  </si>
  <si>
    <t>Impostos</t>
  </si>
  <si>
    <t>Despesas Variáveis</t>
  </si>
  <si>
    <t>Telefone</t>
  </si>
  <si>
    <t>Luz</t>
  </si>
  <si>
    <t>Água</t>
  </si>
  <si>
    <t>Condomínio</t>
  </si>
  <si>
    <t>Mercado</t>
  </si>
  <si>
    <t>Vestuário</t>
  </si>
  <si>
    <t>Itens Casa</t>
  </si>
  <si>
    <t>Transporte</t>
  </si>
  <si>
    <t>Saúde</t>
  </si>
  <si>
    <t>Previdência</t>
  </si>
  <si>
    <t>Economias</t>
  </si>
  <si>
    <t>Investimentos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</si>
  <si>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</si>
  <si>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</si>
  <si>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</si>
  <si>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</si>
  <si>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</si>
  <si>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</si>
  <si>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</si>
  <si>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</si>
  <si>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</si>
  <si>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</si>
  <si>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</si>
  <si>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</si>
  <si>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Carro</t>
  </si>
  <si>
    <t>Fluxo Acumulado</t>
  </si>
  <si>
    <t>Fluxo de Caixa</t>
  </si>
  <si>
    <t>Fixas</t>
  </si>
  <si>
    <t>Variáveis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</si>
</sst>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Montserrat"/>
    </font>
    <font>
      <b/>
      <sz val="11"/>
      <color theme="0"/>
      <name val="Montserrat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8" borderId="2" xfId="0" applyFont="1" applyFill="1" applyBorder="1" applyAlignment="1">
      <alignment horizontal="center"/>
    </xf>
    <xf numFmtId="0" fontId="2" fillId="2" borderId="0" xfId="0" applyFont="1" applyFill="1"/>
    <xf numFmtId="164" fontId="2" fillId="2" borderId="1" xfId="0" applyNumberFormat="1" applyFont="1" applyFill="1" applyBorder="1"/>
    <xf numFmtId="0" fontId="2" fillId="3" borderId="0" xfId="0" applyFont="1" applyFill="1"/>
    <xf numFmtId="164" fontId="2" fillId="3" borderId="1" xfId="0" applyNumberFormat="1" applyFont="1" applyFill="1" applyBorder="1"/>
    <xf numFmtId="0" fontId="2" fillId="4" borderId="0" xfId="0" applyFont="1" applyFill="1"/>
    <xf numFmtId="164" fontId="2" fillId="4" borderId="1" xfId="0" applyNumberFormat="1" applyFont="1" applyFill="1" applyBorder="1"/>
    <xf numFmtId="0" fontId="2" fillId="5" borderId="0" xfId="0" applyFont="1" applyFill="1"/>
    <xf numFmtId="164" fontId="2" fillId="5" borderId="1" xfId="0" applyNumberFormat="1" applyFont="1" applyFill="1" applyBorder="1"/>
    <xf numFmtId="0" fontId="2" fillId="6" borderId="0" xfId="0" applyFont="1" applyFill="1"/>
    <xf numFmtId="164" fontId="2" fillId="6" borderId="1" xfId="0" applyNumberFormat="1" applyFont="1" applyFill="1" applyBorder="1"/>
    <xf numFmtId="0" fontId="2" fillId="7" borderId="0" xfId="0" applyFont="1" applyFill="1"/>
    <xf numFmtId="164" fontId="2" fillId="7" borderId="1" xfId="0" applyNumberFormat="1" applyFont="1" applyFill="1" applyBorder="1"/>
    <xf numFmtId="0" fontId="2" fillId="9" borderId="0" xfId="0" applyFont="1" applyFill="1"/>
    <xf numFmtId="164" fontId="2" fillId="9" borderId="1" xfId="0" applyNumberFormat="1" applyFont="1" applyFill="1" applyBorder="1"/>
    <xf numFmtId="0" fontId="2" fillId="8" borderId="0" xfId="0" applyFont="1" applyFill="1"/>
    <xf numFmtId="0" fontId="3" fillId="8" borderId="2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theme="8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theme="8" tint="-0.2499465926084170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5 2" pivot="0" table="0" count="10" xr9:uid="{CF1E6D6D-2A11-4374-8E92-1DB5E5FD64A3}">
      <tableStyleElement type="wholeTable" dxfId="3"/>
      <tableStyleElement type="headerRow" dxfId="2"/>
    </tableStyle>
    <tableStyle name="SlicerStyleLight5 2 2" pivot="0" table="0" count="10" xr9:uid="{52D7E20F-7244-4F6B-8AC8-6F7C87C6CBE4}">
      <tableStyleElement type="wholeTable" dxfId="1"/>
      <tableStyleElement type="headerRow" dxfId="0"/>
    </tableStyle>
  </tableStyles>
  <colors>
    <mruColors>
      <color rgb="FFCC00FF"/>
      <color rgb="FFCC66FF"/>
      <color rgb="FFCC99FF"/>
      <color rgb="FFFF33CC"/>
      <color rgb="FFD60093"/>
      <color rgb="FFCC0099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8" tint="0.59999389629810485"/>
              <bgColor theme="8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8" tint="0.59999389629810485"/>
              <bgColor theme="8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5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5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C3-4224-9840-C9753B042C1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C3-4224-9840-C9753B042C16}"/>
              </c:ext>
            </c:extLst>
          </c:dPt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Cálculos!$D$1:$D$2</c:f>
              <c:strCache>
                <c:ptCount val="2"/>
                <c:pt idx="0">
                  <c:v>Fixas</c:v>
                </c:pt>
                <c:pt idx="1">
                  <c:v>Variáveis</c:v>
                </c:pt>
              </c:strCache>
            </c:strRef>
          </c:cat>
          <c:val>
            <c:numRef>
              <c:f>Cálculos!$E$1:$E$2</c:f>
              <c:numCache>
                <c:formatCode>General</c:formatCode>
                <c:ptCount val="2"/>
                <c:pt idx="0">
                  <c:v>1370</c:v>
                </c:pt>
                <c:pt idx="1">
                  <c:v>1471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C3-4224-9840-C9753B042C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Despesas!$A$15</c:f>
              <c:strCache>
                <c:ptCount val="1"/>
                <c:pt idx="0">
                  <c:v>Telefone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Despesas!$B$15:$Y$15</c:f>
              <c:numCache>
                <c:formatCode>"R$"\ #,##0.00</c:formatCode>
                <c:ptCount val="24"/>
                <c:pt idx="0">
                  <c:v>45</c:v>
                </c:pt>
                <c:pt idx="1">
                  <c:v>41</c:v>
                </c:pt>
                <c:pt idx="2">
                  <c:v>43</c:v>
                </c:pt>
                <c:pt idx="3">
                  <c:v>42</c:v>
                </c:pt>
                <c:pt idx="4">
                  <c:v>43</c:v>
                </c:pt>
                <c:pt idx="5">
                  <c:v>42</c:v>
                </c:pt>
                <c:pt idx="6">
                  <c:v>43</c:v>
                </c:pt>
                <c:pt idx="7">
                  <c:v>43</c:v>
                </c:pt>
                <c:pt idx="8">
                  <c:v>44</c:v>
                </c:pt>
                <c:pt idx="9">
                  <c:v>40</c:v>
                </c:pt>
                <c:pt idx="10">
                  <c:v>41</c:v>
                </c:pt>
                <c:pt idx="11">
                  <c:v>42</c:v>
                </c:pt>
                <c:pt idx="12">
                  <c:v>42</c:v>
                </c:pt>
                <c:pt idx="13">
                  <c:v>42</c:v>
                </c:pt>
                <c:pt idx="14">
                  <c:v>41</c:v>
                </c:pt>
                <c:pt idx="15">
                  <c:v>42</c:v>
                </c:pt>
                <c:pt idx="16">
                  <c:v>45</c:v>
                </c:pt>
                <c:pt idx="17">
                  <c:v>43</c:v>
                </c:pt>
                <c:pt idx="18">
                  <c:v>44</c:v>
                </c:pt>
                <c:pt idx="19">
                  <c:v>41</c:v>
                </c:pt>
                <c:pt idx="20">
                  <c:v>41</c:v>
                </c:pt>
                <c:pt idx="21">
                  <c:v>44</c:v>
                </c:pt>
                <c:pt idx="22">
                  <c:v>40</c:v>
                </c:pt>
                <c:pt idx="23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8-4A85-AC7F-B4F67A2B5C00}"/>
            </c:ext>
          </c:extLst>
        </c:ser>
        <c:ser>
          <c:idx val="1"/>
          <c:order val="1"/>
          <c:tx>
            <c:strRef>
              <c:f>Despesas!$A$16</c:f>
              <c:strCache>
                <c:ptCount val="1"/>
                <c:pt idx="0">
                  <c:v>Luz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Despesas!$B$16:$Y$16</c:f>
              <c:numCache>
                <c:formatCode>"R$"\ #,##0.00</c:formatCode>
                <c:ptCount val="24"/>
                <c:pt idx="0">
                  <c:v>122</c:v>
                </c:pt>
                <c:pt idx="1">
                  <c:v>261</c:v>
                </c:pt>
                <c:pt idx="2">
                  <c:v>229</c:v>
                </c:pt>
                <c:pt idx="3">
                  <c:v>252</c:v>
                </c:pt>
                <c:pt idx="4">
                  <c:v>263</c:v>
                </c:pt>
                <c:pt idx="5">
                  <c:v>237</c:v>
                </c:pt>
                <c:pt idx="6">
                  <c:v>195</c:v>
                </c:pt>
                <c:pt idx="7">
                  <c:v>290</c:v>
                </c:pt>
                <c:pt idx="8">
                  <c:v>231</c:v>
                </c:pt>
                <c:pt idx="9">
                  <c:v>139</c:v>
                </c:pt>
                <c:pt idx="10">
                  <c:v>205</c:v>
                </c:pt>
                <c:pt idx="11">
                  <c:v>194</c:v>
                </c:pt>
                <c:pt idx="12">
                  <c:v>255</c:v>
                </c:pt>
                <c:pt idx="13">
                  <c:v>228</c:v>
                </c:pt>
                <c:pt idx="14">
                  <c:v>247</c:v>
                </c:pt>
                <c:pt idx="15">
                  <c:v>182</c:v>
                </c:pt>
                <c:pt idx="16">
                  <c:v>242</c:v>
                </c:pt>
                <c:pt idx="17">
                  <c:v>132</c:v>
                </c:pt>
                <c:pt idx="18">
                  <c:v>188</c:v>
                </c:pt>
                <c:pt idx="19">
                  <c:v>211</c:v>
                </c:pt>
                <c:pt idx="20">
                  <c:v>225</c:v>
                </c:pt>
                <c:pt idx="21">
                  <c:v>228</c:v>
                </c:pt>
                <c:pt idx="22">
                  <c:v>276</c:v>
                </c:pt>
                <c:pt idx="23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F8-4A85-AC7F-B4F67A2B5C00}"/>
            </c:ext>
          </c:extLst>
        </c:ser>
        <c:ser>
          <c:idx val="2"/>
          <c:order val="2"/>
          <c:tx>
            <c:strRef>
              <c:f>Despesas!$A$17</c:f>
              <c:strCache>
                <c:ptCount val="1"/>
                <c:pt idx="0">
                  <c:v>Água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Despesas!$B$17:$Y$17</c:f>
              <c:numCache>
                <c:formatCode>"R$"\ #,##0.00</c:formatCode>
                <c:ptCount val="24"/>
                <c:pt idx="0">
                  <c:v>54</c:v>
                </c:pt>
                <c:pt idx="1">
                  <c:v>73</c:v>
                </c:pt>
                <c:pt idx="2">
                  <c:v>42</c:v>
                </c:pt>
                <c:pt idx="3">
                  <c:v>47</c:v>
                </c:pt>
                <c:pt idx="4">
                  <c:v>53</c:v>
                </c:pt>
                <c:pt idx="5">
                  <c:v>71</c:v>
                </c:pt>
                <c:pt idx="6">
                  <c:v>79</c:v>
                </c:pt>
                <c:pt idx="7">
                  <c:v>59</c:v>
                </c:pt>
                <c:pt idx="8">
                  <c:v>43</c:v>
                </c:pt>
                <c:pt idx="9">
                  <c:v>69</c:v>
                </c:pt>
                <c:pt idx="10">
                  <c:v>67</c:v>
                </c:pt>
                <c:pt idx="11">
                  <c:v>56</c:v>
                </c:pt>
                <c:pt idx="12">
                  <c:v>44</c:v>
                </c:pt>
                <c:pt idx="13">
                  <c:v>56</c:v>
                </c:pt>
                <c:pt idx="14">
                  <c:v>61</c:v>
                </c:pt>
                <c:pt idx="15">
                  <c:v>49</c:v>
                </c:pt>
                <c:pt idx="16">
                  <c:v>70</c:v>
                </c:pt>
                <c:pt idx="17">
                  <c:v>76</c:v>
                </c:pt>
                <c:pt idx="18">
                  <c:v>61</c:v>
                </c:pt>
                <c:pt idx="19">
                  <c:v>46</c:v>
                </c:pt>
                <c:pt idx="20">
                  <c:v>53</c:v>
                </c:pt>
                <c:pt idx="21">
                  <c:v>43</c:v>
                </c:pt>
                <c:pt idx="22">
                  <c:v>45</c:v>
                </c:pt>
                <c:pt idx="2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F8-4A85-AC7F-B4F67A2B5C00}"/>
            </c:ext>
          </c:extLst>
        </c:ser>
        <c:ser>
          <c:idx val="3"/>
          <c:order val="3"/>
          <c:tx>
            <c:strRef>
              <c:f>Despesas!$A$18</c:f>
              <c:strCache>
                <c:ptCount val="1"/>
                <c:pt idx="0">
                  <c:v>Condomínio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Despesas!$B$18:$Y$18</c:f>
              <c:numCache>
                <c:formatCode>"R$"\ #,##0.00</c:formatCode>
                <c:ptCount val="24"/>
                <c:pt idx="0">
                  <c:v>305</c:v>
                </c:pt>
                <c:pt idx="1">
                  <c:v>320</c:v>
                </c:pt>
                <c:pt idx="2">
                  <c:v>313</c:v>
                </c:pt>
                <c:pt idx="3">
                  <c:v>303</c:v>
                </c:pt>
                <c:pt idx="4">
                  <c:v>329</c:v>
                </c:pt>
                <c:pt idx="5">
                  <c:v>313</c:v>
                </c:pt>
                <c:pt idx="6">
                  <c:v>358</c:v>
                </c:pt>
                <c:pt idx="7">
                  <c:v>356</c:v>
                </c:pt>
                <c:pt idx="8">
                  <c:v>333</c:v>
                </c:pt>
                <c:pt idx="9">
                  <c:v>397</c:v>
                </c:pt>
                <c:pt idx="10">
                  <c:v>344</c:v>
                </c:pt>
                <c:pt idx="11">
                  <c:v>389</c:v>
                </c:pt>
                <c:pt idx="12">
                  <c:v>369</c:v>
                </c:pt>
                <c:pt idx="13">
                  <c:v>388</c:v>
                </c:pt>
                <c:pt idx="14">
                  <c:v>311</c:v>
                </c:pt>
                <c:pt idx="15">
                  <c:v>381</c:v>
                </c:pt>
                <c:pt idx="16">
                  <c:v>382</c:v>
                </c:pt>
                <c:pt idx="17">
                  <c:v>394</c:v>
                </c:pt>
                <c:pt idx="18">
                  <c:v>338</c:v>
                </c:pt>
                <c:pt idx="19">
                  <c:v>385</c:v>
                </c:pt>
                <c:pt idx="20">
                  <c:v>335</c:v>
                </c:pt>
                <c:pt idx="21">
                  <c:v>340</c:v>
                </c:pt>
                <c:pt idx="22">
                  <c:v>375</c:v>
                </c:pt>
                <c:pt idx="23">
                  <c:v>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F8-4A85-AC7F-B4F67A2B5C00}"/>
            </c:ext>
          </c:extLst>
        </c:ser>
        <c:ser>
          <c:idx val="4"/>
          <c:order val="4"/>
          <c:tx>
            <c:strRef>
              <c:f>Despesas!$A$19</c:f>
              <c:strCache>
                <c:ptCount val="1"/>
                <c:pt idx="0">
                  <c:v>Mercado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Despesas!$B$19:$Y$19</c:f>
              <c:numCache>
                <c:formatCode>"R$"\ #,##0.00</c:formatCode>
                <c:ptCount val="24"/>
                <c:pt idx="0">
                  <c:v>404</c:v>
                </c:pt>
                <c:pt idx="1">
                  <c:v>405</c:v>
                </c:pt>
                <c:pt idx="2">
                  <c:v>440</c:v>
                </c:pt>
                <c:pt idx="3">
                  <c:v>429</c:v>
                </c:pt>
                <c:pt idx="4">
                  <c:v>420</c:v>
                </c:pt>
                <c:pt idx="5">
                  <c:v>477</c:v>
                </c:pt>
                <c:pt idx="6">
                  <c:v>455</c:v>
                </c:pt>
                <c:pt idx="7">
                  <c:v>434</c:v>
                </c:pt>
                <c:pt idx="8">
                  <c:v>421</c:v>
                </c:pt>
                <c:pt idx="9">
                  <c:v>475</c:v>
                </c:pt>
                <c:pt idx="10">
                  <c:v>461</c:v>
                </c:pt>
                <c:pt idx="11">
                  <c:v>499</c:v>
                </c:pt>
                <c:pt idx="12">
                  <c:v>434</c:v>
                </c:pt>
                <c:pt idx="13">
                  <c:v>445</c:v>
                </c:pt>
                <c:pt idx="14">
                  <c:v>497</c:v>
                </c:pt>
                <c:pt idx="15">
                  <c:v>410</c:v>
                </c:pt>
                <c:pt idx="16">
                  <c:v>465</c:v>
                </c:pt>
                <c:pt idx="17">
                  <c:v>417</c:v>
                </c:pt>
                <c:pt idx="18">
                  <c:v>413</c:v>
                </c:pt>
                <c:pt idx="19">
                  <c:v>498</c:v>
                </c:pt>
                <c:pt idx="20">
                  <c:v>464</c:v>
                </c:pt>
                <c:pt idx="21">
                  <c:v>493</c:v>
                </c:pt>
                <c:pt idx="22">
                  <c:v>454</c:v>
                </c:pt>
                <c:pt idx="23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F8-4A85-AC7F-B4F67A2B5C00}"/>
            </c:ext>
          </c:extLst>
        </c:ser>
        <c:ser>
          <c:idx val="5"/>
          <c:order val="5"/>
          <c:tx>
            <c:strRef>
              <c:f>Despesas!$A$20</c:f>
              <c:strCache>
                <c:ptCount val="1"/>
                <c:pt idx="0">
                  <c:v>Vestuário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Despesas!$B$20:$Y$20</c:f>
              <c:numCache>
                <c:formatCode>"R$"\ #,##0.00</c:formatCode>
                <c:ptCount val="24"/>
                <c:pt idx="2">
                  <c:v>100</c:v>
                </c:pt>
                <c:pt idx="5">
                  <c:v>50</c:v>
                </c:pt>
                <c:pt idx="8">
                  <c:v>60</c:v>
                </c:pt>
                <c:pt idx="11">
                  <c:v>100</c:v>
                </c:pt>
                <c:pt idx="12">
                  <c:v>200</c:v>
                </c:pt>
                <c:pt idx="14">
                  <c:v>50</c:v>
                </c:pt>
                <c:pt idx="17">
                  <c:v>60</c:v>
                </c:pt>
                <c:pt idx="19">
                  <c:v>70</c:v>
                </c:pt>
                <c:pt idx="2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F8-4A85-AC7F-B4F67A2B5C00}"/>
            </c:ext>
          </c:extLst>
        </c:ser>
        <c:ser>
          <c:idx val="6"/>
          <c:order val="6"/>
          <c:tx>
            <c:strRef>
              <c:f>Despesas!$A$21</c:f>
              <c:strCache>
                <c:ptCount val="1"/>
                <c:pt idx="0">
                  <c:v>Itens Casa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Despesas!$B$21:$Y$21</c:f>
              <c:numCache>
                <c:formatCode>"R$"\ #,##0.00</c:formatCode>
                <c:ptCount val="24"/>
                <c:pt idx="1">
                  <c:v>300</c:v>
                </c:pt>
                <c:pt idx="9">
                  <c:v>200</c:v>
                </c:pt>
                <c:pt idx="16">
                  <c:v>150</c:v>
                </c:pt>
                <c:pt idx="21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F8-4A85-AC7F-B4F67A2B5C00}"/>
            </c:ext>
          </c:extLst>
        </c:ser>
        <c:ser>
          <c:idx val="7"/>
          <c:order val="7"/>
          <c:tx>
            <c:strRef>
              <c:f>Despesas!$A$22</c:f>
              <c:strCache>
                <c:ptCount val="1"/>
                <c:pt idx="0">
                  <c:v>Transporte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Despesas!$B$22:$Y$22</c:f>
              <c:numCache>
                <c:formatCode>"R$"\ #,##0.00</c:formatCode>
                <c:ptCount val="24"/>
                <c:pt idx="0">
                  <c:v>82</c:v>
                </c:pt>
                <c:pt idx="1">
                  <c:v>71</c:v>
                </c:pt>
                <c:pt idx="2">
                  <c:v>120</c:v>
                </c:pt>
                <c:pt idx="3">
                  <c:v>97</c:v>
                </c:pt>
                <c:pt idx="4">
                  <c:v>113</c:v>
                </c:pt>
                <c:pt idx="5">
                  <c:v>80</c:v>
                </c:pt>
                <c:pt idx="6">
                  <c:v>138</c:v>
                </c:pt>
                <c:pt idx="7">
                  <c:v>53</c:v>
                </c:pt>
                <c:pt idx="8">
                  <c:v>96</c:v>
                </c:pt>
                <c:pt idx="9">
                  <c:v>70</c:v>
                </c:pt>
                <c:pt idx="10">
                  <c:v>138</c:v>
                </c:pt>
                <c:pt idx="11">
                  <c:v>93</c:v>
                </c:pt>
                <c:pt idx="12">
                  <c:v>77</c:v>
                </c:pt>
                <c:pt idx="13">
                  <c:v>119</c:v>
                </c:pt>
                <c:pt idx="14">
                  <c:v>114</c:v>
                </c:pt>
                <c:pt idx="15">
                  <c:v>85</c:v>
                </c:pt>
                <c:pt idx="16">
                  <c:v>147</c:v>
                </c:pt>
                <c:pt idx="17">
                  <c:v>120</c:v>
                </c:pt>
                <c:pt idx="18">
                  <c:v>111</c:v>
                </c:pt>
                <c:pt idx="19">
                  <c:v>115</c:v>
                </c:pt>
                <c:pt idx="20">
                  <c:v>65</c:v>
                </c:pt>
                <c:pt idx="21">
                  <c:v>70</c:v>
                </c:pt>
                <c:pt idx="22">
                  <c:v>56</c:v>
                </c:pt>
                <c:pt idx="2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3F8-4A85-AC7F-B4F67A2B5C00}"/>
            </c:ext>
          </c:extLst>
        </c:ser>
        <c:ser>
          <c:idx val="8"/>
          <c:order val="8"/>
          <c:tx>
            <c:strRef>
              <c:f>Despesas!$A$23</c:f>
              <c:strCache>
                <c:ptCount val="1"/>
                <c:pt idx="0">
                  <c:v>Saúde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Despesas!$B$23:$Y$23</c:f>
              <c:numCache>
                <c:formatCode>"R$"\ #,##0.00</c:formatCode>
                <c:ptCount val="24"/>
                <c:pt idx="4">
                  <c:v>400</c:v>
                </c:pt>
                <c:pt idx="13">
                  <c:v>200</c:v>
                </c:pt>
                <c:pt idx="18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F8-4A85-AC7F-B4F67A2B5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3950815"/>
        <c:axId val="1725899039"/>
      </c:lineChart>
      <c:catAx>
        <c:axId val="1703950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5899039"/>
        <c:crosses val="autoZero"/>
        <c:auto val="1"/>
        <c:lblAlgn val="ctr"/>
        <c:lblOffset val="100"/>
        <c:noMultiLvlLbl val="0"/>
      </c:catAx>
      <c:valAx>
        <c:axId val="172589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395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Despesas!$A$7</c:f>
              <c:strCache>
                <c:ptCount val="1"/>
                <c:pt idx="0">
                  <c:v>Aluguel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Despesas!$B$7:$Y$7</c:f>
              <c:numCache>
                <c:formatCode>"R$"\ #,##0.00</c:formatCode>
                <c:ptCount val="24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2-4AEE-A300-618E8793AF82}"/>
            </c:ext>
          </c:extLst>
        </c:ser>
        <c:ser>
          <c:idx val="1"/>
          <c:order val="1"/>
          <c:tx>
            <c:strRef>
              <c:f>Despesas!$A$8</c:f>
              <c:strCache>
                <c:ptCount val="1"/>
                <c:pt idx="0">
                  <c:v>Carro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Despesas!$B$8:$Y$8</c:f>
              <c:numCache>
                <c:formatCode>"R$"\ #,##0.00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DE22-4AEE-A300-618E8793AF82}"/>
            </c:ext>
          </c:extLst>
        </c:ser>
        <c:ser>
          <c:idx val="2"/>
          <c:order val="2"/>
          <c:tx>
            <c:strRef>
              <c:f>Despesas!$A$9</c:f>
              <c:strCache>
                <c:ptCount val="1"/>
                <c:pt idx="0">
                  <c:v>Seguros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Despesas!$B$9:$Y$9</c:f>
              <c:numCache>
                <c:formatCode>"R$"\ #,##0.00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22-4AEE-A300-618E8793AF82}"/>
            </c:ext>
          </c:extLst>
        </c:ser>
        <c:ser>
          <c:idx val="3"/>
          <c:order val="3"/>
          <c:tx>
            <c:strRef>
              <c:f>Despesas!$A$10</c:f>
              <c:strCache>
                <c:ptCount val="1"/>
                <c:pt idx="0">
                  <c:v>Educação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Despesas!$B$10:$Y$10</c:f>
              <c:numCache>
                <c:formatCode>"R$"\ #,##0.00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3-DE22-4AEE-A300-618E8793AF82}"/>
            </c:ext>
          </c:extLst>
        </c:ser>
        <c:ser>
          <c:idx val="4"/>
          <c:order val="4"/>
          <c:tx>
            <c:strRef>
              <c:f>Despesas!$A$11</c:f>
              <c:strCache>
                <c:ptCount val="1"/>
                <c:pt idx="0">
                  <c:v>Internet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Despesas!$B$11:$Y$11</c:f>
              <c:numCache>
                <c:formatCode>"R$"\ #,##0.00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22-4AEE-A300-618E8793AF82}"/>
            </c:ext>
          </c:extLst>
        </c:ser>
        <c:ser>
          <c:idx val="5"/>
          <c:order val="5"/>
          <c:tx>
            <c:strRef>
              <c:f>Despesas!$A$12</c:f>
              <c:strCache>
                <c:ptCount val="1"/>
                <c:pt idx="0">
                  <c:v>TV a cabo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Despesas!$B$12:$Y$12</c:f>
              <c:numCache>
                <c:formatCode>"R$"\ #,##0.00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22-4AEE-A300-618E8793AF82}"/>
            </c:ext>
          </c:extLst>
        </c:ser>
        <c:ser>
          <c:idx val="6"/>
          <c:order val="6"/>
          <c:tx>
            <c:strRef>
              <c:f>Despesas!$A$13</c:f>
              <c:strCache>
                <c:ptCount val="1"/>
                <c:pt idx="0">
                  <c:v>Impostos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Despesas!$B$13:$Y$13</c:f>
              <c:numCache>
                <c:formatCode>"R$"\ #,##0.00</c:formatCode>
                <c:ptCount val="24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22-4AEE-A300-618E8793A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0919375"/>
        <c:axId val="2010001615"/>
      </c:barChart>
      <c:catAx>
        <c:axId val="2010919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0001615"/>
        <c:crosses val="autoZero"/>
        <c:auto val="1"/>
        <c:lblAlgn val="ctr"/>
        <c:lblOffset val="100"/>
        <c:noMultiLvlLbl val="0"/>
      </c:catAx>
      <c:valAx>
        <c:axId val="20100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091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Despesas!$A$4</c:f>
              <c:strCache>
                <c:ptCount val="1"/>
                <c:pt idx="0">
                  <c:v>Salário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Despesas!$B$2:$Y$2</c:f>
              <c:strCache>
                <c:ptCount val="2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JAN</c:v>
                </c:pt>
                <c:pt idx="13">
                  <c:v>FEV</c:v>
                </c:pt>
                <c:pt idx="14">
                  <c:v>MAR</c:v>
                </c:pt>
                <c:pt idx="15">
                  <c:v>ABR</c:v>
                </c:pt>
                <c:pt idx="16">
                  <c:v>MAI</c:v>
                </c:pt>
                <c:pt idx="17">
                  <c:v>JUN</c:v>
                </c:pt>
                <c:pt idx="18">
                  <c:v>JUL</c:v>
                </c:pt>
                <c:pt idx="19">
                  <c:v>AGO</c:v>
                </c:pt>
                <c:pt idx="20">
                  <c:v>SET</c:v>
                </c:pt>
                <c:pt idx="21">
                  <c:v>OUT</c:v>
                </c:pt>
                <c:pt idx="22">
                  <c:v>NOV</c:v>
                </c:pt>
                <c:pt idx="23">
                  <c:v>DEZ</c:v>
                </c:pt>
              </c:strCache>
            </c:strRef>
          </c:cat>
          <c:val>
            <c:numRef>
              <c:f>Despesas!$B$4:$Y$4</c:f>
              <c:numCache>
                <c:formatCode>"R$"\ #,##0.00</c:formatCode>
                <c:ptCount val="24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3000</c:v>
                </c:pt>
                <c:pt idx="7">
                  <c:v>3000</c:v>
                </c:pt>
                <c:pt idx="8">
                  <c:v>3000</c:v>
                </c:pt>
                <c:pt idx="9">
                  <c:v>3000</c:v>
                </c:pt>
                <c:pt idx="10">
                  <c:v>3000</c:v>
                </c:pt>
                <c:pt idx="11">
                  <c:v>3000</c:v>
                </c:pt>
                <c:pt idx="12">
                  <c:v>3500</c:v>
                </c:pt>
                <c:pt idx="13">
                  <c:v>3500</c:v>
                </c:pt>
                <c:pt idx="14">
                  <c:v>3500</c:v>
                </c:pt>
                <c:pt idx="15">
                  <c:v>3500</c:v>
                </c:pt>
                <c:pt idx="16">
                  <c:v>3500</c:v>
                </c:pt>
                <c:pt idx="17">
                  <c:v>3500</c:v>
                </c:pt>
                <c:pt idx="18">
                  <c:v>3500</c:v>
                </c:pt>
                <c:pt idx="19">
                  <c:v>3500</c:v>
                </c:pt>
                <c:pt idx="20">
                  <c:v>3500</c:v>
                </c:pt>
                <c:pt idx="21">
                  <c:v>3500</c:v>
                </c:pt>
                <c:pt idx="22">
                  <c:v>3500</c:v>
                </c:pt>
                <c:pt idx="23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0-4BF6-98BC-ECD7558F9651}"/>
            </c:ext>
          </c:extLst>
        </c:ser>
        <c:ser>
          <c:idx val="1"/>
          <c:order val="1"/>
          <c:tx>
            <c:strRef>
              <c:f>Despesas!$A$5</c:f>
              <c:strCache>
                <c:ptCount val="1"/>
                <c:pt idx="0">
                  <c:v>Outros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Despesas!$B$2:$Y$2</c:f>
              <c:strCache>
                <c:ptCount val="2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JAN</c:v>
                </c:pt>
                <c:pt idx="13">
                  <c:v>FEV</c:v>
                </c:pt>
                <c:pt idx="14">
                  <c:v>MAR</c:v>
                </c:pt>
                <c:pt idx="15">
                  <c:v>ABR</c:v>
                </c:pt>
                <c:pt idx="16">
                  <c:v>MAI</c:v>
                </c:pt>
                <c:pt idx="17">
                  <c:v>JUN</c:v>
                </c:pt>
                <c:pt idx="18">
                  <c:v>JUL</c:v>
                </c:pt>
                <c:pt idx="19">
                  <c:v>AGO</c:v>
                </c:pt>
                <c:pt idx="20">
                  <c:v>SET</c:v>
                </c:pt>
                <c:pt idx="21">
                  <c:v>OUT</c:v>
                </c:pt>
                <c:pt idx="22">
                  <c:v>NOV</c:v>
                </c:pt>
                <c:pt idx="23">
                  <c:v>DEZ</c:v>
                </c:pt>
              </c:strCache>
            </c:strRef>
          </c:cat>
          <c:val>
            <c:numRef>
              <c:f>Despesas!$B$5:$Y$5</c:f>
              <c:numCache>
                <c:formatCode>"R$"\ #,##0.00</c:formatCode>
                <c:ptCount val="24"/>
                <c:pt idx="1">
                  <c:v>300</c:v>
                </c:pt>
                <c:pt idx="2">
                  <c:v>500</c:v>
                </c:pt>
                <c:pt idx="5">
                  <c:v>400</c:v>
                </c:pt>
                <c:pt idx="7">
                  <c:v>600</c:v>
                </c:pt>
                <c:pt idx="10">
                  <c:v>200</c:v>
                </c:pt>
                <c:pt idx="11">
                  <c:v>500</c:v>
                </c:pt>
                <c:pt idx="13">
                  <c:v>300</c:v>
                </c:pt>
                <c:pt idx="14">
                  <c:v>500</c:v>
                </c:pt>
                <c:pt idx="17">
                  <c:v>400</c:v>
                </c:pt>
                <c:pt idx="19">
                  <c:v>600</c:v>
                </c:pt>
                <c:pt idx="22">
                  <c:v>200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0-4BF6-98BC-ECD7558F9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217471"/>
        <c:axId val="1478985967"/>
      </c:barChart>
      <c:catAx>
        <c:axId val="172321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8985967"/>
        <c:crosses val="autoZero"/>
        <c:auto val="1"/>
        <c:lblAlgn val="ctr"/>
        <c:lblOffset val="100"/>
        <c:noMultiLvlLbl val="0"/>
      </c:catAx>
      <c:valAx>
        <c:axId val="147898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321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Despesas!$A$27</c:f>
              <c:strCache>
                <c:ptCount val="1"/>
                <c:pt idx="0">
                  <c:v>Fluxo de Caixa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Despesas!$B$2:$Y$2</c:f>
              <c:strCache>
                <c:ptCount val="2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JAN</c:v>
                </c:pt>
                <c:pt idx="13">
                  <c:v>FEV</c:v>
                </c:pt>
                <c:pt idx="14">
                  <c:v>MAR</c:v>
                </c:pt>
                <c:pt idx="15">
                  <c:v>ABR</c:v>
                </c:pt>
                <c:pt idx="16">
                  <c:v>MAI</c:v>
                </c:pt>
                <c:pt idx="17">
                  <c:v>JUN</c:v>
                </c:pt>
                <c:pt idx="18">
                  <c:v>JUL</c:v>
                </c:pt>
                <c:pt idx="19">
                  <c:v>AGO</c:v>
                </c:pt>
                <c:pt idx="20">
                  <c:v>SET</c:v>
                </c:pt>
                <c:pt idx="21">
                  <c:v>OUT</c:v>
                </c:pt>
                <c:pt idx="22">
                  <c:v>NOV</c:v>
                </c:pt>
                <c:pt idx="23">
                  <c:v>DEZ</c:v>
                </c:pt>
              </c:strCache>
            </c:strRef>
          </c:cat>
          <c:val>
            <c:numRef>
              <c:f>Despesas!$B$27:$Y$27</c:f>
              <c:numCache>
                <c:formatCode>"R$"\ #,##0.00</c:formatCode>
                <c:ptCount val="24"/>
                <c:pt idx="0">
                  <c:v>418</c:v>
                </c:pt>
                <c:pt idx="1">
                  <c:v>-241</c:v>
                </c:pt>
                <c:pt idx="2">
                  <c:v>643</c:v>
                </c:pt>
                <c:pt idx="3">
                  <c:v>-240</c:v>
                </c:pt>
                <c:pt idx="4">
                  <c:v>-191</c:v>
                </c:pt>
                <c:pt idx="5">
                  <c:v>560</c:v>
                </c:pt>
                <c:pt idx="6">
                  <c:v>-838</c:v>
                </c:pt>
                <c:pt idx="7">
                  <c:v>795</c:v>
                </c:pt>
                <c:pt idx="8">
                  <c:v>-298</c:v>
                </c:pt>
                <c:pt idx="9">
                  <c:v>40</c:v>
                </c:pt>
                <c:pt idx="10">
                  <c:v>-126</c:v>
                </c:pt>
                <c:pt idx="11">
                  <c:v>557</c:v>
                </c:pt>
                <c:pt idx="12">
                  <c:v>-491</c:v>
                </c:pt>
                <c:pt idx="13">
                  <c:v>752</c:v>
                </c:pt>
                <c:pt idx="14">
                  <c:v>-891</c:v>
                </c:pt>
                <c:pt idx="15">
                  <c:v>781</c:v>
                </c:pt>
                <c:pt idx="16">
                  <c:v>-1071</c:v>
                </c:pt>
                <c:pt idx="17">
                  <c:v>1088</c:v>
                </c:pt>
                <c:pt idx="18">
                  <c:v>-1025</c:v>
                </c:pt>
                <c:pt idx="19">
                  <c:v>1164</c:v>
                </c:pt>
                <c:pt idx="20">
                  <c:v>-753</c:v>
                </c:pt>
                <c:pt idx="21">
                  <c:v>412</c:v>
                </c:pt>
                <c:pt idx="22">
                  <c:v>-616</c:v>
                </c:pt>
                <c:pt idx="23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4-4AAE-A4B5-E77F44269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797839"/>
        <c:axId val="1531604975"/>
      </c:barChart>
      <c:catAx>
        <c:axId val="148479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1604975"/>
        <c:crosses val="autoZero"/>
        <c:auto val="1"/>
        <c:lblAlgn val="ctr"/>
        <c:lblOffset val="100"/>
        <c:noMultiLvlLbl val="0"/>
      </c:catAx>
      <c:valAx>
        <c:axId val="153160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479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Despesas!$A$28</c:f>
              <c:strCache>
                <c:ptCount val="1"/>
                <c:pt idx="0">
                  <c:v>Fluxo 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Despesas!$B$2:$Y$2</c:f>
              <c:strCache>
                <c:ptCount val="2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JAN</c:v>
                </c:pt>
                <c:pt idx="13">
                  <c:v>FEV</c:v>
                </c:pt>
                <c:pt idx="14">
                  <c:v>MAR</c:v>
                </c:pt>
                <c:pt idx="15">
                  <c:v>ABR</c:v>
                </c:pt>
                <c:pt idx="16">
                  <c:v>MAI</c:v>
                </c:pt>
                <c:pt idx="17">
                  <c:v>JUN</c:v>
                </c:pt>
                <c:pt idx="18">
                  <c:v>JUL</c:v>
                </c:pt>
                <c:pt idx="19">
                  <c:v>AGO</c:v>
                </c:pt>
                <c:pt idx="20">
                  <c:v>SET</c:v>
                </c:pt>
                <c:pt idx="21">
                  <c:v>OUT</c:v>
                </c:pt>
                <c:pt idx="22">
                  <c:v>NOV</c:v>
                </c:pt>
                <c:pt idx="23">
                  <c:v>DEZ</c:v>
                </c:pt>
              </c:strCache>
            </c:strRef>
          </c:cat>
          <c:val>
            <c:numRef>
              <c:f>Despesas!$B$28:$Y$28</c:f>
              <c:numCache>
                <c:formatCode>"R$"\ #,##0.00</c:formatCode>
                <c:ptCount val="24"/>
                <c:pt idx="0">
                  <c:v>418</c:v>
                </c:pt>
                <c:pt idx="1">
                  <c:v>177</c:v>
                </c:pt>
                <c:pt idx="2">
                  <c:v>820</c:v>
                </c:pt>
                <c:pt idx="3">
                  <c:v>580</c:v>
                </c:pt>
                <c:pt idx="4">
                  <c:v>389</c:v>
                </c:pt>
                <c:pt idx="5">
                  <c:v>949</c:v>
                </c:pt>
                <c:pt idx="6">
                  <c:v>111</c:v>
                </c:pt>
                <c:pt idx="7">
                  <c:v>906</c:v>
                </c:pt>
                <c:pt idx="8">
                  <c:v>608</c:v>
                </c:pt>
                <c:pt idx="9">
                  <c:v>648</c:v>
                </c:pt>
                <c:pt idx="10">
                  <c:v>522</c:v>
                </c:pt>
                <c:pt idx="11">
                  <c:v>1079</c:v>
                </c:pt>
                <c:pt idx="12">
                  <c:v>588</c:v>
                </c:pt>
                <c:pt idx="13">
                  <c:v>1340</c:v>
                </c:pt>
                <c:pt idx="14">
                  <c:v>449</c:v>
                </c:pt>
                <c:pt idx="15">
                  <c:v>1230</c:v>
                </c:pt>
                <c:pt idx="16">
                  <c:v>159</c:v>
                </c:pt>
                <c:pt idx="17">
                  <c:v>1247</c:v>
                </c:pt>
                <c:pt idx="18">
                  <c:v>222</c:v>
                </c:pt>
                <c:pt idx="19">
                  <c:v>1386</c:v>
                </c:pt>
                <c:pt idx="20">
                  <c:v>633</c:v>
                </c:pt>
                <c:pt idx="21">
                  <c:v>1045</c:v>
                </c:pt>
                <c:pt idx="22">
                  <c:v>429</c:v>
                </c:pt>
                <c:pt idx="23">
                  <c:v>1150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2A-422C-8D2E-6F70CBF6F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5173455"/>
        <c:axId val="1957757119"/>
      </c:lineChart>
      <c:catAx>
        <c:axId val="197517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7757119"/>
        <c:crosses val="autoZero"/>
        <c:auto val="1"/>
        <c:lblAlgn val="ctr"/>
        <c:lblOffset val="100"/>
        <c:noMultiLvlLbl val="0"/>
      </c:catAx>
      <c:valAx>
        <c:axId val="195775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517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125882C4-2DFD-496A-A68E-8088A4D8F10C}">
          <cx:dataLabels pos="inEnd">
            <cx:numFmt formatCode="R$ #.##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>
                    <a:latin typeface="Montserrat" panose="00000500000000000000" pitchFamily="2" charset="0"/>
                    <a:ea typeface="Montserrat" panose="00000500000000000000" pitchFamily="2" charset="0"/>
                    <a:cs typeface="Montserrat" panose="00000500000000000000" pitchFamily="2" charset="0"/>
                  </a:defRPr>
                </a:pPr>
                <a:endParaRPr lang="pt-BR" sz="1000" b="0" i="0" u="none" strike="noStrike" baseline="0">
                  <a:solidFill>
                    <a:sysClr val="window" lastClr="FFFFFF"/>
                  </a:solidFill>
                  <a:latin typeface="Montserrat" panose="00000500000000000000" pitchFamily="2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fmlaLink="Cálculos!$A$3" fmlaRange="Despesas!$A$35:$A$46" noThreeD="1" sel="2" val="0"/>
</file>

<file path=xl/ctrlProps/ctrlProp2.xml><?xml version="1.0" encoding="utf-8"?>
<formControlPr xmlns="http://schemas.microsoft.com/office/spreadsheetml/2009/9/main" objectType="Drop" dropStyle="combo" dx="26" fmlaLink="Cálculos!$A$6" fmlaRange="Despesas!$B$35:$B$36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569323</xdr:colOff>
      <xdr:row>0</xdr:row>
      <xdr:rowOff>60960</xdr:rowOff>
    </xdr:from>
    <xdr:to>
      <xdr:col>23</xdr:col>
      <xdr:colOff>304800</xdr:colOff>
      <xdr:row>13</xdr:row>
      <xdr:rowOff>140677</xdr:rowOff>
    </xdr:to>
    <xdr:sp macro="" textlink="">
      <xdr:nvSpPr>
        <xdr:cNvPr id="35" name="Retângulo: Cantos Arredondado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7274923" y="60960"/>
          <a:ext cx="7050677" cy="248546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9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0</xdr:colOff>
      <xdr:row>42</xdr:row>
      <xdr:rowOff>83820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14386560" cy="7764780"/>
        </a:xfrm>
        <a:prstGeom prst="rect">
          <a:avLst/>
        </a:prstGeom>
        <a:solidFill>
          <a:schemeClr val="bg1">
            <a:lumMod val="85000"/>
            <a:alpha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313765</xdr:colOff>
      <xdr:row>14</xdr:row>
      <xdr:rowOff>91440</xdr:rowOff>
    </xdr:from>
    <xdr:to>
      <xdr:col>23</xdr:col>
      <xdr:colOff>304799</xdr:colOff>
      <xdr:row>28</xdr:row>
      <xdr:rowOff>51120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848165" y="2682240"/>
          <a:ext cx="5477434" cy="255048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900">
            <a:solidFill>
              <a:schemeClr val="accent5">
                <a:lumMod val="60000"/>
                <a:lumOff val="4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68580</xdr:colOff>
      <xdr:row>0</xdr:row>
      <xdr:rowOff>60960</xdr:rowOff>
    </xdr:from>
    <xdr:to>
      <xdr:col>11</xdr:col>
      <xdr:colOff>413657</xdr:colOff>
      <xdr:row>13</xdr:row>
      <xdr:rowOff>140677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580" y="60960"/>
          <a:ext cx="7050677" cy="2457157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900"/>
        </a:p>
      </xdr:txBody>
    </xdr:sp>
    <xdr:clientData/>
  </xdr:twoCellAnchor>
  <xdr:twoCellAnchor>
    <xdr:from>
      <xdr:col>0</xdr:col>
      <xdr:colOff>65315</xdr:colOff>
      <xdr:row>14</xdr:row>
      <xdr:rowOff>91440</xdr:rowOff>
    </xdr:from>
    <xdr:to>
      <xdr:col>7</xdr:col>
      <xdr:colOff>421341</xdr:colOff>
      <xdr:row>28</xdr:row>
      <xdr:rowOff>51120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5315" y="2682240"/>
          <a:ext cx="4623226" cy="255048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68579</xdr:colOff>
      <xdr:row>28</xdr:row>
      <xdr:rowOff>159434</xdr:rowOff>
    </xdr:from>
    <xdr:to>
      <xdr:col>23</xdr:col>
      <xdr:colOff>315686</xdr:colOff>
      <xdr:row>42</xdr:row>
      <xdr:rowOff>44116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68579" y="5341034"/>
          <a:ext cx="14267907" cy="2475482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513552</xdr:colOff>
      <xdr:row>14</xdr:row>
      <xdr:rowOff>91440</xdr:rowOff>
    </xdr:from>
    <xdr:to>
      <xdr:col>14</xdr:col>
      <xdr:colOff>224118</xdr:colOff>
      <xdr:row>28</xdr:row>
      <xdr:rowOff>51120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780752" y="2651760"/>
          <a:ext cx="3977766" cy="252000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26893</xdr:colOff>
      <xdr:row>14</xdr:row>
      <xdr:rowOff>143435</xdr:rowOff>
    </xdr:from>
    <xdr:to>
      <xdr:col>13</xdr:col>
      <xdr:colOff>89646</xdr:colOff>
      <xdr:row>17</xdr:row>
      <xdr:rowOff>17929</xdr:rowOff>
    </xdr:to>
    <xdr:sp macro="" textlink="">
      <xdr:nvSpPr>
        <xdr:cNvPr id="15" name="CaixaDeTexto 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4903693" y="2703755"/>
          <a:ext cx="3110753" cy="423134"/>
        </a:xfrm>
        <a:prstGeom prst="rect">
          <a:avLst/>
        </a:prstGeom>
        <a:ln>
          <a:noFill/>
        </a:ln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 i="0" u="none" strike="noStrike">
              <a:solidFill>
                <a:schemeClr val="accent5">
                  <a:lumMod val="50000"/>
                </a:schemeClr>
              </a:solidFill>
              <a:latin typeface="Montserrat" panose="00000500000000000000" pitchFamily="2" charset="0"/>
              <a:cs typeface="Calibri"/>
            </a:rPr>
            <a:t>Evolução Fluxo de Caixa</a:t>
          </a:r>
          <a:endParaRPr lang="pt-BR" sz="3200" b="1">
            <a:solidFill>
              <a:schemeClr val="accent5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277267</xdr:colOff>
      <xdr:row>15</xdr:row>
      <xdr:rowOff>3842</xdr:rowOff>
    </xdr:from>
    <xdr:to>
      <xdr:col>5</xdr:col>
      <xdr:colOff>340020</xdr:colOff>
      <xdr:row>17</xdr:row>
      <xdr:rowOff>57630</xdr:rowOff>
    </xdr:to>
    <xdr:sp macro="" textlink="">
      <xdr:nvSpPr>
        <xdr:cNvPr id="18" name="CaixaDeTexto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277267" y="2693254"/>
          <a:ext cx="3110753" cy="412376"/>
        </a:xfrm>
        <a:prstGeom prst="rect">
          <a:avLst/>
        </a:prstGeom>
        <a:ln>
          <a:noFill/>
        </a:ln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 i="0" u="none" strike="noStrike">
              <a:solidFill>
                <a:schemeClr val="accent5">
                  <a:lumMod val="50000"/>
                </a:schemeClr>
              </a:solidFill>
              <a:latin typeface="Montserrat" panose="00000500000000000000" pitchFamily="2" charset="0"/>
              <a:cs typeface="Calibri"/>
            </a:rPr>
            <a:t>Evolução das Receitas</a:t>
          </a:r>
          <a:endParaRPr lang="pt-BR" sz="3200" b="1">
            <a:solidFill>
              <a:schemeClr val="accent5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12</xdr:col>
      <xdr:colOff>209393</xdr:colOff>
      <xdr:row>0</xdr:row>
      <xdr:rowOff>78890</xdr:rowOff>
    </xdr:from>
    <xdr:to>
      <xdr:col>22</xdr:col>
      <xdr:colOff>56993</xdr:colOff>
      <xdr:row>2</xdr:row>
      <xdr:rowOff>132678</xdr:rowOff>
    </xdr:to>
    <xdr:sp macro="" textlink="">
      <xdr:nvSpPr>
        <xdr:cNvPr id="19" name="CaixaDeTexto 1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7524593" y="78890"/>
          <a:ext cx="5943600" cy="412376"/>
        </a:xfrm>
        <a:prstGeom prst="rect">
          <a:avLst/>
        </a:prstGeom>
        <a:ln>
          <a:noFill/>
        </a:ln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 i="0" u="none" strike="noStrike">
              <a:solidFill>
                <a:schemeClr val="accent5">
                  <a:lumMod val="50000"/>
                </a:schemeClr>
              </a:solidFill>
              <a:latin typeface="Montserrat" panose="00000500000000000000" pitchFamily="2" charset="0"/>
              <a:cs typeface="Calibri"/>
            </a:rPr>
            <a:t>Evolução das Despesas Fixas</a:t>
          </a:r>
          <a:endParaRPr lang="pt-BR" sz="3200" b="1">
            <a:solidFill>
              <a:schemeClr val="accent5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510990</xdr:colOff>
      <xdr:row>14</xdr:row>
      <xdr:rowOff>118334</xdr:rowOff>
    </xdr:from>
    <xdr:to>
      <xdr:col>21</xdr:col>
      <xdr:colOff>282390</xdr:colOff>
      <xdr:row>16</xdr:row>
      <xdr:rowOff>172122</xdr:rowOff>
    </xdr:to>
    <xdr:sp macro="" textlink="">
      <xdr:nvSpPr>
        <xdr:cNvPr id="20" name="CaixaDeTexto 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9045390" y="2628452"/>
          <a:ext cx="4038600" cy="412376"/>
        </a:xfrm>
        <a:prstGeom prst="rect">
          <a:avLst/>
        </a:prstGeom>
        <a:ln>
          <a:noFill/>
        </a:ln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 i="0" u="none" strike="noStrike">
              <a:solidFill>
                <a:schemeClr val="accent5">
                  <a:lumMod val="50000"/>
                </a:schemeClr>
              </a:solidFill>
              <a:latin typeface="Montserrat" panose="00000500000000000000" pitchFamily="2" charset="0"/>
              <a:cs typeface="Calibri"/>
            </a:rPr>
            <a:t>Fluxo de Caixa Acumulado</a:t>
          </a:r>
          <a:endParaRPr lang="pt-BR" sz="3200" b="1">
            <a:solidFill>
              <a:schemeClr val="accent5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277905</xdr:colOff>
      <xdr:row>29</xdr:row>
      <xdr:rowOff>26895</xdr:rowOff>
    </xdr:from>
    <xdr:to>
      <xdr:col>5</xdr:col>
      <xdr:colOff>340658</xdr:colOff>
      <xdr:row>31</xdr:row>
      <xdr:rowOff>80682</xdr:rowOff>
    </xdr:to>
    <xdr:sp macro="" textlink="Cálculos!A9">
      <xdr:nvSpPr>
        <xdr:cNvPr id="23" name="CaixaDeTexto 1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277905" y="5330415"/>
          <a:ext cx="3110753" cy="419547"/>
        </a:xfrm>
        <a:prstGeom prst="rect">
          <a:avLst/>
        </a:prstGeom>
        <a:ln>
          <a:noFill/>
        </a:ln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fld id="{DB199D20-429F-43B8-8D7E-100BFB14A820}" type="TxLink">
            <a:rPr lang="en-US" sz="1800" b="1" i="0" u="none" strike="noStrike">
              <a:solidFill>
                <a:schemeClr val="accent5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Calibri"/>
            </a:rPr>
            <a:pPr marL="0" indent="0" algn="l"/>
            <a:t>Despesas FEV 2022</a:t>
          </a:fld>
          <a:endParaRPr lang="pt-BR" sz="1800" b="1" i="0" u="none" strike="noStrike">
            <a:solidFill>
              <a:schemeClr val="accent5">
                <a:lumMod val="50000"/>
              </a:schemeClr>
            </a:solidFill>
            <a:latin typeface="Montserrat" panose="00000500000000000000" pitchFamily="2" charset="0"/>
            <a:ea typeface="+mn-ea"/>
            <a:cs typeface="Calibri"/>
          </a:endParaRPr>
        </a:p>
      </xdr:txBody>
    </xdr:sp>
    <xdr:clientData/>
  </xdr:twoCellAnchor>
  <xdr:twoCellAnchor>
    <xdr:from>
      <xdr:col>5</xdr:col>
      <xdr:colOff>576943</xdr:colOff>
      <xdr:row>28</xdr:row>
      <xdr:rowOff>174171</xdr:rowOff>
    </xdr:from>
    <xdr:to>
      <xdr:col>23</xdr:col>
      <xdr:colOff>141514</xdr:colOff>
      <xdr:row>41</xdr:row>
      <xdr:rowOff>141515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Gráfico 25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24943" y="5294811"/>
              <a:ext cx="10537371" cy="23447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0</xdr:col>
      <xdr:colOff>381000</xdr:colOff>
      <xdr:row>30</xdr:row>
      <xdr:rowOff>141515</xdr:rowOff>
    </xdr:from>
    <xdr:to>
      <xdr:col>7</xdr:col>
      <xdr:colOff>489858</xdr:colOff>
      <xdr:row>42</xdr:row>
      <xdr:rowOff>110780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350520</xdr:colOff>
          <xdr:row>35</xdr:row>
          <xdr:rowOff>152400</xdr:rowOff>
        </xdr:from>
        <xdr:to>
          <xdr:col>1</xdr:col>
          <xdr:colOff>510540</xdr:colOff>
          <xdr:row>37</xdr:row>
          <xdr:rowOff>106680</xdr:rowOff>
        </xdr:to>
        <xdr:sp macro="" textlink="">
          <xdr:nvSpPr>
            <xdr:cNvPr id="4105" name="Drop Down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2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350520</xdr:colOff>
          <xdr:row>32</xdr:row>
          <xdr:rowOff>152400</xdr:rowOff>
        </xdr:from>
        <xdr:to>
          <xdr:col>1</xdr:col>
          <xdr:colOff>541020</xdr:colOff>
          <xdr:row>34</xdr:row>
          <xdr:rowOff>152400</xdr:rowOff>
        </xdr:to>
        <xdr:sp macro="" textlink="">
          <xdr:nvSpPr>
            <xdr:cNvPr id="4106" name="Drop Down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2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68579</xdr:colOff>
      <xdr:row>2</xdr:row>
      <xdr:rowOff>97973</xdr:rowOff>
    </xdr:from>
    <xdr:to>
      <xdr:col>11</xdr:col>
      <xdr:colOff>385482</xdr:colOff>
      <xdr:row>13</xdr:row>
      <xdr:rowOff>97972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185057</xdr:colOff>
      <xdr:row>2</xdr:row>
      <xdr:rowOff>17418</xdr:rowOff>
    </xdr:from>
    <xdr:to>
      <xdr:col>23</xdr:col>
      <xdr:colOff>152400</xdr:colOff>
      <xdr:row>13</xdr:row>
      <xdr:rowOff>119742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110849</xdr:colOff>
      <xdr:row>0</xdr:row>
      <xdr:rowOff>133320</xdr:rowOff>
    </xdr:from>
    <xdr:to>
      <xdr:col>7</xdr:col>
      <xdr:colOff>206835</xdr:colOff>
      <xdr:row>3</xdr:row>
      <xdr:rowOff>2051</xdr:rowOff>
    </xdr:to>
    <xdr:sp macro="" textlink="">
      <xdr:nvSpPr>
        <xdr:cNvPr id="31" name="CaixaDeTexto 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110849" y="133320"/>
          <a:ext cx="4363186" cy="423902"/>
        </a:xfrm>
        <a:prstGeom prst="rect">
          <a:avLst/>
        </a:prstGeom>
        <a:ln>
          <a:noFill/>
        </a:ln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 i="0" u="none" strike="noStrike">
              <a:solidFill>
                <a:schemeClr val="accent5">
                  <a:lumMod val="50000"/>
                </a:schemeClr>
              </a:solidFill>
              <a:latin typeface="Montserrat" panose="00000500000000000000" pitchFamily="2" charset="0"/>
              <a:cs typeface="Calibri"/>
            </a:rPr>
            <a:t>Evolução das Despesas Variáveis</a:t>
          </a:r>
          <a:endParaRPr lang="pt-BR" sz="3200" b="1">
            <a:solidFill>
              <a:schemeClr val="accent5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261256</xdr:colOff>
      <xdr:row>16</xdr:row>
      <xdr:rowOff>174171</xdr:rowOff>
    </xdr:from>
    <xdr:to>
      <xdr:col>7</xdr:col>
      <xdr:colOff>348343</xdr:colOff>
      <xdr:row>28</xdr:row>
      <xdr:rowOff>89460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609599</xdr:colOff>
      <xdr:row>16</xdr:row>
      <xdr:rowOff>152400</xdr:rowOff>
    </xdr:from>
    <xdr:to>
      <xdr:col>14</xdr:col>
      <xdr:colOff>141514</xdr:colOff>
      <xdr:row>27</xdr:row>
      <xdr:rowOff>171797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500743</xdr:colOff>
      <xdr:row>16</xdr:row>
      <xdr:rowOff>76200</xdr:rowOff>
    </xdr:from>
    <xdr:to>
      <xdr:col>23</xdr:col>
      <xdr:colOff>163286</xdr:colOff>
      <xdr:row>28</xdr:row>
      <xdr:rowOff>21771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FD52-F4B7-43FA-B4D3-D0440F231E8B}">
  <dimension ref="A1:Y47"/>
  <sheetViews>
    <sheetView showGridLines="0" tabSelected="1" zoomScale="85" zoomScaleNormal="85" workbookViewId="0">
      <pane ySplit="2" topLeftCell="A3" activePane="bottomLeft" state="frozen"/>
      <selection pane="bottomLeft" activeCell="N20" sqref="N20"/>
    </sheetView>
  </sheetViews>
  <sheetFormatPr defaultRowHeight="14.4" x14ac:dyDescent="0.3"/>
  <cols>
    <col min="1" max="1" width="21.33203125" bestFit="1" customWidth="1"/>
    <col min="2" max="25" width="14.33203125" customWidth="1"/>
  </cols>
  <sheetData>
    <row r="1" spans="1:25" ht="16.8" x14ac:dyDescent="0.4">
      <c r="A1" s="16"/>
      <c r="B1" s="17">
        <v>2023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>
        <v>2024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16.8" x14ac:dyDescent="0.4">
      <c r="A2" s="16"/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</row>
    <row r="3" spans="1:25" ht="16.8" x14ac:dyDescent="0.4">
      <c r="A3" s="2" t="s">
        <v>0</v>
      </c>
      <c r="B3" s="3">
        <f>SUM(B4:B5)</f>
        <v>3000</v>
      </c>
      <c r="C3" s="3">
        <f t="shared" ref="C3:Y3" si="0">SUM(C4:C5)</f>
        <v>3300</v>
      </c>
      <c r="D3" s="3">
        <f t="shared" si="0"/>
        <v>3500</v>
      </c>
      <c r="E3" s="3">
        <f t="shared" si="0"/>
        <v>3000</v>
      </c>
      <c r="F3" s="3">
        <f t="shared" si="0"/>
        <v>3000</v>
      </c>
      <c r="G3" s="3">
        <f t="shared" si="0"/>
        <v>3400</v>
      </c>
      <c r="H3" s="3">
        <f t="shared" si="0"/>
        <v>3000</v>
      </c>
      <c r="I3" s="3">
        <f t="shared" si="0"/>
        <v>3600</v>
      </c>
      <c r="J3" s="3">
        <f t="shared" si="0"/>
        <v>3000</v>
      </c>
      <c r="K3" s="3">
        <f t="shared" si="0"/>
        <v>3000</v>
      </c>
      <c r="L3" s="3">
        <f t="shared" si="0"/>
        <v>3200</v>
      </c>
      <c r="M3" s="3">
        <f t="shared" si="0"/>
        <v>3500</v>
      </c>
      <c r="N3" s="3">
        <f t="shared" si="0"/>
        <v>3500</v>
      </c>
      <c r="O3" s="3">
        <f t="shared" si="0"/>
        <v>3800</v>
      </c>
      <c r="P3" s="3">
        <f t="shared" si="0"/>
        <v>4000</v>
      </c>
      <c r="Q3" s="3">
        <f t="shared" si="0"/>
        <v>3500</v>
      </c>
      <c r="R3" s="3">
        <f t="shared" si="0"/>
        <v>3500</v>
      </c>
      <c r="S3" s="3">
        <f t="shared" si="0"/>
        <v>3900</v>
      </c>
      <c r="T3" s="3">
        <f t="shared" si="0"/>
        <v>3500</v>
      </c>
      <c r="U3" s="3">
        <f t="shared" si="0"/>
        <v>4100</v>
      </c>
      <c r="V3" s="3">
        <f t="shared" si="0"/>
        <v>3500</v>
      </c>
      <c r="W3" s="3">
        <f t="shared" si="0"/>
        <v>3500</v>
      </c>
      <c r="X3" s="3">
        <f t="shared" si="0"/>
        <v>3700</v>
      </c>
      <c r="Y3" s="3">
        <f t="shared" si="0"/>
        <v>4000</v>
      </c>
    </row>
    <row r="4" spans="1:25" ht="16.8" x14ac:dyDescent="0.4">
      <c r="A4" s="4" t="s">
        <v>1</v>
      </c>
      <c r="B4" s="5">
        <v>3000</v>
      </c>
      <c r="C4" s="5">
        <v>3000</v>
      </c>
      <c r="D4" s="5">
        <v>3000</v>
      </c>
      <c r="E4" s="5">
        <v>3000</v>
      </c>
      <c r="F4" s="5">
        <v>3000</v>
      </c>
      <c r="G4" s="5">
        <v>3000</v>
      </c>
      <c r="H4" s="5">
        <v>3000</v>
      </c>
      <c r="I4" s="5">
        <v>3000</v>
      </c>
      <c r="J4" s="5">
        <v>3000</v>
      </c>
      <c r="K4" s="5">
        <v>3000</v>
      </c>
      <c r="L4" s="5">
        <v>3000</v>
      </c>
      <c r="M4" s="5">
        <v>3000</v>
      </c>
      <c r="N4" s="5">
        <v>3500</v>
      </c>
      <c r="O4" s="5">
        <v>3500</v>
      </c>
      <c r="P4" s="5">
        <v>3500</v>
      </c>
      <c r="Q4" s="5">
        <v>3500</v>
      </c>
      <c r="R4" s="5">
        <v>3500</v>
      </c>
      <c r="S4" s="5">
        <v>3500</v>
      </c>
      <c r="T4" s="5">
        <v>3500</v>
      </c>
      <c r="U4" s="5">
        <v>3500</v>
      </c>
      <c r="V4" s="5">
        <v>3500</v>
      </c>
      <c r="W4" s="5">
        <v>3500</v>
      </c>
      <c r="X4" s="5">
        <v>3500</v>
      </c>
      <c r="Y4" s="5">
        <v>3500</v>
      </c>
    </row>
    <row r="5" spans="1:25" ht="16.8" x14ac:dyDescent="0.4">
      <c r="A5" s="4" t="s">
        <v>2</v>
      </c>
      <c r="B5" s="5"/>
      <c r="C5" s="5">
        <v>300</v>
      </c>
      <c r="D5" s="5">
        <v>500</v>
      </c>
      <c r="E5" s="5"/>
      <c r="F5" s="5"/>
      <c r="G5" s="5">
        <v>400</v>
      </c>
      <c r="H5" s="5"/>
      <c r="I5" s="5">
        <v>600</v>
      </c>
      <c r="J5" s="5"/>
      <c r="K5" s="5"/>
      <c r="L5" s="5">
        <v>200</v>
      </c>
      <c r="M5" s="5">
        <v>500</v>
      </c>
      <c r="N5" s="5"/>
      <c r="O5" s="5">
        <v>300</v>
      </c>
      <c r="P5" s="5">
        <v>500</v>
      </c>
      <c r="Q5" s="5"/>
      <c r="R5" s="5"/>
      <c r="S5" s="5">
        <v>400</v>
      </c>
      <c r="T5" s="5"/>
      <c r="U5" s="5">
        <v>600</v>
      </c>
      <c r="V5" s="5"/>
      <c r="W5" s="5"/>
      <c r="X5" s="5">
        <v>200</v>
      </c>
      <c r="Y5" s="5">
        <v>500</v>
      </c>
    </row>
    <row r="6" spans="1:25" ht="16.8" x14ac:dyDescent="0.4">
      <c r="A6" s="6" t="s">
        <v>3</v>
      </c>
      <c r="B6" s="7">
        <f>SUM(B7:B13)</f>
        <v>1370</v>
      </c>
      <c r="C6" s="7">
        <f t="shared" ref="C6:Y6" si="1">SUM(C7:C13)</f>
        <v>1370</v>
      </c>
      <c r="D6" s="7">
        <f t="shared" si="1"/>
        <v>1370</v>
      </c>
      <c r="E6" s="7">
        <f t="shared" si="1"/>
        <v>1370</v>
      </c>
      <c r="F6" s="7">
        <f t="shared" si="1"/>
        <v>1370</v>
      </c>
      <c r="G6" s="7">
        <f t="shared" si="1"/>
        <v>1370</v>
      </c>
      <c r="H6" s="7">
        <f t="shared" si="1"/>
        <v>1370</v>
      </c>
      <c r="I6" s="7">
        <f t="shared" si="1"/>
        <v>1370</v>
      </c>
      <c r="J6" s="7">
        <f t="shared" si="1"/>
        <v>1370</v>
      </c>
      <c r="K6" s="7">
        <f t="shared" si="1"/>
        <v>1370</v>
      </c>
      <c r="L6" s="7">
        <f t="shared" si="1"/>
        <v>1370</v>
      </c>
      <c r="M6" s="7">
        <f t="shared" si="1"/>
        <v>1370</v>
      </c>
      <c r="N6" s="7">
        <f t="shared" si="1"/>
        <v>1370</v>
      </c>
      <c r="O6" s="7">
        <f t="shared" si="1"/>
        <v>1370</v>
      </c>
      <c r="P6" s="7">
        <f t="shared" si="1"/>
        <v>1370</v>
      </c>
      <c r="Q6" s="7">
        <f t="shared" si="1"/>
        <v>1370</v>
      </c>
      <c r="R6" s="7">
        <f t="shared" si="1"/>
        <v>1370</v>
      </c>
      <c r="S6" s="7">
        <f t="shared" si="1"/>
        <v>1370</v>
      </c>
      <c r="T6" s="7">
        <f t="shared" si="1"/>
        <v>1370</v>
      </c>
      <c r="U6" s="7">
        <f t="shared" si="1"/>
        <v>1370</v>
      </c>
      <c r="V6" s="7">
        <f t="shared" si="1"/>
        <v>1370</v>
      </c>
      <c r="W6" s="7">
        <f t="shared" si="1"/>
        <v>1370</v>
      </c>
      <c r="X6" s="7">
        <f t="shared" si="1"/>
        <v>1370</v>
      </c>
      <c r="Y6" s="7">
        <f t="shared" si="1"/>
        <v>1370</v>
      </c>
    </row>
    <row r="7" spans="1:25" ht="16.8" x14ac:dyDescent="0.4">
      <c r="A7" s="8" t="s">
        <v>4</v>
      </c>
      <c r="B7" s="9">
        <v>1000</v>
      </c>
      <c r="C7" s="9">
        <v>1000</v>
      </c>
      <c r="D7" s="9">
        <v>1000</v>
      </c>
      <c r="E7" s="9">
        <v>1000</v>
      </c>
      <c r="F7" s="9">
        <v>1000</v>
      </c>
      <c r="G7" s="9">
        <v>1000</v>
      </c>
      <c r="H7" s="9">
        <v>1000</v>
      </c>
      <c r="I7" s="9">
        <v>1000</v>
      </c>
      <c r="J7" s="9">
        <v>1000</v>
      </c>
      <c r="K7" s="9">
        <v>1000</v>
      </c>
      <c r="L7" s="9">
        <v>1000</v>
      </c>
      <c r="M7" s="9">
        <v>1000</v>
      </c>
      <c r="N7" s="9">
        <v>1000</v>
      </c>
      <c r="O7" s="9">
        <v>1000</v>
      </c>
      <c r="P7" s="9">
        <v>1000</v>
      </c>
      <c r="Q7" s="9">
        <v>1000</v>
      </c>
      <c r="R7" s="9">
        <v>1000</v>
      </c>
      <c r="S7" s="9">
        <v>1000</v>
      </c>
      <c r="T7" s="9">
        <v>1000</v>
      </c>
      <c r="U7" s="9">
        <v>1000</v>
      </c>
      <c r="V7" s="9">
        <v>1000</v>
      </c>
      <c r="W7" s="9">
        <v>1000</v>
      </c>
      <c r="X7" s="9">
        <v>1000</v>
      </c>
      <c r="Y7" s="9">
        <v>1000</v>
      </c>
    </row>
    <row r="8" spans="1:25" ht="16.8" x14ac:dyDescent="0.4">
      <c r="A8" s="8" t="s">
        <v>35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16.8" x14ac:dyDescent="0.4">
      <c r="A9" s="8" t="s">
        <v>5</v>
      </c>
      <c r="B9" s="9">
        <v>150</v>
      </c>
      <c r="C9" s="9">
        <v>150</v>
      </c>
      <c r="D9" s="9">
        <v>150</v>
      </c>
      <c r="E9" s="9">
        <v>150</v>
      </c>
      <c r="F9" s="9">
        <v>150</v>
      </c>
      <c r="G9" s="9">
        <v>150</v>
      </c>
      <c r="H9" s="9">
        <v>150</v>
      </c>
      <c r="I9" s="9">
        <v>150</v>
      </c>
      <c r="J9" s="9">
        <v>150</v>
      </c>
      <c r="K9" s="9">
        <v>150</v>
      </c>
      <c r="L9" s="9">
        <v>150</v>
      </c>
      <c r="M9" s="9">
        <v>150</v>
      </c>
      <c r="N9" s="9">
        <v>150</v>
      </c>
      <c r="O9" s="9">
        <v>150</v>
      </c>
      <c r="P9" s="9">
        <v>150</v>
      </c>
      <c r="Q9" s="9">
        <v>150</v>
      </c>
      <c r="R9" s="9">
        <v>150</v>
      </c>
      <c r="S9" s="9">
        <v>150</v>
      </c>
      <c r="T9" s="9">
        <v>150</v>
      </c>
      <c r="U9" s="9">
        <v>150</v>
      </c>
      <c r="V9" s="9">
        <v>150</v>
      </c>
      <c r="W9" s="9">
        <v>150</v>
      </c>
      <c r="X9" s="9">
        <v>150</v>
      </c>
      <c r="Y9" s="9">
        <v>150</v>
      </c>
    </row>
    <row r="10" spans="1:25" ht="16.8" x14ac:dyDescent="0.4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6.8" x14ac:dyDescent="0.4">
      <c r="A11" s="8" t="s">
        <v>7</v>
      </c>
      <c r="B11" s="9">
        <v>100</v>
      </c>
      <c r="C11" s="9">
        <v>100</v>
      </c>
      <c r="D11" s="9">
        <v>100</v>
      </c>
      <c r="E11" s="9">
        <v>100</v>
      </c>
      <c r="F11" s="9">
        <v>100</v>
      </c>
      <c r="G11" s="9">
        <v>100</v>
      </c>
      <c r="H11" s="9">
        <v>100</v>
      </c>
      <c r="I11" s="9">
        <v>100</v>
      </c>
      <c r="J11" s="9">
        <v>100</v>
      </c>
      <c r="K11" s="9">
        <v>100</v>
      </c>
      <c r="L11" s="9">
        <v>100</v>
      </c>
      <c r="M11" s="9">
        <v>100</v>
      </c>
      <c r="N11" s="9">
        <v>100</v>
      </c>
      <c r="O11" s="9">
        <v>100</v>
      </c>
      <c r="P11" s="9">
        <v>100</v>
      </c>
      <c r="Q11" s="9">
        <v>100</v>
      </c>
      <c r="R11" s="9">
        <v>100</v>
      </c>
      <c r="S11" s="9">
        <v>100</v>
      </c>
      <c r="T11" s="9">
        <v>100</v>
      </c>
      <c r="U11" s="9">
        <v>100</v>
      </c>
      <c r="V11" s="9">
        <v>100</v>
      </c>
      <c r="W11" s="9">
        <v>100</v>
      </c>
      <c r="X11" s="9">
        <v>100</v>
      </c>
      <c r="Y11" s="9">
        <v>100</v>
      </c>
    </row>
    <row r="12" spans="1:25" ht="16.8" x14ac:dyDescent="0.4">
      <c r="A12" s="8" t="s">
        <v>8</v>
      </c>
      <c r="B12" s="9">
        <v>50</v>
      </c>
      <c r="C12" s="9">
        <v>50</v>
      </c>
      <c r="D12" s="9">
        <v>50</v>
      </c>
      <c r="E12" s="9">
        <v>50</v>
      </c>
      <c r="F12" s="9">
        <v>50</v>
      </c>
      <c r="G12" s="9">
        <v>50</v>
      </c>
      <c r="H12" s="9">
        <v>50</v>
      </c>
      <c r="I12" s="9">
        <v>50</v>
      </c>
      <c r="J12" s="9">
        <v>50</v>
      </c>
      <c r="K12" s="9">
        <v>50</v>
      </c>
      <c r="L12" s="9">
        <v>50</v>
      </c>
      <c r="M12" s="9">
        <v>50</v>
      </c>
      <c r="N12" s="9">
        <v>50</v>
      </c>
      <c r="O12" s="9">
        <v>50</v>
      </c>
      <c r="P12" s="9">
        <v>50</v>
      </c>
      <c r="Q12" s="9">
        <v>50</v>
      </c>
      <c r="R12" s="9">
        <v>50</v>
      </c>
      <c r="S12" s="9">
        <v>50</v>
      </c>
      <c r="T12" s="9">
        <v>50</v>
      </c>
      <c r="U12" s="9">
        <v>50</v>
      </c>
      <c r="V12" s="9">
        <v>50</v>
      </c>
      <c r="W12" s="9">
        <v>50</v>
      </c>
      <c r="X12" s="9">
        <v>50</v>
      </c>
      <c r="Y12" s="9">
        <v>50</v>
      </c>
    </row>
    <row r="13" spans="1:25" ht="16.8" x14ac:dyDescent="0.4">
      <c r="A13" s="8" t="s">
        <v>9</v>
      </c>
      <c r="B13" s="9">
        <v>70</v>
      </c>
      <c r="C13" s="9">
        <v>70</v>
      </c>
      <c r="D13" s="9">
        <v>70</v>
      </c>
      <c r="E13" s="9">
        <v>70</v>
      </c>
      <c r="F13" s="9">
        <v>70</v>
      </c>
      <c r="G13" s="9">
        <v>70</v>
      </c>
      <c r="H13" s="9">
        <v>70</v>
      </c>
      <c r="I13" s="9">
        <v>70</v>
      </c>
      <c r="J13" s="9">
        <v>70</v>
      </c>
      <c r="K13" s="9">
        <v>70</v>
      </c>
      <c r="L13" s="9">
        <v>70</v>
      </c>
      <c r="M13" s="9">
        <v>70</v>
      </c>
      <c r="N13" s="9">
        <v>70</v>
      </c>
      <c r="O13" s="9">
        <v>70</v>
      </c>
      <c r="P13" s="9">
        <v>70</v>
      </c>
      <c r="Q13" s="9">
        <v>70</v>
      </c>
      <c r="R13" s="9">
        <v>70</v>
      </c>
      <c r="S13" s="9">
        <v>70</v>
      </c>
      <c r="T13" s="9">
        <v>70</v>
      </c>
      <c r="U13" s="9">
        <v>70</v>
      </c>
      <c r="V13" s="9">
        <v>70</v>
      </c>
      <c r="W13" s="9">
        <v>70</v>
      </c>
      <c r="X13" s="9">
        <v>70</v>
      </c>
      <c r="Y13" s="9">
        <v>70</v>
      </c>
    </row>
    <row r="14" spans="1:25" ht="16.8" x14ac:dyDescent="0.4">
      <c r="A14" s="6" t="s">
        <v>10</v>
      </c>
      <c r="B14" s="7">
        <f>SUM(B15:B23)</f>
        <v>1012</v>
      </c>
      <c r="C14" s="7">
        <f t="shared" ref="C14:Y14" si="2">SUM(C15:C23)</f>
        <v>1471</v>
      </c>
      <c r="D14" s="7">
        <f t="shared" si="2"/>
        <v>1287</v>
      </c>
      <c r="E14" s="7">
        <f t="shared" si="2"/>
        <v>1170</v>
      </c>
      <c r="F14" s="7">
        <f t="shared" si="2"/>
        <v>1621</v>
      </c>
      <c r="G14" s="7">
        <f t="shared" si="2"/>
        <v>1270</v>
      </c>
      <c r="H14" s="7">
        <f t="shared" si="2"/>
        <v>1268</v>
      </c>
      <c r="I14" s="7">
        <f t="shared" si="2"/>
        <v>1235</v>
      </c>
      <c r="J14" s="7">
        <f t="shared" si="2"/>
        <v>1228</v>
      </c>
      <c r="K14" s="7">
        <f t="shared" si="2"/>
        <v>1390</v>
      </c>
      <c r="L14" s="7">
        <f t="shared" si="2"/>
        <v>1256</v>
      </c>
      <c r="M14" s="7">
        <f t="shared" si="2"/>
        <v>1373</v>
      </c>
      <c r="N14" s="7">
        <f t="shared" si="2"/>
        <v>1421</v>
      </c>
      <c r="O14" s="7">
        <f t="shared" si="2"/>
        <v>1478</v>
      </c>
      <c r="P14" s="7">
        <f t="shared" si="2"/>
        <v>1321</v>
      </c>
      <c r="Q14" s="7">
        <f t="shared" si="2"/>
        <v>1149</v>
      </c>
      <c r="R14" s="7">
        <f t="shared" si="2"/>
        <v>1501</v>
      </c>
      <c r="S14" s="7">
        <f t="shared" si="2"/>
        <v>1242</v>
      </c>
      <c r="T14" s="7">
        <f t="shared" si="2"/>
        <v>1455</v>
      </c>
      <c r="U14" s="7">
        <f t="shared" si="2"/>
        <v>1366</v>
      </c>
      <c r="V14" s="7">
        <f t="shared" si="2"/>
        <v>1183</v>
      </c>
      <c r="W14" s="7">
        <f t="shared" si="2"/>
        <v>1518</v>
      </c>
      <c r="X14" s="7">
        <f t="shared" si="2"/>
        <v>1246</v>
      </c>
      <c r="Y14" s="7">
        <f t="shared" si="2"/>
        <v>1209</v>
      </c>
    </row>
    <row r="15" spans="1:25" ht="16.8" x14ac:dyDescent="0.4">
      <c r="A15" s="8" t="s">
        <v>11</v>
      </c>
      <c r="B15" s="9">
        <v>45</v>
      </c>
      <c r="C15" s="9">
        <v>41</v>
      </c>
      <c r="D15" s="9">
        <v>43</v>
      </c>
      <c r="E15" s="9">
        <v>42</v>
      </c>
      <c r="F15" s="9">
        <v>43</v>
      </c>
      <c r="G15" s="9">
        <v>42</v>
      </c>
      <c r="H15" s="9">
        <v>43</v>
      </c>
      <c r="I15" s="9">
        <v>43</v>
      </c>
      <c r="J15" s="9">
        <v>44</v>
      </c>
      <c r="K15" s="9">
        <v>40</v>
      </c>
      <c r="L15" s="9">
        <v>41</v>
      </c>
      <c r="M15" s="9">
        <v>42</v>
      </c>
      <c r="N15" s="9">
        <v>42</v>
      </c>
      <c r="O15" s="9">
        <v>42</v>
      </c>
      <c r="P15" s="9">
        <v>41</v>
      </c>
      <c r="Q15" s="9">
        <v>42</v>
      </c>
      <c r="R15" s="9">
        <v>45</v>
      </c>
      <c r="S15" s="9">
        <v>43</v>
      </c>
      <c r="T15" s="9">
        <v>44</v>
      </c>
      <c r="U15" s="9">
        <v>41</v>
      </c>
      <c r="V15" s="9">
        <v>41</v>
      </c>
      <c r="W15" s="9">
        <v>44</v>
      </c>
      <c r="X15" s="9">
        <v>40</v>
      </c>
      <c r="Y15" s="9">
        <v>42</v>
      </c>
    </row>
    <row r="16" spans="1:25" ht="16.8" x14ac:dyDescent="0.4">
      <c r="A16" s="8" t="s">
        <v>12</v>
      </c>
      <c r="B16" s="9">
        <v>122</v>
      </c>
      <c r="C16" s="9">
        <v>261</v>
      </c>
      <c r="D16" s="9">
        <v>229</v>
      </c>
      <c r="E16" s="9">
        <v>252</v>
      </c>
      <c r="F16" s="9">
        <v>263</v>
      </c>
      <c r="G16" s="9">
        <v>237</v>
      </c>
      <c r="H16" s="9">
        <v>195</v>
      </c>
      <c r="I16" s="9">
        <v>290</v>
      </c>
      <c r="J16" s="9">
        <v>231</v>
      </c>
      <c r="K16" s="9">
        <v>139</v>
      </c>
      <c r="L16" s="9">
        <v>205</v>
      </c>
      <c r="M16" s="9">
        <v>194</v>
      </c>
      <c r="N16" s="9">
        <v>255</v>
      </c>
      <c r="O16" s="9">
        <v>228</v>
      </c>
      <c r="P16" s="9">
        <v>247</v>
      </c>
      <c r="Q16" s="9">
        <v>182</v>
      </c>
      <c r="R16" s="9">
        <v>242</v>
      </c>
      <c r="S16" s="9">
        <v>132</v>
      </c>
      <c r="T16" s="9">
        <v>188</v>
      </c>
      <c r="U16" s="9">
        <v>211</v>
      </c>
      <c r="V16" s="9">
        <v>225</v>
      </c>
      <c r="W16" s="9">
        <v>228</v>
      </c>
      <c r="X16" s="9">
        <v>276</v>
      </c>
      <c r="Y16" s="9">
        <v>125</v>
      </c>
    </row>
    <row r="17" spans="1:25" ht="16.8" x14ac:dyDescent="0.4">
      <c r="A17" s="8" t="s">
        <v>13</v>
      </c>
      <c r="B17" s="9">
        <v>54</v>
      </c>
      <c r="C17" s="9">
        <v>73</v>
      </c>
      <c r="D17" s="9">
        <v>42</v>
      </c>
      <c r="E17" s="9">
        <v>47</v>
      </c>
      <c r="F17" s="9">
        <v>53</v>
      </c>
      <c r="G17" s="9">
        <v>71</v>
      </c>
      <c r="H17" s="9">
        <v>79</v>
      </c>
      <c r="I17" s="9">
        <v>59</v>
      </c>
      <c r="J17" s="9">
        <v>43</v>
      </c>
      <c r="K17" s="9">
        <v>69</v>
      </c>
      <c r="L17" s="9">
        <v>67</v>
      </c>
      <c r="M17" s="9">
        <v>56</v>
      </c>
      <c r="N17" s="9">
        <v>44</v>
      </c>
      <c r="O17" s="9">
        <v>56</v>
      </c>
      <c r="P17" s="9">
        <v>61</v>
      </c>
      <c r="Q17" s="9">
        <v>49</v>
      </c>
      <c r="R17" s="9">
        <v>70</v>
      </c>
      <c r="S17" s="9">
        <v>76</v>
      </c>
      <c r="T17" s="9">
        <v>61</v>
      </c>
      <c r="U17" s="9">
        <v>46</v>
      </c>
      <c r="V17" s="9">
        <v>53</v>
      </c>
      <c r="W17" s="9">
        <v>43</v>
      </c>
      <c r="X17" s="9">
        <v>45</v>
      </c>
      <c r="Y17" s="9">
        <v>57</v>
      </c>
    </row>
    <row r="18" spans="1:25" ht="16.8" x14ac:dyDescent="0.4">
      <c r="A18" s="8" t="s">
        <v>14</v>
      </c>
      <c r="B18" s="9">
        <v>305</v>
      </c>
      <c r="C18" s="9">
        <v>320</v>
      </c>
      <c r="D18" s="9">
        <v>313</v>
      </c>
      <c r="E18" s="9">
        <v>303</v>
      </c>
      <c r="F18" s="9">
        <v>329</v>
      </c>
      <c r="G18" s="9">
        <v>313</v>
      </c>
      <c r="H18" s="9">
        <v>358</v>
      </c>
      <c r="I18" s="9">
        <v>356</v>
      </c>
      <c r="J18" s="9">
        <v>333</v>
      </c>
      <c r="K18" s="9">
        <v>397</v>
      </c>
      <c r="L18" s="9">
        <v>344</v>
      </c>
      <c r="M18" s="9">
        <v>389</v>
      </c>
      <c r="N18" s="9">
        <v>369</v>
      </c>
      <c r="O18" s="9">
        <v>388</v>
      </c>
      <c r="P18" s="9">
        <v>311</v>
      </c>
      <c r="Q18" s="9">
        <v>381</v>
      </c>
      <c r="R18" s="9">
        <v>382</v>
      </c>
      <c r="S18" s="9">
        <v>394</v>
      </c>
      <c r="T18" s="9">
        <v>338</v>
      </c>
      <c r="U18" s="9">
        <v>385</v>
      </c>
      <c r="V18" s="9">
        <v>335</v>
      </c>
      <c r="W18" s="9">
        <v>340</v>
      </c>
      <c r="X18" s="9">
        <v>375</v>
      </c>
      <c r="Y18" s="9">
        <v>385</v>
      </c>
    </row>
    <row r="19" spans="1:25" ht="16.8" x14ac:dyDescent="0.4">
      <c r="A19" s="8" t="s">
        <v>15</v>
      </c>
      <c r="B19" s="9">
        <v>404</v>
      </c>
      <c r="C19" s="9">
        <v>405</v>
      </c>
      <c r="D19" s="9">
        <v>440</v>
      </c>
      <c r="E19" s="9">
        <v>429</v>
      </c>
      <c r="F19" s="9">
        <v>420</v>
      </c>
      <c r="G19" s="9">
        <v>477</v>
      </c>
      <c r="H19" s="9">
        <v>455</v>
      </c>
      <c r="I19" s="9">
        <v>434</v>
      </c>
      <c r="J19" s="9">
        <v>421</v>
      </c>
      <c r="K19" s="9">
        <v>475</v>
      </c>
      <c r="L19" s="9">
        <v>461</v>
      </c>
      <c r="M19" s="9">
        <v>499</v>
      </c>
      <c r="N19" s="9">
        <v>434</v>
      </c>
      <c r="O19" s="9">
        <v>445</v>
      </c>
      <c r="P19" s="9">
        <v>497</v>
      </c>
      <c r="Q19" s="9">
        <v>410</v>
      </c>
      <c r="R19" s="9">
        <v>465</v>
      </c>
      <c r="S19" s="9">
        <v>417</v>
      </c>
      <c r="T19" s="9">
        <v>413</v>
      </c>
      <c r="U19" s="9">
        <v>498</v>
      </c>
      <c r="V19" s="9">
        <v>464</v>
      </c>
      <c r="W19" s="9">
        <v>493</v>
      </c>
      <c r="X19" s="9">
        <v>454</v>
      </c>
      <c r="Y19" s="9">
        <v>500</v>
      </c>
    </row>
    <row r="20" spans="1:25" ht="16.8" x14ac:dyDescent="0.4">
      <c r="A20" s="8" t="s">
        <v>16</v>
      </c>
      <c r="B20" s="9"/>
      <c r="C20" s="9"/>
      <c r="D20" s="9">
        <v>100</v>
      </c>
      <c r="E20" s="9"/>
      <c r="F20" s="9"/>
      <c r="G20" s="9">
        <v>50</v>
      </c>
      <c r="H20" s="9"/>
      <c r="I20" s="9"/>
      <c r="J20" s="9">
        <v>60</v>
      </c>
      <c r="K20" s="9"/>
      <c r="L20" s="9"/>
      <c r="M20" s="9">
        <v>100</v>
      </c>
      <c r="N20" s="9">
        <v>200</v>
      </c>
      <c r="O20" s="9"/>
      <c r="P20" s="9">
        <v>50</v>
      </c>
      <c r="Q20" s="9"/>
      <c r="R20" s="9"/>
      <c r="S20" s="9">
        <v>60</v>
      </c>
      <c r="T20" s="9"/>
      <c r="U20" s="9">
        <v>70</v>
      </c>
      <c r="V20" s="9"/>
      <c r="W20" s="9">
        <v>100</v>
      </c>
      <c r="X20" s="9"/>
      <c r="Y20" s="9"/>
    </row>
    <row r="21" spans="1:25" ht="16.8" x14ac:dyDescent="0.4">
      <c r="A21" s="8" t="s">
        <v>17</v>
      </c>
      <c r="B21" s="9"/>
      <c r="C21" s="9">
        <v>300</v>
      </c>
      <c r="D21" s="9"/>
      <c r="E21" s="9"/>
      <c r="F21" s="9"/>
      <c r="G21" s="9"/>
      <c r="H21" s="9"/>
      <c r="I21" s="9"/>
      <c r="J21" s="9"/>
      <c r="K21" s="9">
        <v>200</v>
      </c>
      <c r="L21" s="9"/>
      <c r="M21" s="9"/>
      <c r="N21" s="9"/>
      <c r="O21" s="9"/>
      <c r="P21" s="9"/>
      <c r="Q21" s="9"/>
      <c r="R21" s="9">
        <v>150</v>
      </c>
      <c r="S21" s="9"/>
      <c r="T21" s="9"/>
      <c r="U21" s="9"/>
      <c r="V21" s="9"/>
      <c r="W21" s="9">
        <v>200</v>
      </c>
      <c r="X21" s="9"/>
      <c r="Y21" s="9"/>
    </row>
    <row r="22" spans="1:25" ht="16.8" x14ac:dyDescent="0.4">
      <c r="A22" s="8" t="s">
        <v>18</v>
      </c>
      <c r="B22" s="9">
        <v>82</v>
      </c>
      <c r="C22" s="9">
        <v>71</v>
      </c>
      <c r="D22" s="9">
        <v>120</v>
      </c>
      <c r="E22" s="9">
        <v>97</v>
      </c>
      <c r="F22" s="9">
        <v>113</v>
      </c>
      <c r="G22" s="9">
        <v>80</v>
      </c>
      <c r="H22" s="9">
        <v>138</v>
      </c>
      <c r="I22" s="9">
        <v>53</v>
      </c>
      <c r="J22" s="9">
        <v>96</v>
      </c>
      <c r="K22" s="9">
        <v>70</v>
      </c>
      <c r="L22" s="9">
        <v>138</v>
      </c>
      <c r="M22" s="9">
        <v>93</v>
      </c>
      <c r="N22" s="9">
        <v>77</v>
      </c>
      <c r="O22" s="9">
        <v>119</v>
      </c>
      <c r="P22" s="9">
        <v>114</v>
      </c>
      <c r="Q22" s="9">
        <v>85</v>
      </c>
      <c r="R22" s="9">
        <v>147</v>
      </c>
      <c r="S22" s="9">
        <v>120</v>
      </c>
      <c r="T22" s="9">
        <v>111</v>
      </c>
      <c r="U22" s="9">
        <v>115</v>
      </c>
      <c r="V22" s="9">
        <v>65</v>
      </c>
      <c r="W22" s="9">
        <v>70</v>
      </c>
      <c r="X22" s="9">
        <v>56</v>
      </c>
      <c r="Y22" s="9">
        <v>100</v>
      </c>
    </row>
    <row r="23" spans="1:25" ht="16.8" x14ac:dyDescent="0.4">
      <c r="A23" s="8" t="s">
        <v>19</v>
      </c>
      <c r="B23" s="9"/>
      <c r="C23" s="9"/>
      <c r="D23" s="9"/>
      <c r="E23" s="9"/>
      <c r="F23" s="9">
        <v>400</v>
      </c>
      <c r="G23" s="9"/>
      <c r="H23" s="9"/>
      <c r="I23" s="9"/>
      <c r="J23" s="9"/>
      <c r="K23" s="9"/>
      <c r="L23" s="9"/>
      <c r="M23" s="9"/>
      <c r="N23" s="9"/>
      <c r="O23" s="9">
        <v>200</v>
      </c>
      <c r="P23" s="9"/>
      <c r="Q23" s="9"/>
      <c r="R23" s="9"/>
      <c r="S23" s="9"/>
      <c r="T23" s="9">
        <v>300</v>
      </c>
      <c r="U23" s="9"/>
      <c r="V23" s="9"/>
      <c r="W23" s="9"/>
      <c r="X23" s="9"/>
      <c r="Y23" s="9"/>
    </row>
    <row r="24" spans="1:25" ht="16.8" x14ac:dyDescent="0.4">
      <c r="A24" s="10" t="s">
        <v>21</v>
      </c>
      <c r="B24" s="11">
        <f>SUM(B25:B26)</f>
        <v>200</v>
      </c>
      <c r="C24" s="11">
        <f t="shared" ref="C24:Y24" si="3">SUM(C25:C26)</f>
        <v>700</v>
      </c>
      <c r="D24" s="11">
        <f t="shared" si="3"/>
        <v>200</v>
      </c>
      <c r="E24" s="11">
        <f t="shared" si="3"/>
        <v>700</v>
      </c>
      <c r="F24" s="11">
        <f t="shared" si="3"/>
        <v>200</v>
      </c>
      <c r="G24" s="11">
        <f t="shared" si="3"/>
        <v>200</v>
      </c>
      <c r="H24" s="11">
        <f t="shared" si="3"/>
        <v>1200</v>
      </c>
      <c r="I24" s="11">
        <f t="shared" si="3"/>
        <v>200</v>
      </c>
      <c r="J24" s="11">
        <f t="shared" si="3"/>
        <v>700</v>
      </c>
      <c r="K24" s="11">
        <f t="shared" si="3"/>
        <v>200</v>
      </c>
      <c r="L24" s="11">
        <f t="shared" si="3"/>
        <v>700</v>
      </c>
      <c r="M24" s="11">
        <f t="shared" si="3"/>
        <v>200</v>
      </c>
      <c r="N24" s="11">
        <f t="shared" si="3"/>
        <v>1200</v>
      </c>
      <c r="O24" s="11">
        <f t="shared" si="3"/>
        <v>200</v>
      </c>
      <c r="P24" s="11">
        <f t="shared" si="3"/>
        <v>2200</v>
      </c>
      <c r="Q24" s="11">
        <f t="shared" si="3"/>
        <v>200</v>
      </c>
      <c r="R24" s="11">
        <f t="shared" si="3"/>
        <v>1700</v>
      </c>
      <c r="S24" s="11">
        <f t="shared" si="3"/>
        <v>200</v>
      </c>
      <c r="T24" s="11">
        <f t="shared" si="3"/>
        <v>1700</v>
      </c>
      <c r="U24" s="11">
        <f t="shared" si="3"/>
        <v>200</v>
      </c>
      <c r="V24" s="11">
        <f t="shared" si="3"/>
        <v>1700</v>
      </c>
      <c r="W24" s="11">
        <f t="shared" si="3"/>
        <v>200</v>
      </c>
      <c r="X24" s="11">
        <f t="shared" si="3"/>
        <v>1700</v>
      </c>
      <c r="Y24" s="11">
        <f t="shared" si="3"/>
        <v>700</v>
      </c>
    </row>
    <row r="25" spans="1:25" ht="16.8" x14ac:dyDescent="0.4">
      <c r="A25" s="12" t="s">
        <v>22</v>
      </c>
      <c r="B25" s="13"/>
      <c r="C25" s="13">
        <v>500</v>
      </c>
      <c r="D25" s="13"/>
      <c r="E25" s="13">
        <v>500</v>
      </c>
      <c r="F25" s="13"/>
      <c r="G25" s="13"/>
      <c r="H25" s="13">
        <v>1000</v>
      </c>
      <c r="I25" s="13"/>
      <c r="J25" s="13">
        <v>500</v>
      </c>
      <c r="K25" s="13"/>
      <c r="L25" s="13">
        <v>500</v>
      </c>
      <c r="M25" s="13"/>
      <c r="N25" s="13">
        <v>1000</v>
      </c>
      <c r="O25" s="13"/>
      <c r="P25" s="13">
        <v>2000</v>
      </c>
      <c r="Q25" s="13"/>
      <c r="R25" s="13">
        <v>1500</v>
      </c>
      <c r="S25" s="13"/>
      <c r="T25" s="13">
        <v>1500</v>
      </c>
      <c r="U25" s="13"/>
      <c r="V25" s="13">
        <v>1500</v>
      </c>
      <c r="W25" s="13"/>
      <c r="X25" s="13">
        <v>1500</v>
      </c>
      <c r="Y25" s="13">
        <v>500</v>
      </c>
    </row>
    <row r="26" spans="1:25" ht="16.8" x14ac:dyDescent="0.4">
      <c r="A26" s="12" t="s">
        <v>20</v>
      </c>
      <c r="B26" s="13">
        <v>200</v>
      </c>
      <c r="C26" s="13">
        <v>200</v>
      </c>
      <c r="D26" s="13">
        <v>200</v>
      </c>
      <c r="E26" s="13">
        <v>200</v>
      </c>
      <c r="F26" s="13">
        <v>200</v>
      </c>
      <c r="G26" s="13">
        <v>200</v>
      </c>
      <c r="H26" s="13">
        <v>200</v>
      </c>
      <c r="I26" s="13">
        <v>200</v>
      </c>
      <c r="J26" s="13">
        <v>200</v>
      </c>
      <c r="K26" s="13">
        <v>200</v>
      </c>
      <c r="L26" s="13">
        <v>200</v>
      </c>
      <c r="M26" s="13">
        <v>200</v>
      </c>
      <c r="N26" s="13">
        <v>200</v>
      </c>
      <c r="O26" s="13">
        <v>200</v>
      </c>
      <c r="P26" s="13">
        <v>200</v>
      </c>
      <c r="Q26" s="13">
        <v>200</v>
      </c>
      <c r="R26" s="13">
        <v>200</v>
      </c>
      <c r="S26" s="13">
        <v>200</v>
      </c>
      <c r="T26" s="13">
        <v>200</v>
      </c>
      <c r="U26" s="13">
        <v>200</v>
      </c>
      <c r="V26" s="13">
        <v>200</v>
      </c>
      <c r="W26" s="13">
        <v>200</v>
      </c>
      <c r="X26" s="13">
        <v>200</v>
      </c>
      <c r="Y26" s="13">
        <v>200</v>
      </c>
    </row>
    <row r="27" spans="1:25" ht="16.8" x14ac:dyDescent="0.4">
      <c r="A27" s="14" t="s">
        <v>37</v>
      </c>
      <c r="B27" s="15">
        <f>B3-B6-B14-B24</f>
        <v>418</v>
      </c>
      <c r="C27" s="15">
        <f t="shared" ref="C27:Y27" si="4">C3-C6-C14-C24</f>
        <v>-241</v>
      </c>
      <c r="D27" s="15">
        <f t="shared" si="4"/>
        <v>643</v>
      </c>
      <c r="E27" s="15">
        <f t="shared" si="4"/>
        <v>-240</v>
      </c>
      <c r="F27" s="15">
        <f t="shared" si="4"/>
        <v>-191</v>
      </c>
      <c r="G27" s="15">
        <f t="shared" si="4"/>
        <v>560</v>
      </c>
      <c r="H27" s="15">
        <f t="shared" si="4"/>
        <v>-838</v>
      </c>
      <c r="I27" s="15">
        <f t="shared" si="4"/>
        <v>795</v>
      </c>
      <c r="J27" s="15">
        <f t="shared" si="4"/>
        <v>-298</v>
      </c>
      <c r="K27" s="15">
        <f t="shared" si="4"/>
        <v>40</v>
      </c>
      <c r="L27" s="15">
        <f t="shared" si="4"/>
        <v>-126</v>
      </c>
      <c r="M27" s="15">
        <f t="shared" si="4"/>
        <v>557</v>
      </c>
      <c r="N27" s="15">
        <f t="shared" si="4"/>
        <v>-491</v>
      </c>
      <c r="O27" s="15">
        <f t="shared" si="4"/>
        <v>752</v>
      </c>
      <c r="P27" s="15">
        <f t="shared" si="4"/>
        <v>-891</v>
      </c>
      <c r="Q27" s="15">
        <f t="shared" si="4"/>
        <v>781</v>
      </c>
      <c r="R27" s="15">
        <f t="shared" si="4"/>
        <v>-1071</v>
      </c>
      <c r="S27" s="15">
        <f t="shared" si="4"/>
        <v>1088</v>
      </c>
      <c r="T27" s="15">
        <f t="shared" si="4"/>
        <v>-1025</v>
      </c>
      <c r="U27" s="15">
        <f t="shared" si="4"/>
        <v>1164</v>
      </c>
      <c r="V27" s="15">
        <f t="shared" si="4"/>
        <v>-753</v>
      </c>
      <c r="W27" s="15">
        <f t="shared" si="4"/>
        <v>412</v>
      </c>
      <c r="X27" s="15">
        <f t="shared" si="4"/>
        <v>-616</v>
      </c>
      <c r="Y27" s="15">
        <f t="shared" si="4"/>
        <v>721</v>
      </c>
    </row>
    <row r="28" spans="1:25" ht="16.8" x14ac:dyDescent="0.4">
      <c r="A28" s="14" t="s">
        <v>36</v>
      </c>
      <c r="B28" s="15">
        <f>B27</f>
        <v>418</v>
      </c>
      <c r="C28" s="15">
        <f>B28+C27</f>
        <v>177</v>
      </c>
      <c r="D28" s="15">
        <f t="shared" ref="D28:Y28" si="5">C28+D27</f>
        <v>820</v>
      </c>
      <c r="E28" s="15">
        <f t="shared" si="5"/>
        <v>580</v>
      </c>
      <c r="F28" s="15">
        <f t="shared" si="5"/>
        <v>389</v>
      </c>
      <c r="G28" s="15">
        <f t="shared" si="5"/>
        <v>949</v>
      </c>
      <c r="H28" s="15">
        <f t="shared" si="5"/>
        <v>111</v>
      </c>
      <c r="I28" s="15">
        <f t="shared" si="5"/>
        <v>906</v>
      </c>
      <c r="J28" s="15">
        <f t="shared" si="5"/>
        <v>608</v>
      </c>
      <c r="K28" s="15">
        <f t="shared" si="5"/>
        <v>648</v>
      </c>
      <c r="L28" s="15">
        <f t="shared" si="5"/>
        <v>522</v>
      </c>
      <c r="M28" s="15">
        <f t="shared" si="5"/>
        <v>1079</v>
      </c>
      <c r="N28" s="15">
        <f t="shared" si="5"/>
        <v>588</v>
      </c>
      <c r="O28" s="15">
        <f t="shared" si="5"/>
        <v>1340</v>
      </c>
      <c r="P28" s="15">
        <f t="shared" si="5"/>
        <v>449</v>
      </c>
      <c r="Q28" s="15">
        <f t="shared" si="5"/>
        <v>1230</v>
      </c>
      <c r="R28" s="15">
        <f t="shared" si="5"/>
        <v>159</v>
      </c>
      <c r="S28" s="15">
        <f t="shared" si="5"/>
        <v>1247</v>
      </c>
      <c r="T28" s="15">
        <f t="shared" si="5"/>
        <v>222</v>
      </c>
      <c r="U28" s="15">
        <f t="shared" si="5"/>
        <v>1386</v>
      </c>
      <c r="V28" s="15">
        <f t="shared" si="5"/>
        <v>633</v>
      </c>
      <c r="W28" s="15">
        <f t="shared" si="5"/>
        <v>1045</v>
      </c>
      <c r="X28" s="15">
        <f t="shared" si="5"/>
        <v>429</v>
      </c>
      <c r="Y28" s="15">
        <f t="shared" si="5"/>
        <v>1150</v>
      </c>
    </row>
    <row r="35" spans="1:2" ht="16.8" hidden="1" x14ac:dyDescent="0.4">
      <c r="A35" s="1" t="s">
        <v>23</v>
      </c>
      <c r="B35" s="1">
        <v>2022</v>
      </c>
    </row>
    <row r="36" spans="1:2" ht="16.8" hidden="1" x14ac:dyDescent="0.4">
      <c r="A36" s="1" t="s">
        <v>24</v>
      </c>
      <c r="B36" s="1">
        <v>2023</v>
      </c>
    </row>
    <row r="37" spans="1:2" ht="16.8" hidden="1" x14ac:dyDescent="0.4">
      <c r="A37" s="1" t="s">
        <v>25</v>
      </c>
    </row>
    <row r="38" spans="1:2" ht="16.8" hidden="1" x14ac:dyDescent="0.4">
      <c r="A38" s="1" t="s">
        <v>26</v>
      </c>
    </row>
    <row r="39" spans="1:2" ht="16.8" hidden="1" x14ac:dyDescent="0.4">
      <c r="A39" s="1" t="s">
        <v>27</v>
      </c>
    </row>
    <row r="40" spans="1:2" ht="16.8" hidden="1" x14ac:dyDescent="0.4">
      <c r="A40" s="1" t="s">
        <v>28</v>
      </c>
    </row>
    <row r="41" spans="1:2" ht="16.8" hidden="1" x14ac:dyDescent="0.4">
      <c r="A41" s="1" t="s">
        <v>29</v>
      </c>
    </row>
    <row r="42" spans="1:2" ht="16.8" hidden="1" x14ac:dyDescent="0.4">
      <c r="A42" s="1" t="s">
        <v>30</v>
      </c>
    </row>
    <row r="43" spans="1:2" ht="16.8" hidden="1" x14ac:dyDescent="0.4">
      <c r="A43" s="1" t="s">
        <v>31</v>
      </c>
    </row>
    <row r="44" spans="1:2" ht="16.8" hidden="1" x14ac:dyDescent="0.4">
      <c r="A44" s="1" t="s">
        <v>32</v>
      </c>
    </row>
    <row r="45" spans="1:2" ht="16.8" hidden="1" x14ac:dyDescent="0.4">
      <c r="A45" s="1" t="s">
        <v>33</v>
      </c>
    </row>
    <row r="46" spans="1:2" ht="16.8" hidden="1" x14ac:dyDescent="0.4">
      <c r="A46" s="1" t="s">
        <v>34</v>
      </c>
    </row>
    <row r="47" spans="1:2" hidden="1" x14ac:dyDescent="0.3"/>
  </sheetData>
  <mergeCells count="2">
    <mergeCell ref="B1:M1"/>
    <mergeCell ref="N1:Y1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2226-01C8-43E3-946A-AAEA2143C989}">
  <dimension ref="A1:F19"/>
  <sheetViews>
    <sheetView zoomScale="70" zoomScaleNormal="70" workbookViewId="0">
      <selection activeCell="D10" sqref="D10"/>
    </sheetView>
  </sheetViews>
  <sheetFormatPr defaultRowHeight="14.4" x14ac:dyDescent="0.3"/>
  <cols>
    <col min="2" max="2" width="10.6640625" bestFit="1" customWidth="1"/>
    <col min="4" max="5" width="20.5546875" bestFit="1" customWidth="1"/>
  </cols>
  <sheetData>
    <row r="1" spans="1:6" ht="16.8" x14ac:dyDescent="0.4">
      <c r="D1" s="6" t="s">
        <v>38</v>
      </c>
      <c r="E1">
        <f ca="1">OFFSET(Despesas!A6,0,Cálculos!$B$7)</f>
        <v>1370</v>
      </c>
    </row>
    <row r="2" spans="1:6" ht="16.8" x14ac:dyDescent="0.4">
      <c r="D2" s="6" t="s">
        <v>39</v>
      </c>
      <c r="E2">
        <f ca="1">OFFSET(Despesas!A14,0,Cálculos!$B$7)</f>
        <v>1471</v>
      </c>
    </row>
    <row r="3" spans="1:6" x14ac:dyDescent="0.3">
      <c r="A3">
        <v>2</v>
      </c>
      <c r="B3" t="str" cm="1">
        <f t="array" ref="B3">INDEX(Despesas!A35:A46,Cálculos!A3)</f>
        <v>FEV</v>
      </c>
    </row>
    <row r="4" spans="1:6" ht="16.8" x14ac:dyDescent="0.4">
      <c r="D4" s="6" t="s">
        <v>3</v>
      </c>
      <c r="E4" s="8" t="s">
        <v>4</v>
      </c>
      <c r="F4">
        <f ca="1">OFFSET(Despesas!A7,0,Cálculos!$B$7)</f>
        <v>1000</v>
      </c>
    </row>
    <row r="5" spans="1:6" ht="16.8" x14ac:dyDescent="0.4">
      <c r="D5" s="6" t="s">
        <v>3</v>
      </c>
      <c r="E5" s="8" t="s">
        <v>35</v>
      </c>
      <c r="F5">
        <f ca="1">OFFSET(Despesas!A8,0,Cálculos!$B$7)</f>
        <v>0</v>
      </c>
    </row>
    <row r="6" spans="1:6" ht="16.8" x14ac:dyDescent="0.4">
      <c r="A6">
        <v>1</v>
      </c>
      <c r="B6">
        <f>IF(A6=1,0,12)</f>
        <v>0</v>
      </c>
      <c r="C6">
        <f>IF(A6=1,2022,2023)</f>
        <v>2022</v>
      </c>
      <c r="D6" s="6" t="s">
        <v>3</v>
      </c>
      <c r="E6" s="8" t="s">
        <v>5</v>
      </c>
      <c r="F6">
        <f ca="1">OFFSET(Despesas!A9,0,Cálculos!$B$7)</f>
        <v>150</v>
      </c>
    </row>
    <row r="7" spans="1:6" ht="16.8" x14ac:dyDescent="0.4">
      <c r="B7">
        <f>B6+A3</f>
        <v>2</v>
      </c>
      <c r="D7" s="6" t="s">
        <v>3</v>
      </c>
      <c r="E7" s="8" t="s">
        <v>6</v>
      </c>
      <c r="F7">
        <f ca="1">OFFSET(Despesas!A10,0,Cálculos!$B$7)</f>
        <v>0</v>
      </c>
    </row>
    <row r="8" spans="1:6" ht="16.8" x14ac:dyDescent="0.4">
      <c r="D8" s="6" t="s">
        <v>3</v>
      </c>
      <c r="E8" s="8" t="s">
        <v>7</v>
      </c>
      <c r="F8">
        <f ca="1">OFFSET(Despesas!A11,0,Cálculos!$B$7)</f>
        <v>100</v>
      </c>
    </row>
    <row r="9" spans="1:6" ht="16.8" x14ac:dyDescent="0.4">
      <c r="A9" t="str">
        <f>"Despesas "&amp;B3&amp;" "&amp;C6</f>
        <v>Despesas FEV 2022</v>
      </c>
      <c r="D9" s="6" t="s">
        <v>3</v>
      </c>
      <c r="E9" s="8" t="s">
        <v>8</v>
      </c>
      <c r="F9">
        <f ca="1">OFFSET(Despesas!A12,0,Cálculos!$B$7)</f>
        <v>50</v>
      </c>
    </row>
    <row r="10" spans="1:6" ht="16.8" x14ac:dyDescent="0.4">
      <c r="D10" s="6" t="s">
        <v>3</v>
      </c>
      <c r="E10" s="8" t="s">
        <v>9</v>
      </c>
      <c r="F10">
        <f ca="1">OFFSET(Despesas!A13,0,Cálculos!$B$7)</f>
        <v>70</v>
      </c>
    </row>
    <row r="11" spans="1:6" ht="16.8" x14ac:dyDescent="0.4">
      <c r="D11" s="6" t="s">
        <v>10</v>
      </c>
      <c r="E11" s="8" t="s">
        <v>11</v>
      </c>
      <c r="F11">
        <f ca="1">OFFSET(Despesas!A15,0,Cálculos!$B$7)</f>
        <v>41</v>
      </c>
    </row>
    <row r="12" spans="1:6" ht="16.8" x14ac:dyDescent="0.4">
      <c r="D12" s="6" t="s">
        <v>10</v>
      </c>
      <c r="E12" s="8" t="s">
        <v>12</v>
      </c>
      <c r="F12">
        <f ca="1">OFFSET(Despesas!A16,0,Cálculos!$B$7)</f>
        <v>261</v>
      </c>
    </row>
    <row r="13" spans="1:6" ht="16.8" x14ac:dyDescent="0.4">
      <c r="D13" s="6" t="s">
        <v>10</v>
      </c>
      <c r="E13" s="8" t="s">
        <v>13</v>
      </c>
      <c r="F13">
        <f ca="1">OFFSET(Despesas!A17,0,Cálculos!$B$7)</f>
        <v>73</v>
      </c>
    </row>
    <row r="14" spans="1:6" ht="16.8" x14ac:dyDescent="0.4">
      <c r="D14" s="6" t="s">
        <v>10</v>
      </c>
      <c r="E14" s="8" t="s">
        <v>14</v>
      </c>
      <c r="F14">
        <f ca="1">OFFSET(Despesas!A18,0,Cálculos!$B$7)</f>
        <v>320</v>
      </c>
    </row>
    <row r="15" spans="1:6" ht="16.8" x14ac:dyDescent="0.4">
      <c r="D15" s="6" t="s">
        <v>10</v>
      </c>
      <c r="E15" s="8" t="s">
        <v>15</v>
      </c>
      <c r="F15">
        <f ca="1">OFFSET(Despesas!A19,0,Cálculos!$B$7)</f>
        <v>405</v>
      </c>
    </row>
    <row r="16" spans="1:6" ht="16.8" x14ac:dyDescent="0.4">
      <c r="D16" s="6" t="s">
        <v>10</v>
      </c>
      <c r="E16" s="8" t="s">
        <v>16</v>
      </c>
      <c r="F16">
        <f ca="1">OFFSET(Despesas!A20,0,Cálculos!$B$7)</f>
        <v>0</v>
      </c>
    </row>
    <row r="17" spans="4:6" ht="16.8" x14ac:dyDescent="0.4">
      <c r="D17" s="6" t="s">
        <v>10</v>
      </c>
      <c r="E17" s="8" t="s">
        <v>17</v>
      </c>
      <c r="F17">
        <f ca="1">OFFSET(Despesas!A21,0,Cálculos!$B$7)</f>
        <v>300</v>
      </c>
    </row>
    <row r="18" spans="4:6" ht="16.8" x14ac:dyDescent="0.4">
      <c r="D18" s="6" t="s">
        <v>10</v>
      </c>
      <c r="E18" s="8" t="s">
        <v>18</v>
      </c>
      <c r="F18">
        <f ca="1">OFFSET(Despesas!A22,0,Cálculos!$B$7)</f>
        <v>71</v>
      </c>
    </row>
    <row r="19" spans="4:6" ht="16.8" x14ac:dyDescent="0.4">
      <c r="D19" s="6" t="s">
        <v>10</v>
      </c>
      <c r="E19" s="8" t="s">
        <v>19</v>
      </c>
      <c r="F19">
        <f ca="1">OFFSET(Despesas!A23,0,Cálculos!$B$7)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FB82-9163-4E6F-BECE-F26C3AA5E02E}">
  <dimension ref="A1:X79"/>
  <sheetViews>
    <sheetView showGridLines="0" showRowColHeaders="0" zoomScaleNormal="100" workbookViewId="0">
      <selection activeCell="J43" sqref="J43"/>
    </sheetView>
  </sheetViews>
  <sheetFormatPr defaultColWidth="0" defaultRowHeight="14.4" customHeight="1" zeroHeight="1" x14ac:dyDescent="0.3"/>
  <cols>
    <col min="1" max="23" width="8.88671875" customWidth="1"/>
    <col min="24" max="24" width="5.33203125" customWidth="1"/>
    <col min="25" max="16384" width="8.88671875" hidden="1"/>
  </cols>
  <sheetData>
    <row r="1" spans="18:18" x14ac:dyDescent="0.3"/>
    <row r="2" spans="18:18" x14ac:dyDescent="0.3"/>
    <row r="3" spans="18:18" x14ac:dyDescent="0.3">
      <c r="R3">
        <v>8</v>
      </c>
    </row>
    <row r="4" spans="18:18" x14ac:dyDescent="0.3"/>
    <row r="5" spans="18:18" x14ac:dyDescent="0.3"/>
    <row r="6" spans="18:18" x14ac:dyDescent="0.3">
      <c r="R6">
        <v>1</v>
      </c>
    </row>
    <row r="7" spans="18:18" x14ac:dyDescent="0.3"/>
    <row r="8" spans="18:18" x14ac:dyDescent="0.3"/>
    <row r="9" spans="18:18" x14ac:dyDescent="0.3"/>
    <row r="10" spans="18:18" x14ac:dyDescent="0.3"/>
    <row r="11" spans="18:18" x14ac:dyDescent="0.3"/>
    <row r="12" spans="18:18" x14ac:dyDescent="0.3"/>
    <row r="13" spans="18:18" x14ac:dyDescent="0.3"/>
    <row r="14" spans="18:18" x14ac:dyDescent="0.3"/>
    <row r="15" spans="18:18" x14ac:dyDescent="0.3"/>
    <row r="16" spans="18:18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ht="6.6" customHeight="1" x14ac:dyDescent="0.3"/>
    <row r="44" customFormat="1" hidden="1" x14ac:dyDescent="0.3"/>
    <row r="45" customFormat="1" hidden="1" x14ac:dyDescent="0.3"/>
    <row r="46" customFormat="1" hidden="1" x14ac:dyDescent="0.3"/>
    <row r="47" customFormat="1" hidden="1" x14ac:dyDescent="0.3"/>
    <row r="48" customFormat="1" hidden="1" x14ac:dyDescent="0.3"/>
    <row r="49" customFormat="1" hidden="1" x14ac:dyDescent="0.3"/>
    <row r="50" customFormat="1" hidden="1" x14ac:dyDescent="0.3"/>
    <row r="51" customFormat="1" hidden="1" x14ac:dyDescent="0.3"/>
    <row r="52" customFormat="1" hidden="1" x14ac:dyDescent="0.3"/>
    <row r="53" customFormat="1" hidden="1" x14ac:dyDescent="0.3"/>
    <row r="54" customFormat="1" hidden="1" x14ac:dyDescent="0.3"/>
    <row r="55" customFormat="1" hidden="1" x14ac:dyDescent="0.3"/>
    <row r="56" customFormat="1" hidden="1" x14ac:dyDescent="0.3"/>
    <row r="57" customFormat="1" hidden="1" x14ac:dyDescent="0.3"/>
    <row r="58" customFormat="1" hidden="1" x14ac:dyDescent="0.3"/>
    <row r="59" customFormat="1" hidden="1" x14ac:dyDescent="0.3"/>
    <row r="60" customFormat="1" hidden="1" x14ac:dyDescent="0.3"/>
    <row r="61" customFormat="1" hidden="1" x14ac:dyDescent="0.3"/>
    <row r="62" customFormat="1" ht="14.4" hidden="1" customHeight="1" x14ac:dyDescent="0.3"/>
    <row r="63" customFormat="1" ht="14.4" hidden="1" customHeight="1" x14ac:dyDescent="0.3"/>
    <row r="64" customFormat="1" ht="14.4" hidden="1" customHeight="1" x14ac:dyDescent="0.3"/>
    <row r="65" customFormat="1" ht="14.4" hidden="1" customHeight="1" x14ac:dyDescent="0.3"/>
    <row r="66" customFormat="1" ht="14.4" hidden="1" customHeight="1" x14ac:dyDescent="0.3"/>
    <row r="67" customFormat="1" ht="14.4" hidden="1" customHeight="1" x14ac:dyDescent="0.3"/>
    <row r="68" customFormat="1" ht="14.4" hidden="1" customHeight="1" x14ac:dyDescent="0.3"/>
    <row r="69" customFormat="1" ht="14.4" hidden="1" customHeight="1" x14ac:dyDescent="0.3"/>
    <row r="70" customFormat="1" ht="14.4" hidden="1" customHeight="1" x14ac:dyDescent="0.3"/>
    <row r="71" customFormat="1" ht="14.4" hidden="1" customHeight="1" x14ac:dyDescent="0.3"/>
    <row r="72" customFormat="1" ht="14.4" hidden="1" customHeight="1" x14ac:dyDescent="0.3"/>
    <row r="73" customFormat="1" ht="14.4" hidden="1" customHeight="1" x14ac:dyDescent="0.3"/>
    <row r="74" customFormat="1" ht="14.4" hidden="1" customHeight="1" x14ac:dyDescent="0.3"/>
    <row r="75" customFormat="1" ht="14.4" hidden="1" customHeight="1" x14ac:dyDescent="0.3"/>
    <row r="76" customFormat="1" ht="14.4" hidden="1" customHeight="1" x14ac:dyDescent="0.3"/>
    <row r="77" customFormat="1" ht="14.4" hidden="1" customHeight="1" x14ac:dyDescent="0.3"/>
    <row r="78" customFormat="1" ht="14.4" hidden="1" customHeight="1" x14ac:dyDescent="0.3"/>
    <row r="79" customFormat="1" ht="14.4" hidden="1" customHeight="1" x14ac:dyDescent="0.3"/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5" r:id="rId3" name="Drop Down 9">
              <controlPr defaultSize="0" autoLine="0" autoPict="0">
                <anchor moveWithCells="1">
                  <from>
                    <xdr:col>0</xdr:col>
                    <xdr:colOff>350520</xdr:colOff>
                    <xdr:row>35</xdr:row>
                    <xdr:rowOff>152400</xdr:rowOff>
                  </from>
                  <to>
                    <xdr:col>1</xdr:col>
                    <xdr:colOff>510540</xdr:colOff>
                    <xdr:row>37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4" name="Drop Down 10">
              <controlPr defaultSize="0" autoLine="0" autoPict="0">
                <anchor moveWithCells="1">
                  <from>
                    <xdr:col>0</xdr:col>
                    <xdr:colOff>350520</xdr:colOff>
                    <xdr:row>32</xdr:row>
                    <xdr:rowOff>152400</xdr:rowOff>
                  </from>
                  <to>
                    <xdr:col>1</xdr:col>
                    <xdr:colOff>541020</xdr:colOff>
                    <xdr:row>34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Alfredo Araujo</cp:lastModifiedBy>
  <dcterms:created xsi:type="dcterms:W3CDTF">2023-02-09T16:04:28Z</dcterms:created>
  <dcterms:modified xsi:type="dcterms:W3CDTF">2023-02-09T20:54:48Z</dcterms:modified>
</cp:coreProperties>
</file>