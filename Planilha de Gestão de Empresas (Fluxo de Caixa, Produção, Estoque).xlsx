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B15729D6-5CA0-43B1-8C17-8EF62D6D723B}" xr6:coauthVersionLast="47" xr6:coauthVersionMax="47" xr10:uidLastSave="{00000000-0000-0000-0000-000000000000}"/>
  <bookViews>
    <workbookView xWindow="-108" yWindow="-108" windowWidth="23256" windowHeight="12456" xr2:uid="{317F1C9D-7C43-4C8B-A4B2-2195BB43C92A}"/>
  </bookViews>
  <sheets>
    <sheet name="Materiais" sheetId="2" r:id="rId1"/>
    <sheet name="Produtos" sheetId="7" r:id="rId2"/>
    <sheet name="Entradas e Saídas" sheetId="1" r:id="rId3"/>
    <sheet name="Fluxo de Caixa" sheetId="5" r:id="rId4"/>
    <sheet name="Produção" sheetId="10" r:id="rId5"/>
    <sheet name="Estoque" sheetId="3" r:id="rId6"/>
  </sheets>
  <definedNames>
    <definedName name="_xlnm._FilterDatabase" localSheetId="5" hidden="1">Estoque!$B$4:$F$106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3" l="1"/>
  <c r="E103" i="3"/>
  <c r="AD6" i="7"/>
  <c r="AD7" i="7"/>
  <c r="AD8" i="7"/>
  <c r="AD9" i="7"/>
  <c r="AD10" i="7"/>
  <c r="Z6" i="7"/>
  <c r="Z7" i="7"/>
  <c r="Z8" i="7"/>
  <c r="Z9" i="7"/>
  <c r="Z10" i="7"/>
  <c r="V6" i="7"/>
  <c r="V7" i="7"/>
  <c r="V8" i="7"/>
  <c r="V9" i="7"/>
  <c r="V10" i="7"/>
  <c r="R6" i="7"/>
  <c r="R7" i="7"/>
  <c r="R8" i="7"/>
  <c r="R9" i="7"/>
  <c r="R10" i="7"/>
  <c r="N6" i="7"/>
  <c r="N7" i="7"/>
  <c r="N8" i="7"/>
  <c r="N9" i="7"/>
  <c r="N10" i="7"/>
  <c r="J6" i="7"/>
  <c r="J7" i="7"/>
  <c r="J8" i="7"/>
  <c r="J9" i="7"/>
  <c r="J10" i="7"/>
  <c r="F5" i="7"/>
  <c r="AT7" i="10"/>
  <c r="AT8" i="10"/>
  <c r="AT9" i="10"/>
  <c r="AT10" i="10"/>
  <c r="AT11" i="10"/>
  <c r="AT12" i="10"/>
  <c r="V11" i="7" s="1"/>
  <c r="AT13" i="10"/>
  <c r="AT14" i="10"/>
  <c r="AT15" i="10"/>
  <c r="AT16" i="10"/>
  <c r="AT17" i="10"/>
  <c r="AT18" i="10"/>
  <c r="AT19" i="10"/>
  <c r="AT6" i="10"/>
  <c r="AD5" i="7" s="1"/>
  <c r="B106" i="3"/>
  <c r="E106" i="3" s="1"/>
  <c r="B105" i="3"/>
  <c r="E105" i="3" s="1"/>
  <c r="B104" i="3"/>
  <c r="E104" i="3" s="1"/>
  <c r="B103" i="3"/>
  <c r="B102" i="3"/>
  <c r="E102" i="3" s="1"/>
  <c r="B101" i="3"/>
  <c r="B100" i="3"/>
  <c r="D100" i="3" s="1"/>
  <c r="B99" i="3"/>
  <c r="E99" i="3" s="1"/>
  <c r="B98" i="3"/>
  <c r="D98" i="3" s="1"/>
  <c r="B97" i="3"/>
  <c r="D97" i="3" s="1"/>
  <c r="B96" i="3"/>
  <c r="E96" i="3" s="1"/>
  <c r="B95" i="3"/>
  <c r="E95" i="3" s="1"/>
  <c r="B94" i="3"/>
  <c r="E94" i="3" s="1"/>
  <c r="B93" i="3"/>
  <c r="E93" i="3" s="1"/>
  <c r="B92" i="3"/>
  <c r="E92" i="3" s="1"/>
  <c r="B91" i="3"/>
  <c r="E91" i="3" s="1"/>
  <c r="B90" i="3"/>
  <c r="E90" i="3" s="1"/>
  <c r="B89" i="3"/>
  <c r="E89" i="3" s="1"/>
  <c r="B88" i="3"/>
  <c r="E88" i="3" s="1"/>
  <c r="B87" i="3"/>
  <c r="E87" i="3" s="1"/>
  <c r="B86" i="3"/>
  <c r="E86" i="3" s="1"/>
  <c r="B85" i="3"/>
  <c r="E85" i="3" s="1"/>
  <c r="B84" i="3"/>
  <c r="D84" i="3" s="1"/>
  <c r="B83" i="3"/>
  <c r="E83" i="3" s="1"/>
  <c r="B82" i="3"/>
  <c r="D82" i="3" s="1"/>
  <c r="B81" i="3"/>
  <c r="E81" i="3" s="1"/>
  <c r="B80" i="3"/>
  <c r="E80" i="3" s="1"/>
  <c r="B79" i="3"/>
  <c r="E79" i="3" s="1"/>
  <c r="B78" i="3"/>
  <c r="E78" i="3" s="1"/>
  <c r="B77" i="3"/>
  <c r="E77" i="3" s="1"/>
  <c r="B76" i="3"/>
  <c r="E76" i="3" s="1"/>
  <c r="B75" i="3"/>
  <c r="E75" i="3" s="1"/>
  <c r="B74" i="3"/>
  <c r="E74" i="3" s="1"/>
  <c r="B73" i="3"/>
  <c r="E73" i="3" s="1"/>
  <c r="B72" i="3"/>
  <c r="E72" i="3" s="1"/>
  <c r="B71" i="3"/>
  <c r="E71" i="3" s="1"/>
  <c r="B70" i="3"/>
  <c r="E70" i="3" s="1"/>
  <c r="B69" i="3"/>
  <c r="E69" i="3" s="1"/>
  <c r="B68" i="3"/>
  <c r="E68" i="3" s="1"/>
  <c r="B67" i="3"/>
  <c r="E67" i="3" s="1"/>
  <c r="B66" i="3"/>
  <c r="E66" i="3" s="1"/>
  <c r="B65" i="3"/>
  <c r="E65" i="3" s="1"/>
  <c r="B64" i="3"/>
  <c r="E64" i="3" s="1"/>
  <c r="B63" i="3"/>
  <c r="E63" i="3" s="1"/>
  <c r="B62" i="3"/>
  <c r="E62" i="3" s="1"/>
  <c r="B61" i="3"/>
  <c r="E61" i="3" s="1"/>
  <c r="B60" i="3"/>
  <c r="E60" i="3" s="1"/>
  <c r="B59" i="3"/>
  <c r="E59" i="3" s="1"/>
  <c r="B58" i="3"/>
  <c r="E58" i="3" s="1"/>
  <c r="B57" i="3"/>
  <c r="E57" i="3" s="1"/>
  <c r="B56" i="3"/>
  <c r="E56" i="3" s="1"/>
  <c r="B55" i="3"/>
  <c r="E55" i="3" s="1"/>
  <c r="B54" i="3"/>
  <c r="E54" i="3" s="1"/>
  <c r="B53" i="3"/>
  <c r="D53" i="3" s="1"/>
  <c r="B52" i="3"/>
  <c r="D52" i="3" s="1"/>
  <c r="B51" i="3"/>
  <c r="E51" i="3" s="1"/>
  <c r="B50" i="3"/>
  <c r="D50" i="3" s="1"/>
  <c r="B49" i="3"/>
  <c r="D49" i="3" s="1"/>
  <c r="B48" i="3"/>
  <c r="E48" i="3" s="1"/>
  <c r="B47" i="3"/>
  <c r="E47" i="3" s="1"/>
  <c r="B46" i="3"/>
  <c r="E46" i="3" s="1"/>
  <c r="B45" i="3"/>
  <c r="E45" i="3" s="1"/>
  <c r="B44" i="3"/>
  <c r="E44" i="3" s="1"/>
  <c r="B43" i="3"/>
  <c r="E43" i="3" s="1"/>
  <c r="B42" i="3"/>
  <c r="E42" i="3" s="1"/>
  <c r="B41" i="3"/>
  <c r="E41" i="3" s="1"/>
  <c r="B40" i="3"/>
  <c r="E40" i="3" s="1"/>
  <c r="B39" i="3"/>
  <c r="E39" i="3" s="1"/>
  <c r="B38" i="3"/>
  <c r="E38" i="3" s="1"/>
  <c r="B37" i="3"/>
  <c r="D37" i="3" s="1"/>
  <c r="B36" i="3"/>
  <c r="D36" i="3" s="1"/>
  <c r="B35" i="3"/>
  <c r="E35" i="3" s="1"/>
  <c r="B34" i="3"/>
  <c r="D34" i="3" s="1"/>
  <c r="B33" i="3"/>
  <c r="D33" i="3" s="1"/>
  <c r="B32" i="3"/>
  <c r="E32" i="3" s="1"/>
  <c r="B31" i="3"/>
  <c r="E31" i="3" s="1"/>
  <c r="B30" i="3"/>
  <c r="E30" i="3" s="1"/>
  <c r="B29" i="3"/>
  <c r="E29" i="3" s="1"/>
  <c r="B28" i="3"/>
  <c r="E28" i="3" s="1"/>
  <c r="B27" i="3"/>
  <c r="E27" i="3" s="1"/>
  <c r="B26" i="3"/>
  <c r="E26" i="3" s="1"/>
  <c r="B25" i="3"/>
  <c r="E25" i="3" s="1"/>
  <c r="B24" i="3"/>
  <c r="E24" i="3" s="1"/>
  <c r="B23" i="3"/>
  <c r="D23" i="3" s="1"/>
  <c r="B22" i="3"/>
  <c r="D22" i="3" s="1"/>
  <c r="B21" i="3"/>
  <c r="C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B14" i="3"/>
  <c r="B13" i="3"/>
  <c r="C13" i="3" s="1"/>
  <c r="B12" i="3"/>
  <c r="D12" i="3" s="1"/>
  <c r="B11" i="3"/>
  <c r="C11" i="3" s="1"/>
  <c r="B10" i="3"/>
  <c r="C10" i="3" s="1"/>
  <c r="B9" i="3"/>
  <c r="D9" i="3" s="1"/>
  <c r="B8" i="3"/>
  <c r="C8" i="3" s="1"/>
  <c r="B7" i="3"/>
  <c r="D7" i="3" s="1"/>
  <c r="B6" i="3"/>
  <c r="C6" i="3" s="1"/>
  <c r="D21" i="3"/>
  <c r="D25" i="3"/>
  <c r="D41" i="3"/>
  <c r="C54" i="3"/>
  <c r="D57" i="3"/>
  <c r="D69" i="3"/>
  <c r="D73" i="3"/>
  <c r="D85" i="3"/>
  <c r="D89" i="3"/>
  <c r="D101" i="3"/>
  <c r="D102" i="3"/>
  <c r="D105" i="3"/>
  <c r="D11" i="3"/>
  <c r="D14" i="3"/>
  <c r="D15" i="3"/>
  <c r="D28" i="3"/>
  <c r="D29" i="3"/>
  <c r="D30" i="3"/>
  <c r="F30" i="3" s="1"/>
  <c r="D31" i="3"/>
  <c r="D32" i="3"/>
  <c r="D35" i="3"/>
  <c r="D39" i="3"/>
  <c r="D40" i="3"/>
  <c r="D42" i="3"/>
  <c r="D43" i="3"/>
  <c r="D44" i="3"/>
  <c r="D45" i="3"/>
  <c r="D46" i="3"/>
  <c r="D47" i="3"/>
  <c r="D48" i="3"/>
  <c r="D51" i="3"/>
  <c r="D55" i="3"/>
  <c r="D56" i="3"/>
  <c r="D58" i="3"/>
  <c r="D59" i="3"/>
  <c r="D60" i="3"/>
  <c r="D61" i="3"/>
  <c r="D62" i="3"/>
  <c r="F62" i="3" s="1"/>
  <c r="D63" i="3"/>
  <c r="D64" i="3"/>
  <c r="D67" i="3"/>
  <c r="D71" i="3"/>
  <c r="D72" i="3"/>
  <c r="D74" i="3"/>
  <c r="D75" i="3"/>
  <c r="D76" i="3"/>
  <c r="D77" i="3"/>
  <c r="D78" i="3"/>
  <c r="D79" i="3"/>
  <c r="D80" i="3"/>
  <c r="D83" i="3"/>
  <c r="D87" i="3"/>
  <c r="D88" i="3"/>
  <c r="D90" i="3"/>
  <c r="D91" i="3"/>
  <c r="D92" i="3"/>
  <c r="D93" i="3"/>
  <c r="D94" i="3"/>
  <c r="D95" i="3"/>
  <c r="D96" i="3"/>
  <c r="D99" i="3"/>
  <c r="D103" i="3"/>
  <c r="D104" i="3"/>
  <c r="D106" i="3"/>
  <c r="C83" i="3"/>
  <c r="B5" i="3"/>
  <c r="C5" i="3" s="1"/>
  <c r="C34" i="3"/>
  <c r="C35" i="3"/>
  <c r="C51" i="3"/>
  <c r="C66" i="3"/>
  <c r="C67" i="3"/>
  <c r="C82" i="3"/>
  <c r="C98" i="3"/>
  <c r="C99" i="3"/>
  <c r="C7" i="3"/>
  <c r="C14" i="3"/>
  <c r="C16" i="3"/>
  <c r="C23" i="3"/>
  <c r="C25" i="3"/>
  <c r="C28" i="3"/>
  <c r="C29" i="3"/>
  <c r="C30" i="3"/>
  <c r="C31" i="3"/>
  <c r="C32" i="3"/>
  <c r="C33" i="3"/>
  <c r="C37" i="3"/>
  <c r="C38" i="3"/>
  <c r="C40" i="3"/>
  <c r="C41" i="3"/>
  <c r="C44" i="3"/>
  <c r="C45" i="3"/>
  <c r="C46" i="3"/>
  <c r="C47" i="3"/>
  <c r="C48" i="3"/>
  <c r="C49" i="3"/>
  <c r="C52" i="3"/>
  <c r="C56" i="3"/>
  <c r="C57" i="3"/>
  <c r="C60" i="3"/>
  <c r="C61" i="3"/>
  <c r="C62" i="3"/>
  <c r="C63" i="3"/>
  <c r="C64" i="3"/>
  <c r="C65" i="3"/>
  <c r="C68" i="3"/>
  <c r="C69" i="3"/>
  <c r="C70" i="3"/>
  <c r="C72" i="3"/>
  <c r="C73" i="3"/>
  <c r="C76" i="3"/>
  <c r="C77" i="3"/>
  <c r="C78" i="3"/>
  <c r="C79" i="3"/>
  <c r="C80" i="3"/>
  <c r="C81" i="3"/>
  <c r="C85" i="3"/>
  <c r="C86" i="3"/>
  <c r="C88" i="3"/>
  <c r="C89" i="3"/>
  <c r="C92" i="3"/>
  <c r="C93" i="3"/>
  <c r="C94" i="3"/>
  <c r="C95" i="3"/>
  <c r="C96" i="3"/>
  <c r="C97" i="3"/>
  <c r="C100" i="3"/>
  <c r="C104" i="3"/>
  <c r="C105" i="3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6" i="10"/>
  <c r="B13" i="5"/>
  <c r="B21" i="5"/>
  <c r="B22" i="5"/>
  <c r="B23" i="5"/>
  <c r="B24" i="5"/>
  <c r="B25" i="5"/>
  <c r="B2424" i="1"/>
  <c r="C2424" i="1" s="1"/>
  <c r="D2424" i="1"/>
  <c r="I2424" i="1"/>
  <c r="B1822" i="1"/>
  <c r="C1822" i="1" s="1"/>
  <c r="I1822" i="1"/>
  <c r="B1706" i="1"/>
  <c r="C1706" i="1"/>
  <c r="D1706" i="1"/>
  <c r="I1706" i="1"/>
  <c r="B1707" i="1"/>
  <c r="D1707" i="1" s="1"/>
  <c r="I1707" i="1"/>
  <c r="B1708" i="1"/>
  <c r="C1708" i="1" s="1"/>
  <c r="I1708" i="1"/>
  <c r="B1701" i="1"/>
  <c r="D1701" i="1" s="1"/>
  <c r="I1701" i="1"/>
  <c r="B1702" i="1"/>
  <c r="C1702" i="1" s="1"/>
  <c r="D1702" i="1"/>
  <c r="I1702" i="1"/>
  <c r="B1683" i="1"/>
  <c r="D1683" i="1" s="1"/>
  <c r="I1683" i="1"/>
  <c r="B1530" i="1"/>
  <c r="C1530" i="1"/>
  <c r="D1530" i="1"/>
  <c r="I1530" i="1"/>
  <c r="B1360" i="1"/>
  <c r="D1360" i="1" s="1"/>
  <c r="C1360" i="1"/>
  <c r="I1360" i="1"/>
  <c r="B1270" i="1"/>
  <c r="D1270" i="1" s="1"/>
  <c r="I1270" i="1"/>
  <c r="B1174" i="1"/>
  <c r="D1174" i="1" s="1"/>
  <c r="I1174" i="1"/>
  <c r="B1175" i="1"/>
  <c r="C1175" i="1" s="1"/>
  <c r="D1175" i="1"/>
  <c r="I1175" i="1"/>
  <c r="B508" i="1"/>
  <c r="D508" i="1" s="1"/>
  <c r="I508" i="1"/>
  <c r="B476" i="1"/>
  <c r="D476" i="1" s="1"/>
  <c r="C476" i="1"/>
  <c r="I476" i="1"/>
  <c r="B427" i="1"/>
  <c r="D427" i="1" s="1"/>
  <c r="I427" i="1"/>
  <c r="B324" i="1"/>
  <c r="D324" i="1" s="1"/>
  <c r="C324" i="1"/>
  <c r="I324" i="1"/>
  <c r="B235" i="1"/>
  <c r="C235" i="1"/>
  <c r="D235" i="1"/>
  <c r="I235" i="1"/>
  <c r="B236" i="1"/>
  <c r="D236" i="1" s="1"/>
  <c r="I236" i="1"/>
  <c r="B217" i="1"/>
  <c r="C217" i="1"/>
  <c r="D217" i="1"/>
  <c r="I217" i="1"/>
  <c r="B218" i="1"/>
  <c r="C218" i="1" s="1"/>
  <c r="D218" i="1"/>
  <c r="I218" i="1"/>
  <c r="B197" i="1"/>
  <c r="D197" i="1" s="1"/>
  <c r="I197" i="1"/>
  <c r="B121" i="1"/>
  <c r="C121" i="1"/>
  <c r="D121" i="1"/>
  <c r="I121" i="1"/>
  <c r="B14" i="5"/>
  <c r="B15" i="5"/>
  <c r="B16" i="5"/>
  <c r="B17" i="5"/>
  <c r="B18" i="5"/>
  <c r="B19" i="5"/>
  <c r="B20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C6" i="5"/>
  <c r="B2466" i="1"/>
  <c r="B2465" i="1"/>
  <c r="D2465" i="1" s="1"/>
  <c r="B2464" i="1"/>
  <c r="D2464" i="1" s="1"/>
  <c r="B2463" i="1"/>
  <c r="D2463" i="1" s="1"/>
  <c r="B2462" i="1"/>
  <c r="D2462" i="1" s="1"/>
  <c r="B2461" i="1"/>
  <c r="D2461" i="1" s="1"/>
  <c r="B2460" i="1"/>
  <c r="D2460" i="1" s="1"/>
  <c r="B2459" i="1"/>
  <c r="B2458" i="1"/>
  <c r="B2457" i="1"/>
  <c r="B2456" i="1"/>
  <c r="D2456" i="1" s="1"/>
  <c r="B2455" i="1"/>
  <c r="D2455" i="1" s="1"/>
  <c r="B2454" i="1"/>
  <c r="D2454" i="1" s="1"/>
  <c r="B2453" i="1"/>
  <c r="D2453" i="1" s="1"/>
  <c r="B2452" i="1"/>
  <c r="D2452" i="1" s="1"/>
  <c r="B2451" i="1"/>
  <c r="B2450" i="1"/>
  <c r="B2449" i="1"/>
  <c r="D2449" i="1" s="1"/>
  <c r="B2448" i="1"/>
  <c r="D2448" i="1" s="1"/>
  <c r="B2447" i="1"/>
  <c r="D2447" i="1" s="1"/>
  <c r="B2446" i="1"/>
  <c r="D2446" i="1" s="1"/>
  <c r="B2445" i="1"/>
  <c r="D2445" i="1" s="1"/>
  <c r="B2444" i="1"/>
  <c r="D2444" i="1" s="1"/>
  <c r="B2443" i="1"/>
  <c r="B2442" i="1"/>
  <c r="B2441" i="1"/>
  <c r="B2440" i="1"/>
  <c r="D2440" i="1" s="1"/>
  <c r="B2439" i="1"/>
  <c r="D2439" i="1" s="1"/>
  <c r="B2438" i="1"/>
  <c r="D2438" i="1" s="1"/>
  <c r="B2437" i="1"/>
  <c r="D2437" i="1" s="1"/>
  <c r="B2436" i="1"/>
  <c r="D2436" i="1" s="1"/>
  <c r="B2435" i="1"/>
  <c r="B2434" i="1"/>
  <c r="D2434" i="1" s="1"/>
  <c r="B2433" i="1"/>
  <c r="D2433" i="1" s="1"/>
  <c r="B2432" i="1"/>
  <c r="D2432" i="1" s="1"/>
  <c r="B2431" i="1"/>
  <c r="D2431" i="1" s="1"/>
  <c r="B2430" i="1"/>
  <c r="D2430" i="1" s="1"/>
  <c r="B2429" i="1"/>
  <c r="D2429" i="1" s="1"/>
  <c r="B2428" i="1"/>
  <c r="B2427" i="1"/>
  <c r="B2426" i="1"/>
  <c r="B2425" i="1"/>
  <c r="D2425" i="1" s="1"/>
  <c r="B2423" i="1"/>
  <c r="D2423" i="1" s="1"/>
  <c r="B2422" i="1"/>
  <c r="D2422" i="1" s="1"/>
  <c r="B2421" i="1"/>
  <c r="D2421" i="1" s="1"/>
  <c r="B2420" i="1"/>
  <c r="B2419" i="1"/>
  <c r="B2418" i="1"/>
  <c r="D2418" i="1" s="1"/>
  <c r="B2417" i="1"/>
  <c r="D2417" i="1" s="1"/>
  <c r="B2416" i="1"/>
  <c r="D2416" i="1" s="1"/>
  <c r="B2415" i="1"/>
  <c r="D2415" i="1" s="1"/>
  <c r="B2414" i="1"/>
  <c r="D2414" i="1" s="1"/>
  <c r="B2413" i="1"/>
  <c r="D2413" i="1" s="1"/>
  <c r="B2412" i="1"/>
  <c r="B2411" i="1"/>
  <c r="B2410" i="1"/>
  <c r="B2409" i="1"/>
  <c r="D2409" i="1" s="1"/>
  <c r="B2408" i="1"/>
  <c r="D2408" i="1" s="1"/>
  <c r="B2407" i="1"/>
  <c r="D2407" i="1" s="1"/>
  <c r="B2406" i="1"/>
  <c r="D2406" i="1" s="1"/>
  <c r="B2405" i="1"/>
  <c r="D2405" i="1" s="1"/>
  <c r="B2404" i="1"/>
  <c r="B2403" i="1"/>
  <c r="B2402" i="1"/>
  <c r="D2402" i="1" s="1"/>
  <c r="B2401" i="1"/>
  <c r="D2401" i="1" s="1"/>
  <c r="B2400" i="1"/>
  <c r="D2400" i="1" s="1"/>
  <c r="B2399" i="1"/>
  <c r="D2399" i="1" s="1"/>
  <c r="B2398" i="1"/>
  <c r="D2398" i="1" s="1"/>
  <c r="B2397" i="1"/>
  <c r="D2397" i="1" s="1"/>
  <c r="B2396" i="1"/>
  <c r="B2395" i="1"/>
  <c r="B2394" i="1"/>
  <c r="B2393" i="1"/>
  <c r="D2393" i="1" s="1"/>
  <c r="B2392" i="1"/>
  <c r="D2392" i="1" s="1"/>
  <c r="B2391" i="1"/>
  <c r="D2391" i="1" s="1"/>
  <c r="B2390" i="1"/>
  <c r="D2390" i="1" s="1"/>
  <c r="B2389" i="1"/>
  <c r="D2389" i="1" s="1"/>
  <c r="B2388" i="1"/>
  <c r="B2387" i="1"/>
  <c r="B2386" i="1"/>
  <c r="D2386" i="1" s="1"/>
  <c r="B2385" i="1"/>
  <c r="D2385" i="1" s="1"/>
  <c r="B2384" i="1"/>
  <c r="D2384" i="1" s="1"/>
  <c r="B2383" i="1"/>
  <c r="D2383" i="1" s="1"/>
  <c r="B2382" i="1"/>
  <c r="D2382" i="1" s="1"/>
  <c r="B2381" i="1"/>
  <c r="D2381" i="1" s="1"/>
  <c r="B2380" i="1"/>
  <c r="B2379" i="1"/>
  <c r="B2378" i="1"/>
  <c r="B2377" i="1"/>
  <c r="D2377" i="1" s="1"/>
  <c r="B2376" i="1"/>
  <c r="D2376" i="1" s="1"/>
  <c r="B2375" i="1"/>
  <c r="D2375" i="1" s="1"/>
  <c r="B2374" i="1"/>
  <c r="D2374" i="1" s="1"/>
  <c r="B2373" i="1"/>
  <c r="D2373" i="1" s="1"/>
  <c r="B2372" i="1"/>
  <c r="B2371" i="1"/>
  <c r="B2370" i="1"/>
  <c r="D2370" i="1" s="1"/>
  <c r="B2369" i="1"/>
  <c r="D2369" i="1" s="1"/>
  <c r="B2368" i="1"/>
  <c r="D2368" i="1" s="1"/>
  <c r="B2367" i="1"/>
  <c r="D2367" i="1" s="1"/>
  <c r="B2366" i="1"/>
  <c r="D2366" i="1" s="1"/>
  <c r="B2365" i="1"/>
  <c r="D2365" i="1" s="1"/>
  <c r="B2364" i="1"/>
  <c r="B2363" i="1"/>
  <c r="B2362" i="1"/>
  <c r="B2361" i="1"/>
  <c r="D2361" i="1" s="1"/>
  <c r="B2360" i="1"/>
  <c r="D2360" i="1" s="1"/>
  <c r="B2359" i="1"/>
  <c r="D2359" i="1" s="1"/>
  <c r="B2358" i="1"/>
  <c r="D2358" i="1" s="1"/>
  <c r="B2357" i="1"/>
  <c r="D2357" i="1" s="1"/>
  <c r="B2356" i="1"/>
  <c r="B2355" i="1"/>
  <c r="B2354" i="1"/>
  <c r="D2354" i="1" s="1"/>
  <c r="B2353" i="1"/>
  <c r="D2353" i="1" s="1"/>
  <c r="B2352" i="1"/>
  <c r="D2352" i="1" s="1"/>
  <c r="B2351" i="1"/>
  <c r="D2351" i="1" s="1"/>
  <c r="B2350" i="1"/>
  <c r="D2350" i="1" s="1"/>
  <c r="B2349" i="1"/>
  <c r="D2349" i="1" s="1"/>
  <c r="B2348" i="1"/>
  <c r="B2347" i="1"/>
  <c r="B2346" i="1"/>
  <c r="B2345" i="1"/>
  <c r="D2345" i="1" s="1"/>
  <c r="B2344" i="1"/>
  <c r="D2344" i="1" s="1"/>
  <c r="B2343" i="1"/>
  <c r="D2343" i="1" s="1"/>
  <c r="B2342" i="1"/>
  <c r="D2342" i="1" s="1"/>
  <c r="B2341" i="1"/>
  <c r="D2341" i="1" s="1"/>
  <c r="B2340" i="1"/>
  <c r="B2339" i="1"/>
  <c r="B2338" i="1"/>
  <c r="D2338" i="1" s="1"/>
  <c r="B2337" i="1"/>
  <c r="D2337" i="1" s="1"/>
  <c r="B2336" i="1"/>
  <c r="D2336" i="1" s="1"/>
  <c r="B2335" i="1"/>
  <c r="D2335" i="1" s="1"/>
  <c r="B2334" i="1"/>
  <c r="D2334" i="1" s="1"/>
  <c r="B2333" i="1"/>
  <c r="D2333" i="1" s="1"/>
  <c r="B2332" i="1"/>
  <c r="B2331" i="1"/>
  <c r="B2330" i="1"/>
  <c r="B2329" i="1"/>
  <c r="D2329" i="1" s="1"/>
  <c r="B2328" i="1"/>
  <c r="D2328" i="1" s="1"/>
  <c r="B2327" i="1"/>
  <c r="D2327" i="1" s="1"/>
  <c r="B2326" i="1"/>
  <c r="D2326" i="1" s="1"/>
  <c r="B2325" i="1"/>
  <c r="D2325" i="1" s="1"/>
  <c r="B2324" i="1"/>
  <c r="B2323" i="1"/>
  <c r="B2322" i="1"/>
  <c r="D2322" i="1" s="1"/>
  <c r="B2321" i="1"/>
  <c r="D2321" i="1" s="1"/>
  <c r="B2320" i="1"/>
  <c r="D2320" i="1" s="1"/>
  <c r="B2319" i="1"/>
  <c r="D2319" i="1" s="1"/>
  <c r="B2318" i="1"/>
  <c r="D2318" i="1" s="1"/>
  <c r="B2317" i="1"/>
  <c r="D2317" i="1" s="1"/>
  <c r="B2316" i="1"/>
  <c r="B2315" i="1"/>
  <c r="B2314" i="1"/>
  <c r="B2313" i="1"/>
  <c r="D2313" i="1" s="1"/>
  <c r="B2312" i="1"/>
  <c r="D2312" i="1" s="1"/>
  <c r="B2311" i="1"/>
  <c r="D2311" i="1" s="1"/>
  <c r="B2310" i="1"/>
  <c r="D2310" i="1" s="1"/>
  <c r="B2309" i="1"/>
  <c r="D2309" i="1" s="1"/>
  <c r="B2308" i="1"/>
  <c r="B2307" i="1"/>
  <c r="B2306" i="1"/>
  <c r="B2305" i="1"/>
  <c r="D2305" i="1" s="1"/>
  <c r="B2304" i="1"/>
  <c r="D2304" i="1" s="1"/>
  <c r="B2303" i="1"/>
  <c r="D2303" i="1" s="1"/>
  <c r="B2302" i="1"/>
  <c r="D2302" i="1" s="1"/>
  <c r="B2301" i="1"/>
  <c r="D2301" i="1" s="1"/>
  <c r="B2300" i="1"/>
  <c r="B2299" i="1"/>
  <c r="B2298" i="1"/>
  <c r="B2297" i="1"/>
  <c r="D2297" i="1" s="1"/>
  <c r="B2296" i="1"/>
  <c r="D2296" i="1" s="1"/>
  <c r="B2295" i="1"/>
  <c r="D2295" i="1" s="1"/>
  <c r="B2294" i="1"/>
  <c r="D2294" i="1" s="1"/>
  <c r="B2293" i="1"/>
  <c r="D2293" i="1" s="1"/>
  <c r="B2292" i="1"/>
  <c r="B2291" i="1"/>
  <c r="B2290" i="1"/>
  <c r="B2289" i="1"/>
  <c r="D2289" i="1" s="1"/>
  <c r="B2288" i="1"/>
  <c r="D2288" i="1" s="1"/>
  <c r="B2287" i="1"/>
  <c r="D2287" i="1" s="1"/>
  <c r="B2286" i="1"/>
  <c r="D2286" i="1" s="1"/>
  <c r="B2285" i="1"/>
  <c r="D2285" i="1" s="1"/>
  <c r="B2284" i="1"/>
  <c r="B2283" i="1"/>
  <c r="B2282" i="1"/>
  <c r="B2281" i="1"/>
  <c r="D2281" i="1" s="1"/>
  <c r="B2280" i="1"/>
  <c r="D2280" i="1" s="1"/>
  <c r="B2279" i="1"/>
  <c r="D2279" i="1" s="1"/>
  <c r="B2278" i="1"/>
  <c r="D2278" i="1" s="1"/>
  <c r="B2277" i="1"/>
  <c r="D2277" i="1" s="1"/>
  <c r="B2276" i="1"/>
  <c r="B2275" i="1"/>
  <c r="B2274" i="1"/>
  <c r="B2273" i="1"/>
  <c r="D2273" i="1" s="1"/>
  <c r="B2272" i="1"/>
  <c r="B2271" i="1"/>
  <c r="D2271" i="1" s="1"/>
  <c r="B2270" i="1"/>
  <c r="B2269" i="1"/>
  <c r="D2269" i="1" s="1"/>
  <c r="B2268" i="1"/>
  <c r="D2268" i="1" s="1"/>
  <c r="B2267" i="1"/>
  <c r="B2266" i="1"/>
  <c r="B2265" i="1"/>
  <c r="B2264" i="1"/>
  <c r="D2264" i="1" s="1"/>
  <c r="B2263" i="1"/>
  <c r="B2262" i="1"/>
  <c r="B2261" i="1"/>
  <c r="D2261" i="1" s="1"/>
  <c r="B2260" i="1"/>
  <c r="D2260" i="1" s="1"/>
  <c r="B2259" i="1"/>
  <c r="D2259" i="1" s="1"/>
  <c r="B2258" i="1"/>
  <c r="B2257" i="1"/>
  <c r="B2256" i="1"/>
  <c r="B2255" i="1"/>
  <c r="B2254" i="1"/>
  <c r="B2253" i="1"/>
  <c r="D2253" i="1" s="1"/>
  <c r="B2252" i="1"/>
  <c r="B2251" i="1"/>
  <c r="D2251" i="1" s="1"/>
  <c r="B2250" i="1"/>
  <c r="D2250" i="1" s="1"/>
  <c r="B2249" i="1"/>
  <c r="D2249" i="1" s="1"/>
  <c r="B2248" i="1"/>
  <c r="B2247" i="1"/>
  <c r="B2246" i="1"/>
  <c r="B2245" i="1"/>
  <c r="B2244" i="1"/>
  <c r="D2244" i="1" s="1"/>
  <c r="B2243" i="1"/>
  <c r="B2242" i="1"/>
  <c r="D2242" i="1" s="1"/>
  <c r="B2241" i="1"/>
  <c r="D2241" i="1" s="1"/>
  <c r="B2240" i="1"/>
  <c r="B2239" i="1"/>
  <c r="D2239" i="1" s="1"/>
  <c r="B2238" i="1"/>
  <c r="B2237" i="1"/>
  <c r="B2236" i="1"/>
  <c r="B2235" i="1"/>
  <c r="B2234" i="1"/>
  <c r="D2234" i="1" s="1"/>
  <c r="B2233" i="1"/>
  <c r="B2232" i="1"/>
  <c r="D2232" i="1" s="1"/>
  <c r="B2231" i="1"/>
  <c r="D2231" i="1" s="1"/>
  <c r="B2230" i="1"/>
  <c r="B2229" i="1"/>
  <c r="D2229" i="1" s="1"/>
  <c r="B2228" i="1"/>
  <c r="B2227" i="1"/>
  <c r="B2226" i="1"/>
  <c r="B2225" i="1"/>
  <c r="D2225" i="1" s="1"/>
  <c r="B2224" i="1"/>
  <c r="B2223" i="1"/>
  <c r="B2222" i="1"/>
  <c r="B2221" i="1"/>
  <c r="D2221" i="1" s="1"/>
  <c r="B2220" i="1"/>
  <c r="D2220" i="1" s="1"/>
  <c r="B2219" i="1"/>
  <c r="D2219" i="1" s="1"/>
  <c r="B2218" i="1"/>
  <c r="B2217" i="1"/>
  <c r="B2216" i="1"/>
  <c r="B2215" i="1"/>
  <c r="D2215" i="1" s="1"/>
  <c r="B2214" i="1"/>
  <c r="B2213" i="1"/>
  <c r="B2212" i="1"/>
  <c r="D2212" i="1" s="1"/>
  <c r="B2211" i="1"/>
  <c r="D2211" i="1" s="1"/>
  <c r="B2210" i="1"/>
  <c r="D2210" i="1" s="1"/>
  <c r="B2209" i="1"/>
  <c r="B2208" i="1"/>
  <c r="B2207" i="1"/>
  <c r="B2206" i="1"/>
  <c r="B2205" i="1"/>
  <c r="B2204" i="1"/>
  <c r="D2204" i="1" s="1"/>
  <c r="B2203" i="1"/>
  <c r="B2202" i="1"/>
  <c r="D2202" i="1" s="1"/>
  <c r="B2201" i="1"/>
  <c r="D2201" i="1" s="1"/>
  <c r="B2200" i="1"/>
  <c r="D2200" i="1" s="1"/>
  <c r="B2199" i="1"/>
  <c r="B2198" i="1"/>
  <c r="B2197" i="1"/>
  <c r="B2196" i="1"/>
  <c r="B2195" i="1"/>
  <c r="D2195" i="1" s="1"/>
  <c r="B2194" i="1"/>
  <c r="B2193" i="1"/>
  <c r="D2193" i="1" s="1"/>
  <c r="B2192" i="1"/>
  <c r="B2191" i="1"/>
  <c r="D2191" i="1" s="1"/>
  <c r="B2190" i="1"/>
  <c r="B2189" i="1"/>
  <c r="D2189" i="1" s="1"/>
  <c r="B2188" i="1"/>
  <c r="B2187" i="1"/>
  <c r="B2186" i="1"/>
  <c r="B2185" i="1"/>
  <c r="D2185" i="1" s="1"/>
  <c r="B2184" i="1"/>
  <c r="B2183" i="1"/>
  <c r="D2183" i="1" s="1"/>
  <c r="B2182" i="1"/>
  <c r="B2181" i="1"/>
  <c r="D2181" i="1" s="1"/>
  <c r="B2180" i="1"/>
  <c r="D2180" i="1" s="1"/>
  <c r="B2179" i="1"/>
  <c r="B2178" i="1"/>
  <c r="B2177" i="1"/>
  <c r="B2176" i="1"/>
  <c r="B2175" i="1"/>
  <c r="D2175" i="1" s="1"/>
  <c r="B2174" i="1"/>
  <c r="B2173" i="1"/>
  <c r="B2172" i="1"/>
  <c r="D2172" i="1" s="1"/>
  <c r="B2171" i="1"/>
  <c r="D2171" i="1" s="1"/>
  <c r="B2170" i="1"/>
  <c r="D2170" i="1" s="1"/>
  <c r="B2169" i="1"/>
  <c r="B2168" i="1"/>
  <c r="B2167" i="1"/>
  <c r="B2166" i="1"/>
  <c r="B2165" i="1"/>
  <c r="D2165" i="1" s="1"/>
  <c r="B2164" i="1"/>
  <c r="B2163" i="1"/>
  <c r="D2163" i="1" s="1"/>
  <c r="B2162" i="1"/>
  <c r="D2162" i="1" s="1"/>
  <c r="B2161" i="1"/>
  <c r="D2161" i="1" s="1"/>
  <c r="B2160" i="1"/>
  <c r="B2159" i="1"/>
  <c r="B2158" i="1"/>
  <c r="B2157" i="1"/>
  <c r="B2156" i="1"/>
  <c r="B2155" i="1"/>
  <c r="D2155" i="1" s="1"/>
  <c r="B2154" i="1"/>
  <c r="B2153" i="1"/>
  <c r="D2153" i="1" s="1"/>
  <c r="B2152" i="1"/>
  <c r="D2152" i="1" s="1"/>
  <c r="B2151" i="1"/>
  <c r="D2151" i="1" s="1"/>
  <c r="B2150" i="1"/>
  <c r="B2149" i="1"/>
  <c r="B2148" i="1"/>
  <c r="B2147" i="1"/>
  <c r="B2146" i="1"/>
  <c r="D2146" i="1" s="1"/>
  <c r="B2145" i="1"/>
  <c r="B2144" i="1"/>
  <c r="B2143" i="1"/>
  <c r="B2142" i="1"/>
  <c r="B2141" i="1"/>
  <c r="D2141" i="1" s="1"/>
  <c r="B2140" i="1"/>
  <c r="D2140" i="1" s="1"/>
  <c r="B2139" i="1"/>
  <c r="B2138" i="1"/>
  <c r="B2137" i="1"/>
  <c r="B2136" i="1"/>
  <c r="D2136" i="1" s="1"/>
  <c r="B2135" i="1"/>
  <c r="B2134" i="1"/>
  <c r="B2133" i="1"/>
  <c r="D2133" i="1" s="1"/>
  <c r="B2132" i="1"/>
  <c r="D2132" i="1" s="1"/>
  <c r="B2131" i="1"/>
  <c r="D2131" i="1" s="1"/>
  <c r="B2130" i="1"/>
  <c r="B2129" i="1"/>
  <c r="B2128" i="1"/>
  <c r="B2127" i="1"/>
  <c r="B2126" i="1"/>
  <c r="B2125" i="1"/>
  <c r="D2125" i="1" s="1"/>
  <c r="B2124" i="1"/>
  <c r="B2123" i="1"/>
  <c r="B2122" i="1"/>
  <c r="D2122" i="1" s="1"/>
  <c r="B2121" i="1"/>
  <c r="D2121" i="1" s="1"/>
  <c r="B2120" i="1"/>
  <c r="B2119" i="1"/>
  <c r="B2118" i="1"/>
  <c r="B2117" i="1"/>
  <c r="B2116" i="1"/>
  <c r="D2116" i="1" s="1"/>
  <c r="B2115" i="1"/>
  <c r="B2114" i="1"/>
  <c r="D2114" i="1" s="1"/>
  <c r="B2113" i="1"/>
  <c r="D2113" i="1" s="1"/>
  <c r="B2112" i="1"/>
  <c r="B2111" i="1"/>
  <c r="D2111" i="1" s="1"/>
  <c r="B2110" i="1"/>
  <c r="B2109" i="1"/>
  <c r="B2108" i="1"/>
  <c r="B2107" i="1"/>
  <c r="B2106" i="1"/>
  <c r="D2106" i="1" s="1"/>
  <c r="B2105" i="1"/>
  <c r="B2104" i="1"/>
  <c r="B2103" i="1"/>
  <c r="D2103" i="1" s="1"/>
  <c r="B2102" i="1"/>
  <c r="B2101" i="1"/>
  <c r="D2101" i="1" s="1"/>
  <c r="B2100" i="1"/>
  <c r="B2099" i="1"/>
  <c r="B2098" i="1"/>
  <c r="B2097" i="1"/>
  <c r="D2097" i="1" s="1"/>
  <c r="B2096" i="1"/>
  <c r="B2095" i="1"/>
  <c r="B2094" i="1"/>
  <c r="B2093" i="1"/>
  <c r="D2093" i="1" s="1"/>
  <c r="B2092" i="1"/>
  <c r="D2092" i="1" s="1"/>
  <c r="B2091" i="1"/>
  <c r="D2091" i="1" s="1"/>
  <c r="B2090" i="1"/>
  <c r="B2089" i="1"/>
  <c r="B2088" i="1"/>
  <c r="B2087" i="1"/>
  <c r="D2087" i="1" s="1"/>
  <c r="B2086" i="1"/>
  <c r="B2085" i="1"/>
  <c r="B2084" i="1"/>
  <c r="B2083" i="1"/>
  <c r="D2083" i="1" s="1"/>
  <c r="B2082" i="1"/>
  <c r="D2082" i="1" s="1"/>
  <c r="B2081" i="1"/>
  <c r="B2080" i="1"/>
  <c r="B2079" i="1"/>
  <c r="B2078" i="1"/>
  <c r="B2077" i="1"/>
  <c r="B2076" i="1"/>
  <c r="D2076" i="1" s="1"/>
  <c r="B2075" i="1"/>
  <c r="B2074" i="1"/>
  <c r="D2074" i="1" s="1"/>
  <c r="B2073" i="1"/>
  <c r="D2073" i="1" s="1"/>
  <c r="B2072" i="1"/>
  <c r="D2072" i="1" s="1"/>
  <c r="B2071" i="1"/>
  <c r="B2070" i="1"/>
  <c r="B2069" i="1"/>
  <c r="B2068" i="1"/>
  <c r="B2067" i="1"/>
  <c r="D2067" i="1" s="1"/>
  <c r="B2066" i="1"/>
  <c r="B2065" i="1"/>
  <c r="B2064" i="1"/>
  <c r="B2063" i="1"/>
  <c r="D2063" i="1" s="1"/>
  <c r="B2062" i="1"/>
  <c r="B2061" i="1"/>
  <c r="D2061" i="1" s="1"/>
  <c r="B2060" i="1"/>
  <c r="B2059" i="1"/>
  <c r="B2058" i="1"/>
  <c r="B2057" i="1"/>
  <c r="D2057" i="1" s="1"/>
  <c r="B2056" i="1"/>
  <c r="B2055" i="1"/>
  <c r="D2055" i="1" s="1"/>
  <c r="B2054" i="1"/>
  <c r="B2053" i="1"/>
  <c r="D2053" i="1" s="1"/>
  <c r="B2052" i="1"/>
  <c r="D2052" i="1" s="1"/>
  <c r="B2051" i="1"/>
  <c r="B2050" i="1"/>
  <c r="B2049" i="1"/>
  <c r="B2048" i="1"/>
  <c r="B2047" i="1"/>
  <c r="D2047" i="1" s="1"/>
  <c r="B2046" i="1"/>
  <c r="B2045" i="1"/>
  <c r="B2044" i="1"/>
  <c r="B2043" i="1"/>
  <c r="D2043" i="1" s="1"/>
  <c r="B2042" i="1"/>
  <c r="D2042" i="1" s="1"/>
  <c r="B2041" i="1"/>
  <c r="B2040" i="1"/>
  <c r="B2039" i="1"/>
  <c r="B2038" i="1"/>
  <c r="B2037" i="1"/>
  <c r="D2037" i="1" s="1"/>
  <c r="B2036" i="1"/>
  <c r="B2035" i="1"/>
  <c r="D2035" i="1" s="1"/>
  <c r="B2034" i="1"/>
  <c r="D2034" i="1" s="1"/>
  <c r="B2033" i="1"/>
  <c r="D2033" i="1" s="1"/>
  <c r="B2032" i="1"/>
  <c r="B2031" i="1"/>
  <c r="B2030" i="1"/>
  <c r="B2029" i="1"/>
  <c r="B2028" i="1"/>
  <c r="B2027" i="1"/>
  <c r="D2027" i="1" s="1"/>
  <c r="B2026" i="1"/>
  <c r="B2025" i="1"/>
  <c r="B2024" i="1"/>
  <c r="D2024" i="1" s="1"/>
  <c r="B2023" i="1"/>
  <c r="D2023" i="1" s="1"/>
  <c r="B2022" i="1"/>
  <c r="B2021" i="1"/>
  <c r="B2020" i="1"/>
  <c r="B2019" i="1"/>
  <c r="B2018" i="1"/>
  <c r="D2018" i="1" s="1"/>
  <c r="B2017" i="1"/>
  <c r="B2016" i="1"/>
  <c r="B2015" i="1"/>
  <c r="D2015" i="1" s="1"/>
  <c r="B2014" i="1"/>
  <c r="B2013" i="1"/>
  <c r="D2013" i="1" s="1"/>
  <c r="B2012" i="1"/>
  <c r="D2012" i="1" s="1"/>
  <c r="B2011" i="1"/>
  <c r="B2010" i="1"/>
  <c r="B2009" i="1"/>
  <c r="B2008" i="1"/>
  <c r="D2008" i="1" s="1"/>
  <c r="B2007" i="1"/>
  <c r="B2006" i="1"/>
  <c r="B2005" i="1"/>
  <c r="B2004" i="1"/>
  <c r="D2004" i="1" s="1"/>
  <c r="B2003" i="1"/>
  <c r="D2003" i="1" s="1"/>
  <c r="B2002" i="1"/>
  <c r="B2001" i="1"/>
  <c r="B2000" i="1"/>
  <c r="B1999" i="1"/>
  <c r="B1998" i="1"/>
  <c r="B1997" i="1"/>
  <c r="D1997" i="1" s="1"/>
  <c r="B1996" i="1"/>
  <c r="B1995" i="1"/>
  <c r="D1995" i="1" s="1"/>
  <c r="B1994" i="1"/>
  <c r="D1994" i="1" s="1"/>
  <c r="B1993" i="1"/>
  <c r="D1993" i="1" s="1"/>
  <c r="B1992" i="1"/>
  <c r="B1991" i="1"/>
  <c r="B1990" i="1"/>
  <c r="B1989" i="1"/>
  <c r="B1988" i="1"/>
  <c r="D1988" i="1" s="1"/>
  <c r="B1987" i="1"/>
  <c r="B1986" i="1"/>
  <c r="B1985" i="1"/>
  <c r="D1985" i="1" s="1"/>
  <c r="B1984" i="1"/>
  <c r="B1983" i="1"/>
  <c r="D1983" i="1" s="1"/>
  <c r="B1982" i="1"/>
  <c r="B1981" i="1"/>
  <c r="B1980" i="1"/>
  <c r="B1979" i="1"/>
  <c r="B1978" i="1"/>
  <c r="D1978" i="1" s="1"/>
  <c r="B1977" i="1"/>
  <c r="B1976" i="1"/>
  <c r="D1976" i="1" s="1"/>
  <c r="B1975" i="1"/>
  <c r="D1975" i="1" s="1"/>
  <c r="B1974" i="1"/>
  <c r="B1973" i="1"/>
  <c r="D1973" i="1" s="1"/>
  <c r="B1972" i="1"/>
  <c r="B1971" i="1"/>
  <c r="B1970" i="1"/>
  <c r="B1969" i="1"/>
  <c r="D1969" i="1" s="1"/>
  <c r="B1968" i="1"/>
  <c r="B1967" i="1"/>
  <c r="B1966" i="1"/>
  <c r="B1965" i="1"/>
  <c r="B1964" i="1"/>
  <c r="D1964" i="1" s="1"/>
  <c r="B1963" i="1"/>
  <c r="D1963" i="1" s="1"/>
  <c r="B1962" i="1"/>
  <c r="B1961" i="1"/>
  <c r="B1960" i="1"/>
  <c r="B1959" i="1"/>
  <c r="D1959" i="1" s="1"/>
  <c r="B1958" i="1"/>
  <c r="B1957" i="1"/>
  <c r="B1956" i="1"/>
  <c r="D1956" i="1" s="1"/>
  <c r="B1955" i="1"/>
  <c r="D1955" i="1" s="1"/>
  <c r="B1954" i="1"/>
  <c r="D1954" i="1" s="1"/>
  <c r="B1953" i="1"/>
  <c r="B1952" i="1"/>
  <c r="B1951" i="1"/>
  <c r="B1950" i="1"/>
  <c r="B1949" i="1"/>
  <c r="B1948" i="1"/>
  <c r="D1948" i="1" s="1"/>
  <c r="B1947" i="1"/>
  <c r="B1946" i="1"/>
  <c r="B1945" i="1"/>
  <c r="D1945" i="1" s="1"/>
  <c r="B1944" i="1"/>
  <c r="D1944" i="1" s="1"/>
  <c r="B1943" i="1"/>
  <c r="B1942" i="1"/>
  <c r="B1941" i="1"/>
  <c r="B1940" i="1"/>
  <c r="B1939" i="1"/>
  <c r="D1939" i="1" s="1"/>
  <c r="B1938" i="1"/>
  <c r="B1937" i="1"/>
  <c r="D1937" i="1" s="1"/>
  <c r="B1936" i="1"/>
  <c r="B1935" i="1"/>
  <c r="D1935" i="1" s="1"/>
  <c r="B1934" i="1"/>
  <c r="B1933" i="1"/>
  <c r="D1933" i="1" s="1"/>
  <c r="B1932" i="1"/>
  <c r="B1931" i="1"/>
  <c r="B1930" i="1"/>
  <c r="B1929" i="1"/>
  <c r="D1929" i="1" s="1"/>
  <c r="B1928" i="1"/>
  <c r="B1927" i="1"/>
  <c r="B1926" i="1"/>
  <c r="B1925" i="1"/>
  <c r="D1925" i="1" s="1"/>
  <c r="B1924" i="1"/>
  <c r="D1924" i="1" s="1"/>
  <c r="B1923" i="1"/>
  <c r="B1922" i="1"/>
  <c r="B1921" i="1"/>
  <c r="B1920" i="1"/>
  <c r="B1919" i="1"/>
  <c r="D1919" i="1" s="1"/>
  <c r="B1918" i="1"/>
  <c r="B1917" i="1"/>
  <c r="B1916" i="1"/>
  <c r="D1916" i="1" s="1"/>
  <c r="B1915" i="1"/>
  <c r="D1915" i="1" s="1"/>
  <c r="B1914" i="1"/>
  <c r="D1914" i="1" s="1"/>
  <c r="B1913" i="1"/>
  <c r="B1912" i="1"/>
  <c r="B1911" i="1"/>
  <c r="B1910" i="1"/>
  <c r="B1909" i="1"/>
  <c r="D1909" i="1" s="1"/>
  <c r="B1908" i="1"/>
  <c r="B1907" i="1"/>
  <c r="B1906" i="1"/>
  <c r="D1906" i="1" s="1"/>
  <c r="B1905" i="1"/>
  <c r="B1904" i="1"/>
  <c r="B1903" i="1"/>
  <c r="D1903" i="1" s="1"/>
  <c r="B1902" i="1"/>
  <c r="D1902" i="1" s="1"/>
  <c r="B1901" i="1"/>
  <c r="B1900" i="1"/>
  <c r="D1900" i="1" s="1"/>
  <c r="B1899" i="1"/>
  <c r="B1898" i="1"/>
  <c r="B1897" i="1"/>
  <c r="B1896" i="1"/>
  <c r="B1895" i="1"/>
  <c r="B1894" i="1"/>
  <c r="B1893" i="1"/>
  <c r="B1892" i="1"/>
  <c r="D1892" i="1" s="1"/>
  <c r="B1891" i="1"/>
  <c r="B1890" i="1"/>
  <c r="B1889" i="1"/>
  <c r="B1888" i="1"/>
  <c r="D1888" i="1" s="1"/>
  <c r="B1887" i="1"/>
  <c r="D1887" i="1" s="1"/>
  <c r="B1886" i="1"/>
  <c r="B1885" i="1"/>
  <c r="B1884" i="1"/>
  <c r="D1884" i="1" s="1"/>
  <c r="B1883" i="1"/>
  <c r="B1882" i="1"/>
  <c r="B1881" i="1"/>
  <c r="D1881" i="1" s="1"/>
  <c r="B1880" i="1"/>
  <c r="D1880" i="1" s="1"/>
  <c r="B1879" i="1"/>
  <c r="B1878" i="1"/>
  <c r="B1877" i="1"/>
  <c r="B1876" i="1"/>
  <c r="B1875" i="1"/>
  <c r="D1875" i="1" s="1"/>
  <c r="B1874" i="1"/>
  <c r="B1873" i="1"/>
  <c r="B1872" i="1"/>
  <c r="D1872" i="1" s="1"/>
  <c r="B1871" i="1"/>
  <c r="B1870" i="1"/>
  <c r="D1870" i="1" s="1"/>
  <c r="B1869" i="1"/>
  <c r="B1868" i="1"/>
  <c r="B1867" i="1"/>
  <c r="B1866" i="1"/>
  <c r="B1865" i="1"/>
  <c r="D1865" i="1" s="1"/>
  <c r="B1864" i="1"/>
  <c r="B1863" i="1"/>
  <c r="B1862" i="1"/>
  <c r="D1862" i="1" s="1"/>
  <c r="B1861" i="1"/>
  <c r="B1860" i="1"/>
  <c r="B1859" i="1"/>
  <c r="B1858" i="1"/>
  <c r="D1858" i="1" s="1"/>
  <c r="B1857" i="1"/>
  <c r="B1856" i="1"/>
  <c r="B1855" i="1"/>
  <c r="B1854" i="1"/>
  <c r="B1853" i="1"/>
  <c r="B1852" i="1"/>
  <c r="B1851" i="1"/>
  <c r="B1850" i="1"/>
  <c r="D1850" i="1" s="1"/>
  <c r="B1849" i="1"/>
  <c r="B1848" i="1"/>
  <c r="B1847" i="1"/>
  <c r="B1846" i="1"/>
  <c r="D1846" i="1" s="1"/>
  <c r="B1845" i="1"/>
  <c r="D1845" i="1" s="1"/>
  <c r="B1844" i="1"/>
  <c r="B1843" i="1"/>
  <c r="B1842" i="1"/>
  <c r="B1841" i="1"/>
  <c r="B1840" i="1"/>
  <c r="B1839" i="1"/>
  <c r="D1839" i="1" s="1"/>
  <c r="B1838" i="1"/>
  <c r="B1837" i="1"/>
  <c r="B1836" i="1"/>
  <c r="D1836" i="1" s="1"/>
  <c r="B1835" i="1"/>
  <c r="D1835" i="1" s="1"/>
  <c r="B1834" i="1"/>
  <c r="B1833" i="1"/>
  <c r="B1832" i="1"/>
  <c r="B1831" i="1"/>
  <c r="B1830" i="1"/>
  <c r="D1830" i="1" s="1"/>
  <c r="B1829" i="1"/>
  <c r="B1828" i="1"/>
  <c r="B1827" i="1"/>
  <c r="B1826" i="1"/>
  <c r="D1826" i="1" s="1"/>
  <c r="B1825" i="1"/>
  <c r="B1824" i="1"/>
  <c r="D1824" i="1" s="1"/>
  <c r="B1823" i="1"/>
  <c r="B1821" i="1"/>
  <c r="D1821" i="1" s="1"/>
  <c r="B1820" i="1"/>
  <c r="B1819" i="1"/>
  <c r="B1818" i="1"/>
  <c r="B1817" i="1"/>
  <c r="D1817" i="1" s="1"/>
  <c r="B1816" i="1"/>
  <c r="D1816" i="1" s="1"/>
  <c r="B1815" i="1"/>
  <c r="B1814" i="1"/>
  <c r="B1813" i="1"/>
  <c r="B1812" i="1"/>
  <c r="B1811" i="1"/>
  <c r="D1811" i="1" s="1"/>
  <c r="B1810" i="1"/>
  <c r="B1809" i="1"/>
  <c r="B1808" i="1"/>
  <c r="B1807" i="1"/>
  <c r="D1807" i="1" s="1"/>
  <c r="B1806" i="1"/>
  <c r="D1806" i="1" s="1"/>
  <c r="B1805" i="1"/>
  <c r="B1804" i="1"/>
  <c r="B1803" i="1"/>
  <c r="B1802" i="1"/>
  <c r="D1802" i="1" s="1"/>
  <c r="B1801" i="1"/>
  <c r="B1800" i="1"/>
  <c r="B1799" i="1"/>
  <c r="D1799" i="1" s="1"/>
  <c r="B1798" i="1"/>
  <c r="D1798" i="1" s="1"/>
  <c r="B1797" i="1"/>
  <c r="B1796" i="1"/>
  <c r="B1795" i="1"/>
  <c r="B1794" i="1"/>
  <c r="B1793" i="1"/>
  <c r="B1792" i="1"/>
  <c r="D1792" i="1" s="1"/>
  <c r="B1791" i="1"/>
  <c r="B1790" i="1"/>
  <c r="B1789" i="1"/>
  <c r="D1789" i="1" s="1"/>
  <c r="B1788" i="1"/>
  <c r="D1788" i="1" s="1"/>
  <c r="B1787" i="1"/>
  <c r="B1786" i="1"/>
  <c r="B1785" i="1"/>
  <c r="B1784" i="1"/>
  <c r="B1783" i="1"/>
  <c r="B1782" i="1"/>
  <c r="D1782" i="1" s="1"/>
  <c r="B1781" i="1"/>
  <c r="B1780" i="1"/>
  <c r="B1779" i="1"/>
  <c r="B1778" i="1"/>
  <c r="D1778" i="1" s="1"/>
  <c r="B1777" i="1"/>
  <c r="B1776" i="1"/>
  <c r="B1775" i="1"/>
  <c r="B1774" i="1"/>
  <c r="D1774" i="1" s="1"/>
  <c r="B1773" i="1"/>
  <c r="D1773" i="1" s="1"/>
  <c r="B1772" i="1"/>
  <c r="B1771" i="1"/>
  <c r="B1770" i="1"/>
  <c r="B1769" i="1"/>
  <c r="B1768" i="1"/>
  <c r="D1768" i="1" s="1"/>
  <c r="B1767" i="1"/>
  <c r="B1766" i="1"/>
  <c r="B1765" i="1"/>
  <c r="D1765" i="1" s="1"/>
  <c r="B1764" i="1"/>
  <c r="D1764" i="1" s="1"/>
  <c r="B1763" i="1"/>
  <c r="B1762" i="1"/>
  <c r="B1761" i="1"/>
  <c r="B1760" i="1"/>
  <c r="B1759" i="1"/>
  <c r="D1759" i="1" s="1"/>
  <c r="B1758" i="1"/>
  <c r="B1757" i="1"/>
  <c r="B1756" i="1"/>
  <c r="D1756" i="1" s="1"/>
  <c r="B1755" i="1"/>
  <c r="B1754" i="1"/>
  <c r="B1753" i="1"/>
  <c r="B1752" i="1"/>
  <c r="B1751" i="1"/>
  <c r="B1750" i="1"/>
  <c r="B1749" i="1"/>
  <c r="D1749" i="1" s="1"/>
  <c r="B1748" i="1"/>
  <c r="B1747" i="1"/>
  <c r="B1746" i="1"/>
  <c r="D1746" i="1" s="1"/>
  <c r="B1745" i="1"/>
  <c r="B1744" i="1"/>
  <c r="D1744" i="1" s="1"/>
  <c r="B1743" i="1"/>
  <c r="B1742" i="1"/>
  <c r="B1741" i="1"/>
  <c r="D1741" i="1" s="1"/>
  <c r="B1740" i="1"/>
  <c r="B1739" i="1"/>
  <c r="B1738" i="1"/>
  <c r="B1737" i="1"/>
  <c r="B1736" i="1"/>
  <c r="D1736" i="1" s="1"/>
  <c r="B1735" i="1"/>
  <c r="B1734" i="1"/>
  <c r="B1733" i="1"/>
  <c r="B1732" i="1"/>
  <c r="B1731" i="1"/>
  <c r="D1731" i="1" s="1"/>
  <c r="B1730" i="1"/>
  <c r="B1729" i="1"/>
  <c r="B1728" i="1"/>
  <c r="B1727" i="1"/>
  <c r="B1726" i="1"/>
  <c r="D1726" i="1" s="1"/>
  <c r="B1725" i="1"/>
  <c r="B1724" i="1"/>
  <c r="B1723" i="1"/>
  <c r="B1722" i="1"/>
  <c r="B1721" i="1"/>
  <c r="B1720" i="1"/>
  <c r="D1720" i="1" s="1"/>
  <c r="B1719" i="1"/>
  <c r="B1718" i="1"/>
  <c r="B1717" i="1"/>
  <c r="B1716" i="1"/>
  <c r="B1715" i="1"/>
  <c r="B1714" i="1"/>
  <c r="B1713" i="1"/>
  <c r="B1712" i="1"/>
  <c r="B1711" i="1"/>
  <c r="D1711" i="1" s="1"/>
  <c r="B1710" i="1"/>
  <c r="B1709" i="1"/>
  <c r="B1705" i="1"/>
  <c r="B1704" i="1"/>
  <c r="B1703" i="1"/>
  <c r="B1700" i="1"/>
  <c r="D1700" i="1" s="1"/>
  <c r="B1699" i="1"/>
  <c r="B1698" i="1"/>
  <c r="B1697" i="1"/>
  <c r="B1696" i="1"/>
  <c r="D1696" i="1" s="1"/>
  <c r="B1695" i="1"/>
  <c r="B1694" i="1"/>
  <c r="B1693" i="1"/>
  <c r="B1692" i="1"/>
  <c r="B1691" i="1"/>
  <c r="B1690" i="1"/>
  <c r="B1689" i="1"/>
  <c r="B1688" i="1"/>
  <c r="B1687" i="1"/>
  <c r="B1686" i="1"/>
  <c r="D1686" i="1" s="1"/>
  <c r="B1685" i="1"/>
  <c r="B1684" i="1"/>
  <c r="B1682" i="1"/>
  <c r="B1681" i="1"/>
  <c r="B1680" i="1"/>
  <c r="D1680" i="1" s="1"/>
  <c r="B1679" i="1"/>
  <c r="B1678" i="1"/>
  <c r="B1677" i="1"/>
  <c r="B1676" i="1"/>
  <c r="B1675" i="1"/>
  <c r="D1675" i="1" s="1"/>
  <c r="B1674" i="1"/>
  <c r="B1673" i="1"/>
  <c r="B1672" i="1"/>
  <c r="B1671" i="1"/>
  <c r="B1670" i="1"/>
  <c r="B1669" i="1"/>
  <c r="B1668" i="1"/>
  <c r="B1667" i="1"/>
  <c r="B1666" i="1"/>
  <c r="B1665" i="1"/>
  <c r="D1665" i="1" s="1"/>
  <c r="B1664" i="1"/>
  <c r="B1663" i="1"/>
  <c r="B1662" i="1"/>
  <c r="B1661" i="1"/>
  <c r="D1661" i="1" s="1"/>
  <c r="B1660" i="1"/>
  <c r="B1659" i="1"/>
  <c r="B1658" i="1"/>
  <c r="B1657" i="1"/>
  <c r="B1656" i="1"/>
  <c r="D1656" i="1" s="1"/>
  <c r="B1655" i="1"/>
  <c r="B1654" i="1"/>
  <c r="B1653" i="1"/>
  <c r="B1652" i="1"/>
  <c r="B1651" i="1"/>
  <c r="B1650" i="1"/>
  <c r="B1649" i="1"/>
  <c r="B1648" i="1"/>
  <c r="B1647" i="1"/>
  <c r="B1646" i="1"/>
  <c r="D1646" i="1" s="1"/>
  <c r="B1645" i="1"/>
  <c r="B1644" i="1"/>
  <c r="B1643" i="1"/>
  <c r="B1642" i="1"/>
  <c r="B1641" i="1"/>
  <c r="D1641" i="1" s="1"/>
  <c r="B1640" i="1"/>
  <c r="B1639" i="1"/>
  <c r="B1638" i="1"/>
  <c r="B1637" i="1"/>
  <c r="B1636" i="1"/>
  <c r="B1635" i="1"/>
  <c r="D1635" i="1" s="1"/>
  <c r="B1634" i="1"/>
  <c r="B1633" i="1"/>
  <c r="B1632" i="1"/>
  <c r="B1631" i="1"/>
  <c r="B1630" i="1"/>
  <c r="B1629" i="1"/>
  <c r="B1628" i="1"/>
  <c r="B1627" i="1"/>
  <c r="B1626" i="1"/>
  <c r="D1626" i="1" s="1"/>
  <c r="B1625" i="1"/>
  <c r="B1624" i="1"/>
  <c r="B1623" i="1"/>
  <c r="B1622" i="1"/>
  <c r="B1621" i="1"/>
  <c r="D1621" i="1" s="1"/>
  <c r="B1620" i="1"/>
  <c r="B1619" i="1"/>
  <c r="B1618" i="1"/>
  <c r="B1617" i="1"/>
  <c r="B1616" i="1"/>
  <c r="D1616" i="1" s="1"/>
  <c r="B1615" i="1"/>
  <c r="B1614" i="1"/>
  <c r="B1613" i="1"/>
  <c r="B1612" i="1"/>
  <c r="B1611" i="1"/>
  <c r="B1610" i="1"/>
  <c r="B1609" i="1"/>
  <c r="B1608" i="1"/>
  <c r="B1607" i="1"/>
  <c r="D1607" i="1" s="1"/>
  <c r="B1606" i="1"/>
  <c r="B1605" i="1"/>
  <c r="B1604" i="1"/>
  <c r="B1603" i="1"/>
  <c r="B1602" i="1"/>
  <c r="B1601" i="1"/>
  <c r="D1601" i="1" s="1"/>
  <c r="B1600" i="1"/>
  <c r="B1599" i="1"/>
  <c r="B1598" i="1"/>
  <c r="B1597" i="1"/>
  <c r="D1597" i="1" s="1"/>
  <c r="B1596" i="1"/>
  <c r="B1595" i="1"/>
  <c r="B1594" i="1"/>
  <c r="B1593" i="1"/>
  <c r="B1592" i="1"/>
  <c r="B1591" i="1"/>
  <c r="B1590" i="1"/>
  <c r="B1589" i="1"/>
  <c r="B1588" i="1"/>
  <c r="B1587" i="1"/>
  <c r="B1586" i="1"/>
  <c r="D1586" i="1" s="1"/>
  <c r="B1585" i="1"/>
  <c r="B1584" i="1"/>
  <c r="B1583" i="1"/>
  <c r="B1582" i="1"/>
  <c r="D1582" i="1" s="1"/>
  <c r="B1581" i="1"/>
  <c r="B1580" i="1"/>
  <c r="B1579" i="1"/>
  <c r="B1578" i="1"/>
  <c r="B1577" i="1"/>
  <c r="D1577" i="1" s="1"/>
  <c r="B1576" i="1"/>
  <c r="B1575" i="1"/>
  <c r="B1574" i="1"/>
  <c r="B1573" i="1"/>
  <c r="B1572" i="1"/>
  <c r="B1571" i="1"/>
  <c r="B1570" i="1"/>
  <c r="B1569" i="1"/>
  <c r="B1568" i="1"/>
  <c r="B1567" i="1"/>
  <c r="D1567" i="1" s="1"/>
  <c r="B1566" i="1"/>
  <c r="B1565" i="1"/>
  <c r="B1564" i="1"/>
  <c r="B1563" i="1"/>
  <c r="B1562" i="1"/>
  <c r="D1562" i="1" s="1"/>
  <c r="B1561" i="1"/>
  <c r="B1560" i="1"/>
  <c r="B1559" i="1"/>
  <c r="B1558" i="1"/>
  <c r="B1557" i="1"/>
  <c r="D1557" i="1" s="1"/>
  <c r="B1556" i="1"/>
  <c r="B1555" i="1"/>
  <c r="B1554" i="1"/>
  <c r="B1553" i="1"/>
  <c r="B1552" i="1"/>
  <c r="B1551" i="1"/>
  <c r="B1550" i="1"/>
  <c r="B1549" i="1"/>
  <c r="B1548" i="1"/>
  <c r="B1547" i="1"/>
  <c r="D1547" i="1" s="1"/>
  <c r="B1546" i="1"/>
  <c r="B1545" i="1"/>
  <c r="B1544" i="1"/>
  <c r="B1543" i="1"/>
  <c r="D1543" i="1" s="1"/>
  <c r="B1542" i="1"/>
  <c r="B1541" i="1"/>
  <c r="B1540" i="1"/>
  <c r="B1539" i="1"/>
  <c r="B1538" i="1"/>
  <c r="B1537" i="1"/>
  <c r="D1537" i="1" s="1"/>
  <c r="B1536" i="1"/>
  <c r="B1535" i="1"/>
  <c r="B1534" i="1"/>
  <c r="B1533" i="1"/>
  <c r="B1532" i="1"/>
  <c r="B1531" i="1"/>
  <c r="B1529" i="1"/>
  <c r="B1528" i="1"/>
  <c r="B1527" i="1"/>
  <c r="D1527" i="1" s="1"/>
  <c r="B1526" i="1"/>
  <c r="B1525" i="1"/>
  <c r="B1524" i="1"/>
  <c r="B1523" i="1"/>
  <c r="B1522" i="1"/>
  <c r="B1521" i="1"/>
  <c r="D1521" i="1" s="1"/>
  <c r="B1520" i="1"/>
  <c r="B1519" i="1"/>
  <c r="B1518" i="1"/>
  <c r="B1517" i="1"/>
  <c r="D1517" i="1" s="1"/>
  <c r="B1516" i="1"/>
  <c r="B1515" i="1"/>
  <c r="B1514" i="1"/>
  <c r="B1513" i="1"/>
  <c r="B1512" i="1"/>
  <c r="B1511" i="1"/>
  <c r="B1510" i="1"/>
  <c r="B1509" i="1"/>
  <c r="B1508" i="1"/>
  <c r="B1507" i="1"/>
  <c r="B1506" i="1"/>
  <c r="D1506" i="1" s="1"/>
  <c r="B1505" i="1"/>
  <c r="B1504" i="1"/>
  <c r="B1503" i="1"/>
  <c r="B1502" i="1"/>
  <c r="D1502" i="1" s="1"/>
  <c r="B1501" i="1"/>
  <c r="B1500" i="1"/>
  <c r="B1499" i="1"/>
  <c r="B1498" i="1"/>
  <c r="B1497" i="1"/>
  <c r="D1497" i="1" s="1"/>
  <c r="B1496" i="1"/>
  <c r="B1495" i="1"/>
  <c r="B1494" i="1"/>
  <c r="B1493" i="1"/>
  <c r="B1492" i="1"/>
  <c r="B1491" i="1"/>
  <c r="B1490" i="1"/>
  <c r="B1489" i="1"/>
  <c r="B1488" i="1"/>
  <c r="B1487" i="1"/>
  <c r="D1487" i="1" s="1"/>
  <c r="B1486" i="1"/>
  <c r="B1485" i="1"/>
  <c r="B1484" i="1"/>
  <c r="B1483" i="1"/>
  <c r="B1482" i="1"/>
  <c r="D1482" i="1" s="1"/>
  <c r="B1481" i="1"/>
  <c r="B1480" i="1"/>
  <c r="B1479" i="1"/>
  <c r="B1478" i="1"/>
  <c r="D1478" i="1" s="1"/>
  <c r="B1477" i="1"/>
  <c r="B1476" i="1"/>
  <c r="B1475" i="1"/>
  <c r="B1474" i="1"/>
  <c r="B1473" i="1"/>
  <c r="B1472" i="1"/>
  <c r="B1471" i="1"/>
  <c r="B1470" i="1"/>
  <c r="B1469" i="1"/>
  <c r="D1469" i="1" s="1"/>
  <c r="B1468" i="1"/>
  <c r="B1467" i="1"/>
  <c r="B1466" i="1"/>
  <c r="B1465" i="1"/>
  <c r="B1464" i="1"/>
  <c r="D1464" i="1" s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D1450" i="1" s="1"/>
  <c r="B1449" i="1"/>
  <c r="B1448" i="1"/>
  <c r="B1447" i="1"/>
  <c r="B1446" i="1"/>
  <c r="B1445" i="1"/>
  <c r="D1445" i="1" s="1"/>
  <c r="B1444" i="1"/>
  <c r="B1443" i="1"/>
  <c r="B1442" i="1"/>
  <c r="B1441" i="1"/>
  <c r="D1441" i="1" s="1"/>
  <c r="B1440" i="1"/>
  <c r="B1439" i="1"/>
  <c r="B1438" i="1"/>
  <c r="B1437" i="1"/>
  <c r="B1436" i="1"/>
  <c r="B1435" i="1"/>
  <c r="B1434" i="1"/>
  <c r="B1433" i="1"/>
  <c r="B1432" i="1"/>
  <c r="B1431" i="1"/>
  <c r="D1431" i="1" s="1"/>
  <c r="B1430" i="1"/>
  <c r="B1429" i="1"/>
  <c r="B1428" i="1"/>
  <c r="B1427" i="1"/>
  <c r="B1426" i="1"/>
  <c r="D1426" i="1" s="1"/>
  <c r="B1425" i="1"/>
  <c r="B1424" i="1"/>
  <c r="B1423" i="1"/>
  <c r="B1422" i="1"/>
  <c r="B1421" i="1"/>
  <c r="D1421" i="1" s="1"/>
  <c r="B1420" i="1"/>
  <c r="B1419" i="1"/>
  <c r="B1418" i="1"/>
  <c r="B1417" i="1"/>
  <c r="B1416" i="1"/>
  <c r="B1415" i="1"/>
  <c r="B1414" i="1"/>
  <c r="B1413" i="1"/>
  <c r="B1412" i="1"/>
  <c r="B1411" i="1"/>
  <c r="D1411" i="1" s="1"/>
  <c r="B1410" i="1"/>
  <c r="B1409" i="1"/>
  <c r="B1408" i="1"/>
  <c r="B1407" i="1"/>
  <c r="D1407" i="1" s="1"/>
  <c r="B1406" i="1"/>
  <c r="B1405" i="1"/>
  <c r="B1404" i="1"/>
  <c r="B1403" i="1"/>
  <c r="B1402" i="1"/>
  <c r="D1402" i="1" s="1"/>
  <c r="B1401" i="1"/>
  <c r="B1400" i="1"/>
  <c r="B1399" i="1"/>
  <c r="B1398" i="1"/>
  <c r="B1397" i="1"/>
  <c r="B1396" i="1"/>
  <c r="B1395" i="1"/>
  <c r="B1394" i="1"/>
  <c r="B1393" i="1"/>
  <c r="B1392" i="1"/>
  <c r="D1392" i="1" s="1"/>
  <c r="B1391" i="1"/>
  <c r="B1390" i="1"/>
  <c r="B1389" i="1"/>
  <c r="B1388" i="1"/>
  <c r="B1387" i="1"/>
  <c r="D1387" i="1" s="1"/>
  <c r="B1386" i="1"/>
  <c r="B1385" i="1"/>
  <c r="B1384" i="1"/>
  <c r="B1383" i="1"/>
  <c r="B1382" i="1"/>
  <c r="B1381" i="1"/>
  <c r="D1381" i="1" s="1"/>
  <c r="B1380" i="1"/>
  <c r="B1379" i="1"/>
  <c r="B1378" i="1"/>
  <c r="B1377" i="1"/>
  <c r="B1376" i="1"/>
  <c r="B1375" i="1"/>
  <c r="B1374" i="1"/>
  <c r="B1373" i="1"/>
  <c r="B1372" i="1"/>
  <c r="D1372" i="1" s="1"/>
  <c r="B1371" i="1"/>
  <c r="B1370" i="1"/>
  <c r="B1369" i="1"/>
  <c r="B1368" i="1"/>
  <c r="B1367" i="1"/>
  <c r="D1367" i="1" s="1"/>
  <c r="B1366" i="1"/>
  <c r="B1365" i="1"/>
  <c r="B1364" i="1"/>
  <c r="B1363" i="1"/>
  <c r="B1362" i="1"/>
  <c r="B1361" i="1"/>
  <c r="D1361" i="1" s="1"/>
  <c r="B1359" i="1"/>
  <c r="B1358" i="1"/>
  <c r="B1357" i="1"/>
  <c r="B1356" i="1"/>
  <c r="B1355" i="1"/>
  <c r="B1354" i="1"/>
  <c r="B1353" i="1"/>
  <c r="B1352" i="1"/>
  <c r="B1351" i="1"/>
  <c r="B1350" i="1"/>
  <c r="D1350" i="1" s="1"/>
  <c r="B1349" i="1"/>
  <c r="B1348" i="1"/>
  <c r="B1347" i="1"/>
  <c r="B1346" i="1"/>
  <c r="B1345" i="1"/>
  <c r="B1344" i="1"/>
  <c r="D1344" i="1" s="1"/>
  <c r="B1343" i="1"/>
  <c r="B1342" i="1"/>
  <c r="B1341" i="1"/>
  <c r="B1340" i="1"/>
  <c r="B1339" i="1"/>
  <c r="D1339" i="1" s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D1327" i="1" s="1"/>
  <c r="B1326" i="1"/>
  <c r="B1325" i="1"/>
  <c r="B1324" i="1"/>
  <c r="B1323" i="1"/>
  <c r="B1322" i="1"/>
  <c r="D1322" i="1" s="1"/>
  <c r="B1321" i="1"/>
  <c r="B1320" i="1"/>
  <c r="B1319" i="1"/>
  <c r="B1318" i="1"/>
  <c r="B1317" i="1"/>
  <c r="B1316" i="1"/>
  <c r="D1316" i="1" s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D1304" i="1" s="1"/>
  <c r="B1303" i="1"/>
  <c r="B1302" i="1"/>
  <c r="B1301" i="1"/>
  <c r="B1300" i="1"/>
  <c r="B1299" i="1"/>
  <c r="B1298" i="1"/>
  <c r="B1297" i="1"/>
  <c r="B1296" i="1"/>
  <c r="D1296" i="1" s="1"/>
  <c r="B1295" i="1"/>
  <c r="B1294" i="1"/>
  <c r="B1293" i="1"/>
  <c r="B1292" i="1"/>
  <c r="B1291" i="1"/>
  <c r="B1290" i="1"/>
  <c r="D1290" i="1" s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D1278" i="1" s="1"/>
  <c r="B1277" i="1"/>
  <c r="B1276" i="1"/>
  <c r="B1275" i="1"/>
  <c r="B1274" i="1"/>
  <c r="B1273" i="1"/>
  <c r="B1272" i="1"/>
  <c r="B1271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D1251" i="1" s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D1225" i="1" s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D1199" i="1" s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3" i="1"/>
  <c r="D1173" i="1" s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D1147" i="1" s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D1121" i="1" s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D1095" i="1" s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D1069" i="1" s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D1045" i="1" s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D1019" i="1" s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D993" i="1" s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D966" i="1" s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D933" i="1" s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D891" i="1" s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D841" i="1" s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D787" i="1" s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D732" i="1" s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D590" i="1" s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D310" i="1" s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3" i="1"/>
  <c r="I1704" i="1"/>
  <c r="I1705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K5" i="7"/>
  <c r="O5" i="7"/>
  <c r="K6" i="7"/>
  <c r="O6" i="7"/>
  <c r="K7" i="7"/>
  <c r="O7" i="7"/>
  <c r="K8" i="7"/>
  <c r="O8" i="7"/>
  <c r="K9" i="7"/>
  <c r="O9" i="7"/>
  <c r="K10" i="7"/>
  <c r="O10" i="7"/>
  <c r="K11" i="7"/>
  <c r="O11" i="7"/>
  <c r="AE5" i="7"/>
  <c r="AE6" i="7"/>
  <c r="AE7" i="7"/>
  <c r="AE8" i="7"/>
  <c r="AE9" i="7"/>
  <c r="AE10" i="7"/>
  <c r="AE11" i="7"/>
  <c r="AA5" i="7"/>
  <c r="AA6" i="7"/>
  <c r="AA7" i="7"/>
  <c r="AA8" i="7"/>
  <c r="AA9" i="7"/>
  <c r="AA10" i="7"/>
  <c r="AA11" i="7"/>
  <c r="W5" i="7"/>
  <c r="W6" i="7"/>
  <c r="W7" i="7"/>
  <c r="W8" i="7"/>
  <c r="W9" i="7"/>
  <c r="W10" i="7"/>
  <c r="W11" i="7"/>
  <c r="S5" i="7"/>
  <c r="S6" i="7"/>
  <c r="S7" i="7"/>
  <c r="S8" i="7"/>
  <c r="S9" i="7"/>
  <c r="S10" i="7"/>
  <c r="S11" i="7"/>
  <c r="G5" i="7"/>
  <c r="G6" i="7"/>
  <c r="G7" i="7"/>
  <c r="G8" i="7"/>
  <c r="G9" i="7"/>
  <c r="G10" i="7"/>
  <c r="G11" i="7"/>
  <c r="C50" i="3" l="1"/>
  <c r="D86" i="3"/>
  <c r="F88" i="3"/>
  <c r="D81" i="3"/>
  <c r="F58" i="3"/>
  <c r="C20" i="3"/>
  <c r="D70" i="3"/>
  <c r="C18" i="3"/>
  <c r="F77" i="3"/>
  <c r="C17" i="3"/>
  <c r="D27" i="3"/>
  <c r="F27" i="3" s="1"/>
  <c r="D66" i="3"/>
  <c r="D26" i="3"/>
  <c r="D65" i="3"/>
  <c r="F65" i="3" s="1"/>
  <c r="F47" i="3"/>
  <c r="F32" i="3"/>
  <c r="D10" i="3"/>
  <c r="D38" i="3"/>
  <c r="F35" i="3"/>
  <c r="F51" i="3"/>
  <c r="E53" i="3"/>
  <c r="E37" i="3"/>
  <c r="E15" i="3"/>
  <c r="F15" i="3" s="1"/>
  <c r="C12" i="3"/>
  <c r="D24" i="3"/>
  <c r="F24" i="3" s="1"/>
  <c r="C24" i="3"/>
  <c r="E22" i="3"/>
  <c r="F22" i="3" s="1"/>
  <c r="C22" i="3"/>
  <c r="D13" i="3"/>
  <c r="E13" i="3"/>
  <c r="D8" i="3"/>
  <c r="E6" i="3"/>
  <c r="C9" i="3"/>
  <c r="F44" i="3"/>
  <c r="F29" i="3"/>
  <c r="F28" i="3"/>
  <c r="F31" i="3"/>
  <c r="D5" i="3"/>
  <c r="D68" i="3"/>
  <c r="E20" i="3"/>
  <c r="F20" i="3" s="1"/>
  <c r="E100" i="3"/>
  <c r="F100" i="3" s="1"/>
  <c r="E84" i="3"/>
  <c r="E52" i="3"/>
  <c r="F52" i="3" s="1"/>
  <c r="E36" i="3"/>
  <c r="F36" i="3" s="1"/>
  <c r="E98" i="3"/>
  <c r="F98" i="3" s="1"/>
  <c r="E82" i="3"/>
  <c r="F82" i="3" s="1"/>
  <c r="E50" i="3"/>
  <c r="F50" i="3" s="1"/>
  <c r="E34" i="3"/>
  <c r="F34" i="3" s="1"/>
  <c r="E97" i="3"/>
  <c r="E49" i="3"/>
  <c r="F49" i="3" s="1"/>
  <c r="E33" i="3"/>
  <c r="E23" i="3"/>
  <c r="F23" i="3" s="1"/>
  <c r="F26" i="3"/>
  <c r="E7" i="3"/>
  <c r="F7" i="3" s="1"/>
  <c r="E17" i="3"/>
  <c r="F17" i="3" s="1"/>
  <c r="F43" i="3"/>
  <c r="F41" i="3"/>
  <c r="E11" i="3"/>
  <c r="F11" i="3" s="1"/>
  <c r="F38" i="3"/>
  <c r="E14" i="3"/>
  <c r="F14" i="3" s="1"/>
  <c r="F25" i="3"/>
  <c r="E12" i="3"/>
  <c r="F12" i="3" s="1"/>
  <c r="N11" i="7"/>
  <c r="E9" i="3" s="1"/>
  <c r="F9" i="3" s="1"/>
  <c r="F89" i="3"/>
  <c r="R11" i="7"/>
  <c r="Z11" i="7"/>
  <c r="E5" i="3" s="1"/>
  <c r="AD11" i="7"/>
  <c r="J11" i="7"/>
  <c r="F57" i="3"/>
  <c r="F70" i="3"/>
  <c r="F56" i="3"/>
  <c r="F86" i="3"/>
  <c r="F81" i="3"/>
  <c r="F79" i="3"/>
  <c r="V5" i="7"/>
  <c r="E18" i="3" s="1"/>
  <c r="F18" i="3" s="1"/>
  <c r="N5" i="7"/>
  <c r="E10" i="3" s="1"/>
  <c r="F10" i="3" s="1"/>
  <c r="Z5" i="7"/>
  <c r="E8" i="3" s="1"/>
  <c r="R5" i="7"/>
  <c r="E16" i="3" s="1"/>
  <c r="F16" i="3" s="1"/>
  <c r="J5" i="7"/>
  <c r="E21" i="3" s="1"/>
  <c r="F21" i="3" s="1"/>
  <c r="F80" i="3"/>
  <c r="F103" i="3"/>
  <c r="F95" i="3"/>
  <c r="F72" i="3"/>
  <c r="F42" i="3"/>
  <c r="F68" i="3"/>
  <c r="F76" i="3"/>
  <c r="F48" i="3"/>
  <c r="F64" i="3"/>
  <c r="F84" i="3"/>
  <c r="F45" i="3"/>
  <c r="F94" i="3"/>
  <c r="F71" i="3"/>
  <c r="F93" i="3"/>
  <c r="F92" i="3"/>
  <c r="F39" i="3"/>
  <c r="F61" i="3"/>
  <c r="F11" i="7"/>
  <c r="F87" i="3"/>
  <c r="F60" i="3"/>
  <c r="F10" i="7"/>
  <c r="F9" i="7"/>
  <c r="F8" i="7"/>
  <c r="F7" i="7"/>
  <c r="F55" i="3"/>
  <c r="F6" i="7"/>
  <c r="F83" i="3"/>
  <c r="F78" i="3"/>
  <c r="F66" i="3"/>
  <c r="F102" i="3"/>
  <c r="F67" i="3"/>
  <c r="F73" i="3"/>
  <c r="F59" i="3"/>
  <c r="F33" i="3"/>
  <c r="F69" i="3"/>
  <c r="F106" i="3"/>
  <c r="F105" i="3"/>
  <c r="F104" i="3"/>
  <c r="F99" i="3"/>
  <c r="F75" i="3"/>
  <c r="F96" i="3"/>
  <c r="F74" i="3"/>
  <c r="F46" i="3"/>
  <c r="F97" i="3"/>
  <c r="F91" i="3"/>
  <c r="F63" i="3"/>
  <c r="F40" i="3"/>
  <c r="F90" i="3"/>
  <c r="C84" i="3"/>
  <c r="C36" i="3"/>
  <c r="C102" i="3"/>
  <c r="D54" i="3"/>
  <c r="F54" i="3" s="1"/>
  <c r="D6" i="3"/>
  <c r="F6" i="3" s="1"/>
  <c r="C101" i="3"/>
  <c r="F101" i="3"/>
  <c r="F85" i="3"/>
  <c r="F53" i="3"/>
  <c r="F37" i="3"/>
  <c r="C53" i="3"/>
  <c r="C91" i="3"/>
  <c r="C75" i="3"/>
  <c r="C59" i="3"/>
  <c r="C43" i="3"/>
  <c r="C27" i="3"/>
  <c r="C106" i="3"/>
  <c r="C90" i="3"/>
  <c r="C74" i="3"/>
  <c r="C58" i="3"/>
  <c r="C42" i="3"/>
  <c r="C26" i="3"/>
  <c r="C103" i="3"/>
  <c r="C87" i="3"/>
  <c r="C71" i="3"/>
  <c r="C55" i="3"/>
  <c r="C39" i="3"/>
  <c r="C19" i="3"/>
  <c r="C15" i="3"/>
  <c r="C1270" i="1"/>
  <c r="C1174" i="1"/>
  <c r="C1707" i="1"/>
  <c r="C197" i="1"/>
  <c r="C1683" i="1"/>
  <c r="C427" i="1"/>
  <c r="D1822" i="1"/>
  <c r="C1701" i="1"/>
  <c r="D1708" i="1"/>
  <c r="C236" i="1"/>
  <c r="C508" i="1"/>
  <c r="C2456" i="1"/>
  <c r="C2303" i="1"/>
  <c r="C2429" i="1"/>
  <c r="C2405" i="1"/>
  <c r="C2397" i="1"/>
  <c r="C2357" i="1"/>
  <c r="C2297" i="1"/>
  <c r="C2285" i="1"/>
  <c r="C2083" i="1"/>
  <c r="C2460" i="1"/>
  <c r="C2444" i="1"/>
  <c r="C2432" i="1"/>
  <c r="C2413" i="1"/>
  <c r="C2365" i="1"/>
  <c r="C2349" i="1"/>
  <c r="C2319" i="1"/>
  <c r="C2431" i="1"/>
  <c r="C2304" i="1"/>
  <c r="C2288" i="1"/>
  <c r="C2400" i="1"/>
  <c r="C2399" i="1"/>
  <c r="C2271" i="1"/>
  <c r="C2259" i="1"/>
  <c r="C2384" i="1"/>
  <c r="C2185" i="1"/>
  <c r="C2463" i="1"/>
  <c r="C2375" i="1"/>
  <c r="C2131" i="1"/>
  <c r="C2462" i="1"/>
  <c r="C2367" i="1"/>
  <c r="C2111" i="1"/>
  <c r="C2063" i="1"/>
  <c r="C2446" i="1"/>
  <c r="C2352" i="1"/>
  <c r="C1964" i="1"/>
  <c r="C2351" i="1"/>
  <c r="C2437" i="1"/>
  <c r="C2436" i="1"/>
  <c r="C2402" i="1"/>
  <c r="C2366" i="1"/>
  <c r="C2318" i="1"/>
  <c r="C2153" i="1"/>
  <c r="C2434" i="1"/>
  <c r="C2310" i="1"/>
  <c r="C2146" i="1"/>
  <c r="C2465" i="1"/>
  <c r="C2358" i="1"/>
  <c r="C2398" i="1"/>
  <c r="C2430" i="1"/>
  <c r="C2302" i="1"/>
  <c r="C2461" i="1"/>
  <c r="C2390" i="1"/>
  <c r="C2414" i="1"/>
  <c r="C2425" i="1"/>
  <c r="C2389" i="1"/>
  <c r="C2350" i="1"/>
  <c r="C2294" i="1"/>
  <c r="C2012" i="1"/>
  <c r="C2334" i="1"/>
  <c r="C2422" i="1"/>
  <c r="C2453" i="1"/>
  <c r="C2421" i="1"/>
  <c r="C2383" i="1"/>
  <c r="C2345" i="1"/>
  <c r="C2286" i="1"/>
  <c r="C2452" i="1"/>
  <c r="C2416" i="1"/>
  <c r="C2382" i="1"/>
  <c r="C2342" i="1"/>
  <c r="C2447" i="1"/>
  <c r="C2415" i="1"/>
  <c r="C2381" i="1"/>
  <c r="C2336" i="1"/>
  <c r="C2278" i="1"/>
  <c r="C2445" i="1"/>
  <c r="C2374" i="1"/>
  <c r="C2326" i="1"/>
  <c r="C2407" i="1"/>
  <c r="C2373" i="1"/>
  <c r="C2322" i="1"/>
  <c r="C2250" i="1"/>
  <c r="C2438" i="1"/>
  <c r="C2406" i="1"/>
  <c r="C2368" i="1"/>
  <c r="C2320" i="1"/>
  <c r="C2211" i="1"/>
  <c r="D17" i="1"/>
  <c r="C17" i="1"/>
  <c r="D33" i="1"/>
  <c r="C33" i="1"/>
  <c r="D49" i="1"/>
  <c r="C49" i="1"/>
  <c r="D65" i="1"/>
  <c r="C65" i="1"/>
  <c r="D81" i="1"/>
  <c r="C81" i="1"/>
  <c r="D97" i="1"/>
  <c r="C97" i="1"/>
  <c r="D112" i="1"/>
  <c r="C112" i="1"/>
  <c r="D129" i="1"/>
  <c r="C129" i="1"/>
  <c r="C145" i="1"/>
  <c r="D145" i="1"/>
  <c r="D175" i="1"/>
  <c r="C175" i="1"/>
  <c r="D190" i="1"/>
  <c r="C190" i="1"/>
  <c r="D209" i="1"/>
  <c r="C209" i="1"/>
  <c r="D243" i="1"/>
  <c r="C243" i="1"/>
  <c r="D259" i="1"/>
  <c r="C259" i="1"/>
  <c r="D275" i="1"/>
  <c r="C275" i="1"/>
  <c r="D291" i="1"/>
  <c r="C291" i="1"/>
  <c r="D307" i="1"/>
  <c r="C307" i="1"/>
  <c r="D323" i="1"/>
  <c r="C323" i="1"/>
  <c r="D339" i="1"/>
  <c r="C339" i="1"/>
  <c r="D355" i="1"/>
  <c r="C355" i="1"/>
  <c r="D371" i="1"/>
  <c r="C371" i="1"/>
  <c r="D387" i="1"/>
  <c r="C387" i="1"/>
  <c r="D403" i="1"/>
  <c r="C403" i="1"/>
  <c r="D419" i="1"/>
  <c r="C419" i="1"/>
  <c r="D436" i="1"/>
  <c r="C436" i="1"/>
  <c r="D451" i="1"/>
  <c r="C451" i="1"/>
  <c r="D467" i="1"/>
  <c r="C467" i="1"/>
  <c r="D483" i="1"/>
  <c r="C483" i="1"/>
  <c r="D497" i="1"/>
  <c r="C497" i="1"/>
  <c r="D514" i="1"/>
  <c r="C514" i="1"/>
  <c r="D529" i="1"/>
  <c r="C529" i="1"/>
  <c r="D544" i="1"/>
  <c r="C544" i="1"/>
  <c r="D559" i="1"/>
  <c r="C559" i="1"/>
  <c r="D575" i="1"/>
  <c r="C575" i="1"/>
  <c r="D618" i="1"/>
  <c r="C618" i="1"/>
  <c r="D634" i="1"/>
  <c r="C634" i="1"/>
  <c r="D650" i="1"/>
  <c r="C650" i="1"/>
  <c r="D666" i="1"/>
  <c r="C666" i="1"/>
  <c r="D682" i="1"/>
  <c r="C682" i="1"/>
  <c r="D698" i="1"/>
  <c r="C698" i="1"/>
  <c r="D714" i="1"/>
  <c r="C714" i="1"/>
  <c r="D730" i="1"/>
  <c r="C730" i="1"/>
  <c r="D746" i="1"/>
  <c r="C746" i="1"/>
  <c r="D762" i="1"/>
  <c r="C762" i="1"/>
  <c r="D778" i="1"/>
  <c r="C778" i="1"/>
  <c r="D794" i="1"/>
  <c r="C794" i="1"/>
  <c r="D810" i="1"/>
  <c r="C810" i="1"/>
  <c r="D826" i="1"/>
  <c r="C826" i="1"/>
  <c r="D842" i="1"/>
  <c r="C842" i="1"/>
  <c r="D858" i="1"/>
  <c r="C858" i="1"/>
  <c r="D874" i="1"/>
  <c r="C874" i="1"/>
  <c r="D890" i="1"/>
  <c r="C890" i="1"/>
  <c r="D906" i="1"/>
  <c r="C906" i="1"/>
  <c r="D922" i="1"/>
  <c r="C922" i="1"/>
  <c r="D938" i="1"/>
  <c r="C938" i="1"/>
  <c r="D954" i="1"/>
  <c r="C954" i="1"/>
  <c r="D970" i="1"/>
  <c r="C970" i="1"/>
  <c r="D986" i="1"/>
  <c r="C986" i="1"/>
  <c r="D1002" i="1"/>
  <c r="C1002" i="1"/>
  <c r="D1018" i="1"/>
  <c r="C1018" i="1"/>
  <c r="D1034" i="1"/>
  <c r="C1034" i="1"/>
  <c r="D1050" i="1"/>
  <c r="C1050" i="1"/>
  <c r="D1066" i="1"/>
  <c r="C1066" i="1"/>
  <c r="D1082" i="1"/>
  <c r="C1082" i="1"/>
  <c r="D1098" i="1"/>
  <c r="C1098" i="1"/>
  <c r="D1114" i="1"/>
  <c r="C1114" i="1"/>
  <c r="D1130" i="1"/>
  <c r="C1130" i="1"/>
  <c r="D1146" i="1"/>
  <c r="C1146" i="1"/>
  <c r="C1162" i="1"/>
  <c r="D1162" i="1"/>
  <c r="D1180" i="1"/>
  <c r="C1180" i="1"/>
  <c r="D1196" i="1"/>
  <c r="C1196" i="1"/>
  <c r="D1212" i="1"/>
  <c r="C1212" i="1"/>
  <c r="D1228" i="1"/>
  <c r="C1228" i="1"/>
  <c r="D1244" i="1"/>
  <c r="C1244" i="1"/>
  <c r="D1260" i="1"/>
  <c r="C1260" i="1"/>
  <c r="D1277" i="1"/>
  <c r="C1277" i="1"/>
  <c r="D1293" i="1"/>
  <c r="C1293" i="1"/>
  <c r="D1309" i="1"/>
  <c r="C1309" i="1"/>
  <c r="D1325" i="1"/>
  <c r="C1325" i="1"/>
  <c r="D1341" i="1"/>
  <c r="C1341" i="1"/>
  <c r="D1357" i="1"/>
  <c r="C1357" i="1"/>
  <c r="D1374" i="1"/>
  <c r="C1374" i="1"/>
  <c r="D1390" i="1"/>
  <c r="C1390" i="1"/>
  <c r="D1406" i="1"/>
  <c r="C1406" i="1"/>
  <c r="D1422" i="1"/>
  <c r="C1422" i="1"/>
  <c r="D1438" i="1"/>
  <c r="C1438" i="1"/>
  <c r="D1453" i="1"/>
  <c r="C1453" i="1"/>
  <c r="D1468" i="1"/>
  <c r="C1468" i="1"/>
  <c r="D1483" i="1"/>
  <c r="C1483" i="1"/>
  <c r="D1499" i="1"/>
  <c r="C1499" i="1"/>
  <c r="D1515" i="1"/>
  <c r="C1515" i="1"/>
  <c r="D1532" i="1"/>
  <c r="C1532" i="1"/>
  <c r="D1548" i="1"/>
  <c r="C1548" i="1"/>
  <c r="D1564" i="1"/>
  <c r="C1564" i="1"/>
  <c r="D1580" i="1"/>
  <c r="C1580" i="1"/>
  <c r="D1596" i="1"/>
  <c r="C1596" i="1"/>
  <c r="D1612" i="1"/>
  <c r="C1612" i="1"/>
  <c r="D1628" i="1"/>
  <c r="C1628" i="1"/>
  <c r="D1644" i="1"/>
  <c r="C1644" i="1"/>
  <c r="D1660" i="1"/>
  <c r="C1660" i="1"/>
  <c r="D1676" i="1"/>
  <c r="C1676" i="1"/>
  <c r="D1693" i="1"/>
  <c r="C1693" i="1"/>
  <c r="D1714" i="1"/>
  <c r="C1714" i="1"/>
  <c r="D1730" i="1"/>
  <c r="C1730" i="1"/>
  <c r="D1745" i="1"/>
  <c r="C1745" i="1"/>
  <c r="D1761" i="1"/>
  <c r="C1761" i="1"/>
  <c r="D1776" i="1"/>
  <c r="C1776" i="1"/>
  <c r="D1787" i="1"/>
  <c r="C1787" i="1"/>
  <c r="D1818" i="1"/>
  <c r="C1818" i="1"/>
  <c r="D1833" i="1"/>
  <c r="C1833" i="1"/>
  <c r="D1849" i="1"/>
  <c r="C1849" i="1"/>
  <c r="D1877" i="1"/>
  <c r="C1877" i="1"/>
  <c r="D1890" i="1"/>
  <c r="C1890" i="1"/>
  <c r="D1901" i="1"/>
  <c r="C1901" i="1"/>
  <c r="D1910" i="1"/>
  <c r="C1910" i="1"/>
  <c r="D1926" i="1"/>
  <c r="C1926" i="1"/>
  <c r="D1942" i="1"/>
  <c r="C1942" i="1"/>
  <c r="D1958" i="1"/>
  <c r="C1958" i="1"/>
  <c r="D1974" i="1"/>
  <c r="C1974" i="1"/>
  <c r="D1990" i="1"/>
  <c r="C1990" i="1"/>
  <c r="D2006" i="1"/>
  <c r="C2006" i="1"/>
  <c r="D2022" i="1"/>
  <c r="C2022" i="1"/>
  <c r="D2038" i="1"/>
  <c r="C2038" i="1"/>
  <c r="D2054" i="1"/>
  <c r="C2054" i="1"/>
  <c r="D2070" i="1"/>
  <c r="C2070" i="1"/>
  <c r="D2086" i="1"/>
  <c r="C2086" i="1"/>
  <c r="D2102" i="1"/>
  <c r="C2102" i="1"/>
  <c r="D2118" i="1"/>
  <c r="C2118" i="1"/>
  <c r="D2134" i="1"/>
  <c r="C2134" i="1"/>
  <c r="D2150" i="1"/>
  <c r="C2150" i="1"/>
  <c r="D2166" i="1"/>
  <c r="C2166" i="1"/>
  <c r="D2182" i="1"/>
  <c r="C2182" i="1"/>
  <c r="D2198" i="1"/>
  <c r="C2198" i="1"/>
  <c r="D2214" i="1"/>
  <c r="C2214" i="1"/>
  <c r="D2230" i="1"/>
  <c r="C2230" i="1"/>
  <c r="D2246" i="1"/>
  <c r="C2246" i="1"/>
  <c r="D2262" i="1"/>
  <c r="C2262" i="1"/>
  <c r="C2464" i="1"/>
  <c r="C2440" i="1"/>
  <c r="C2418" i="1"/>
  <c r="C2277" i="1"/>
  <c r="C2239" i="1"/>
  <c r="C2200" i="1"/>
  <c r="C2161" i="1"/>
  <c r="C2114" i="1"/>
  <c r="C2072" i="1"/>
  <c r="C2024" i="1"/>
  <c r="C1978" i="1"/>
  <c r="C1935" i="1"/>
  <c r="C1802" i="1"/>
  <c r="C1756" i="1"/>
  <c r="C1661" i="1"/>
  <c r="C1557" i="1"/>
  <c r="C1450" i="1"/>
  <c r="C1344" i="1"/>
  <c r="C1069" i="1"/>
  <c r="D18" i="1"/>
  <c r="C18" i="1"/>
  <c r="D34" i="1"/>
  <c r="C34" i="1"/>
  <c r="D50" i="1"/>
  <c r="C50" i="1"/>
  <c r="D66" i="1"/>
  <c r="C66" i="1"/>
  <c r="D82" i="1"/>
  <c r="C82" i="1"/>
  <c r="D98" i="1"/>
  <c r="C98" i="1"/>
  <c r="D113" i="1"/>
  <c r="C113" i="1"/>
  <c r="D130" i="1"/>
  <c r="C130" i="1"/>
  <c r="D146" i="1"/>
  <c r="C146" i="1"/>
  <c r="D161" i="1"/>
  <c r="C161" i="1"/>
  <c r="D176" i="1"/>
  <c r="C176" i="1"/>
  <c r="D191" i="1"/>
  <c r="C191" i="1"/>
  <c r="D210" i="1"/>
  <c r="C210" i="1"/>
  <c r="D227" i="1"/>
  <c r="C227" i="1"/>
  <c r="D244" i="1"/>
  <c r="C244" i="1"/>
  <c r="D260" i="1"/>
  <c r="C260" i="1"/>
  <c r="D276" i="1"/>
  <c r="C276" i="1"/>
  <c r="D292" i="1"/>
  <c r="C292" i="1"/>
  <c r="D308" i="1"/>
  <c r="C308" i="1"/>
  <c r="D325" i="1"/>
  <c r="C325" i="1"/>
  <c r="D340" i="1"/>
  <c r="C340" i="1"/>
  <c r="D356" i="1"/>
  <c r="C356" i="1"/>
  <c r="D372" i="1"/>
  <c r="C372" i="1"/>
  <c r="D388" i="1"/>
  <c r="C388" i="1"/>
  <c r="D404" i="1"/>
  <c r="C404" i="1"/>
  <c r="D420" i="1"/>
  <c r="C420" i="1"/>
  <c r="D437" i="1"/>
  <c r="C437" i="1"/>
  <c r="D452" i="1"/>
  <c r="C452" i="1"/>
  <c r="D468" i="1"/>
  <c r="C468" i="1"/>
  <c r="D484" i="1"/>
  <c r="C484" i="1"/>
  <c r="D498" i="1"/>
  <c r="C498" i="1"/>
  <c r="D515" i="1"/>
  <c r="C515" i="1"/>
  <c r="D545" i="1"/>
  <c r="C545" i="1"/>
  <c r="D560" i="1"/>
  <c r="C560" i="1"/>
  <c r="D576" i="1"/>
  <c r="C576" i="1"/>
  <c r="D591" i="1"/>
  <c r="C591" i="1"/>
  <c r="D605" i="1"/>
  <c r="C605" i="1"/>
  <c r="D619" i="1"/>
  <c r="C619" i="1"/>
  <c r="D635" i="1"/>
  <c r="C635" i="1"/>
  <c r="D651" i="1"/>
  <c r="C651" i="1"/>
  <c r="C667" i="1"/>
  <c r="D667" i="1"/>
  <c r="D683" i="1"/>
  <c r="C683" i="1"/>
  <c r="D699" i="1"/>
  <c r="C699" i="1"/>
  <c r="D715" i="1"/>
  <c r="C715" i="1"/>
  <c r="D731" i="1"/>
  <c r="C731" i="1"/>
  <c r="D747" i="1"/>
  <c r="C747" i="1"/>
  <c r="D763" i="1"/>
  <c r="C763" i="1"/>
  <c r="D779" i="1"/>
  <c r="C779" i="1"/>
  <c r="D795" i="1"/>
  <c r="C795" i="1"/>
  <c r="D811" i="1"/>
  <c r="C811" i="1"/>
  <c r="D827" i="1"/>
  <c r="C827" i="1"/>
  <c r="D843" i="1"/>
  <c r="C843" i="1"/>
  <c r="D859" i="1"/>
  <c r="C859" i="1"/>
  <c r="D875" i="1"/>
  <c r="C875" i="1"/>
  <c r="D907" i="1"/>
  <c r="C907" i="1"/>
  <c r="D923" i="1"/>
  <c r="C923" i="1"/>
  <c r="D939" i="1"/>
  <c r="C939" i="1"/>
  <c r="D955" i="1"/>
  <c r="C955" i="1"/>
  <c r="D971" i="1"/>
  <c r="C971" i="1"/>
  <c r="D987" i="1"/>
  <c r="C987" i="1"/>
  <c r="D1003" i="1"/>
  <c r="C1003" i="1"/>
  <c r="D1035" i="1"/>
  <c r="C1035" i="1"/>
  <c r="D1051" i="1"/>
  <c r="C1051" i="1"/>
  <c r="D1067" i="1"/>
  <c r="C1067" i="1"/>
  <c r="D1083" i="1"/>
  <c r="C1083" i="1"/>
  <c r="D1099" i="1"/>
  <c r="C1099" i="1"/>
  <c r="D1115" i="1"/>
  <c r="C1115" i="1"/>
  <c r="D1131" i="1"/>
  <c r="C1131" i="1"/>
  <c r="D1163" i="1"/>
  <c r="C1163" i="1"/>
  <c r="D1181" i="1"/>
  <c r="C1181" i="1"/>
  <c r="D1197" i="1"/>
  <c r="C1197" i="1"/>
  <c r="D1213" i="1"/>
  <c r="C1213" i="1"/>
  <c r="D1229" i="1"/>
  <c r="C1229" i="1"/>
  <c r="D1245" i="1"/>
  <c r="C1245" i="1"/>
  <c r="D1261" i="1"/>
  <c r="C1261" i="1"/>
  <c r="D1294" i="1"/>
  <c r="C1294" i="1"/>
  <c r="D1310" i="1"/>
  <c r="C1310" i="1"/>
  <c r="D1326" i="1"/>
  <c r="C1326" i="1"/>
  <c r="D1342" i="1"/>
  <c r="C1342" i="1"/>
  <c r="D1358" i="1"/>
  <c r="C1358" i="1"/>
  <c r="D1375" i="1"/>
  <c r="C1375" i="1"/>
  <c r="D1391" i="1"/>
  <c r="C1391" i="1"/>
  <c r="D1423" i="1"/>
  <c r="C1423" i="1"/>
  <c r="D1439" i="1"/>
  <c r="C1439" i="1"/>
  <c r="D1454" i="1"/>
  <c r="C1454" i="1"/>
  <c r="D1484" i="1"/>
  <c r="C1484" i="1"/>
  <c r="D1500" i="1"/>
  <c r="C1500" i="1"/>
  <c r="D1516" i="1"/>
  <c r="C1516" i="1"/>
  <c r="D1533" i="1"/>
  <c r="C1533" i="1"/>
  <c r="D1549" i="1"/>
  <c r="C1549" i="1"/>
  <c r="D1565" i="1"/>
  <c r="C1565" i="1"/>
  <c r="D1581" i="1"/>
  <c r="C1581" i="1"/>
  <c r="D1613" i="1"/>
  <c r="C1613" i="1"/>
  <c r="D1629" i="1"/>
  <c r="C1629" i="1"/>
  <c r="D1645" i="1"/>
  <c r="C1645" i="1"/>
  <c r="D1677" i="1"/>
  <c r="C1677" i="1"/>
  <c r="D1694" i="1"/>
  <c r="C1694" i="1"/>
  <c r="D1715" i="1"/>
  <c r="C1715" i="1"/>
  <c r="D1762" i="1"/>
  <c r="C1762" i="1"/>
  <c r="D1777" i="1"/>
  <c r="C1777" i="1"/>
  <c r="D1803" i="1"/>
  <c r="C1803" i="1"/>
  <c r="D1819" i="1"/>
  <c r="C1819" i="1"/>
  <c r="D1834" i="1"/>
  <c r="C1834" i="1"/>
  <c r="D1878" i="1"/>
  <c r="C1878" i="1"/>
  <c r="D1891" i="1"/>
  <c r="C1891" i="1"/>
  <c r="D1911" i="1"/>
  <c r="C1911" i="1"/>
  <c r="D1927" i="1"/>
  <c r="C1927" i="1"/>
  <c r="D1943" i="1"/>
  <c r="C1943" i="1"/>
  <c r="D1991" i="1"/>
  <c r="C1991" i="1"/>
  <c r="D2007" i="1"/>
  <c r="C2007" i="1"/>
  <c r="D2039" i="1"/>
  <c r="C2039" i="1"/>
  <c r="D2071" i="1"/>
  <c r="C2071" i="1"/>
  <c r="D2119" i="1"/>
  <c r="C2119" i="1"/>
  <c r="D2135" i="1"/>
  <c r="C2135" i="1"/>
  <c r="C2167" i="1"/>
  <c r="D2167" i="1"/>
  <c r="D2199" i="1"/>
  <c r="C2199" i="1"/>
  <c r="D2247" i="1"/>
  <c r="C2247" i="1"/>
  <c r="D2263" i="1"/>
  <c r="C2263" i="1"/>
  <c r="C2439" i="1"/>
  <c r="C2417" i="1"/>
  <c r="C2393" i="1"/>
  <c r="C2370" i="1"/>
  <c r="C2325" i="1"/>
  <c r="C2301" i="1"/>
  <c r="C2273" i="1"/>
  <c r="C2234" i="1"/>
  <c r="C2195" i="1"/>
  <c r="C2155" i="1"/>
  <c r="C2113" i="1"/>
  <c r="C2067" i="1"/>
  <c r="C2023" i="1"/>
  <c r="C1976" i="1"/>
  <c r="C1933" i="1"/>
  <c r="C1850" i="1"/>
  <c r="C1799" i="1"/>
  <c r="C1749" i="1"/>
  <c r="C1656" i="1"/>
  <c r="C1547" i="1"/>
  <c r="C1445" i="1"/>
  <c r="C1339" i="1"/>
  <c r="C1045" i="1"/>
  <c r="D19" i="1"/>
  <c r="C19" i="1"/>
  <c r="D35" i="1"/>
  <c r="C35" i="1"/>
  <c r="D51" i="1"/>
  <c r="C51" i="1"/>
  <c r="D67" i="1"/>
  <c r="C67" i="1"/>
  <c r="D83" i="1"/>
  <c r="C83" i="1"/>
  <c r="D99" i="1"/>
  <c r="C99" i="1"/>
  <c r="D114" i="1"/>
  <c r="C114" i="1"/>
  <c r="D131" i="1"/>
  <c r="C131" i="1"/>
  <c r="D147" i="1"/>
  <c r="C147" i="1"/>
  <c r="D177" i="1"/>
  <c r="C177" i="1"/>
  <c r="D192" i="1"/>
  <c r="C192" i="1"/>
  <c r="D211" i="1"/>
  <c r="C211" i="1"/>
  <c r="D228" i="1"/>
  <c r="C228" i="1"/>
  <c r="D245" i="1"/>
  <c r="C245" i="1"/>
  <c r="D261" i="1"/>
  <c r="C261" i="1"/>
  <c r="D277" i="1"/>
  <c r="C277" i="1"/>
  <c r="D293" i="1"/>
  <c r="C293" i="1"/>
  <c r="D309" i="1"/>
  <c r="C309" i="1"/>
  <c r="D326" i="1"/>
  <c r="C326" i="1"/>
  <c r="D341" i="1"/>
  <c r="C341" i="1"/>
  <c r="D357" i="1"/>
  <c r="C357" i="1"/>
  <c r="D373" i="1"/>
  <c r="C373" i="1"/>
  <c r="D389" i="1"/>
  <c r="C389" i="1"/>
  <c r="D405" i="1"/>
  <c r="C405" i="1"/>
  <c r="D421" i="1"/>
  <c r="C421" i="1"/>
  <c r="D438" i="1"/>
  <c r="C438" i="1"/>
  <c r="D453" i="1"/>
  <c r="C453" i="1"/>
  <c r="D469" i="1"/>
  <c r="C469" i="1"/>
  <c r="D485" i="1"/>
  <c r="C485" i="1"/>
  <c r="D499" i="1"/>
  <c r="C499" i="1"/>
  <c r="D516" i="1"/>
  <c r="C516" i="1"/>
  <c r="D530" i="1"/>
  <c r="C530" i="1"/>
  <c r="D546" i="1"/>
  <c r="C546" i="1"/>
  <c r="D561" i="1"/>
  <c r="C561" i="1"/>
  <c r="D577" i="1"/>
  <c r="C577" i="1"/>
  <c r="D592" i="1"/>
  <c r="C592" i="1"/>
  <c r="D606" i="1"/>
  <c r="C606" i="1"/>
  <c r="D620" i="1"/>
  <c r="C620" i="1"/>
  <c r="D636" i="1"/>
  <c r="C636" i="1"/>
  <c r="D652" i="1"/>
  <c r="C652" i="1"/>
  <c r="D668" i="1"/>
  <c r="C668" i="1"/>
  <c r="D684" i="1"/>
  <c r="C684" i="1"/>
  <c r="D700" i="1"/>
  <c r="C700" i="1"/>
  <c r="D716" i="1"/>
  <c r="C716" i="1"/>
  <c r="D748" i="1"/>
  <c r="C748" i="1"/>
  <c r="D764" i="1"/>
  <c r="C764" i="1"/>
  <c r="D780" i="1"/>
  <c r="C780" i="1"/>
  <c r="D796" i="1"/>
  <c r="C796" i="1"/>
  <c r="D812" i="1"/>
  <c r="C812" i="1"/>
  <c r="D828" i="1"/>
  <c r="C828" i="1"/>
  <c r="D844" i="1"/>
  <c r="C844" i="1"/>
  <c r="D860" i="1"/>
  <c r="C860" i="1"/>
  <c r="D876" i="1"/>
  <c r="C876" i="1"/>
  <c r="D892" i="1"/>
  <c r="C892" i="1"/>
  <c r="D908" i="1"/>
  <c r="C908" i="1"/>
  <c r="D924" i="1"/>
  <c r="C924" i="1"/>
  <c r="D940" i="1"/>
  <c r="C940" i="1"/>
  <c r="D956" i="1"/>
  <c r="C956" i="1"/>
  <c r="D972" i="1"/>
  <c r="C972" i="1"/>
  <c r="D988" i="1"/>
  <c r="C988" i="1"/>
  <c r="D1004" i="1"/>
  <c r="C1004" i="1"/>
  <c r="D1020" i="1"/>
  <c r="C1020" i="1"/>
  <c r="D1036" i="1"/>
  <c r="C1036" i="1"/>
  <c r="D1052" i="1"/>
  <c r="C1052" i="1"/>
  <c r="D1068" i="1"/>
  <c r="C1068" i="1"/>
  <c r="D1084" i="1"/>
  <c r="C1084" i="1"/>
  <c r="D1100" i="1"/>
  <c r="C1100" i="1"/>
  <c r="D1116" i="1"/>
  <c r="C1116" i="1"/>
  <c r="D1132" i="1"/>
  <c r="C1132" i="1"/>
  <c r="D1148" i="1"/>
  <c r="C1148" i="1"/>
  <c r="D1164" i="1"/>
  <c r="C1164" i="1"/>
  <c r="D1182" i="1"/>
  <c r="C1182" i="1"/>
  <c r="D1198" i="1"/>
  <c r="C1198" i="1"/>
  <c r="D1214" i="1"/>
  <c r="C1214" i="1"/>
  <c r="D1230" i="1"/>
  <c r="C1230" i="1"/>
  <c r="D1246" i="1"/>
  <c r="C1246" i="1"/>
  <c r="D1262" i="1"/>
  <c r="C1262" i="1"/>
  <c r="D1279" i="1"/>
  <c r="C1279" i="1"/>
  <c r="D1295" i="1"/>
  <c r="C1295" i="1"/>
  <c r="D1311" i="1"/>
  <c r="C1311" i="1"/>
  <c r="D1343" i="1"/>
  <c r="C1343" i="1"/>
  <c r="D1359" i="1"/>
  <c r="C1359" i="1"/>
  <c r="D1376" i="1"/>
  <c r="C1376" i="1"/>
  <c r="D1408" i="1"/>
  <c r="C1408" i="1"/>
  <c r="D1424" i="1"/>
  <c r="C1424" i="1"/>
  <c r="D1440" i="1"/>
  <c r="C1440" i="1"/>
  <c r="D1455" i="1"/>
  <c r="C1455" i="1"/>
  <c r="D1470" i="1"/>
  <c r="C1470" i="1"/>
  <c r="D1485" i="1"/>
  <c r="C1485" i="1"/>
  <c r="D1501" i="1"/>
  <c r="C1501" i="1"/>
  <c r="D1534" i="1"/>
  <c r="C1534" i="1"/>
  <c r="D1550" i="1"/>
  <c r="C1550" i="1"/>
  <c r="D1566" i="1"/>
  <c r="C1566" i="1"/>
  <c r="D1598" i="1"/>
  <c r="C1598" i="1"/>
  <c r="D1614" i="1"/>
  <c r="C1614" i="1"/>
  <c r="D1630" i="1"/>
  <c r="C1630" i="1"/>
  <c r="D1662" i="1"/>
  <c r="C1662" i="1"/>
  <c r="D1678" i="1"/>
  <c r="C1678" i="1"/>
  <c r="D1695" i="1"/>
  <c r="C1695" i="1"/>
  <c r="D1716" i="1"/>
  <c r="C1716" i="1"/>
  <c r="D1732" i="1"/>
  <c r="C1732" i="1"/>
  <c r="D1747" i="1"/>
  <c r="C1747" i="1"/>
  <c r="D1763" i="1"/>
  <c r="C1763" i="1"/>
  <c r="D1804" i="1"/>
  <c r="C1804" i="1"/>
  <c r="D1820" i="1"/>
  <c r="C1820" i="1"/>
  <c r="D1851" i="1"/>
  <c r="C1851" i="1"/>
  <c r="D1863" i="1"/>
  <c r="C1863" i="1"/>
  <c r="D1879" i="1"/>
  <c r="C1879" i="1"/>
  <c r="D1912" i="1"/>
  <c r="C1912" i="1"/>
  <c r="D1928" i="1"/>
  <c r="C1928" i="1"/>
  <c r="D1960" i="1"/>
  <c r="C1960" i="1"/>
  <c r="D1992" i="1"/>
  <c r="C1992" i="1"/>
  <c r="C2040" i="1"/>
  <c r="D2040" i="1"/>
  <c r="D2056" i="1"/>
  <c r="C2056" i="1"/>
  <c r="D2088" i="1"/>
  <c r="C2088" i="1"/>
  <c r="D2104" i="1"/>
  <c r="C2104" i="1"/>
  <c r="D2120" i="1"/>
  <c r="C2120" i="1"/>
  <c r="D2168" i="1"/>
  <c r="C2168" i="1"/>
  <c r="D2184" i="1"/>
  <c r="C2184" i="1"/>
  <c r="D2216" i="1"/>
  <c r="C2216" i="1"/>
  <c r="D2248" i="1"/>
  <c r="C2248" i="1"/>
  <c r="C2392" i="1"/>
  <c r="C2369" i="1"/>
  <c r="C2232" i="1"/>
  <c r="C2193" i="1"/>
  <c r="C2018" i="1"/>
  <c r="C1975" i="1"/>
  <c r="C1929" i="1"/>
  <c r="C1892" i="1"/>
  <c r="C1846" i="1"/>
  <c r="C1798" i="1"/>
  <c r="C1746" i="1"/>
  <c r="C1646" i="1"/>
  <c r="C1543" i="1"/>
  <c r="C1441" i="1"/>
  <c r="C1327" i="1"/>
  <c r="C1019" i="1"/>
  <c r="D20" i="1"/>
  <c r="C20" i="1"/>
  <c r="D36" i="1"/>
  <c r="C36" i="1"/>
  <c r="D52" i="1"/>
  <c r="C52" i="1"/>
  <c r="D68" i="1"/>
  <c r="C68" i="1"/>
  <c r="D84" i="1"/>
  <c r="C84" i="1"/>
  <c r="D100" i="1"/>
  <c r="C100" i="1"/>
  <c r="D115" i="1"/>
  <c r="C115" i="1"/>
  <c r="D132" i="1"/>
  <c r="C132" i="1"/>
  <c r="D148" i="1"/>
  <c r="C148" i="1"/>
  <c r="D162" i="1"/>
  <c r="C162" i="1"/>
  <c r="D178" i="1"/>
  <c r="C178" i="1"/>
  <c r="D212" i="1"/>
  <c r="C212" i="1"/>
  <c r="D229" i="1"/>
  <c r="C229" i="1"/>
  <c r="C246" i="1"/>
  <c r="D246" i="1"/>
  <c r="D262" i="1"/>
  <c r="C262" i="1"/>
  <c r="D278" i="1"/>
  <c r="C278" i="1"/>
  <c r="D294" i="1"/>
  <c r="C294" i="1"/>
  <c r="D327" i="1"/>
  <c r="C327" i="1"/>
  <c r="D342" i="1"/>
  <c r="C342" i="1"/>
  <c r="D358" i="1"/>
  <c r="C358" i="1"/>
  <c r="D374" i="1"/>
  <c r="C374" i="1"/>
  <c r="D390" i="1"/>
  <c r="C390" i="1"/>
  <c r="D406" i="1"/>
  <c r="C406" i="1"/>
  <c r="D422" i="1"/>
  <c r="C422" i="1"/>
  <c r="D439" i="1"/>
  <c r="C439" i="1"/>
  <c r="D454" i="1"/>
  <c r="C454" i="1"/>
  <c r="D486" i="1"/>
  <c r="C486" i="1"/>
  <c r="D500" i="1"/>
  <c r="C500" i="1"/>
  <c r="D517" i="1"/>
  <c r="C517" i="1"/>
  <c r="D531" i="1"/>
  <c r="C531" i="1"/>
  <c r="D547" i="1"/>
  <c r="C547" i="1"/>
  <c r="D562" i="1"/>
  <c r="C562" i="1"/>
  <c r="D578" i="1"/>
  <c r="C578" i="1"/>
  <c r="D593" i="1"/>
  <c r="C593" i="1"/>
  <c r="C607" i="1"/>
  <c r="D607" i="1"/>
  <c r="D621" i="1"/>
  <c r="C621" i="1"/>
  <c r="D637" i="1"/>
  <c r="C637" i="1"/>
  <c r="D653" i="1"/>
  <c r="C653" i="1"/>
  <c r="D669" i="1"/>
  <c r="C669" i="1"/>
  <c r="D685" i="1"/>
  <c r="C685" i="1"/>
  <c r="D701" i="1"/>
  <c r="C701" i="1"/>
  <c r="D717" i="1"/>
  <c r="C717" i="1"/>
  <c r="D733" i="1"/>
  <c r="C733" i="1"/>
  <c r="D749" i="1"/>
  <c r="C749" i="1"/>
  <c r="D765" i="1"/>
  <c r="C765" i="1"/>
  <c r="D781" i="1"/>
  <c r="C781" i="1"/>
  <c r="D797" i="1"/>
  <c r="C797" i="1"/>
  <c r="D813" i="1"/>
  <c r="C813" i="1"/>
  <c r="D829" i="1"/>
  <c r="C829" i="1"/>
  <c r="D845" i="1"/>
  <c r="C845" i="1"/>
  <c r="D861" i="1"/>
  <c r="C861" i="1"/>
  <c r="D877" i="1"/>
  <c r="C877" i="1"/>
  <c r="C893" i="1"/>
  <c r="D893" i="1"/>
  <c r="D909" i="1"/>
  <c r="C909" i="1"/>
  <c r="D925" i="1"/>
  <c r="C925" i="1"/>
  <c r="D941" i="1"/>
  <c r="C941" i="1"/>
  <c r="D957" i="1"/>
  <c r="C957" i="1"/>
  <c r="D973" i="1"/>
  <c r="C973" i="1"/>
  <c r="D989" i="1"/>
  <c r="C989" i="1"/>
  <c r="D1005" i="1"/>
  <c r="C1005" i="1"/>
  <c r="D1021" i="1"/>
  <c r="C1021" i="1"/>
  <c r="D1037" i="1"/>
  <c r="C1037" i="1"/>
  <c r="D1053" i="1"/>
  <c r="C1053" i="1"/>
  <c r="D1085" i="1"/>
  <c r="C1085" i="1"/>
  <c r="D1101" i="1"/>
  <c r="C1101" i="1"/>
  <c r="D1117" i="1"/>
  <c r="C1117" i="1"/>
  <c r="D1133" i="1"/>
  <c r="C1133" i="1"/>
  <c r="D1149" i="1"/>
  <c r="C1149" i="1"/>
  <c r="D1165" i="1"/>
  <c r="C1165" i="1"/>
  <c r="D1183" i="1"/>
  <c r="C1183" i="1"/>
  <c r="D1215" i="1"/>
  <c r="C1215" i="1"/>
  <c r="D1231" i="1"/>
  <c r="C1231" i="1"/>
  <c r="D1247" i="1"/>
  <c r="C1247" i="1"/>
  <c r="D1263" i="1"/>
  <c r="C1263" i="1"/>
  <c r="D1280" i="1"/>
  <c r="C1280" i="1"/>
  <c r="D1312" i="1"/>
  <c r="C1312" i="1"/>
  <c r="D1328" i="1"/>
  <c r="C1328" i="1"/>
  <c r="D1377" i="1"/>
  <c r="C1377" i="1"/>
  <c r="D1393" i="1"/>
  <c r="C1393" i="1"/>
  <c r="D1409" i="1"/>
  <c r="C1409" i="1"/>
  <c r="D1425" i="1"/>
  <c r="C1425" i="1"/>
  <c r="D1456" i="1"/>
  <c r="C1456" i="1"/>
  <c r="D1486" i="1"/>
  <c r="C1486" i="1"/>
  <c r="D1518" i="1"/>
  <c r="C1518" i="1"/>
  <c r="D1535" i="1"/>
  <c r="C1535" i="1"/>
  <c r="D1551" i="1"/>
  <c r="C1551" i="1"/>
  <c r="D1583" i="1"/>
  <c r="C1583" i="1"/>
  <c r="D1599" i="1"/>
  <c r="C1599" i="1"/>
  <c r="D1615" i="1"/>
  <c r="C1615" i="1"/>
  <c r="D1631" i="1"/>
  <c r="C1631" i="1"/>
  <c r="D1647" i="1"/>
  <c r="C1647" i="1"/>
  <c r="D1663" i="1"/>
  <c r="C1663" i="1"/>
  <c r="D1679" i="1"/>
  <c r="C1679" i="1"/>
  <c r="D1717" i="1"/>
  <c r="C1717" i="1"/>
  <c r="D1733" i="1"/>
  <c r="C1733" i="1"/>
  <c r="D1748" i="1"/>
  <c r="C1748" i="1"/>
  <c r="D1779" i="1"/>
  <c r="C1779" i="1"/>
  <c r="D1790" i="1"/>
  <c r="C1790" i="1"/>
  <c r="D1805" i="1"/>
  <c r="C1805" i="1"/>
  <c r="D1852" i="1"/>
  <c r="C1852" i="1"/>
  <c r="D1864" i="1"/>
  <c r="C1864" i="1"/>
  <c r="D1893" i="1"/>
  <c r="C1893" i="1"/>
  <c r="D1904" i="1"/>
  <c r="C1904" i="1"/>
  <c r="D1913" i="1"/>
  <c r="C1913" i="1"/>
  <c r="D1961" i="1"/>
  <c r="C1961" i="1"/>
  <c r="D1977" i="1"/>
  <c r="C1977" i="1"/>
  <c r="D2009" i="1"/>
  <c r="C2009" i="1"/>
  <c r="D2025" i="1"/>
  <c r="C2025" i="1"/>
  <c r="D2041" i="1"/>
  <c r="C2041" i="1"/>
  <c r="D2089" i="1"/>
  <c r="C2089" i="1"/>
  <c r="D2105" i="1"/>
  <c r="C2105" i="1"/>
  <c r="D2137" i="1"/>
  <c r="C2137" i="1"/>
  <c r="D2169" i="1"/>
  <c r="C2169" i="1"/>
  <c r="D2217" i="1"/>
  <c r="C2217" i="1"/>
  <c r="D2233" i="1"/>
  <c r="C2233" i="1"/>
  <c r="D2265" i="1"/>
  <c r="C2265" i="1"/>
  <c r="C2391" i="1"/>
  <c r="C2344" i="1"/>
  <c r="C2321" i="1"/>
  <c r="C2296" i="1"/>
  <c r="C2269" i="1"/>
  <c r="C2231" i="1"/>
  <c r="C2191" i="1"/>
  <c r="C2152" i="1"/>
  <c r="C2106" i="1"/>
  <c r="C2061" i="1"/>
  <c r="C2015" i="1"/>
  <c r="C1973" i="1"/>
  <c r="C1925" i="1"/>
  <c r="C1888" i="1"/>
  <c r="C1845" i="1"/>
  <c r="C1792" i="1"/>
  <c r="C1744" i="1"/>
  <c r="C1641" i="1"/>
  <c r="C1537" i="1"/>
  <c r="C1431" i="1"/>
  <c r="C1322" i="1"/>
  <c r="C993" i="1"/>
  <c r="D5" i="1"/>
  <c r="C5" i="1"/>
  <c r="D21" i="1"/>
  <c r="C21" i="1"/>
  <c r="D37" i="1"/>
  <c r="C37" i="1"/>
  <c r="D53" i="1"/>
  <c r="C53" i="1"/>
  <c r="D69" i="1"/>
  <c r="C69" i="1"/>
  <c r="D85" i="1"/>
  <c r="C85" i="1"/>
  <c r="D101" i="1"/>
  <c r="C101" i="1"/>
  <c r="D116" i="1"/>
  <c r="C116" i="1"/>
  <c r="D133" i="1"/>
  <c r="C133" i="1"/>
  <c r="D149" i="1"/>
  <c r="C149" i="1"/>
  <c r="D163" i="1"/>
  <c r="C163" i="1"/>
  <c r="D179" i="1"/>
  <c r="C179" i="1"/>
  <c r="D213" i="1"/>
  <c r="C213" i="1"/>
  <c r="D230" i="1"/>
  <c r="C230" i="1"/>
  <c r="D247" i="1"/>
  <c r="C247" i="1"/>
  <c r="D263" i="1"/>
  <c r="C263" i="1"/>
  <c r="D279" i="1"/>
  <c r="C279" i="1"/>
  <c r="D295" i="1"/>
  <c r="C295" i="1"/>
  <c r="D311" i="1"/>
  <c r="C311" i="1"/>
  <c r="D328" i="1"/>
  <c r="C328" i="1"/>
  <c r="D343" i="1"/>
  <c r="C343" i="1"/>
  <c r="D359" i="1"/>
  <c r="C359" i="1"/>
  <c r="D375" i="1"/>
  <c r="C375" i="1"/>
  <c r="D391" i="1"/>
  <c r="C391" i="1"/>
  <c r="D407" i="1"/>
  <c r="C407" i="1"/>
  <c r="D423" i="1"/>
  <c r="C423" i="1"/>
  <c r="D440" i="1"/>
  <c r="C440" i="1"/>
  <c r="D455" i="1"/>
  <c r="C455" i="1"/>
  <c r="D470" i="1"/>
  <c r="C470" i="1"/>
  <c r="D487" i="1"/>
  <c r="C487" i="1"/>
  <c r="D501" i="1"/>
  <c r="C501" i="1"/>
  <c r="D518" i="1"/>
  <c r="C518" i="1"/>
  <c r="D532" i="1"/>
  <c r="C532" i="1"/>
  <c r="D548" i="1"/>
  <c r="C548" i="1"/>
  <c r="D563" i="1"/>
  <c r="C563" i="1"/>
  <c r="C579" i="1"/>
  <c r="D579" i="1"/>
  <c r="D594" i="1"/>
  <c r="C594" i="1"/>
  <c r="D608" i="1"/>
  <c r="C608" i="1"/>
  <c r="D622" i="1"/>
  <c r="C622" i="1"/>
  <c r="D638" i="1"/>
  <c r="C638" i="1"/>
  <c r="D654" i="1"/>
  <c r="C654" i="1"/>
  <c r="D670" i="1"/>
  <c r="C670" i="1"/>
  <c r="D686" i="1"/>
  <c r="C686" i="1"/>
  <c r="D702" i="1"/>
  <c r="C702" i="1"/>
  <c r="D718" i="1"/>
  <c r="C718" i="1"/>
  <c r="D734" i="1"/>
  <c r="C734" i="1"/>
  <c r="D750" i="1"/>
  <c r="C750" i="1"/>
  <c r="C766" i="1"/>
  <c r="D766" i="1"/>
  <c r="D782" i="1"/>
  <c r="C782" i="1"/>
  <c r="D798" i="1"/>
  <c r="C798" i="1"/>
  <c r="D814" i="1"/>
  <c r="C814" i="1"/>
  <c r="D830" i="1"/>
  <c r="C830" i="1"/>
  <c r="D846" i="1"/>
  <c r="C846" i="1"/>
  <c r="D862" i="1"/>
  <c r="C862" i="1"/>
  <c r="D878" i="1"/>
  <c r="C878" i="1"/>
  <c r="D894" i="1"/>
  <c r="C894" i="1"/>
  <c r="D910" i="1"/>
  <c r="C910" i="1"/>
  <c r="D926" i="1"/>
  <c r="C926" i="1"/>
  <c r="D942" i="1"/>
  <c r="C942" i="1"/>
  <c r="D958" i="1"/>
  <c r="C958" i="1"/>
  <c r="D974" i="1"/>
  <c r="C974" i="1"/>
  <c r="D990" i="1"/>
  <c r="C990" i="1"/>
  <c r="D1006" i="1"/>
  <c r="C1006" i="1"/>
  <c r="D1022" i="1"/>
  <c r="C1022" i="1"/>
  <c r="D1038" i="1"/>
  <c r="C1038" i="1"/>
  <c r="D1054" i="1"/>
  <c r="C1054" i="1"/>
  <c r="D1070" i="1"/>
  <c r="C1070" i="1"/>
  <c r="D1086" i="1"/>
  <c r="C1086" i="1"/>
  <c r="D1102" i="1"/>
  <c r="C1102" i="1"/>
  <c r="D1118" i="1"/>
  <c r="C1118" i="1"/>
  <c r="D1134" i="1"/>
  <c r="C1134" i="1"/>
  <c r="D1150" i="1"/>
  <c r="C1150" i="1"/>
  <c r="D1166" i="1"/>
  <c r="C1166" i="1"/>
  <c r="D1184" i="1"/>
  <c r="C1184" i="1"/>
  <c r="D1200" i="1"/>
  <c r="C1200" i="1"/>
  <c r="D1216" i="1"/>
  <c r="C1216" i="1"/>
  <c r="D1232" i="1"/>
  <c r="C1232" i="1"/>
  <c r="D1248" i="1"/>
  <c r="C1248" i="1"/>
  <c r="D1264" i="1"/>
  <c r="C1264" i="1"/>
  <c r="D1281" i="1"/>
  <c r="C1281" i="1"/>
  <c r="D1297" i="1"/>
  <c r="C1297" i="1"/>
  <c r="D1313" i="1"/>
  <c r="C1313" i="1"/>
  <c r="D1329" i="1"/>
  <c r="C1329" i="1"/>
  <c r="D1345" i="1"/>
  <c r="C1345" i="1"/>
  <c r="D1362" i="1"/>
  <c r="C1362" i="1"/>
  <c r="D1378" i="1"/>
  <c r="C1378" i="1"/>
  <c r="D1394" i="1"/>
  <c r="C1394" i="1"/>
  <c r="D1410" i="1"/>
  <c r="C1410" i="1"/>
  <c r="D1442" i="1"/>
  <c r="C1442" i="1"/>
  <c r="D1457" i="1"/>
  <c r="C1457" i="1"/>
  <c r="D1471" i="1"/>
  <c r="C1471" i="1"/>
  <c r="D1503" i="1"/>
  <c r="C1503" i="1"/>
  <c r="D1519" i="1"/>
  <c r="C1519" i="1"/>
  <c r="D1536" i="1"/>
  <c r="C1536" i="1"/>
  <c r="D1552" i="1"/>
  <c r="C1552" i="1"/>
  <c r="D1568" i="1"/>
  <c r="C1568" i="1"/>
  <c r="D1584" i="1"/>
  <c r="C1584" i="1"/>
  <c r="D1600" i="1"/>
  <c r="C1600" i="1"/>
  <c r="D1632" i="1"/>
  <c r="C1632" i="1"/>
  <c r="D1648" i="1"/>
  <c r="C1648" i="1"/>
  <c r="D1664" i="1"/>
  <c r="C1664" i="1"/>
  <c r="D1697" i="1"/>
  <c r="C1697" i="1"/>
  <c r="D1718" i="1"/>
  <c r="C1718" i="1"/>
  <c r="D1734" i="1"/>
  <c r="C1734" i="1"/>
  <c r="D1780" i="1"/>
  <c r="C1780" i="1"/>
  <c r="D1791" i="1"/>
  <c r="C1791" i="1"/>
  <c r="D1837" i="1"/>
  <c r="C1837" i="1"/>
  <c r="D1853" i="1"/>
  <c r="C1853" i="1"/>
  <c r="D1894" i="1"/>
  <c r="C1894" i="1"/>
  <c r="D1930" i="1"/>
  <c r="C1930" i="1"/>
  <c r="D1946" i="1"/>
  <c r="C1946" i="1"/>
  <c r="D1962" i="1"/>
  <c r="C1962" i="1"/>
  <c r="D2010" i="1"/>
  <c r="C2010" i="1"/>
  <c r="D2026" i="1"/>
  <c r="C2026" i="1"/>
  <c r="D2058" i="1"/>
  <c r="C2058" i="1"/>
  <c r="D2090" i="1"/>
  <c r="C2090" i="1"/>
  <c r="D2138" i="1"/>
  <c r="C2138" i="1"/>
  <c r="D2154" i="1"/>
  <c r="C2154" i="1"/>
  <c r="D2186" i="1"/>
  <c r="C2186" i="1"/>
  <c r="D2218" i="1"/>
  <c r="C2218" i="1"/>
  <c r="D2266" i="1"/>
  <c r="C2266" i="1"/>
  <c r="D2282" i="1"/>
  <c r="C2282" i="1"/>
  <c r="D2298" i="1"/>
  <c r="C2298" i="1"/>
  <c r="D2314" i="1"/>
  <c r="C2314" i="1"/>
  <c r="D2330" i="1"/>
  <c r="C2330" i="1"/>
  <c r="D2346" i="1"/>
  <c r="C2346" i="1"/>
  <c r="D2362" i="1"/>
  <c r="C2362" i="1"/>
  <c r="D2378" i="1"/>
  <c r="C2378" i="1"/>
  <c r="D2394" i="1"/>
  <c r="C2394" i="1"/>
  <c r="D2410" i="1"/>
  <c r="C2410" i="1"/>
  <c r="D2426" i="1"/>
  <c r="C2426" i="1"/>
  <c r="D2441" i="1"/>
  <c r="C2441" i="1"/>
  <c r="D2457" i="1"/>
  <c r="C2457" i="1"/>
  <c r="C2343" i="1"/>
  <c r="C2295" i="1"/>
  <c r="C2268" i="1"/>
  <c r="C2229" i="1"/>
  <c r="C2189" i="1"/>
  <c r="C2151" i="1"/>
  <c r="C2103" i="1"/>
  <c r="C2057" i="1"/>
  <c r="C2013" i="1"/>
  <c r="C1969" i="1"/>
  <c r="C1924" i="1"/>
  <c r="C1887" i="1"/>
  <c r="C1839" i="1"/>
  <c r="C1789" i="1"/>
  <c r="C1741" i="1"/>
  <c r="C1635" i="1"/>
  <c r="C1527" i="1"/>
  <c r="C1426" i="1"/>
  <c r="C1316" i="1"/>
  <c r="C966" i="1"/>
  <c r="C6" i="1"/>
  <c r="D6" i="1"/>
  <c r="C22" i="1"/>
  <c r="D22" i="1"/>
  <c r="C38" i="1"/>
  <c r="D38" i="1"/>
  <c r="C54" i="1"/>
  <c r="D54" i="1"/>
  <c r="C70" i="1"/>
  <c r="D70" i="1"/>
  <c r="C86" i="1"/>
  <c r="D86" i="1"/>
  <c r="C102" i="1"/>
  <c r="D102" i="1"/>
  <c r="C117" i="1"/>
  <c r="D117" i="1"/>
  <c r="C134" i="1"/>
  <c r="D134" i="1"/>
  <c r="D150" i="1"/>
  <c r="C150" i="1"/>
  <c r="D164" i="1"/>
  <c r="C164" i="1"/>
  <c r="C180" i="1"/>
  <c r="D180" i="1"/>
  <c r="C214" i="1"/>
  <c r="D214" i="1"/>
  <c r="C231" i="1"/>
  <c r="D231" i="1"/>
  <c r="C248" i="1"/>
  <c r="D248" i="1"/>
  <c r="C264" i="1"/>
  <c r="D264" i="1"/>
  <c r="C280" i="1"/>
  <c r="D280" i="1"/>
  <c r="C296" i="1"/>
  <c r="D296" i="1"/>
  <c r="C312" i="1"/>
  <c r="D312" i="1"/>
  <c r="D329" i="1"/>
  <c r="C329" i="1"/>
  <c r="C344" i="1"/>
  <c r="D344" i="1"/>
  <c r="C360" i="1"/>
  <c r="D360" i="1"/>
  <c r="C376" i="1"/>
  <c r="D376" i="1"/>
  <c r="D392" i="1"/>
  <c r="C392" i="1"/>
  <c r="D408" i="1"/>
  <c r="C408" i="1"/>
  <c r="D424" i="1"/>
  <c r="C424" i="1"/>
  <c r="D441" i="1"/>
  <c r="C441" i="1"/>
  <c r="D456" i="1"/>
  <c r="C456" i="1"/>
  <c r="D471" i="1"/>
  <c r="C471" i="1"/>
  <c r="D488" i="1"/>
  <c r="C488" i="1"/>
  <c r="D502" i="1"/>
  <c r="C502" i="1"/>
  <c r="D519" i="1"/>
  <c r="C519" i="1"/>
  <c r="D533" i="1"/>
  <c r="C533" i="1"/>
  <c r="D549" i="1"/>
  <c r="C549" i="1"/>
  <c r="D564" i="1"/>
  <c r="C564" i="1"/>
  <c r="D580" i="1"/>
  <c r="C580" i="1"/>
  <c r="D595" i="1"/>
  <c r="C595" i="1"/>
  <c r="D609" i="1"/>
  <c r="C609" i="1"/>
  <c r="D623" i="1"/>
  <c r="C623" i="1"/>
  <c r="D639" i="1"/>
  <c r="C639" i="1"/>
  <c r="D655" i="1"/>
  <c r="C655" i="1"/>
  <c r="D671" i="1"/>
  <c r="C671" i="1"/>
  <c r="D687" i="1"/>
  <c r="C687" i="1"/>
  <c r="D703" i="1"/>
  <c r="C703" i="1"/>
  <c r="D719" i="1"/>
  <c r="C719" i="1"/>
  <c r="D735" i="1"/>
  <c r="C735" i="1"/>
  <c r="D751" i="1"/>
  <c r="C751" i="1"/>
  <c r="D767" i="1"/>
  <c r="C767" i="1"/>
  <c r="D783" i="1"/>
  <c r="C783" i="1"/>
  <c r="D799" i="1"/>
  <c r="C799" i="1"/>
  <c r="D815" i="1"/>
  <c r="C815" i="1"/>
  <c r="D831" i="1"/>
  <c r="C831" i="1"/>
  <c r="D847" i="1"/>
  <c r="C847" i="1"/>
  <c r="D863" i="1"/>
  <c r="C863" i="1"/>
  <c r="D879" i="1"/>
  <c r="C879" i="1"/>
  <c r="D895" i="1"/>
  <c r="C895" i="1"/>
  <c r="D911" i="1"/>
  <c r="C911" i="1"/>
  <c r="D927" i="1"/>
  <c r="C927" i="1"/>
  <c r="D943" i="1"/>
  <c r="C943" i="1"/>
  <c r="D959" i="1"/>
  <c r="C959" i="1"/>
  <c r="D975" i="1"/>
  <c r="C975" i="1"/>
  <c r="D991" i="1"/>
  <c r="C991" i="1"/>
  <c r="D1007" i="1"/>
  <c r="C1007" i="1"/>
  <c r="D1023" i="1"/>
  <c r="C1023" i="1"/>
  <c r="D1039" i="1"/>
  <c r="C1039" i="1"/>
  <c r="D1055" i="1"/>
  <c r="C1055" i="1"/>
  <c r="D1071" i="1"/>
  <c r="C1071" i="1"/>
  <c r="D1087" i="1"/>
  <c r="C1087" i="1"/>
  <c r="D1103" i="1"/>
  <c r="C1103" i="1"/>
  <c r="D1119" i="1"/>
  <c r="C1119" i="1"/>
  <c r="D1135" i="1"/>
  <c r="C1135" i="1"/>
  <c r="D1151" i="1"/>
  <c r="C1151" i="1"/>
  <c r="D1167" i="1"/>
  <c r="C1167" i="1"/>
  <c r="D1185" i="1"/>
  <c r="C1185" i="1"/>
  <c r="D1201" i="1"/>
  <c r="C1201" i="1"/>
  <c r="D1217" i="1"/>
  <c r="C1217" i="1"/>
  <c r="D1233" i="1"/>
  <c r="C1233" i="1"/>
  <c r="D1249" i="1"/>
  <c r="C1249" i="1"/>
  <c r="D1265" i="1"/>
  <c r="C1265" i="1"/>
  <c r="D1282" i="1"/>
  <c r="C1282" i="1"/>
  <c r="D1298" i="1"/>
  <c r="C1298" i="1"/>
  <c r="D1314" i="1"/>
  <c r="C1314" i="1"/>
  <c r="D1330" i="1"/>
  <c r="C1330" i="1"/>
  <c r="D1346" i="1"/>
  <c r="C1346" i="1"/>
  <c r="D1363" i="1"/>
  <c r="C1363" i="1"/>
  <c r="D1379" i="1"/>
  <c r="C1379" i="1"/>
  <c r="D1395" i="1"/>
  <c r="C1395" i="1"/>
  <c r="D1427" i="1"/>
  <c r="C1427" i="1"/>
  <c r="D1443" i="1"/>
  <c r="C1443" i="1"/>
  <c r="D1458" i="1"/>
  <c r="C1458" i="1"/>
  <c r="D1472" i="1"/>
  <c r="C1472" i="1"/>
  <c r="D1488" i="1"/>
  <c r="C1488" i="1"/>
  <c r="D1504" i="1"/>
  <c r="C1504" i="1"/>
  <c r="D1520" i="1"/>
  <c r="C1520" i="1"/>
  <c r="D1553" i="1"/>
  <c r="C1553" i="1"/>
  <c r="D1569" i="1"/>
  <c r="C1569" i="1"/>
  <c r="D1585" i="1"/>
  <c r="C1585" i="1"/>
  <c r="D1617" i="1"/>
  <c r="C1617" i="1"/>
  <c r="D1633" i="1"/>
  <c r="C1633" i="1"/>
  <c r="D1649" i="1"/>
  <c r="C1649" i="1"/>
  <c r="D1681" i="1"/>
  <c r="C1681" i="1"/>
  <c r="D1698" i="1"/>
  <c r="C1698" i="1"/>
  <c r="D1719" i="1"/>
  <c r="C1719" i="1"/>
  <c r="D1735" i="1"/>
  <c r="C1735" i="1"/>
  <c r="D1750" i="1"/>
  <c r="C1750" i="1"/>
  <c r="D1766" i="1"/>
  <c r="C1766" i="1"/>
  <c r="D1781" i="1"/>
  <c r="C1781" i="1"/>
  <c r="D1838" i="1"/>
  <c r="C1838" i="1"/>
  <c r="D1866" i="1"/>
  <c r="C1866" i="1"/>
  <c r="D1882" i="1"/>
  <c r="C1882" i="1"/>
  <c r="D1895" i="1"/>
  <c r="C1895" i="1"/>
  <c r="D1931" i="1"/>
  <c r="C1931" i="1"/>
  <c r="D1947" i="1"/>
  <c r="C1947" i="1"/>
  <c r="D1979" i="1"/>
  <c r="C1979" i="1"/>
  <c r="D2011" i="1"/>
  <c r="C2011" i="1"/>
  <c r="D2059" i="1"/>
  <c r="C2059" i="1"/>
  <c r="D2075" i="1"/>
  <c r="C2075" i="1"/>
  <c r="D2107" i="1"/>
  <c r="C2107" i="1"/>
  <c r="D2123" i="1"/>
  <c r="C2123" i="1"/>
  <c r="D2139" i="1"/>
  <c r="C2139" i="1"/>
  <c r="D2187" i="1"/>
  <c r="C2187" i="1"/>
  <c r="D2203" i="1"/>
  <c r="C2203" i="1"/>
  <c r="D2235" i="1"/>
  <c r="C2235" i="1"/>
  <c r="D2267" i="1"/>
  <c r="C2267" i="1"/>
  <c r="D2283" i="1"/>
  <c r="C2283" i="1"/>
  <c r="D2299" i="1"/>
  <c r="C2299" i="1"/>
  <c r="D2315" i="1"/>
  <c r="C2315" i="1"/>
  <c r="D2331" i="1"/>
  <c r="C2331" i="1"/>
  <c r="D2347" i="1"/>
  <c r="C2347" i="1"/>
  <c r="D2363" i="1"/>
  <c r="C2363" i="1"/>
  <c r="D2379" i="1"/>
  <c r="C2379" i="1"/>
  <c r="D2395" i="1"/>
  <c r="C2395" i="1"/>
  <c r="D2411" i="1"/>
  <c r="C2411" i="1"/>
  <c r="D2427" i="1"/>
  <c r="C2427" i="1"/>
  <c r="D2442" i="1"/>
  <c r="C2442" i="1"/>
  <c r="D2458" i="1"/>
  <c r="C2458" i="1"/>
  <c r="C2264" i="1"/>
  <c r="C2225" i="1"/>
  <c r="C2101" i="1"/>
  <c r="C2055" i="1"/>
  <c r="C1919" i="1"/>
  <c r="C1884" i="1"/>
  <c r="C1836" i="1"/>
  <c r="C1788" i="1"/>
  <c r="C1736" i="1"/>
  <c r="C1626" i="1"/>
  <c r="C1521" i="1"/>
  <c r="C1421" i="1"/>
  <c r="C1304" i="1"/>
  <c r="C933" i="1"/>
  <c r="D7" i="1"/>
  <c r="C7" i="1"/>
  <c r="C23" i="1"/>
  <c r="D23" i="1"/>
  <c r="D39" i="1"/>
  <c r="C39" i="1"/>
  <c r="D55" i="1"/>
  <c r="C55" i="1"/>
  <c r="C71" i="1"/>
  <c r="D71" i="1"/>
  <c r="D87" i="1"/>
  <c r="C87" i="1"/>
  <c r="D103" i="1"/>
  <c r="C103" i="1"/>
  <c r="D118" i="1"/>
  <c r="C118" i="1"/>
  <c r="D135" i="1"/>
  <c r="C135" i="1"/>
  <c r="D151" i="1"/>
  <c r="C151" i="1"/>
  <c r="D165" i="1"/>
  <c r="C165" i="1"/>
  <c r="D181" i="1"/>
  <c r="C181" i="1"/>
  <c r="D193" i="1"/>
  <c r="C193" i="1"/>
  <c r="D203" i="1"/>
  <c r="C203" i="1"/>
  <c r="D215" i="1"/>
  <c r="C215" i="1"/>
  <c r="D249" i="1"/>
  <c r="C249" i="1"/>
  <c r="D265" i="1"/>
  <c r="C265" i="1"/>
  <c r="D281" i="1"/>
  <c r="C281" i="1"/>
  <c r="D297" i="1"/>
  <c r="C297" i="1"/>
  <c r="D313" i="1"/>
  <c r="C313" i="1"/>
  <c r="D330" i="1"/>
  <c r="C330" i="1"/>
  <c r="D345" i="1"/>
  <c r="C345" i="1"/>
  <c r="D361" i="1"/>
  <c r="C361" i="1"/>
  <c r="D377" i="1"/>
  <c r="C377" i="1"/>
  <c r="D393" i="1"/>
  <c r="C393" i="1"/>
  <c r="D409" i="1"/>
  <c r="C409" i="1"/>
  <c r="D425" i="1"/>
  <c r="C425" i="1"/>
  <c r="D457" i="1"/>
  <c r="C457" i="1"/>
  <c r="D472" i="1"/>
  <c r="C472" i="1"/>
  <c r="D503" i="1"/>
  <c r="C503" i="1"/>
  <c r="D520" i="1"/>
  <c r="C520" i="1"/>
  <c r="D534" i="1"/>
  <c r="C534" i="1"/>
  <c r="D550" i="1"/>
  <c r="C550" i="1"/>
  <c r="D565" i="1"/>
  <c r="C565" i="1"/>
  <c r="D581" i="1"/>
  <c r="C581" i="1"/>
  <c r="D596" i="1"/>
  <c r="C596" i="1"/>
  <c r="D624" i="1"/>
  <c r="C624" i="1"/>
  <c r="D640" i="1"/>
  <c r="C640" i="1"/>
  <c r="D656" i="1"/>
  <c r="C656" i="1"/>
  <c r="D672" i="1"/>
  <c r="C672" i="1"/>
  <c r="D688" i="1"/>
  <c r="C688" i="1"/>
  <c r="D704" i="1"/>
  <c r="C704" i="1"/>
  <c r="D720" i="1"/>
  <c r="C720" i="1"/>
  <c r="D736" i="1"/>
  <c r="C736" i="1"/>
  <c r="D752" i="1"/>
  <c r="C752" i="1"/>
  <c r="D768" i="1"/>
  <c r="C768" i="1"/>
  <c r="D784" i="1"/>
  <c r="C784" i="1"/>
  <c r="D800" i="1"/>
  <c r="C800" i="1"/>
  <c r="D816" i="1"/>
  <c r="C816" i="1"/>
  <c r="D832" i="1"/>
  <c r="C832" i="1"/>
  <c r="D848" i="1"/>
  <c r="C848" i="1"/>
  <c r="D864" i="1"/>
  <c r="C864" i="1"/>
  <c r="D880" i="1"/>
  <c r="C880" i="1"/>
  <c r="D896" i="1"/>
  <c r="C896" i="1"/>
  <c r="D912" i="1"/>
  <c r="C912" i="1"/>
  <c r="D928" i="1"/>
  <c r="C928" i="1"/>
  <c r="D944" i="1"/>
  <c r="C944" i="1"/>
  <c r="D960" i="1"/>
  <c r="C960" i="1"/>
  <c r="D976" i="1"/>
  <c r="C976" i="1"/>
  <c r="D992" i="1"/>
  <c r="C992" i="1"/>
  <c r="D1008" i="1"/>
  <c r="C1008" i="1"/>
  <c r="D1024" i="1"/>
  <c r="C1024" i="1"/>
  <c r="D1040" i="1"/>
  <c r="C1040" i="1"/>
  <c r="D1056" i="1"/>
  <c r="C1056" i="1"/>
  <c r="D1072" i="1"/>
  <c r="C1072" i="1"/>
  <c r="D1088" i="1"/>
  <c r="C1088" i="1"/>
  <c r="D1104" i="1"/>
  <c r="C1104" i="1"/>
  <c r="D1120" i="1"/>
  <c r="C1120" i="1"/>
  <c r="D1136" i="1"/>
  <c r="C1136" i="1"/>
  <c r="D1152" i="1"/>
  <c r="C1152" i="1"/>
  <c r="D1168" i="1"/>
  <c r="C1168" i="1"/>
  <c r="D1186" i="1"/>
  <c r="C1186" i="1"/>
  <c r="D1202" i="1"/>
  <c r="C1202" i="1"/>
  <c r="D1218" i="1"/>
  <c r="C1218" i="1"/>
  <c r="D1234" i="1"/>
  <c r="C1234" i="1"/>
  <c r="D1250" i="1"/>
  <c r="C1250" i="1"/>
  <c r="D1266" i="1"/>
  <c r="C1266" i="1"/>
  <c r="D1283" i="1"/>
  <c r="C1283" i="1"/>
  <c r="D1299" i="1"/>
  <c r="C1299" i="1"/>
  <c r="D1315" i="1"/>
  <c r="C1315" i="1"/>
  <c r="D1331" i="1"/>
  <c r="C1331" i="1"/>
  <c r="D1347" i="1"/>
  <c r="C1347" i="1"/>
  <c r="D1364" i="1"/>
  <c r="C1364" i="1"/>
  <c r="D1380" i="1"/>
  <c r="C1380" i="1"/>
  <c r="D1396" i="1"/>
  <c r="C1396" i="1"/>
  <c r="D1412" i="1"/>
  <c r="C1412" i="1"/>
  <c r="D1428" i="1"/>
  <c r="C1428" i="1"/>
  <c r="D1444" i="1"/>
  <c r="C1444" i="1"/>
  <c r="D1473" i="1"/>
  <c r="C1473" i="1"/>
  <c r="D1489" i="1"/>
  <c r="C1489" i="1"/>
  <c r="D1505" i="1"/>
  <c r="C1505" i="1"/>
  <c r="D1538" i="1"/>
  <c r="C1538" i="1"/>
  <c r="D1554" i="1"/>
  <c r="C1554" i="1"/>
  <c r="D1570" i="1"/>
  <c r="C1570" i="1"/>
  <c r="D1602" i="1"/>
  <c r="C1602" i="1"/>
  <c r="D1618" i="1"/>
  <c r="C1618" i="1"/>
  <c r="D1634" i="1"/>
  <c r="C1634" i="1"/>
  <c r="D1650" i="1"/>
  <c r="C1650" i="1"/>
  <c r="D1666" i="1"/>
  <c r="C1666" i="1"/>
  <c r="D1682" i="1"/>
  <c r="C1682" i="1"/>
  <c r="D1699" i="1"/>
  <c r="C1699" i="1"/>
  <c r="D1751" i="1"/>
  <c r="C1751" i="1"/>
  <c r="D1767" i="1"/>
  <c r="C1767" i="1"/>
  <c r="D1793" i="1"/>
  <c r="C1793" i="1"/>
  <c r="D1808" i="1"/>
  <c r="C1808" i="1"/>
  <c r="D1823" i="1"/>
  <c r="C1823" i="1"/>
  <c r="D1867" i="1"/>
  <c r="C1867" i="1"/>
  <c r="D1883" i="1"/>
  <c r="C1883" i="1"/>
  <c r="D1932" i="1"/>
  <c r="C1932" i="1"/>
  <c r="D1980" i="1"/>
  <c r="C1980" i="1"/>
  <c r="D1996" i="1"/>
  <c r="C1996" i="1"/>
  <c r="D2028" i="1"/>
  <c r="C2028" i="1"/>
  <c r="D2044" i="1"/>
  <c r="C2044" i="1"/>
  <c r="D2060" i="1"/>
  <c r="C2060" i="1"/>
  <c r="D2108" i="1"/>
  <c r="C2108" i="1"/>
  <c r="D2124" i="1"/>
  <c r="C2124" i="1"/>
  <c r="D2156" i="1"/>
  <c r="C2156" i="1"/>
  <c r="D2188" i="1"/>
  <c r="C2188" i="1"/>
  <c r="D2236" i="1"/>
  <c r="C2236" i="1"/>
  <c r="D2252" i="1"/>
  <c r="C2252" i="1"/>
  <c r="D2284" i="1"/>
  <c r="C2284" i="1"/>
  <c r="D2300" i="1"/>
  <c r="C2300" i="1"/>
  <c r="D2316" i="1"/>
  <c r="C2316" i="1"/>
  <c r="D2332" i="1"/>
  <c r="C2332" i="1"/>
  <c r="D2348" i="1"/>
  <c r="C2348" i="1"/>
  <c r="D2364" i="1"/>
  <c r="C2364" i="1"/>
  <c r="D2380" i="1"/>
  <c r="C2380" i="1"/>
  <c r="D2396" i="1"/>
  <c r="C2396" i="1"/>
  <c r="D2412" i="1"/>
  <c r="C2412" i="1"/>
  <c r="D2428" i="1"/>
  <c r="C2428" i="1"/>
  <c r="D2443" i="1"/>
  <c r="C2443" i="1"/>
  <c r="D2459" i="1"/>
  <c r="C2459" i="1"/>
  <c r="C2455" i="1"/>
  <c r="C2433" i="1"/>
  <c r="C2409" i="1"/>
  <c r="C2386" i="1"/>
  <c r="C2341" i="1"/>
  <c r="C2293" i="1"/>
  <c r="C2261" i="1"/>
  <c r="C2221" i="1"/>
  <c r="C2183" i="1"/>
  <c r="C2141" i="1"/>
  <c r="C2097" i="1"/>
  <c r="C2053" i="1"/>
  <c r="C2008" i="1"/>
  <c r="C1963" i="1"/>
  <c r="C1916" i="1"/>
  <c r="C1881" i="1"/>
  <c r="C1835" i="1"/>
  <c r="C1731" i="1"/>
  <c r="C1621" i="1"/>
  <c r="C1517" i="1"/>
  <c r="C1411" i="1"/>
  <c r="C1296" i="1"/>
  <c r="C891" i="1"/>
  <c r="D8" i="1"/>
  <c r="C8" i="1"/>
  <c r="D24" i="1"/>
  <c r="C24" i="1"/>
  <c r="D40" i="1"/>
  <c r="C40" i="1"/>
  <c r="D56" i="1"/>
  <c r="C56" i="1"/>
  <c r="D72" i="1"/>
  <c r="C72" i="1"/>
  <c r="D88" i="1"/>
  <c r="C88" i="1"/>
  <c r="D104" i="1"/>
  <c r="C104" i="1"/>
  <c r="D119" i="1"/>
  <c r="C119" i="1"/>
  <c r="D136" i="1"/>
  <c r="C136" i="1"/>
  <c r="D152" i="1"/>
  <c r="C152" i="1"/>
  <c r="D166" i="1"/>
  <c r="C166" i="1"/>
  <c r="D182" i="1"/>
  <c r="C182" i="1"/>
  <c r="D194" i="1"/>
  <c r="C194" i="1"/>
  <c r="D204" i="1"/>
  <c r="C204" i="1"/>
  <c r="D216" i="1"/>
  <c r="C216" i="1"/>
  <c r="D232" i="1"/>
  <c r="C232" i="1"/>
  <c r="D250" i="1"/>
  <c r="C250" i="1"/>
  <c r="D266" i="1"/>
  <c r="C266" i="1"/>
  <c r="D282" i="1"/>
  <c r="C282" i="1"/>
  <c r="D298" i="1"/>
  <c r="C298" i="1"/>
  <c r="D314" i="1"/>
  <c r="C314" i="1"/>
  <c r="D331" i="1"/>
  <c r="C331" i="1"/>
  <c r="D346" i="1"/>
  <c r="C346" i="1"/>
  <c r="D362" i="1"/>
  <c r="C362" i="1"/>
  <c r="D378" i="1"/>
  <c r="C378" i="1"/>
  <c r="D394" i="1"/>
  <c r="C394" i="1"/>
  <c r="D410" i="1"/>
  <c r="C410" i="1"/>
  <c r="D426" i="1"/>
  <c r="C426" i="1"/>
  <c r="D442" i="1"/>
  <c r="C442" i="1"/>
  <c r="D458" i="1"/>
  <c r="C458" i="1"/>
  <c r="D473" i="1"/>
  <c r="C473" i="1"/>
  <c r="D504" i="1"/>
  <c r="C504" i="1"/>
  <c r="D521" i="1"/>
  <c r="C521" i="1"/>
  <c r="D535" i="1"/>
  <c r="C535" i="1"/>
  <c r="D551" i="1"/>
  <c r="C551" i="1"/>
  <c r="D566" i="1"/>
  <c r="C566" i="1"/>
  <c r="D582" i="1"/>
  <c r="C582" i="1"/>
  <c r="D597" i="1"/>
  <c r="C597" i="1"/>
  <c r="D625" i="1"/>
  <c r="C625" i="1"/>
  <c r="D641" i="1"/>
  <c r="C641" i="1"/>
  <c r="D657" i="1"/>
  <c r="C657" i="1"/>
  <c r="D673" i="1"/>
  <c r="C673" i="1"/>
  <c r="D689" i="1"/>
  <c r="C689" i="1"/>
  <c r="D705" i="1"/>
  <c r="C705" i="1"/>
  <c r="D721" i="1"/>
  <c r="C721" i="1"/>
  <c r="D737" i="1"/>
  <c r="C737" i="1"/>
  <c r="D753" i="1"/>
  <c r="C753" i="1"/>
  <c r="D769" i="1"/>
  <c r="C769" i="1"/>
  <c r="D785" i="1"/>
  <c r="C785" i="1"/>
  <c r="D801" i="1"/>
  <c r="C801" i="1"/>
  <c r="D817" i="1"/>
  <c r="C817" i="1"/>
  <c r="D833" i="1"/>
  <c r="C833" i="1"/>
  <c r="D849" i="1"/>
  <c r="C849" i="1"/>
  <c r="D865" i="1"/>
  <c r="C865" i="1"/>
  <c r="D881" i="1"/>
  <c r="C881" i="1"/>
  <c r="D897" i="1"/>
  <c r="C897" i="1"/>
  <c r="D913" i="1"/>
  <c r="C913" i="1"/>
  <c r="D929" i="1"/>
  <c r="C929" i="1"/>
  <c r="D945" i="1"/>
  <c r="C945" i="1"/>
  <c r="D961" i="1"/>
  <c r="C961" i="1"/>
  <c r="D977" i="1"/>
  <c r="C977" i="1"/>
  <c r="D1009" i="1"/>
  <c r="C1009" i="1"/>
  <c r="D1025" i="1"/>
  <c r="C1025" i="1"/>
  <c r="D1041" i="1"/>
  <c r="C1041" i="1"/>
  <c r="D1057" i="1"/>
  <c r="C1057" i="1"/>
  <c r="D1073" i="1"/>
  <c r="C1073" i="1"/>
  <c r="D1089" i="1"/>
  <c r="C1089" i="1"/>
  <c r="D1105" i="1"/>
  <c r="C1105" i="1"/>
  <c r="D1137" i="1"/>
  <c r="C1137" i="1"/>
  <c r="D1153" i="1"/>
  <c r="C1153" i="1"/>
  <c r="D1169" i="1"/>
  <c r="C1169" i="1"/>
  <c r="D1187" i="1"/>
  <c r="C1187" i="1"/>
  <c r="D1203" i="1"/>
  <c r="C1203" i="1"/>
  <c r="D1219" i="1"/>
  <c r="C1219" i="1"/>
  <c r="D1235" i="1"/>
  <c r="C1235" i="1"/>
  <c r="D1267" i="1"/>
  <c r="C1267" i="1"/>
  <c r="D1284" i="1"/>
  <c r="C1284" i="1"/>
  <c r="D1300" i="1"/>
  <c r="C1300" i="1"/>
  <c r="D1332" i="1"/>
  <c r="C1332" i="1"/>
  <c r="D1348" i="1"/>
  <c r="C1348" i="1"/>
  <c r="D1365" i="1"/>
  <c r="C1365" i="1"/>
  <c r="D1397" i="1"/>
  <c r="C1397" i="1"/>
  <c r="D1413" i="1"/>
  <c r="C1413" i="1"/>
  <c r="D1429" i="1"/>
  <c r="C1429" i="1"/>
  <c r="D1459" i="1"/>
  <c r="C1459" i="1"/>
  <c r="D1474" i="1"/>
  <c r="C1474" i="1"/>
  <c r="D1490" i="1"/>
  <c r="C1490" i="1"/>
  <c r="D1522" i="1"/>
  <c r="C1522" i="1"/>
  <c r="D1539" i="1"/>
  <c r="C1539" i="1"/>
  <c r="D1555" i="1"/>
  <c r="C1555" i="1"/>
  <c r="D1571" i="1"/>
  <c r="C1571" i="1"/>
  <c r="D1587" i="1"/>
  <c r="C1587" i="1"/>
  <c r="D1603" i="1"/>
  <c r="C1603" i="1"/>
  <c r="D1619" i="1"/>
  <c r="C1619" i="1"/>
  <c r="D1651" i="1"/>
  <c r="C1651" i="1"/>
  <c r="D1667" i="1"/>
  <c r="C1667" i="1"/>
  <c r="D1684" i="1"/>
  <c r="C1684" i="1"/>
  <c r="D1721" i="1"/>
  <c r="C1721" i="1"/>
  <c r="D1737" i="1"/>
  <c r="C1737" i="1"/>
  <c r="D1752" i="1"/>
  <c r="C1752" i="1"/>
  <c r="D1794" i="1"/>
  <c r="C1794" i="1"/>
  <c r="D1809" i="1"/>
  <c r="C1809" i="1"/>
  <c r="D1840" i="1"/>
  <c r="C1840" i="1"/>
  <c r="D1854" i="1"/>
  <c r="C1854" i="1"/>
  <c r="D1868" i="1"/>
  <c r="C1868" i="1"/>
  <c r="D1917" i="1"/>
  <c r="C1917" i="1"/>
  <c r="D1949" i="1"/>
  <c r="C1949" i="1"/>
  <c r="C1965" i="1"/>
  <c r="D1965" i="1"/>
  <c r="D1981" i="1"/>
  <c r="C1981" i="1"/>
  <c r="D2029" i="1"/>
  <c r="C2029" i="1"/>
  <c r="D2045" i="1"/>
  <c r="C2045" i="1"/>
  <c r="D2077" i="1"/>
  <c r="C2077" i="1"/>
  <c r="D2109" i="1"/>
  <c r="C2109" i="1"/>
  <c r="D2157" i="1"/>
  <c r="C2157" i="1"/>
  <c r="D2173" i="1"/>
  <c r="C2173" i="1"/>
  <c r="D2205" i="1"/>
  <c r="C2205" i="1"/>
  <c r="D2237" i="1"/>
  <c r="C2237" i="1"/>
  <c r="C2454" i="1"/>
  <c r="C2408" i="1"/>
  <c r="C2385" i="1"/>
  <c r="C2361" i="1"/>
  <c r="C2338" i="1"/>
  <c r="C2317" i="1"/>
  <c r="C2289" i="1"/>
  <c r="C2260" i="1"/>
  <c r="C2220" i="1"/>
  <c r="C2181" i="1"/>
  <c r="C2140" i="1"/>
  <c r="C2093" i="1"/>
  <c r="C2052" i="1"/>
  <c r="C2004" i="1"/>
  <c r="C1959" i="1"/>
  <c r="C1915" i="1"/>
  <c r="C1880" i="1"/>
  <c r="C1830" i="1"/>
  <c r="C1782" i="1"/>
  <c r="C1726" i="1"/>
  <c r="C1616" i="1"/>
  <c r="C1506" i="1"/>
  <c r="C1407" i="1"/>
  <c r="C1290" i="1"/>
  <c r="C841" i="1"/>
  <c r="D9" i="1"/>
  <c r="C9" i="1"/>
  <c r="D25" i="1"/>
  <c r="C25" i="1"/>
  <c r="D41" i="1"/>
  <c r="C41" i="1"/>
  <c r="D57" i="1"/>
  <c r="C57" i="1"/>
  <c r="D73" i="1"/>
  <c r="C73" i="1"/>
  <c r="D89" i="1"/>
  <c r="C89" i="1"/>
  <c r="D105" i="1"/>
  <c r="C105" i="1"/>
  <c r="D120" i="1"/>
  <c r="C120" i="1"/>
  <c r="D137" i="1"/>
  <c r="C137" i="1"/>
  <c r="D153" i="1"/>
  <c r="C153" i="1"/>
  <c r="D167" i="1"/>
  <c r="C167" i="1"/>
  <c r="D183" i="1"/>
  <c r="C183" i="1"/>
  <c r="D205" i="1"/>
  <c r="C205" i="1"/>
  <c r="D219" i="1"/>
  <c r="C219" i="1"/>
  <c r="D233" i="1"/>
  <c r="C233" i="1"/>
  <c r="D251" i="1"/>
  <c r="C251" i="1"/>
  <c r="D267" i="1"/>
  <c r="C267" i="1"/>
  <c r="D283" i="1"/>
  <c r="C283" i="1"/>
  <c r="D299" i="1"/>
  <c r="C299" i="1"/>
  <c r="D315" i="1"/>
  <c r="C315" i="1"/>
  <c r="D332" i="1"/>
  <c r="C332" i="1"/>
  <c r="C347" i="1"/>
  <c r="D347" i="1"/>
  <c r="D363" i="1"/>
  <c r="C363" i="1"/>
  <c r="D379" i="1"/>
  <c r="C379" i="1"/>
  <c r="C395" i="1"/>
  <c r="D395" i="1"/>
  <c r="D411" i="1"/>
  <c r="C411" i="1"/>
  <c r="D428" i="1"/>
  <c r="C428" i="1"/>
  <c r="D443" i="1"/>
  <c r="C443" i="1"/>
  <c r="D459" i="1"/>
  <c r="C459" i="1"/>
  <c r="D474" i="1"/>
  <c r="C474" i="1"/>
  <c r="D489" i="1"/>
  <c r="C489" i="1"/>
  <c r="D505" i="1"/>
  <c r="C505" i="1"/>
  <c r="D536" i="1"/>
  <c r="C536" i="1"/>
  <c r="D552" i="1"/>
  <c r="C552" i="1"/>
  <c r="D567" i="1"/>
  <c r="C567" i="1"/>
  <c r="D583" i="1"/>
  <c r="C583" i="1"/>
  <c r="D598" i="1"/>
  <c r="C598" i="1"/>
  <c r="D610" i="1"/>
  <c r="C610" i="1"/>
  <c r="D626" i="1"/>
  <c r="C626" i="1"/>
  <c r="D642" i="1"/>
  <c r="C642" i="1"/>
  <c r="D658" i="1"/>
  <c r="C658" i="1"/>
  <c r="D674" i="1"/>
  <c r="C674" i="1"/>
  <c r="D690" i="1"/>
  <c r="C690" i="1"/>
  <c r="D706" i="1"/>
  <c r="C706" i="1"/>
  <c r="D722" i="1"/>
  <c r="C722" i="1"/>
  <c r="D738" i="1"/>
  <c r="C738" i="1"/>
  <c r="D754" i="1"/>
  <c r="C754" i="1"/>
  <c r="D770" i="1"/>
  <c r="C770" i="1"/>
  <c r="D786" i="1"/>
  <c r="C786" i="1"/>
  <c r="D802" i="1"/>
  <c r="C802" i="1"/>
  <c r="D818" i="1"/>
  <c r="C818" i="1"/>
  <c r="D834" i="1"/>
  <c r="C834" i="1"/>
  <c r="D850" i="1"/>
  <c r="C850" i="1"/>
  <c r="D866" i="1"/>
  <c r="C866" i="1"/>
  <c r="D882" i="1"/>
  <c r="C882" i="1"/>
  <c r="D898" i="1"/>
  <c r="C898" i="1"/>
  <c r="D914" i="1"/>
  <c r="C914" i="1"/>
  <c r="D930" i="1"/>
  <c r="C930" i="1"/>
  <c r="D946" i="1"/>
  <c r="C946" i="1"/>
  <c r="D962" i="1"/>
  <c r="C962" i="1"/>
  <c r="D978" i="1"/>
  <c r="C978" i="1"/>
  <c r="D994" i="1"/>
  <c r="C994" i="1"/>
  <c r="D1010" i="1"/>
  <c r="C1010" i="1"/>
  <c r="D1026" i="1"/>
  <c r="C1026" i="1"/>
  <c r="D1042" i="1"/>
  <c r="C1042" i="1"/>
  <c r="D1058" i="1"/>
  <c r="C1058" i="1"/>
  <c r="D1074" i="1"/>
  <c r="C1074" i="1"/>
  <c r="D1090" i="1"/>
  <c r="C1090" i="1"/>
  <c r="D1106" i="1"/>
  <c r="C1106" i="1"/>
  <c r="D1122" i="1"/>
  <c r="C1122" i="1"/>
  <c r="D1138" i="1"/>
  <c r="C1138" i="1"/>
  <c r="D1154" i="1"/>
  <c r="C1154" i="1"/>
  <c r="D1170" i="1"/>
  <c r="C1170" i="1"/>
  <c r="D1188" i="1"/>
  <c r="C1188" i="1"/>
  <c r="D1204" i="1"/>
  <c r="C1204" i="1"/>
  <c r="D1220" i="1"/>
  <c r="C1220" i="1"/>
  <c r="D1236" i="1"/>
  <c r="C1236" i="1"/>
  <c r="D1252" i="1"/>
  <c r="C1252" i="1"/>
  <c r="D1268" i="1"/>
  <c r="C1268" i="1"/>
  <c r="D1285" i="1"/>
  <c r="C1285" i="1"/>
  <c r="D1301" i="1"/>
  <c r="C1301" i="1"/>
  <c r="D1317" i="1"/>
  <c r="C1317" i="1"/>
  <c r="D1333" i="1"/>
  <c r="C1333" i="1"/>
  <c r="D1349" i="1"/>
  <c r="C1349" i="1"/>
  <c r="D1366" i="1"/>
  <c r="C1366" i="1"/>
  <c r="D1382" i="1"/>
  <c r="C1382" i="1"/>
  <c r="D1398" i="1"/>
  <c r="C1398" i="1"/>
  <c r="D1414" i="1"/>
  <c r="C1414" i="1"/>
  <c r="D1430" i="1"/>
  <c r="C1430" i="1"/>
  <c r="D1446" i="1"/>
  <c r="C1446" i="1"/>
  <c r="D1460" i="1"/>
  <c r="C1460" i="1"/>
  <c r="D1475" i="1"/>
  <c r="C1475" i="1"/>
  <c r="D1491" i="1"/>
  <c r="C1491" i="1"/>
  <c r="D1507" i="1"/>
  <c r="C1507" i="1"/>
  <c r="D1523" i="1"/>
  <c r="C1523" i="1"/>
  <c r="D1540" i="1"/>
  <c r="C1540" i="1"/>
  <c r="D1556" i="1"/>
  <c r="C1556" i="1"/>
  <c r="D1572" i="1"/>
  <c r="C1572" i="1"/>
  <c r="D1588" i="1"/>
  <c r="C1588" i="1"/>
  <c r="D1604" i="1"/>
  <c r="C1604" i="1"/>
  <c r="D1620" i="1"/>
  <c r="C1620" i="1"/>
  <c r="D1636" i="1"/>
  <c r="C1636" i="1"/>
  <c r="D1652" i="1"/>
  <c r="C1652" i="1"/>
  <c r="D1668" i="1"/>
  <c r="C1668" i="1"/>
  <c r="D1685" i="1"/>
  <c r="C1685" i="1"/>
  <c r="D1703" i="1"/>
  <c r="C1703" i="1"/>
  <c r="D1722" i="1"/>
  <c r="C1722" i="1"/>
  <c r="D1738" i="1"/>
  <c r="C1738" i="1"/>
  <c r="D1753" i="1"/>
  <c r="C1753" i="1"/>
  <c r="D1783" i="1"/>
  <c r="C1783" i="1"/>
  <c r="D1795" i="1"/>
  <c r="C1795" i="1"/>
  <c r="D1810" i="1"/>
  <c r="C1810" i="1"/>
  <c r="D1825" i="1"/>
  <c r="C1825" i="1"/>
  <c r="D1841" i="1"/>
  <c r="C1841" i="1"/>
  <c r="D1855" i="1"/>
  <c r="C1855" i="1"/>
  <c r="D1869" i="1"/>
  <c r="C1869" i="1"/>
  <c r="D1885" i="1"/>
  <c r="C1885" i="1"/>
  <c r="D1896" i="1"/>
  <c r="C1896" i="1"/>
  <c r="D1918" i="1"/>
  <c r="C1918" i="1"/>
  <c r="D1934" i="1"/>
  <c r="C1934" i="1"/>
  <c r="D1950" i="1"/>
  <c r="C1950" i="1"/>
  <c r="D1966" i="1"/>
  <c r="C1966" i="1"/>
  <c r="D1982" i="1"/>
  <c r="C1982" i="1"/>
  <c r="D1998" i="1"/>
  <c r="C1998" i="1"/>
  <c r="D2014" i="1"/>
  <c r="C2014" i="1"/>
  <c r="D2030" i="1"/>
  <c r="C2030" i="1"/>
  <c r="D2046" i="1"/>
  <c r="C2046" i="1"/>
  <c r="D2062" i="1"/>
  <c r="C2062" i="1"/>
  <c r="D2078" i="1"/>
  <c r="C2078" i="1"/>
  <c r="D2094" i="1"/>
  <c r="C2094" i="1"/>
  <c r="D2110" i="1"/>
  <c r="C2110" i="1"/>
  <c r="D2126" i="1"/>
  <c r="C2126" i="1"/>
  <c r="D2142" i="1"/>
  <c r="C2142" i="1"/>
  <c r="D2158" i="1"/>
  <c r="C2158" i="1"/>
  <c r="D2174" i="1"/>
  <c r="C2174" i="1"/>
  <c r="D2190" i="1"/>
  <c r="C2190" i="1"/>
  <c r="D2206" i="1"/>
  <c r="C2206" i="1"/>
  <c r="D2222" i="1"/>
  <c r="C2222" i="1"/>
  <c r="D2238" i="1"/>
  <c r="C2238" i="1"/>
  <c r="C2360" i="1"/>
  <c r="C2337" i="1"/>
  <c r="C2313" i="1"/>
  <c r="C2219" i="1"/>
  <c r="C2180" i="1"/>
  <c r="C2136" i="1"/>
  <c r="C2092" i="1"/>
  <c r="C2047" i="1"/>
  <c r="C2003" i="1"/>
  <c r="C1956" i="1"/>
  <c r="C1914" i="1"/>
  <c r="C1875" i="1"/>
  <c r="C1826" i="1"/>
  <c r="C1720" i="1"/>
  <c r="C1607" i="1"/>
  <c r="C1502" i="1"/>
  <c r="C1402" i="1"/>
  <c r="C1278" i="1"/>
  <c r="C787" i="1"/>
  <c r="D10" i="1"/>
  <c r="C10" i="1"/>
  <c r="D26" i="1"/>
  <c r="C26" i="1"/>
  <c r="D42" i="1"/>
  <c r="C42" i="1"/>
  <c r="D58" i="1"/>
  <c r="C58" i="1"/>
  <c r="D74" i="1"/>
  <c r="C74" i="1"/>
  <c r="D90" i="1"/>
  <c r="C90" i="1"/>
  <c r="D106" i="1"/>
  <c r="C106" i="1"/>
  <c r="D122" i="1"/>
  <c r="C122" i="1"/>
  <c r="D138" i="1"/>
  <c r="C138" i="1"/>
  <c r="D154" i="1"/>
  <c r="C154" i="1"/>
  <c r="D168" i="1"/>
  <c r="C168" i="1"/>
  <c r="D184" i="1"/>
  <c r="C184" i="1"/>
  <c r="D195" i="1"/>
  <c r="C195" i="1"/>
  <c r="D206" i="1"/>
  <c r="C206" i="1"/>
  <c r="D220" i="1"/>
  <c r="C220" i="1"/>
  <c r="D234" i="1"/>
  <c r="C234" i="1"/>
  <c r="D252" i="1"/>
  <c r="C252" i="1"/>
  <c r="D268" i="1"/>
  <c r="C268" i="1"/>
  <c r="D284" i="1"/>
  <c r="C284" i="1"/>
  <c r="D300" i="1"/>
  <c r="C300" i="1"/>
  <c r="D316" i="1"/>
  <c r="C316" i="1"/>
  <c r="D348" i="1"/>
  <c r="C348" i="1"/>
  <c r="C364" i="1"/>
  <c r="D364" i="1"/>
  <c r="D380" i="1"/>
  <c r="C380" i="1"/>
  <c r="D396" i="1"/>
  <c r="C396" i="1"/>
  <c r="D412" i="1"/>
  <c r="C412" i="1"/>
  <c r="D429" i="1"/>
  <c r="C429" i="1"/>
  <c r="D444" i="1"/>
  <c r="C444" i="1"/>
  <c r="D460" i="1"/>
  <c r="C460" i="1"/>
  <c r="D475" i="1"/>
  <c r="C475" i="1"/>
  <c r="D490" i="1"/>
  <c r="C490" i="1"/>
  <c r="D506" i="1"/>
  <c r="C506" i="1"/>
  <c r="D522" i="1"/>
  <c r="C522" i="1"/>
  <c r="D537" i="1"/>
  <c r="C537" i="1"/>
  <c r="D553" i="1"/>
  <c r="C553" i="1"/>
  <c r="D568" i="1"/>
  <c r="C568" i="1"/>
  <c r="D584" i="1"/>
  <c r="C584" i="1"/>
  <c r="D611" i="1"/>
  <c r="C611" i="1"/>
  <c r="D627" i="1"/>
  <c r="C627" i="1"/>
  <c r="D643" i="1"/>
  <c r="C643" i="1"/>
  <c r="D659" i="1"/>
  <c r="C659" i="1"/>
  <c r="D675" i="1"/>
  <c r="C675" i="1"/>
  <c r="D691" i="1"/>
  <c r="C691" i="1"/>
  <c r="D707" i="1"/>
  <c r="C707" i="1"/>
  <c r="D723" i="1"/>
  <c r="C723" i="1"/>
  <c r="D739" i="1"/>
  <c r="C739" i="1"/>
  <c r="D755" i="1"/>
  <c r="C755" i="1"/>
  <c r="D771" i="1"/>
  <c r="C771" i="1"/>
  <c r="D803" i="1"/>
  <c r="C803" i="1"/>
  <c r="D819" i="1"/>
  <c r="C819" i="1"/>
  <c r="D835" i="1"/>
  <c r="C835" i="1"/>
  <c r="D851" i="1"/>
  <c r="C851" i="1"/>
  <c r="D867" i="1"/>
  <c r="C867" i="1"/>
  <c r="D883" i="1"/>
  <c r="C883" i="1"/>
  <c r="D899" i="1"/>
  <c r="C899" i="1"/>
  <c r="D915" i="1"/>
  <c r="C915" i="1"/>
  <c r="D931" i="1"/>
  <c r="C931" i="1"/>
  <c r="D947" i="1"/>
  <c r="C947" i="1"/>
  <c r="D963" i="1"/>
  <c r="C963" i="1"/>
  <c r="D979" i="1"/>
  <c r="C979" i="1"/>
  <c r="D995" i="1"/>
  <c r="C995" i="1"/>
  <c r="D1011" i="1"/>
  <c r="C1011" i="1"/>
  <c r="D1027" i="1"/>
  <c r="C1027" i="1"/>
  <c r="D1043" i="1"/>
  <c r="C1043" i="1"/>
  <c r="D1059" i="1"/>
  <c r="C1059" i="1"/>
  <c r="D1075" i="1"/>
  <c r="C1075" i="1"/>
  <c r="D1091" i="1"/>
  <c r="C1091" i="1"/>
  <c r="D1107" i="1"/>
  <c r="C1107" i="1"/>
  <c r="D1123" i="1"/>
  <c r="C1123" i="1"/>
  <c r="D1139" i="1"/>
  <c r="C1139" i="1"/>
  <c r="D1155" i="1"/>
  <c r="C1155" i="1"/>
  <c r="D1171" i="1"/>
  <c r="C1171" i="1"/>
  <c r="D1189" i="1"/>
  <c r="C1189" i="1"/>
  <c r="D1205" i="1"/>
  <c r="C1205" i="1"/>
  <c r="D1221" i="1"/>
  <c r="C1221" i="1"/>
  <c r="D1237" i="1"/>
  <c r="C1237" i="1"/>
  <c r="D1253" i="1"/>
  <c r="C1253" i="1"/>
  <c r="D1269" i="1"/>
  <c r="C1269" i="1"/>
  <c r="D1286" i="1"/>
  <c r="C1286" i="1"/>
  <c r="D1302" i="1"/>
  <c r="C1302" i="1"/>
  <c r="D1318" i="1"/>
  <c r="C1318" i="1"/>
  <c r="D1334" i="1"/>
  <c r="C1334" i="1"/>
  <c r="D1383" i="1"/>
  <c r="C1383" i="1"/>
  <c r="D1399" i="1"/>
  <c r="C1399" i="1"/>
  <c r="D1415" i="1"/>
  <c r="C1415" i="1"/>
  <c r="D1447" i="1"/>
  <c r="C1447" i="1"/>
  <c r="D1461" i="1"/>
  <c r="C1461" i="1"/>
  <c r="D1476" i="1"/>
  <c r="C1476" i="1"/>
  <c r="D1492" i="1"/>
  <c r="C1492" i="1"/>
  <c r="D1508" i="1"/>
  <c r="C1508" i="1"/>
  <c r="D1524" i="1"/>
  <c r="C1524" i="1"/>
  <c r="D1541" i="1"/>
  <c r="C1541" i="1"/>
  <c r="D1573" i="1"/>
  <c r="C1573" i="1"/>
  <c r="D1589" i="1"/>
  <c r="C1589" i="1"/>
  <c r="D1605" i="1"/>
  <c r="C1605" i="1"/>
  <c r="D1637" i="1"/>
  <c r="C1637" i="1"/>
  <c r="D1653" i="1"/>
  <c r="C1653" i="1"/>
  <c r="D1669" i="1"/>
  <c r="C1669" i="1"/>
  <c r="D1704" i="1"/>
  <c r="C1704" i="1"/>
  <c r="D1723" i="1"/>
  <c r="C1723" i="1"/>
  <c r="D1739" i="1"/>
  <c r="C1739" i="1"/>
  <c r="D1754" i="1"/>
  <c r="C1754" i="1"/>
  <c r="D1769" i="1"/>
  <c r="C1769" i="1"/>
  <c r="D1784" i="1"/>
  <c r="C1784" i="1"/>
  <c r="D1796" i="1"/>
  <c r="C1796" i="1"/>
  <c r="D1842" i="1"/>
  <c r="C1842" i="1"/>
  <c r="D1856" i="1"/>
  <c r="C1856" i="1"/>
  <c r="D1886" i="1"/>
  <c r="C1886" i="1"/>
  <c r="D1897" i="1"/>
  <c r="C1897" i="1"/>
  <c r="D1951" i="1"/>
  <c r="C1951" i="1"/>
  <c r="D1967" i="1"/>
  <c r="C1967" i="1"/>
  <c r="D1999" i="1"/>
  <c r="C1999" i="1"/>
  <c r="D2031" i="1"/>
  <c r="C2031" i="1"/>
  <c r="D2079" i="1"/>
  <c r="C2079" i="1"/>
  <c r="D2095" i="1"/>
  <c r="C2095" i="1"/>
  <c r="D2127" i="1"/>
  <c r="C2127" i="1"/>
  <c r="D2143" i="1"/>
  <c r="C2143" i="1"/>
  <c r="D2159" i="1"/>
  <c r="C2159" i="1"/>
  <c r="C2207" i="1"/>
  <c r="D2207" i="1"/>
  <c r="D2223" i="1"/>
  <c r="C2223" i="1"/>
  <c r="D2255" i="1"/>
  <c r="C2255" i="1"/>
  <c r="C2359" i="1"/>
  <c r="C2312" i="1"/>
  <c r="C2287" i="1"/>
  <c r="C2253" i="1"/>
  <c r="C2215" i="1"/>
  <c r="C2175" i="1"/>
  <c r="C2133" i="1"/>
  <c r="C2091" i="1"/>
  <c r="C2043" i="1"/>
  <c r="C1997" i="1"/>
  <c r="C1955" i="1"/>
  <c r="C1909" i="1"/>
  <c r="C1872" i="1"/>
  <c r="C1824" i="1"/>
  <c r="C1778" i="1"/>
  <c r="C1711" i="1"/>
  <c r="C1601" i="1"/>
  <c r="C1497" i="1"/>
  <c r="C1392" i="1"/>
  <c r="C1251" i="1"/>
  <c r="C732" i="1"/>
  <c r="D11" i="1"/>
  <c r="C11" i="1"/>
  <c r="D27" i="1"/>
  <c r="C27" i="1"/>
  <c r="D43" i="1"/>
  <c r="C43" i="1"/>
  <c r="D59" i="1"/>
  <c r="C59" i="1"/>
  <c r="D75" i="1"/>
  <c r="C75" i="1"/>
  <c r="C91" i="1"/>
  <c r="D91" i="1"/>
  <c r="D123" i="1"/>
  <c r="C123" i="1"/>
  <c r="C139" i="1"/>
  <c r="D139" i="1"/>
  <c r="D155" i="1"/>
  <c r="C155" i="1"/>
  <c r="D169" i="1"/>
  <c r="C169" i="1"/>
  <c r="D185" i="1"/>
  <c r="C185" i="1"/>
  <c r="D196" i="1"/>
  <c r="C196" i="1"/>
  <c r="D221" i="1"/>
  <c r="C221" i="1"/>
  <c r="D237" i="1"/>
  <c r="C237" i="1"/>
  <c r="D253" i="1"/>
  <c r="C253" i="1"/>
  <c r="D269" i="1"/>
  <c r="C269" i="1"/>
  <c r="D285" i="1"/>
  <c r="C285" i="1"/>
  <c r="D301" i="1"/>
  <c r="C301" i="1"/>
  <c r="D317" i="1"/>
  <c r="C317" i="1"/>
  <c r="D333" i="1"/>
  <c r="C333" i="1"/>
  <c r="D349" i="1"/>
  <c r="C349" i="1"/>
  <c r="D365" i="1"/>
  <c r="C365" i="1"/>
  <c r="D381" i="1"/>
  <c r="C381" i="1"/>
  <c r="D397" i="1"/>
  <c r="C397" i="1"/>
  <c r="D413" i="1"/>
  <c r="C413" i="1"/>
  <c r="D430" i="1"/>
  <c r="C430" i="1"/>
  <c r="D445" i="1"/>
  <c r="C445" i="1"/>
  <c r="D461" i="1"/>
  <c r="C461" i="1"/>
  <c r="D477" i="1"/>
  <c r="C477" i="1"/>
  <c r="D491" i="1"/>
  <c r="C491" i="1"/>
  <c r="D507" i="1"/>
  <c r="C507" i="1"/>
  <c r="D523" i="1"/>
  <c r="C523" i="1"/>
  <c r="D538" i="1"/>
  <c r="C538" i="1"/>
  <c r="D554" i="1"/>
  <c r="C554" i="1"/>
  <c r="D569" i="1"/>
  <c r="C569" i="1"/>
  <c r="D585" i="1"/>
  <c r="C585" i="1"/>
  <c r="D599" i="1"/>
  <c r="C599" i="1"/>
  <c r="D612" i="1"/>
  <c r="C612" i="1"/>
  <c r="D628" i="1"/>
  <c r="C628" i="1"/>
  <c r="D644" i="1"/>
  <c r="C644" i="1"/>
  <c r="D660" i="1"/>
  <c r="C660" i="1"/>
  <c r="D676" i="1"/>
  <c r="C676" i="1"/>
  <c r="D692" i="1"/>
  <c r="C692" i="1"/>
  <c r="C708" i="1"/>
  <c r="D708" i="1"/>
  <c r="D724" i="1"/>
  <c r="C724" i="1"/>
  <c r="D740" i="1"/>
  <c r="C740" i="1"/>
  <c r="D756" i="1"/>
  <c r="C756" i="1"/>
  <c r="D772" i="1"/>
  <c r="C772" i="1"/>
  <c r="D788" i="1"/>
  <c r="C788" i="1"/>
  <c r="D804" i="1"/>
  <c r="C804" i="1"/>
  <c r="D820" i="1"/>
  <c r="C820" i="1"/>
  <c r="D836" i="1"/>
  <c r="C836" i="1"/>
  <c r="D852" i="1"/>
  <c r="C852" i="1"/>
  <c r="D868" i="1"/>
  <c r="C868" i="1"/>
  <c r="D884" i="1"/>
  <c r="C884" i="1"/>
  <c r="D900" i="1"/>
  <c r="C900" i="1"/>
  <c r="D916" i="1"/>
  <c r="C916" i="1"/>
  <c r="D932" i="1"/>
  <c r="C932" i="1"/>
  <c r="D948" i="1"/>
  <c r="C948" i="1"/>
  <c r="D964" i="1"/>
  <c r="C964" i="1"/>
  <c r="C980" i="1"/>
  <c r="D980" i="1"/>
  <c r="D996" i="1"/>
  <c r="C996" i="1"/>
  <c r="D1012" i="1"/>
  <c r="C1012" i="1"/>
  <c r="D1028" i="1"/>
  <c r="C1028" i="1"/>
  <c r="D1044" i="1"/>
  <c r="C1044" i="1"/>
  <c r="D1060" i="1"/>
  <c r="C1060" i="1"/>
  <c r="D1076" i="1"/>
  <c r="C1076" i="1"/>
  <c r="D1092" i="1"/>
  <c r="C1092" i="1"/>
  <c r="D1108" i="1"/>
  <c r="C1108" i="1"/>
  <c r="C1124" i="1"/>
  <c r="D1124" i="1"/>
  <c r="D1140" i="1"/>
  <c r="C1140" i="1"/>
  <c r="D1156" i="1"/>
  <c r="C1156" i="1"/>
  <c r="D1172" i="1"/>
  <c r="C1172" i="1"/>
  <c r="D1190" i="1"/>
  <c r="C1190" i="1"/>
  <c r="D1206" i="1"/>
  <c r="C1206" i="1"/>
  <c r="D1222" i="1"/>
  <c r="C1222" i="1"/>
  <c r="D1238" i="1"/>
  <c r="C1238" i="1"/>
  <c r="C1254" i="1"/>
  <c r="D1254" i="1"/>
  <c r="D1271" i="1"/>
  <c r="C1271" i="1"/>
  <c r="D1287" i="1"/>
  <c r="C1287" i="1"/>
  <c r="D1303" i="1"/>
  <c r="C1303" i="1"/>
  <c r="D1319" i="1"/>
  <c r="C1319" i="1"/>
  <c r="D1335" i="1"/>
  <c r="C1335" i="1"/>
  <c r="D1351" i="1"/>
  <c r="C1351" i="1"/>
  <c r="D1368" i="1"/>
  <c r="C1368" i="1"/>
  <c r="D1384" i="1"/>
  <c r="C1384" i="1"/>
  <c r="D1400" i="1"/>
  <c r="C1400" i="1"/>
  <c r="D1416" i="1"/>
  <c r="C1416" i="1"/>
  <c r="D1432" i="1"/>
  <c r="C1432" i="1"/>
  <c r="D1462" i="1"/>
  <c r="C1462" i="1"/>
  <c r="D1477" i="1"/>
  <c r="C1477" i="1"/>
  <c r="D1493" i="1"/>
  <c r="C1493" i="1"/>
  <c r="D1509" i="1"/>
  <c r="C1509" i="1"/>
  <c r="D1525" i="1"/>
  <c r="C1525" i="1"/>
  <c r="D1542" i="1"/>
  <c r="C1542" i="1"/>
  <c r="D1558" i="1"/>
  <c r="C1558" i="1"/>
  <c r="D1574" i="1"/>
  <c r="C1574" i="1"/>
  <c r="D1590" i="1"/>
  <c r="C1590" i="1"/>
  <c r="D1606" i="1"/>
  <c r="C1606" i="1"/>
  <c r="D1622" i="1"/>
  <c r="C1622" i="1"/>
  <c r="D1638" i="1"/>
  <c r="C1638" i="1"/>
  <c r="D1654" i="1"/>
  <c r="C1654" i="1"/>
  <c r="D1670" i="1"/>
  <c r="C1670" i="1"/>
  <c r="D1687" i="1"/>
  <c r="C1687" i="1"/>
  <c r="D1705" i="1"/>
  <c r="C1705" i="1"/>
  <c r="D1724" i="1"/>
  <c r="C1724" i="1"/>
  <c r="C1740" i="1"/>
  <c r="D1740" i="1"/>
  <c r="D1755" i="1"/>
  <c r="C1755" i="1"/>
  <c r="D1770" i="1"/>
  <c r="C1770" i="1"/>
  <c r="D1797" i="1"/>
  <c r="C1797" i="1"/>
  <c r="D1812" i="1"/>
  <c r="C1812" i="1"/>
  <c r="D1827" i="1"/>
  <c r="C1827" i="1"/>
  <c r="D1843" i="1"/>
  <c r="C1843" i="1"/>
  <c r="D1857" i="1"/>
  <c r="C1857" i="1"/>
  <c r="D1871" i="1"/>
  <c r="C1871" i="1"/>
  <c r="C1898" i="1"/>
  <c r="D1898" i="1"/>
  <c r="C1905" i="1"/>
  <c r="D1905" i="1"/>
  <c r="C1920" i="1"/>
  <c r="D1920" i="1"/>
  <c r="D1936" i="1"/>
  <c r="C1936" i="1"/>
  <c r="D1952" i="1"/>
  <c r="C1952" i="1"/>
  <c r="D1968" i="1"/>
  <c r="C1968" i="1"/>
  <c r="D1984" i="1"/>
  <c r="C1984" i="1"/>
  <c r="C2000" i="1"/>
  <c r="D2000" i="1"/>
  <c r="D2016" i="1"/>
  <c r="C2016" i="1"/>
  <c r="D2032" i="1"/>
  <c r="C2032" i="1"/>
  <c r="D2048" i="1"/>
  <c r="C2048" i="1"/>
  <c r="C2064" i="1"/>
  <c r="D2064" i="1"/>
  <c r="D2080" i="1"/>
  <c r="C2080" i="1"/>
  <c r="C2096" i="1"/>
  <c r="D2096" i="1"/>
  <c r="D2112" i="1"/>
  <c r="C2112" i="1"/>
  <c r="D2128" i="1"/>
  <c r="C2128" i="1"/>
  <c r="C2144" i="1"/>
  <c r="D2144" i="1"/>
  <c r="C2160" i="1"/>
  <c r="D2160" i="1"/>
  <c r="C2176" i="1"/>
  <c r="D2176" i="1"/>
  <c r="D2192" i="1"/>
  <c r="C2192" i="1"/>
  <c r="D2208" i="1"/>
  <c r="C2208" i="1"/>
  <c r="D2224" i="1"/>
  <c r="C2224" i="1"/>
  <c r="C2240" i="1"/>
  <c r="D2240" i="1"/>
  <c r="D2256" i="1"/>
  <c r="C2256" i="1"/>
  <c r="D2272" i="1"/>
  <c r="C2272" i="1"/>
  <c r="C2449" i="1"/>
  <c r="C2335" i="1"/>
  <c r="C2311" i="1"/>
  <c r="C2251" i="1"/>
  <c r="C2212" i="1"/>
  <c r="C2172" i="1"/>
  <c r="C2132" i="1"/>
  <c r="C2087" i="1"/>
  <c r="C2042" i="1"/>
  <c r="C1995" i="1"/>
  <c r="C1954" i="1"/>
  <c r="C1906" i="1"/>
  <c r="C1870" i="1"/>
  <c r="C1821" i="1"/>
  <c r="C1774" i="1"/>
  <c r="C1700" i="1"/>
  <c r="C1597" i="1"/>
  <c r="C1487" i="1"/>
  <c r="C1387" i="1"/>
  <c r="C1225" i="1"/>
  <c r="C590" i="1"/>
  <c r="D12" i="1"/>
  <c r="C12" i="1"/>
  <c r="D28" i="1"/>
  <c r="C28" i="1"/>
  <c r="D44" i="1"/>
  <c r="C44" i="1"/>
  <c r="D60" i="1"/>
  <c r="C60" i="1"/>
  <c r="D76" i="1"/>
  <c r="C76" i="1"/>
  <c r="D92" i="1"/>
  <c r="C92" i="1"/>
  <c r="D107" i="1"/>
  <c r="C107" i="1"/>
  <c r="D124" i="1"/>
  <c r="C124" i="1"/>
  <c r="D140" i="1"/>
  <c r="C140" i="1"/>
  <c r="C156" i="1"/>
  <c r="D156" i="1"/>
  <c r="D170" i="1"/>
  <c r="C170" i="1"/>
  <c r="D198" i="1"/>
  <c r="C198" i="1"/>
  <c r="D222" i="1"/>
  <c r="C222" i="1"/>
  <c r="D238" i="1"/>
  <c r="C238" i="1"/>
  <c r="D254" i="1"/>
  <c r="C254" i="1"/>
  <c r="D270" i="1"/>
  <c r="C270" i="1"/>
  <c r="D286" i="1"/>
  <c r="C286" i="1"/>
  <c r="D302" i="1"/>
  <c r="C302" i="1"/>
  <c r="D318" i="1"/>
  <c r="C318" i="1"/>
  <c r="D334" i="1"/>
  <c r="C334" i="1"/>
  <c r="D350" i="1"/>
  <c r="C350" i="1"/>
  <c r="D366" i="1"/>
  <c r="C366" i="1"/>
  <c r="D382" i="1"/>
  <c r="C382" i="1"/>
  <c r="D398" i="1"/>
  <c r="C398" i="1"/>
  <c r="D414" i="1"/>
  <c r="C414" i="1"/>
  <c r="D431" i="1"/>
  <c r="C431" i="1"/>
  <c r="D446" i="1"/>
  <c r="C446" i="1"/>
  <c r="D462" i="1"/>
  <c r="C462" i="1"/>
  <c r="D478" i="1"/>
  <c r="C478" i="1"/>
  <c r="D492" i="1"/>
  <c r="C492" i="1"/>
  <c r="D509" i="1"/>
  <c r="C509" i="1"/>
  <c r="D524" i="1"/>
  <c r="C524" i="1"/>
  <c r="D539" i="1"/>
  <c r="C539" i="1"/>
  <c r="D555" i="1"/>
  <c r="C555" i="1"/>
  <c r="D570" i="1"/>
  <c r="C570" i="1"/>
  <c r="D586" i="1"/>
  <c r="C586" i="1"/>
  <c r="D600" i="1"/>
  <c r="C600" i="1"/>
  <c r="D613" i="1"/>
  <c r="C613" i="1"/>
  <c r="D629" i="1"/>
  <c r="C629" i="1"/>
  <c r="D645" i="1"/>
  <c r="C645" i="1"/>
  <c r="D661" i="1"/>
  <c r="C661" i="1"/>
  <c r="D677" i="1"/>
  <c r="C677" i="1"/>
  <c r="D693" i="1"/>
  <c r="C693" i="1"/>
  <c r="D709" i="1"/>
  <c r="C709" i="1"/>
  <c r="D725" i="1"/>
  <c r="C725" i="1"/>
  <c r="D741" i="1"/>
  <c r="C741" i="1"/>
  <c r="D757" i="1"/>
  <c r="C757" i="1"/>
  <c r="D773" i="1"/>
  <c r="C773" i="1"/>
  <c r="D789" i="1"/>
  <c r="C789" i="1"/>
  <c r="D805" i="1"/>
  <c r="C805" i="1"/>
  <c r="D821" i="1"/>
  <c r="C821" i="1"/>
  <c r="D837" i="1"/>
  <c r="C837" i="1"/>
  <c r="D853" i="1"/>
  <c r="C853" i="1"/>
  <c r="D869" i="1"/>
  <c r="C869" i="1"/>
  <c r="D885" i="1"/>
  <c r="C885" i="1"/>
  <c r="D901" i="1"/>
  <c r="C901" i="1"/>
  <c r="D917" i="1"/>
  <c r="C917" i="1"/>
  <c r="D949" i="1"/>
  <c r="C949" i="1"/>
  <c r="D965" i="1"/>
  <c r="C965" i="1"/>
  <c r="D981" i="1"/>
  <c r="C981" i="1"/>
  <c r="D997" i="1"/>
  <c r="C997" i="1"/>
  <c r="D1013" i="1"/>
  <c r="C1013" i="1"/>
  <c r="D1029" i="1"/>
  <c r="C1029" i="1"/>
  <c r="D1061" i="1"/>
  <c r="C1061" i="1"/>
  <c r="D1077" i="1"/>
  <c r="C1077" i="1"/>
  <c r="D1093" i="1"/>
  <c r="C1093" i="1"/>
  <c r="D1109" i="1"/>
  <c r="C1109" i="1"/>
  <c r="D1125" i="1"/>
  <c r="C1125" i="1"/>
  <c r="D1141" i="1"/>
  <c r="C1141" i="1"/>
  <c r="D1157" i="1"/>
  <c r="C1157" i="1"/>
  <c r="D1191" i="1"/>
  <c r="C1191" i="1"/>
  <c r="D1207" i="1"/>
  <c r="C1207" i="1"/>
  <c r="D1223" i="1"/>
  <c r="C1223" i="1"/>
  <c r="D1239" i="1"/>
  <c r="C1239" i="1"/>
  <c r="D1255" i="1"/>
  <c r="C1255" i="1"/>
  <c r="D1272" i="1"/>
  <c r="C1272" i="1"/>
  <c r="D1288" i="1"/>
  <c r="C1288" i="1"/>
  <c r="D1320" i="1"/>
  <c r="C1320" i="1"/>
  <c r="D1336" i="1"/>
  <c r="C1336" i="1"/>
  <c r="D1352" i="1"/>
  <c r="C1352" i="1"/>
  <c r="D1369" i="1"/>
  <c r="C1369" i="1"/>
  <c r="D1385" i="1"/>
  <c r="C1385" i="1"/>
  <c r="D1401" i="1"/>
  <c r="C1401" i="1"/>
  <c r="D1417" i="1"/>
  <c r="C1417" i="1"/>
  <c r="D1433" i="1"/>
  <c r="C1433" i="1"/>
  <c r="D1448" i="1"/>
  <c r="C1448" i="1"/>
  <c r="D1463" i="1"/>
  <c r="C1463" i="1"/>
  <c r="D1494" i="1"/>
  <c r="C1494" i="1"/>
  <c r="D1510" i="1"/>
  <c r="C1510" i="1"/>
  <c r="D1526" i="1"/>
  <c r="C1526" i="1"/>
  <c r="D1559" i="1"/>
  <c r="C1559" i="1"/>
  <c r="D1575" i="1"/>
  <c r="C1575" i="1"/>
  <c r="D1591" i="1"/>
  <c r="C1591" i="1"/>
  <c r="D1623" i="1"/>
  <c r="C1623" i="1"/>
  <c r="D1639" i="1"/>
  <c r="C1639" i="1"/>
  <c r="D1655" i="1"/>
  <c r="C1655" i="1"/>
  <c r="D1671" i="1"/>
  <c r="C1671" i="1"/>
  <c r="D1688" i="1"/>
  <c r="C1688" i="1"/>
  <c r="D1709" i="1"/>
  <c r="C1709" i="1"/>
  <c r="D1725" i="1"/>
  <c r="C1725" i="1"/>
  <c r="D1771" i="1"/>
  <c r="C1771" i="1"/>
  <c r="D1813" i="1"/>
  <c r="C1813" i="1"/>
  <c r="D1828" i="1"/>
  <c r="C1828" i="1"/>
  <c r="D1844" i="1"/>
  <c r="C1844" i="1"/>
  <c r="D1899" i="1"/>
  <c r="C1899" i="1"/>
  <c r="D1921" i="1"/>
  <c r="C1921" i="1"/>
  <c r="D1953" i="1"/>
  <c r="C1953" i="1"/>
  <c r="D2001" i="1"/>
  <c r="C2001" i="1"/>
  <c r="D2017" i="1"/>
  <c r="C2017" i="1"/>
  <c r="D2049" i="1"/>
  <c r="C2049" i="1"/>
  <c r="D2065" i="1"/>
  <c r="C2065" i="1"/>
  <c r="D2081" i="1"/>
  <c r="C2081" i="1"/>
  <c r="D2129" i="1"/>
  <c r="C2129" i="1"/>
  <c r="D2145" i="1"/>
  <c r="C2145" i="1"/>
  <c r="D2177" i="1"/>
  <c r="C2177" i="1"/>
  <c r="D2209" i="1"/>
  <c r="C2209" i="1"/>
  <c r="D2257" i="1"/>
  <c r="C2257" i="1"/>
  <c r="C2448" i="1"/>
  <c r="C2171" i="1"/>
  <c r="C2037" i="1"/>
  <c r="C1994" i="1"/>
  <c r="C1948" i="1"/>
  <c r="C1865" i="1"/>
  <c r="C1817" i="1"/>
  <c r="C1773" i="1"/>
  <c r="C1696" i="1"/>
  <c r="C1586" i="1"/>
  <c r="C1482" i="1"/>
  <c r="C1381" i="1"/>
  <c r="C1199" i="1"/>
  <c r="C310" i="1"/>
  <c r="D13" i="1"/>
  <c r="C13" i="1"/>
  <c r="D29" i="1"/>
  <c r="C29" i="1"/>
  <c r="C45" i="1"/>
  <c r="D45" i="1"/>
  <c r="D61" i="1"/>
  <c r="C61" i="1"/>
  <c r="D77" i="1"/>
  <c r="C77" i="1"/>
  <c r="D93" i="1"/>
  <c r="C93" i="1"/>
  <c r="D108" i="1"/>
  <c r="C108" i="1"/>
  <c r="D125" i="1"/>
  <c r="C125" i="1"/>
  <c r="D141" i="1"/>
  <c r="C141" i="1"/>
  <c r="D157" i="1"/>
  <c r="C157" i="1"/>
  <c r="C171" i="1"/>
  <c r="D171" i="1"/>
  <c r="D186" i="1"/>
  <c r="C186" i="1"/>
  <c r="D199" i="1"/>
  <c r="C199" i="1"/>
  <c r="D223" i="1"/>
  <c r="C223" i="1"/>
  <c r="D239" i="1"/>
  <c r="C239" i="1"/>
  <c r="D255" i="1"/>
  <c r="C255" i="1"/>
  <c r="D271" i="1"/>
  <c r="C271" i="1"/>
  <c r="D287" i="1"/>
  <c r="C287" i="1"/>
  <c r="D303" i="1"/>
  <c r="C303" i="1"/>
  <c r="D319" i="1"/>
  <c r="C319" i="1"/>
  <c r="D335" i="1"/>
  <c r="C335" i="1"/>
  <c r="D351" i="1"/>
  <c r="C351" i="1"/>
  <c r="D367" i="1"/>
  <c r="C367" i="1"/>
  <c r="D383" i="1"/>
  <c r="C383" i="1"/>
  <c r="D399" i="1"/>
  <c r="C399" i="1"/>
  <c r="D415" i="1"/>
  <c r="C415" i="1"/>
  <c r="D432" i="1"/>
  <c r="C432" i="1"/>
  <c r="D447" i="1"/>
  <c r="C447" i="1"/>
  <c r="D463" i="1"/>
  <c r="C463" i="1"/>
  <c r="D479" i="1"/>
  <c r="C479" i="1"/>
  <c r="D493" i="1"/>
  <c r="C493" i="1"/>
  <c r="D510" i="1"/>
  <c r="C510" i="1"/>
  <c r="D525" i="1"/>
  <c r="C525" i="1"/>
  <c r="D540" i="1"/>
  <c r="C540" i="1"/>
  <c r="D571" i="1"/>
  <c r="C571" i="1"/>
  <c r="D587" i="1"/>
  <c r="C587" i="1"/>
  <c r="D601" i="1"/>
  <c r="C601" i="1"/>
  <c r="D614" i="1"/>
  <c r="C614" i="1"/>
  <c r="D630" i="1"/>
  <c r="C630" i="1"/>
  <c r="D646" i="1"/>
  <c r="C646" i="1"/>
  <c r="D662" i="1"/>
  <c r="C662" i="1"/>
  <c r="D678" i="1"/>
  <c r="C678" i="1"/>
  <c r="D694" i="1"/>
  <c r="C694" i="1"/>
  <c r="D710" i="1"/>
  <c r="C710" i="1"/>
  <c r="D726" i="1"/>
  <c r="C726" i="1"/>
  <c r="D742" i="1"/>
  <c r="C742" i="1"/>
  <c r="D758" i="1"/>
  <c r="C758" i="1"/>
  <c r="D774" i="1"/>
  <c r="C774" i="1"/>
  <c r="D790" i="1"/>
  <c r="C790" i="1"/>
  <c r="D806" i="1"/>
  <c r="C806" i="1"/>
  <c r="C822" i="1"/>
  <c r="D822" i="1"/>
  <c r="D838" i="1"/>
  <c r="C838" i="1"/>
  <c r="D854" i="1"/>
  <c r="C854" i="1"/>
  <c r="D870" i="1"/>
  <c r="C870" i="1"/>
  <c r="C886" i="1"/>
  <c r="D886" i="1"/>
  <c r="D902" i="1"/>
  <c r="C902" i="1"/>
  <c r="D918" i="1"/>
  <c r="C918" i="1"/>
  <c r="D934" i="1"/>
  <c r="C934" i="1"/>
  <c r="D950" i="1"/>
  <c r="C950" i="1"/>
  <c r="D982" i="1"/>
  <c r="C982" i="1"/>
  <c r="D998" i="1"/>
  <c r="C998" i="1"/>
  <c r="D1014" i="1"/>
  <c r="C1014" i="1"/>
  <c r="D1030" i="1"/>
  <c r="C1030" i="1"/>
  <c r="D1046" i="1"/>
  <c r="C1046" i="1"/>
  <c r="D1062" i="1"/>
  <c r="C1062" i="1"/>
  <c r="D1078" i="1"/>
  <c r="C1078" i="1"/>
  <c r="D1094" i="1"/>
  <c r="C1094" i="1"/>
  <c r="D1110" i="1"/>
  <c r="C1110" i="1"/>
  <c r="D1126" i="1"/>
  <c r="C1126" i="1"/>
  <c r="D1142" i="1"/>
  <c r="C1142" i="1"/>
  <c r="D1158" i="1"/>
  <c r="C1158" i="1"/>
  <c r="D1176" i="1"/>
  <c r="C1176" i="1"/>
  <c r="D1192" i="1"/>
  <c r="C1192" i="1"/>
  <c r="D1208" i="1"/>
  <c r="C1208" i="1"/>
  <c r="D1224" i="1"/>
  <c r="C1224" i="1"/>
  <c r="D1240" i="1"/>
  <c r="C1240" i="1"/>
  <c r="D1256" i="1"/>
  <c r="C1256" i="1"/>
  <c r="D1273" i="1"/>
  <c r="C1273" i="1"/>
  <c r="D1289" i="1"/>
  <c r="C1289" i="1"/>
  <c r="D1305" i="1"/>
  <c r="C1305" i="1"/>
  <c r="D1321" i="1"/>
  <c r="C1321" i="1"/>
  <c r="D1337" i="1"/>
  <c r="C1337" i="1"/>
  <c r="D1353" i="1"/>
  <c r="C1353" i="1"/>
  <c r="D1370" i="1"/>
  <c r="C1370" i="1"/>
  <c r="D1386" i="1"/>
  <c r="C1386" i="1"/>
  <c r="D1418" i="1"/>
  <c r="C1418" i="1"/>
  <c r="D1434" i="1"/>
  <c r="C1434" i="1"/>
  <c r="D1449" i="1"/>
  <c r="C1449" i="1"/>
  <c r="D1479" i="1"/>
  <c r="C1479" i="1"/>
  <c r="D1495" i="1"/>
  <c r="C1495" i="1"/>
  <c r="D1511" i="1"/>
  <c r="C1511" i="1"/>
  <c r="D1544" i="1"/>
  <c r="C1544" i="1"/>
  <c r="D1560" i="1"/>
  <c r="C1560" i="1"/>
  <c r="D1576" i="1"/>
  <c r="C1576" i="1"/>
  <c r="D1592" i="1"/>
  <c r="C1592" i="1"/>
  <c r="D1608" i="1"/>
  <c r="C1608" i="1"/>
  <c r="D1624" i="1"/>
  <c r="C1624" i="1"/>
  <c r="D1640" i="1"/>
  <c r="C1640" i="1"/>
  <c r="D1672" i="1"/>
  <c r="C1672" i="1"/>
  <c r="D1689" i="1"/>
  <c r="C1689" i="1"/>
  <c r="D1710" i="1"/>
  <c r="C1710" i="1"/>
  <c r="D1757" i="1"/>
  <c r="C1757" i="1"/>
  <c r="D1772" i="1"/>
  <c r="C1772" i="1"/>
  <c r="D1814" i="1"/>
  <c r="C1814" i="1"/>
  <c r="D1829" i="1"/>
  <c r="C1829" i="1"/>
  <c r="D1859" i="1"/>
  <c r="C1859" i="1"/>
  <c r="D1873" i="1"/>
  <c r="C1873" i="1"/>
  <c r="D1922" i="1"/>
  <c r="C1922" i="1"/>
  <c r="D1938" i="1"/>
  <c r="C1938" i="1"/>
  <c r="D1970" i="1"/>
  <c r="C1970" i="1"/>
  <c r="D1986" i="1"/>
  <c r="C1986" i="1"/>
  <c r="D2002" i="1"/>
  <c r="C2002" i="1"/>
  <c r="D2050" i="1"/>
  <c r="C2050" i="1"/>
  <c r="D2066" i="1"/>
  <c r="C2066" i="1"/>
  <c r="D2098" i="1"/>
  <c r="C2098" i="1"/>
  <c r="D2130" i="1"/>
  <c r="C2130" i="1"/>
  <c r="D2178" i="1"/>
  <c r="C2178" i="1"/>
  <c r="D2194" i="1"/>
  <c r="C2194" i="1"/>
  <c r="D2226" i="1"/>
  <c r="C2226" i="1"/>
  <c r="D2258" i="1"/>
  <c r="C2258" i="1"/>
  <c r="D2274" i="1"/>
  <c r="C2274" i="1"/>
  <c r="D2290" i="1"/>
  <c r="C2290" i="1"/>
  <c r="D2306" i="1"/>
  <c r="C2306" i="1"/>
  <c r="C2401" i="1"/>
  <c r="C2377" i="1"/>
  <c r="C2354" i="1"/>
  <c r="C2333" i="1"/>
  <c r="C2309" i="1"/>
  <c r="C2281" i="1"/>
  <c r="C2249" i="1"/>
  <c r="C2210" i="1"/>
  <c r="C2170" i="1"/>
  <c r="C2125" i="1"/>
  <c r="C2082" i="1"/>
  <c r="C2035" i="1"/>
  <c r="C1993" i="1"/>
  <c r="C1945" i="1"/>
  <c r="C1816" i="1"/>
  <c r="C1768" i="1"/>
  <c r="C1686" i="1"/>
  <c r="C1582" i="1"/>
  <c r="C1478" i="1"/>
  <c r="C1372" i="1"/>
  <c r="C1173" i="1"/>
  <c r="D14" i="1"/>
  <c r="C14" i="1"/>
  <c r="D30" i="1"/>
  <c r="C30" i="1"/>
  <c r="D46" i="1"/>
  <c r="C46" i="1"/>
  <c r="D62" i="1"/>
  <c r="C62" i="1"/>
  <c r="D78" i="1"/>
  <c r="C78" i="1"/>
  <c r="C94" i="1"/>
  <c r="D94" i="1"/>
  <c r="D109" i="1"/>
  <c r="C109" i="1"/>
  <c r="D126" i="1"/>
  <c r="C126" i="1"/>
  <c r="D142" i="1"/>
  <c r="C142" i="1"/>
  <c r="D158" i="1"/>
  <c r="C158" i="1"/>
  <c r="D172" i="1"/>
  <c r="C172" i="1"/>
  <c r="D187" i="1"/>
  <c r="C187" i="1"/>
  <c r="D200" i="1"/>
  <c r="C200" i="1"/>
  <c r="D224" i="1"/>
  <c r="C224" i="1"/>
  <c r="D240" i="1"/>
  <c r="C240" i="1"/>
  <c r="D256" i="1"/>
  <c r="C256" i="1"/>
  <c r="D272" i="1"/>
  <c r="C272" i="1"/>
  <c r="D288" i="1"/>
  <c r="C288" i="1"/>
  <c r="D304" i="1"/>
  <c r="C304" i="1"/>
  <c r="D320" i="1"/>
  <c r="C320" i="1"/>
  <c r="D336" i="1"/>
  <c r="C336" i="1"/>
  <c r="D352" i="1"/>
  <c r="C352" i="1"/>
  <c r="D368" i="1"/>
  <c r="C368" i="1"/>
  <c r="D384" i="1"/>
  <c r="C384" i="1"/>
  <c r="D400" i="1"/>
  <c r="C400" i="1"/>
  <c r="D416" i="1"/>
  <c r="C416" i="1"/>
  <c r="D433" i="1"/>
  <c r="C433" i="1"/>
  <c r="D448" i="1"/>
  <c r="C448" i="1"/>
  <c r="D464" i="1"/>
  <c r="C464" i="1"/>
  <c r="D480" i="1"/>
  <c r="C480" i="1"/>
  <c r="D494" i="1"/>
  <c r="C494" i="1"/>
  <c r="D511" i="1"/>
  <c r="C511" i="1"/>
  <c r="D526" i="1"/>
  <c r="C526" i="1"/>
  <c r="D541" i="1"/>
  <c r="C541" i="1"/>
  <c r="D556" i="1"/>
  <c r="C556" i="1"/>
  <c r="D572" i="1"/>
  <c r="C572" i="1"/>
  <c r="D588" i="1"/>
  <c r="C588" i="1"/>
  <c r="D602" i="1"/>
  <c r="C602" i="1"/>
  <c r="D615" i="1"/>
  <c r="C615" i="1"/>
  <c r="D631" i="1"/>
  <c r="C631" i="1"/>
  <c r="D647" i="1"/>
  <c r="C647" i="1"/>
  <c r="D663" i="1"/>
  <c r="C663" i="1"/>
  <c r="D679" i="1"/>
  <c r="C679" i="1"/>
  <c r="D695" i="1"/>
  <c r="C695" i="1"/>
  <c r="D711" i="1"/>
  <c r="C711" i="1"/>
  <c r="D727" i="1"/>
  <c r="C727" i="1"/>
  <c r="D743" i="1"/>
  <c r="C743" i="1"/>
  <c r="D759" i="1"/>
  <c r="C759" i="1"/>
  <c r="D775" i="1"/>
  <c r="C775" i="1"/>
  <c r="D791" i="1"/>
  <c r="C791" i="1"/>
  <c r="D807" i="1"/>
  <c r="C807" i="1"/>
  <c r="D823" i="1"/>
  <c r="C823" i="1"/>
  <c r="D839" i="1"/>
  <c r="C839" i="1"/>
  <c r="D855" i="1"/>
  <c r="C855" i="1"/>
  <c r="D871" i="1"/>
  <c r="C871" i="1"/>
  <c r="D887" i="1"/>
  <c r="C887" i="1"/>
  <c r="D903" i="1"/>
  <c r="C903" i="1"/>
  <c r="D919" i="1"/>
  <c r="C919" i="1"/>
  <c r="D935" i="1"/>
  <c r="C935" i="1"/>
  <c r="D951" i="1"/>
  <c r="C951" i="1"/>
  <c r="D967" i="1"/>
  <c r="C967" i="1"/>
  <c r="D983" i="1"/>
  <c r="C983" i="1"/>
  <c r="D999" i="1"/>
  <c r="C999" i="1"/>
  <c r="D1015" i="1"/>
  <c r="C1015" i="1"/>
  <c r="D1031" i="1"/>
  <c r="C1031" i="1"/>
  <c r="D1047" i="1"/>
  <c r="C1047" i="1"/>
  <c r="D1063" i="1"/>
  <c r="C1063" i="1"/>
  <c r="D1079" i="1"/>
  <c r="C1079" i="1"/>
  <c r="D1111" i="1"/>
  <c r="C1111" i="1"/>
  <c r="D1127" i="1"/>
  <c r="C1127" i="1"/>
  <c r="D1143" i="1"/>
  <c r="C1143" i="1"/>
  <c r="D1159" i="1"/>
  <c r="C1159" i="1"/>
  <c r="D1177" i="1"/>
  <c r="C1177" i="1"/>
  <c r="D1193" i="1"/>
  <c r="C1193" i="1"/>
  <c r="D1209" i="1"/>
  <c r="C1209" i="1"/>
  <c r="D1241" i="1"/>
  <c r="C1241" i="1"/>
  <c r="D1257" i="1"/>
  <c r="C1257" i="1"/>
  <c r="D1274" i="1"/>
  <c r="C1274" i="1"/>
  <c r="D1306" i="1"/>
  <c r="C1306" i="1"/>
  <c r="D1338" i="1"/>
  <c r="C1338" i="1"/>
  <c r="D1354" i="1"/>
  <c r="C1354" i="1"/>
  <c r="D1371" i="1"/>
  <c r="C1371" i="1"/>
  <c r="D1403" i="1"/>
  <c r="C1403" i="1"/>
  <c r="D1419" i="1"/>
  <c r="C1419" i="1"/>
  <c r="D1435" i="1"/>
  <c r="C1435" i="1"/>
  <c r="D1465" i="1"/>
  <c r="C1465" i="1"/>
  <c r="D1480" i="1"/>
  <c r="C1480" i="1"/>
  <c r="D1496" i="1"/>
  <c r="C1496" i="1"/>
  <c r="D1512" i="1"/>
  <c r="C1512" i="1"/>
  <c r="D1528" i="1"/>
  <c r="C1528" i="1"/>
  <c r="D1545" i="1"/>
  <c r="C1545" i="1"/>
  <c r="D1561" i="1"/>
  <c r="C1561" i="1"/>
  <c r="D1593" i="1"/>
  <c r="C1593" i="1"/>
  <c r="D1609" i="1"/>
  <c r="C1609" i="1"/>
  <c r="D1625" i="1"/>
  <c r="C1625" i="1"/>
  <c r="D1657" i="1"/>
  <c r="C1657" i="1"/>
  <c r="D1673" i="1"/>
  <c r="C1673" i="1"/>
  <c r="D1690" i="1"/>
  <c r="C1690" i="1"/>
  <c r="D1727" i="1"/>
  <c r="C1727" i="1"/>
  <c r="D1742" i="1"/>
  <c r="C1742" i="1"/>
  <c r="D1758" i="1"/>
  <c r="C1758" i="1"/>
  <c r="D1800" i="1"/>
  <c r="C1800" i="1"/>
  <c r="D1815" i="1"/>
  <c r="C1815" i="1"/>
  <c r="D1860" i="1"/>
  <c r="C1860" i="1"/>
  <c r="D1874" i="1"/>
  <c r="C1874" i="1"/>
  <c r="D1907" i="1"/>
  <c r="C1907" i="1"/>
  <c r="D1923" i="1"/>
  <c r="C1923" i="1"/>
  <c r="D1971" i="1"/>
  <c r="C1971" i="1"/>
  <c r="D1987" i="1"/>
  <c r="C1987" i="1"/>
  <c r="D2019" i="1"/>
  <c r="C2019" i="1"/>
  <c r="D2051" i="1"/>
  <c r="C2051" i="1"/>
  <c r="D2099" i="1"/>
  <c r="C2099" i="1"/>
  <c r="D2115" i="1"/>
  <c r="C2115" i="1"/>
  <c r="D2147" i="1"/>
  <c r="C2147" i="1"/>
  <c r="D2179" i="1"/>
  <c r="C2179" i="1"/>
  <c r="D2227" i="1"/>
  <c r="C2227" i="1"/>
  <c r="D2243" i="1"/>
  <c r="C2243" i="1"/>
  <c r="D2275" i="1"/>
  <c r="C2275" i="1"/>
  <c r="D2291" i="1"/>
  <c r="C2291" i="1"/>
  <c r="D2307" i="1"/>
  <c r="C2307" i="1"/>
  <c r="D2323" i="1"/>
  <c r="C2323" i="1"/>
  <c r="D2339" i="1"/>
  <c r="C2339" i="1"/>
  <c r="D2355" i="1"/>
  <c r="C2355" i="1"/>
  <c r="D2371" i="1"/>
  <c r="C2371" i="1"/>
  <c r="D2387" i="1"/>
  <c r="C2387" i="1"/>
  <c r="C2403" i="1"/>
  <c r="D2403" i="1"/>
  <c r="D2419" i="1"/>
  <c r="C2419" i="1"/>
  <c r="D2435" i="1"/>
  <c r="C2435" i="1"/>
  <c r="D2450" i="1"/>
  <c r="C2450" i="1"/>
  <c r="D2466" i="1"/>
  <c r="C2466" i="1"/>
  <c r="C2423" i="1"/>
  <c r="C2376" i="1"/>
  <c r="C2353" i="1"/>
  <c r="C2329" i="1"/>
  <c r="C2305" i="1"/>
  <c r="C2280" i="1"/>
  <c r="C2244" i="1"/>
  <c r="C2204" i="1"/>
  <c r="C2165" i="1"/>
  <c r="C2122" i="1"/>
  <c r="C2076" i="1"/>
  <c r="C2034" i="1"/>
  <c r="C1988" i="1"/>
  <c r="C1944" i="1"/>
  <c r="C1903" i="1"/>
  <c r="C1862" i="1"/>
  <c r="C1811" i="1"/>
  <c r="C1765" i="1"/>
  <c r="C1680" i="1"/>
  <c r="C1577" i="1"/>
  <c r="C1469" i="1"/>
  <c r="C1367" i="1"/>
  <c r="C1147" i="1"/>
  <c r="D15" i="1"/>
  <c r="C15" i="1"/>
  <c r="D31" i="1"/>
  <c r="C31" i="1"/>
  <c r="D47" i="1"/>
  <c r="C47" i="1"/>
  <c r="D63" i="1"/>
  <c r="C63" i="1"/>
  <c r="D79" i="1"/>
  <c r="C79" i="1"/>
  <c r="D95" i="1"/>
  <c r="C95" i="1"/>
  <c r="D110" i="1"/>
  <c r="C110" i="1"/>
  <c r="D127" i="1"/>
  <c r="C127" i="1"/>
  <c r="D143" i="1"/>
  <c r="C143" i="1"/>
  <c r="D159" i="1"/>
  <c r="C159" i="1"/>
  <c r="D173" i="1"/>
  <c r="C173" i="1"/>
  <c r="D188" i="1"/>
  <c r="C188" i="1"/>
  <c r="D201" i="1"/>
  <c r="C201" i="1"/>
  <c r="D207" i="1"/>
  <c r="C207" i="1"/>
  <c r="D225" i="1"/>
  <c r="C225" i="1"/>
  <c r="D241" i="1"/>
  <c r="C241" i="1"/>
  <c r="D257" i="1"/>
  <c r="C257" i="1"/>
  <c r="D273" i="1"/>
  <c r="C273" i="1"/>
  <c r="D289" i="1"/>
  <c r="C289" i="1"/>
  <c r="D305" i="1"/>
  <c r="C305" i="1"/>
  <c r="D321" i="1"/>
  <c r="C321" i="1"/>
  <c r="D337" i="1"/>
  <c r="C337" i="1"/>
  <c r="D353" i="1"/>
  <c r="C353" i="1"/>
  <c r="D369" i="1"/>
  <c r="C369" i="1"/>
  <c r="D385" i="1"/>
  <c r="C385" i="1"/>
  <c r="D401" i="1"/>
  <c r="C401" i="1"/>
  <c r="D417" i="1"/>
  <c r="C417" i="1"/>
  <c r="D434" i="1"/>
  <c r="C434" i="1"/>
  <c r="D449" i="1"/>
  <c r="C449" i="1"/>
  <c r="D465" i="1"/>
  <c r="C465" i="1"/>
  <c r="D481" i="1"/>
  <c r="C481" i="1"/>
  <c r="D495" i="1"/>
  <c r="C495" i="1"/>
  <c r="D512" i="1"/>
  <c r="C512" i="1"/>
  <c r="D527" i="1"/>
  <c r="C527" i="1"/>
  <c r="D542" i="1"/>
  <c r="C542" i="1"/>
  <c r="D557" i="1"/>
  <c r="C557" i="1"/>
  <c r="D573" i="1"/>
  <c r="C573" i="1"/>
  <c r="D589" i="1"/>
  <c r="C589" i="1"/>
  <c r="D603" i="1"/>
  <c r="C603" i="1"/>
  <c r="D616" i="1"/>
  <c r="C616" i="1"/>
  <c r="D632" i="1"/>
  <c r="C632" i="1"/>
  <c r="D648" i="1"/>
  <c r="C648" i="1"/>
  <c r="D664" i="1"/>
  <c r="C664" i="1"/>
  <c r="D680" i="1"/>
  <c r="C680" i="1"/>
  <c r="D696" i="1"/>
  <c r="C696" i="1"/>
  <c r="D712" i="1"/>
  <c r="C712" i="1"/>
  <c r="D728" i="1"/>
  <c r="C728" i="1"/>
  <c r="D744" i="1"/>
  <c r="C744" i="1"/>
  <c r="D760" i="1"/>
  <c r="C760" i="1"/>
  <c r="D776" i="1"/>
  <c r="C776" i="1"/>
  <c r="D792" i="1"/>
  <c r="C792" i="1"/>
  <c r="D808" i="1"/>
  <c r="C808" i="1"/>
  <c r="D824" i="1"/>
  <c r="C824" i="1"/>
  <c r="D840" i="1"/>
  <c r="C840" i="1"/>
  <c r="D856" i="1"/>
  <c r="C856" i="1"/>
  <c r="D872" i="1"/>
  <c r="C872" i="1"/>
  <c r="D888" i="1"/>
  <c r="C888" i="1"/>
  <c r="D904" i="1"/>
  <c r="C904" i="1"/>
  <c r="D920" i="1"/>
  <c r="C920" i="1"/>
  <c r="D936" i="1"/>
  <c r="C936" i="1"/>
  <c r="D952" i="1"/>
  <c r="C952" i="1"/>
  <c r="D968" i="1"/>
  <c r="C968" i="1"/>
  <c r="D984" i="1"/>
  <c r="C984" i="1"/>
  <c r="D1000" i="1"/>
  <c r="C1000" i="1"/>
  <c r="D1016" i="1"/>
  <c r="C1016" i="1"/>
  <c r="D1032" i="1"/>
  <c r="C1032" i="1"/>
  <c r="D1048" i="1"/>
  <c r="C1048" i="1"/>
  <c r="D1064" i="1"/>
  <c r="C1064" i="1"/>
  <c r="D1080" i="1"/>
  <c r="C1080" i="1"/>
  <c r="D1096" i="1"/>
  <c r="C1096" i="1"/>
  <c r="D1112" i="1"/>
  <c r="C1112" i="1"/>
  <c r="D1128" i="1"/>
  <c r="C1128" i="1"/>
  <c r="D1144" i="1"/>
  <c r="C1144" i="1"/>
  <c r="D1160" i="1"/>
  <c r="C1160" i="1"/>
  <c r="D1178" i="1"/>
  <c r="C1178" i="1"/>
  <c r="D1194" i="1"/>
  <c r="C1194" i="1"/>
  <c r="D1210" i="1"/>
  <c r="C1210" i="1"/>
  <c r="D1226" i="1"/>
  <c r="C1226" i="1"/>
  <c r="D1242" i="1"/>
  <c r="C1242" i="1"/>
  <c r="D1258" i="1"/>
  <c r="C1258" i="1"/>
  <c r="D1275" i="1"/>
  <c r="C1275" i="1"/>
  <c r="D1291" i="1"/>
  <c r="C1291" i="1"/>
  <c r="D1307" i="1"/>
  <c r="C1307" i="1"/>
  <c r="D1323" i="1"/>
  <c r="C1323" i="1"/>
  <c r="D1355" i="1"/>
  <c r="C1355" i="1"/>
  <c r="D1388" i="1"/>
  <c r="C1388" i="1"/>
  <c r="D1404" i="1"/>
  <c r="C1404" i="1"/>
  <c r="D1420" i="1"/>
  <c r="C1420" i="1"/>
  <c r="D1436" i="1"/>
  <c r="C1436" i="1"/>
  <c r="D1451" i="1"/>
  <c r="C1451" i="1"/>
  <c r="D1466" i="1"/>
  <c r="C1466" i="1"/>
  <c r="D1481" i="1"/>
  <c r="C1481" i="1"/>
  <c r="D1513" i="1"/>
  <c r="C1513" i="1"/>
  <c r="D1529" i="1"/>
  <c r="C1529" i="1"/>
  <c r="D1546" i="1"/>
  <c r="C1546" i="1"/>
  <c r="D1578" i="1"/>
  <c r="C1578" i="1"/>
  <c r="D1594" i="1"/>
  <c r="C1594" i="1"/>
  <c r="D1610" i="1"/>
  <c r="C1610" i="1"/>
  <c r="D1642" i="1"/>
  <c r="C1642" i="1"/>
  <c r="D1658" i="1"/>
  <c r="C1658" i="1"/>
  <c r="D1674" i="1"/>
  <c r="C1674" i="1"/>
  <c r="D1691" i="1"/>
  <c r="C1691" i="1"/>
  <c r="D1712" i="1"/>
  <c r="C1712" i="1"/>
  <c r="D1728" i="1"/>
  <c r="C1728" i="1"/>
  <c r="D1743" i="1"/>
  <c r="C1743" i="1"/>
  <c r="D1785" i="1"/>
  <c r="C1785" i="1"/>
  <c r="D1801" i="1"/>
  <c r="C1801" i="1"/>
  <c r="D1831" i="1"/>
  <c r="C1831" i="1"/>
  <c r="D1847" i="1"/>
  <c r="C1847" i="1"/>
  <c r="D1861" i="1"/>
  <c r="C1861" i="1"/>
  <c r="D1908" i="1"/>
  <c r="C1908" i="1"/>
  <c r="D1940" i="1"/>
  <c r="C1940" i="1"/>
  <c r="D1972" i="1"/>
  <c r="C1972" i="1"/>
  <c r="D2020" i="1"/>
  <c r="C2020" i="1"/>
  <c r="D2036" i="1"/>
  <c r="C2036" i="1"/>
  <c r="D2068" i="1"/>
  <c r="C2068" i="1"/>
  <c r="D2084" i="1"/>
  <c r="C2084" i="1"/>
  <c r="D2100" i="1"/>
  <c r="C2100" i="1"/>
  <c r="D2148" i="1"/>
  <c r="C2148" i="1"/>
  <c r="D2164" i="1"/>
  <c r="C2164" i="1"/>
  <c r="D2196" i="1"/>
  <c r="C2196" i="1"/>
  <c r="D2228" i="1"/>
  <c r="C2228" i="1"/>
  <c r="D2276" i="1"/>
  <c r="C2276" i="1"/>
  <c r="D2292" i="1"/>
  <c r="C2292" i="1"/>
  <c r="D2308" i="1"/>
  <c r="C2308" i="1"/>
  <c r="D2324" i="1"/>
  <c r="C2324" i="1"/>
  <c r="D2340" i="1"/>
  <c r="C2340" i="1"/>
  <c r="D2356" i="1"/>
  <c r="C2356" i="1"/>
  <c r="D2372" i="1"/>
  <c r="C2372" i="1"/>
  <c r="D2388" i="1"/>
  <c r="C2388" i="1"/>
  <c r="D2404" i="1"/>
  <c r="C2404" i="1"/>
  <c r="D2420" i="1"/>
  <c r="C2420" i="1"/>
  <c r="D2451" i="1"/>
  <c r="C2451" i="1"/>
  <c r="C2328" i="1"/>
  <c r="C2279" i="1"/>
  <c r="C2242" i="1"/>
  <c r="C2202" i="1"/>
  <c r="C2163" i="1"/>
  <c r="C2121" i="1"/>
  <c r="C2074" i="1"/>
  <c r="C2033" i="1"/>
  <c r="C1985" i="1"/>
  <c r="C1939" i="1"/>
  <c r="C1902" i="1"/>
  <c r="C1858" i="1"/>
  <c r="C1807" i="1"/>
  <c r="C1764" i="1"/>
  <c r="C1675" i="1"/>
  <c r="C1567" i="1"/>
  <c r="C1464" i="1"/>
  <c r="C1361" i="1"/>
  <c r="C1121" i="1"/>
  <c r="D16" i="1"/>
  <c r="C16" i="1"/>
  <c r="D32" i="1"/>
  <c r="C32" i="1"/>
  <c r="D48" i="1"/>
  <c r="C48" i="1"/>
  <c r="D64" i="1"/>
  <c r="C64" i="1"/>
  <c r="D80" i="1"/>
  <c r="C80" i="1"/>
  <c r="D96" i="1"/>
  <c r="C96" i="1"/>
  <c r="D111" i="1"/>
  <c r="C111" i="1"/>
  <c r="D128" i="1"/>
  <c r="C128" i="1"/>
  <c r="D144" i="1"/>
  <c r="C144" i="1"/>
  <c r="D160" i="1"/>
  <c r="C160" i="1"/>
  <c r="D174" i="1"/>
  <c r="C174" i="1"/>
  <c r="D189" i="1"/>
  <c r="C189" i="1"/>
  <c r="D202" i="1"/>
  <c r="C202" i="1"/>
  <c r="D208" i="1"/>
  <c r="C208" i="1"/>
  <c r="D226" i="1"/>
  <c r="C226" i="1"/>
  <c r="D242" i="1"/>
  <c r="C242" i="1"/>
  <c r="D258" i="1"/>
  <c r="C258" i="1"/>
  <c r="D274" i="1"/>
  <c r="C274" i="1"/>
  <c r="D290" i="1"/>
  <c r="C290" i="1"/>
  <c r="D306" i="1"/>
  <c r="C306" i="1"/>
  <c r="D322" i="1"/>
  <c r="C322" i="1"/>
  <c r="D338" i="1"/>
  <c r="C338" i="1"/>
  <c r="D354" i="1"/>
  <c r="C354" i="1"/>
  <c r="D370" i="1"/>
  <c r="C370" i="1"/>
  <c r="D386" i="1"/>
  <c r="C386" i="1"/>
  <c r="D402" i="1"/>
  <c r="C402" i="1"/>
  <c r="D418" i="1"/>
  <c r="C418" i="1"/>
  <c r="D435" i="1"/>
  <c r="C435" i="1"/>
  <c r="D450" i="1"/>
  <c r="C450" i="1"/>
  <c r="D466" i="1"/>
  <c r="C466" i="1"/>
  <c r="D482" i="1"/>
  <c r="C482" i="1"/>
  <c r="D496" i="1"/>
  <c r="C496" i="1"/>
  <c r="D513" i="1"/>
  <c r="C513" i="1"/>
  <c r="D528" i="1"/>
  <c r="C528" i="1"/>
  <c r="D543" i="1"/>
  <c r="C543" i="1"/>
  <c r="D558" i="1"/>
  <c r="C558" i="1"/>
  <c r="D574" i="1"/>
  <c r="C574" i="1"/>
  <c r="D604" i="1"/>
  <c r="C604" i="1"/>
  <c r="D617" i="1"/>
  <c r="C617" i="1"/>
  <c r="D633" i="1"/>
  <c r="C633" i="1"/>
  <c r="D649" i="1"/>
  <c r="C649" i="1"/>
  <c r="D665" i="1"/>
  <c r="C665" i="1"/>
  <c r="D681" i="1"/>
  <c r="C681" i="1"/>
  <c r="D697" i="1"/>
  <c r="C697" i="1"/>
  <c r="D713" i="1"/>
  <c r="C713" i="1"/>
  <c r="D729" i="1"/>
  <c r="C729" i="1"/>
  <c r="D745" i="1"/>
  <c r="C745" i="1"/>
  <c r="D761" i="1"/>
  <c r="C761" i="1"/>
  <c r="D777" i="1"/>
  <c r="C777" i="1"/>
  <c r="D793" i="1"/>
  <c r="C793" i="1"/>
  <c r="D809" i="1"/>
  <c r="C809" i="1"/>
  <c r="D825" i="1"/>
  <c r="C825" i="1"/>
  <c r="D857" i="1"/>
  <c r="C857" i="1"/>
  <c r="D873" i="1"/>
  <c r="C873" i="1"/>
  <c r="D889" i="1"/>
  <c r="C889" i="1"/>
  <c r="D905" i="1"/>
  <c r="C905" i="1"/>
  <c r="D921" i="1"/>
  <c r="C921" i="1"/>
  <c r="D937" i="1"/>
  <c r="C937" i="1"/>
  <c r="D953" i="1"/>
  <c r="C953" i="1"/>
  <c r="D969" i="1"/>
  <c r="C969" i="1"/>
  <c r="D985" i="1"/>
  <c r="C985" i="1"/>
  <c r="D1001" i="1"/>
  <c r="C1001" i="1"/>
  <c r="C1017" i="1"/>
  <c r="D1017" i="1"/>
  <c r="D1033" i="1"/>
  <c r="C1033" i="1"/>
  <c r="D1049" i="1"/>
  <c r="C1049" i="1"/>
  <c r="D1065" i="1"/>
  <c r="C1065" i="1"/>
  <c r="D1081" i="1"/>
  <c r="C1081" i="1"/>
  <c r="D1097" i="1"/>
  <c r="C1097" i="1"/>
  <c r="D1113" i="1"/>
  <c r="C1113" i="1"/>
  <c r="D1129" i="1"/>
  <c r="C1129" i="1"/>
  <c r="D1145" i="1"/>
  <c r="C1145" i="1"/>
  <c r="D1161" i="1"/>
  <c r="C1161" i="1"/>
  <c r="D1179" i="1"/>
  <c r="C1179" i="1"/>
  <c r="D1195" i="1"/>
  <c r="C1195" i="1"/>
  <c r="D1211" i="1"/>
  <c r="C1211" i="1"/>
  <c r="D1227" i="1"/>
  <c r="C1227" i="1"/>
  <c r="D1243" i="1"/>
  <c r="C1243" i="1"/>
  <c r="D1259" i="1"/>
  <c r="C1259" i="1"/>
  <c r="D1276" i="1"/>
  <c r="C1276" i="1"/>
  <c r="D1292" i="1"/>
  <c r="C1292" i="1"/>
  <c r="D1308" i="1"/>
  <c r="C1308" i="1"/>
  <c r="D1324" i="1"/>
  <c r="C1324" i="1"/>
  <c r="D1340" i="1"/>
  <c r="C1340" i="1"/>
  <c r="D1356" i="1"/>
  <c r="C1356" i="1"/>
  <c r="D1373" i="1"/>
  <c r="C1373" i="1"/>
  <c r="D1389" i="1"/>
  <c r="C1389" i="1"/>
  <c r="D1405" i="1"/>
  <c r="C1405" i="1"/>
  <c r="D1437" i="1"/>
  <c r="C1437" i="1"/>
  <c r="D1452" i="1"/>
  <c r="C1452" i="1"/>
  <c r="D1467" i="1"/>
  <c r="C1467" i="1"/>
  <c r="D1498" i="1"/>
  <c r="C1498" i="1"/>
  <c r="D1514" i="1"/>
  <c r="C1514" i="1"/>
  <c r="D1531" i="1"/>
  <c r="C1531" i="1"/>
  <c r="D1563" i="1"/>
  <c r="C1563" i="1"/>
  <c r="D1579" i="1"/>
  <c r="C1579" i="1"/>
  <c r="D1595" i="1"/>
  <c r="C1595" i="1"/>
  <c r="D1611" i="1"/>
  <c r="C1611" i="1"/>
  <c r="D1627" i="1"/>
  <c r="C1627" i="1"/>
  <c r="D1643" i="1"/>
  <c r="C1643" i="1"/>
  <c r="D1659" i="1"/>
  <c r="C1659" i="1"/>
  <c r="D1692" i="1"/>
  <c r="C1692" i="1"/>
  <c r="D1713" i="1"/>
  <c r="C1713" i="1"/>
  <c r="D1729" i="1"/>
  <c r="C1729" i="1"/>
  <c r="D1760" i="1"/>
  <c r="C1760" i="1"/>
  <c r="D1775" i="1"/>
  <c r="C1775" i="1"/>
  <c r="C1786" i="1"/>
  <c r="D1786" i="1"/>
  <c r="D1832" i="1"/>
  <c r="C1832" i="1"/>
  <c r="D1848" i="1"/>
  <c r="C1848" i="1"/>
  <c r="D1876" i="1"/>
  <c r="C1876" i="1"/>
  <c r="D1889" i="1"/>
  <c r="C1889" i="1"/>
  <c r="D1941" i="1"/>
  <c r="C1941" i="1"/>
  <c r="D1957" i="1"/>
  <c r="C1957" i="1"/>
  <c r="D1989" i="1"/>
  <c r="C1989" i="1"/>
  <c r="D2005" i="1"/>
  <c r="C2005" i="1"/>
  <c r="D2021" i="1"/>
  <c r="C2021" i="1"/>
  <c r="D2069" i="1"/>
  <c r="C2069" i="1"/>
  <c r="D2085" i="1"/>
  <c r="C2085" i="1"/>
  <c r="D2117" i="1"/>
  <c r="C2117" i="1"/>
  <c r="D2149" i="1"/>
  <c r="C2149" i="1"/>
  <c r="D2197" i="1"/>
  <c r="C2197" i="1"/>
  <c r="D2213" i="1"/>
  <c r="C2213" i="1"/>
  <c r="D2245" i="1"/>
  <c r="C2245" i="1"/>
  <c r="C2327" i="1"/>
  <c r="C2241" i="1"/>
  <c r="C2201" i="1"/>
  <c r="C2162" i="1"/>
  <c r="C2116" i="1"/>
  <c r="C2073" i="1"/>
  <c r="C2027" i="1"/>
  <c r="C1983" i="1"/>
  <c r="C1937" i="1"/>
  <c r="C1900" i="1"/>
  <c r="C1806" i="1"/>
  <c r="C1759" i="1"/>
  <c r="C1665" i="1"/>
  <c r="C1562" i="1"/>
  <c r="C1350" i="1"/>
  <c r="C1095" i="1"/>
  <c r="D2254" i="1"/>
  <c r="C2254" i="1"/>
  <c r="D2270" i="1"/>
  <c r="C2270" i="1"/>
  <c r="F13" i="3" l="1"/>
  <c r="F5" i="3"/>
  <c r="F8" i="3"/>
  <c r="E19" i="3"/>
  <c r="F19" i="3" s="1"/>
  <c r="N23" i="5"/>
  <c r="AJ10" i="5"/>
  <c r="K19" i="5"/>
  <c r="E10" i="5"/>
  <c r="AE9" i="5"/>
  <c r="D21" i="5"/>
  <c r="M23" i="5"/>
  <c r="V18" i="5"/>
  <c r="W15" i="5"/>
  <c r="U10" i="5"/>
  <c r="AC10" i="5"/>
  <c r="AE17" i="5"/>
  <c r="U18" i="5"/>
  <c r="R9" i="5"/>
  <c r="O9" i="5"/>
  <c r="AA9" i="5"/>
  <c r="U15" i="5"/>
  <c r="G15" i="5"/>
  <c r="E18" i="5"/>
  <c r="AF9" i="5"/>
  <c r="P17" i="5"/>
  <c r="AL15" i="5"/>
  <c r="X19" i="5"/>
  <c r="D24" i="5"/>
  <c r="F15" i="5"/>
  <c r="R24" i="5"/>
  <c r="K16" i="5"/>
  <c r="M12" i="5"/>
  <c r="AE23" i="5"/>
  <c r="AH18" i="5"/>
  <c r="AC12" i="5"/>
  <c r="AS12" i="5"/>
  <c r="U21" i="5"/>
  <c r="E21" i="5"/>
  <c r="O23" i="5"/>
  <c r="T10" i="5"/>
  <c r="AF20" i="5"/>
  <c r="N12" i="5"/>
  <c r="AL18" i="5"/>
  <c r="C24" i="5"/>
  <c r="F18" i="5"/>
  <c r="AO22" i="5"/>
  <c r="L16" i="5"/>
  <c r="AJ24" i="5"/>
  <c r="AQ16" i="5"/>
  <c r="O17" i="5"/>
  <c r="H19" i="5"/>
  <c r="AN16" i="5"/>
  <c r="X23" i="5"/>
  <c r="AD22" i="5"/>
  <c r="D19" i="5"/>
  <c r="AG17" i="5"/>
  <c r="T24" i="5"/>
  <c r="AB16" i="5"/>
  <c r="S24" i="5"/>
  <c r="AA16" i="5"/>
  <c r="AH24" i="5"/>
  <c r="AP16" i="5"/>
  <c r="AI18" i="5"/>
  <c r="X16" i="5"/>
  <c r="H23" i="5"/>
  <c r="AM20" i="5"/>
  <c r="Z16" i="5"/>
  <c r="S18" i="5"/>
  <c r="H16" i="5"/>
  <c r="AI22" i="5"/>
  <c r="AH19" i="5"/>
  <c r="AM24" i="5"/>
  <c r="M18" i="5"/>
  <c r="I10" i="5"/>
  <c r="AC23" i="5"/>
  <c r="J16" i="5"/>
  <c r="C18" i="5"/>
  <c r="S15" i="5"/>
  <c r="AO23" i="5"/>
  <c r="U16" i="5"/>
  <c r="S20" i="5"/>
  <c r="AP15" i="5"/>
  <c r="AO16" i="5"/>
  <c r="AF24" i="5"/>
  <c r="N14" i="5"/>
  <c r="AP23" i="5"/>
  <c r="Y23" i="5"/>
  <c r="E16" i="5"/>
  <c r="Z22" i="5"/>
  <c r="AH14" i="5"/>
  <c r="Y22" i="5"/>
  <c r="AG14" i="5"/>
  <c r="AN22" i="5"/>
  <c r="E15" i="5"/>
  <c r="AG24" i="5"/>
  <c r="Y16" i="5"/>
  <c r="AQ23" i="5"/>
  <c r="Z23" i="5"/>
  <c r="I23" i="5"/>
  <c r="AK23" i="5"/>
  <c r="J22" i="5"/>
  <c r="R14" i="5"/>
  <c r="I22" i="5"/>
  <c r="Q14" i="5"/>
  <c r="X22" i="5"/>
  <c r="AF14" i="5"/>
  <c r="Q24" i="5"/>
  <c r="I16" i="5"/>
  <c r="AA23" i="5"/>
  <c r="J23" i="5"/>
  <c r="Z20" i="5"/>
  <c r="AF22" i="5"/>
  <c r="AJ21" i="5"/>
  <c r="H22" i="5"/>
  <c r="P14" i="5"/>
  <c r="AR23" i="5"/>
  <c r="AJ15" i="5"/>
  <c r="K23" i="5"/>
  <c r="AK22" i="5"/>
  <c r="F16" i="5"/>
  <c r="K21" i="5"/>
  <c r="S21" i="5"/>
  <c r="L23" i="5"/>
  <c r="T15" i="5"/>
  <c r="AL22" i="5"/>
  <c r="K20" i="5"/>
  <c r="AB24" i="5"/>
  <c r="C21" i="5"/>
  <c r="AM22" i="5"/>
  <c r="O14" i="5"/>
  <c r="V22" i="5"/>
  <c r="AL19" i="5"/>
  <c r="AD18" i="5"/>
  <c r="P20" i="5"/>
  <c r="O20" i="5"/>
  <c r="AD20" i="5"/>
  <c r="W22" i="5"/>
  <c r="Q21" i="5"/>
  <c r="AG18" i="5"/>
  <c r="T16" i="5"/>
  <c r="AE20" i="5"/>
  <c r="P9" i="5"/>
  <c r="AQ19" i="5"/>
  <c r="AP19" i="5"/>
  <c r="N20" i="5"/>
  <c r="G22" i="5"/>
  <c r="L20" i="5"/>
  <c r="AM16" i="5"/>
  <c r="AP14" i="5"/>
  <c r="Z19" i="5"/>
  <c r="AO19" i="5"/>
  <c r="AH21" i="5"/>
  <c r="AM19" i="5"/>
  <c r="G16" i="5"/>
  <c r="AJ18" i="5"/>
  <c r="AC20" i="5"/>
  <c r="W19" i="5"/>
  <c r="R15" i="5"/>
  <c r="T18" i="5"/>
  <c r="M20" i="5"/>
  <c r="G19" i="5"/>
  <c r="J14" i="5"/>
  <c r="V19" i="5"/>
  <c r="AF15" i="5"/>
  <c r="AH23" i="5"/>
  <c r="S14" i="5"/>
  <c r="H24" i="5"/>
  <c r="AO18" i="5"/>
  <c r="Y20" i="5"/>
  <c r="W16" i="5"/>
  <c r="AH15" i="5"/>
  <c r="AP20" i="5"/>
  <c r="V20" i="5"/>
  <c r="Y21" i="5"/>
  <c r="J15" i="5"/>
  <c r="G17" i="5"/>
  <c r="D23" i="5"/>
  <c r="Z18" i="5"/>
  <c r="AL21" i="5"/>
  <c r="U19" i="5"/>
  <c r="W23" i="5"/>
  <c r="AS15" i="5"/>
  <c r="AP21" i="5"/>
  <c r="P16" i="5"/>
  <c r="Q20" i="5"/>
  <c r="AL16" i="5"/>
  <c r="AS21" i="5"/>
  <c r="K24" i="5"/>
  <c r="X14" i="5"/>
  <c r="U20" i="5"/>
  <c r="F14" i="5"/>
  <c r="W18" i="5"/>
  <c r="AE24" i="5"/>
  <c r="V16" i="5"/>
  <c r="AS24" i="5"/>
  <c r="M21" i="5"/>
  <c r="V23" i="5"/>
  <c r="AF19" i="5"/>
  <c r="AS16" i="5"/>
  <c r="AR15" i="5"/>
  <c r="AM14" i="5"/>
  <c r="I20" i="5"/>
  <c r="S16" i="5"/>
  <c r="AI15" i="5"/>
  <c r="U22" i="5"/>
  <c r="C10" i="5"/>
  <c r="AR20" i="5"/>
  <c r="AQ20" i="5"/>
  <c r="AE21" i="5"/>
  <c r="AB14" i="5"/>
  <c r="N21" i="5"/>
  <c r="K14" i="5"/>
  <c r="AI19" i="5"/>
  <c r="AR21" i="5"/>
  <c r="AO14" i="5"/>
  <c r="AP24" i="5"/>
  <c r="AR18" i="5"/>
  <c r="Y24" i="5"/>
  <c r="K18" i="5"/>
  <c r="D20" i="5"/>
  <c r="AN21" i="5"/>
  <c r="P23" i="5"/>
  <c r="AI14" i="5"/>
  <c r="AK21" i="5"/>
  <c r="AM15" i="5"/>
  <c r="AD23" i="5"/>
  <c r="AF17" i="5"/>
  <c r="AS23" i="5"/>
  <c r="D18" i="5"/>
  <c r="AN19" i="5"/>
  <c r="AB20" i="5"/>
  <c r="AA20" i="5"/>
  <c r="O21" i="5"/>
  <c r="L14" i="5"/>
  <c r="AO20" i="5"/>
  <c r="S19" i="5"/>
  <c r="AB21" i="5"/>
  <c r="Y14" i="5"/>
  <c r="Z24" i="5"/>
  <c r="AB18" i="5"/>
  <c r="I24" i="5"/>
  <c r="AG16" i="5"/>
  <c r="O19" i="5"/>
  <c r="X21" i="5"/>
  <c r="AA22" i="5"/>
  <c r="AK24" i="5"/>
  <c r="AG23" i="5"/>
  <c r="AR24" i="5"/>
  <c r="C19" i="5"/>
  <c r="L21" i="5"/>
  <c r="I14" i="5"/>
  <c r="J24" i="5"/>
  <c r="L18" i="5"/>
  <c r="T23" i="5"/>
  <c r="Q16" i="5"/>
  <c r="AP18" i="5"/>
  <c r="H21" i="5"/>
  <c r="K22" i="5"/>
  <c r="C14" i="5"/>
  <c r="AC19" i="5"/>
  <c r="E24" i="5"/>
  <c r="H18" i="5"/>
  <c r="J20" i="5"/>
  <c r="AJ19" i="5"/>
  <c r="L24" i="5"/>
  <c r="N18" i="5"/>
  <c r="W20" i="5"/>
  <c r="U23" i="5"/>
  <c r="AH16" i="5"/>
  <c r="AE22" i="5"/>
  <c r="AB15" i="5"/>
  <c r="AN24" i="5"/>
  <c r="J18" i="5"/>
  <c r="C20" i="5"/>
  <c r="V21" i="5"/>
  <c r="V24" i="5"/>
  <c r="U24" i="5"/>
  <c r="F19" i="5"/>
  <c r="AK19" i="5"/>
  <c r="T19" i="5"/>
  <c r="AM23" i="5"/>
  <c r="AJ16" i="5"/>
  <c r="G20" i="5"/>
  <c r="E23" i="5"/>
  <c r="R16" i="5"/>
  <c r="O22" i="5"/>
  <c r="L15" i="5"/>
  <c r="X24" i="5"/>
  <c r="AF16" i="5"/>
  <c r="N19" i="5"/>
  <c r="AG20" i="5"/>
  <c r="AN18" i="5"/>
  <c r="AA19" i="5"/>
  <c r="T21" i="5"/>
  <c r="V15" i="5"/>
  <c r="AI21" i="5"/>
  <c r="AK15" i="5"/>
  <c r="AB23" i="5"/>
  <c r="N17" i="5"/>
  <c r="P24" i="5"/>
  <c r="R18" i="5"/>
  <c r="O24" i="5"/>
  <c r="Q18" i="5"/>
  <c r="E19" i="5"/>
  <c r="AC24" i="5"/>
  <c r="AE18" i="5"/>
  <c r="G23" i="5"/>
  <c r="D16" i="5"/>
  <c r="R19" i="5"/>
  <c r="P22" i="5"/>
  <c r="AC15" i="5"/>
  <c r="Z21" i="5"/>
  <c r="G14" i="5"/>
  <c r="AI23" i="5"/>
  <c r="AQ15" i="5"/>
  <c r="Y18" i="5"/>
  <c r="AB19" i="5"/>
  <c r="L12" i="5"/>
  <c r="AD24" i="5"/>
  <c r="AF18" i="5"/>
  <c r="M24" i="5"/>
  <c r="O18" i="5"/>
  <c r="AH22" i="5"/>
  <c r="AE15" i="5"/>
  <c r="AQ24" i="5"/>
  <c r="AS18" i="5"/>
  <c r="AQ21" i="5"/>
  <c r="M15" i="5"/>
  <c r="J21" i="5"/>
  <c r="S23" i="5"/>
  <c r="AA15" i="5"/>
  <c r="I18" i="5"/>
  <c r="L19" i="5"/>
  <c r="AA13" i="5"/>
  <c r="N24" i="5"/>
  <c r="P18" i="5"/>
  <c r="AN23" i="5"/>
  <c r="AK16" i="5"/>
  <c r="R22" i="5"/>
  <c r="O15" i="5"/>
  <c r="AA24" i="5"/>
  <c r="AC18" i="5"/>
  <c r="AA21" i="5"/>
  <c r="AN14" i="5"/>
  <c r="AK20" i="5"/>
  <c r="C23" i="5"/>
  <c r="V14" i="5"/>
  <c r="O16" i="5"/>
  <c r="AM18" i="5"/>
  <c r="X18" i="5"/>
  <c r="AC21" i="5"/>
  <c r="Z14" i="5"/>
  <c r="AL23" i="5"/>
  <c r="AI16" i="5"/>
  <c r="AL20" i="5"/>
  <c r="H14" i="5"/>
  <c r="E20" i="5"/>
  <c r="AO21" i="5"/>
  <c r="G24" i="5"/>
  <c r="Z15" i="5"/>
  <c r="G18" i="5"/>
  <c r="Q17" i="5"/>
  <c r="J19" i="5"/>
  <c r="Y19" i="5"/>
  <c r="R21" i="5"/>
  <c r="D15" i="5"/>
  <c r="F22" i="5"/>
  <c r="C15" i="5"/>
  <c r="E22" i="5"/>
  <c r="AS14" i="5"/>
  <c r="AJ22" i="5"/>
  <c r="AG15" i="5"/>
  <c r="S22" i="5"/>
  <c r="P15" i="5"/>
  <c r="AN20" i="5"/>
  <c r="F23" i="5"/>
  <c r="C16" i="5"/>
  <c r="F20" i="5"/>
  <c r="P19" i="5"/>
  <c r="I21" i="5"/>
  <c r="R23" i="5"/>
  <c r="AK14" i="5"/>
  <c r="AC16" i="5"/>
  <c r="AP22" i="5"/>
  <c r="AR16" i="5"/>
  <c r="AI24" i="5"/>
  <c r="AK18" i="5"/>
  <c r="I19" i="5"/>
  <c r="AS20" i="5"/>
  <c r="AE14" i="5"/>
  <c r="AG21" i="5"/>
  <c r="AD14" i="5"/>
  <c r="AF21" i="5"/>
  <c r="AC14" i="5"/>
  <c r="T22" i="5"/>
  <c r="Q15" i="5"/>
  <c r="C22" i="5"/>
  <c r="AQ14" i="5"/>
  <c r="X20" i="5"/>
  <c r="AG22" i="5"/>
  <c r="AD15" i="5"/>
  <c r="AG19" i="5"/>
  <c r="AQ18" i="5"/>
  <c r="AJ20" i="5"/>
  <c r="AC22" i="5"/>
  <c r="U14" i="5"/>
  <c r="M16" i="5"/>
  <c r="P21" i="5"/>
  <c r="M14" i="5"/>
  <c r="D22" i="5"/>
  <c r="AR14" i="5"/>
  <c r="AD21" i="5"/>
  <c r="AA14" i="5"/>
  <c r="H20" i="5"/>
  <c r="Q22" i="5"/>
  <c r="N15" i="5"/>
  <c r="Q19" i="5"/>
  <c r="AO24" i="5"/>
  <c r="AA18" i="5"/>
  <c r="T20" i="5"/>
  <c r="M22" i="5"/>
  <c r="E14" i="5"/>
  <c r="X15" i="5"/>
  <c r="K10" i="5"/>
  <c r="AE19" i="5"/>
  <c r="AN15" i="5"/>
  <c r="AD17" i="5"/>
  <c r="J17" i="5"/>
  <c r="O10" i="5"/>
  <c r="F9" i="5"/>
  <c r="AJ23" i="5"/>
  <c r="V17" i="5"/>
  <c r="N22" i="5"/>
  <c r="K15" i="5"/>
  <c r="AI20" i="5"/>
  <c r="AQ22" i="5"/>
  <c r="W14" i="5"/>
  <c r="W24" i="5"/>
  <c r="AE16" i="5"/>
  <c r="AR19" i="5"/>
  <c r="M19" i="5"/>
  <c r="H12" i="5"/>
  <c r="N9" i="5"/>
  <c r="M9" i="5"/>
  <c r="AB9" i="5"/>
  <c r="D9" i="5"/>
  <c r="M10" i="5"/>
  <c r="AQ10" i="5"/>
  <c r="AD10" i="5"/>
  <c r="AR10" i="5"/>
  <c r="S17" i="5"/>
  <c r="AI17" i="5"/>
  <c r="W21" i="5"/>
  <c r="F13" i="5"/>
  <c r="AS19" i="5"/>
  <c r="AO15" i="5"/>
  <c r="R20" i="5"/>
  <c r="AM21" i="5"/>
  <c r="AD16" i="5"/>
  <c r="R13" i="5"/>
  <c r="N13" i="5"/>
  <c r="I12" i="5"/>
  <c r="S12" i="5"/>
  <c r="AG12" i="5"/>
  <c r="H15" i="5"/>
  <c r="F21" i="5"/>
  <c r="AS22" i="5"/>
  <c r="AL14" i="5"/>
  <c r="Q23" i="5"/>
  <c r="I15" i="5"/>
  <c r="N16" i="5"/>
  <c r="G21" i="5"/>
  <c r="L22" i="5"/>
  <c r="F24" i="5"/>
  <c r="AK13" i="5"/>
  <c r="AF13" i="5"/>
  <c r="L13" i="5"/>
  <c r="AL13" i="5"/>
  <c r="T12" i="5"/>
  <c r="AF12" i="5"/>
  <c r="AH17" i="5"/>
  <c r="AF23" i="5"/>
  <c r="AD19" i="5"/>
  <c r="U17" i="5"/>
  <c r="D14" i="5"/>
  <c r="AN13" i="5"/>
  <c r="D17" i="5"/>
  <c r="AB22" i="5"/>
  <c r="AD12" i="5"/>
  <c r="AS17" i="5"/>
  <c r="F17" i="5"/>
  <c r="AH9" i="5"/>
  <c r="Y10" i="5"/>
  <c r="AA10" i="5"/>
  <c r="AS10" i="5"/>
  <c r="AQ9" i="5"/>
  <c r="AB12" i="5"/>
  <c r="AQ13" i="5"/>
  <c r="P10" i="5"/>
  <c r="AC17" i="5"/>
  <c r="R17" i="5"/>
  <c r="G10" i="5"/>
  <c r="AO10" i="5"/>
  <c r="E12" i="5"/>
  <c r="G12" i="5"/>
  <c r="AF10" i="5"/>
  <c r="AR12" i="5"/>
  <c r="AB13" i="5"/>
  <c r="J12" i="5"/>
  <c r="M17" i="5"/>
  <c r="AN17" i="5"/>
  <c r="W10" i="5"/>
  <c r="C12" i="5"/>
  <c r="U12" i="5"/>
  <c r="W12" i="5"/>
  <c r="Z12" i="5"/>
  <c r="V13" i="5"/>
  <c r="AR13" i="5"/>
  <c r="K9" i="5"/>
  <c r="AR17" i="5"/>
  <c r="X17" i="5"/>
  <c r="AM10" i="5"/>
  <c r="AI12" i="5"/>
  <c r="AK12" i="5"/>
  <c r="AM12" i="5"/>
  <c r="AP12" i="5"/>
  <c r="G13" i="5"/>
  <c r="M13" i="5"/>
  <c r="Q13" i="5"/>
  <c r="H17" i="5"/>
  <c r="Q12" i="5"/>
  <c r="E9" i="5"/>
  <c r="G9" i="5"/>
  <c r="Y9" i="5"/>
  <c r="L9" i="5"/>
  <c r="W13" i="5"/>
  <c r="AC13" i="5"/>
  <c r="AG13" i="5"/>
  <c r="AB17" i="5"/>
  <c r="O12" i="5"/>
  <c r="C9" i="5"/>
  <c r="U9" i="5"/>
  <c r="W9" i="5"/>
  <c r="AO9" i="5"/>
  <c r="AR9" i="5"/>
  <c r="AM13" i="5"/>
  <c r="AS13" i="5"/>
  <c r="AH13" i="5"/>
  <c r="L17" i="5"/>
  <c r="AD9" i="5"/>
  <c r="AE12" i="5"/>
  <c r="S9" i="5"/>
  <c r="AK9" i="5"/>
  <c r="AK27" i="5" s="1"/>
  <c r="AM9" i="5"/>
  <c r="N10" i="5"/>
  <c r="Q10" i="5"/>
  <c r="D10" i="5"/>
  <c r="S10" i="5"/>
  <c r="S13" i="5"/>
  <c r="AI10" i="5"/>
  <c r="AI9" i="5"/>
  <c r="AI27" i="5" s="1"/>
  <c r="J10" i="5"/>
  <c r="L10" i="5"/>
  <c r="X12" i="5"/>
  <c r="AG10" i="5"/>
  <c r="H13" i="5"/>
  <c r="AD13" i="5"/>
  <c r="AI13" i="5"/>
  <c r="AQ17" i="5"/>
  <c r="H10" i="5"/>
  <c r="Z10" i="5"/>
  <c r="AB10" i="5"/>
  <c r="J9" i="5"/>
  <c r="K12" i="5"/>
  <c r="X13" i="5"/>
  <c r="C13" i="5"/>
  <c r="D13" i="5"/>
  <c r="AA17" i="5"/>
  <c r="AO17" i="5"/>
  <c r="AJ17" i="5"/>
  <c r="X10" i="5"/>
  <c r="AP10" i="5"/>
  <c r="F12" i="5"/>
  <c r="Z9" i="5"/>
  <c r="AA12" i="5"/>
  <c r="I13" i="5"/>
  <c r="AN12" i="5"/>
  <c r="T13" i="5"/>
  <c r="K17" i="5"/>
  <c r="AP17" i="5"/>
  <c r="Y17" i="5"/>
  <c r="T17" i="5"/>
  <c r="Q9" i="5"/>
  <c r="Q27" i="5" s="1"/>
  <c r="AN10" i="5"/>
  <c r="D12" i="5"/>
  <c r="V12" i="5"/>
  <c r="AP9" i="5"/>
  <c r="AP27" i="5" s="1"/>
  <c r="AQ12" i="5"/>
  <c r="Y13" i="5"/>
  <c r="AK10" i="5"/>
  <c r="AJ13" i="5"/>
  <c r="Z17" i="5"/>
  <c r="I17" i="5"/>
  <c r="AG9" i="5"/>
  <c r="R12" i="5"/>
  <c r="AJ12" i="5"/>
  <c r="AL12" i="5"/>
  <c r="AC9" i="5"/>
  <c r="AC27" i="5" s="1"/>
  <c r="AO13" i="5"/>
  <c r="I9" i="5"/>
  <c r="I27" i="5" s="1"/>
  <c r="E13" i="5"/>
  <c r="AK17" i="5"/>
  <c r="F10" i="5"/>
  <c r="AH12" i="5"/>
  <c r="H9" i="5"/>
  <c r="H27" i="5" s="1"/>
  <c r="AE10" i="5"/>
  <c r="AS9" i="5"/>
  <c r="AS27" i="5" s="1"/>
  <c r="Z13" i="5"/>
  <c r="O13" i="5"/>
  <c r="U13" i="5"/>
  <c r="AM17" i="5"/>
  <c r="E17" i="5"/>
  <c r="V10" i="5"/>
  <c r="T9" i="5"/>
  <c r="T27" i="5" s="1"/>
  <c r="V9" i="5"/>
  <c r="V27" i="5" s="1"/>
  <c r="X9" i="5"/>
  <c r="X27" i="5" s="1"/>
  <c r="Y12" i="5"/>
  <c r="R10" i="5"/>
  <c r="AP13" i="5"/>
  <c r="AE13" i="5"/>
  <c r="W17" i="5"/>
  <c r="AL17" i="5"/>
  <c r="AL10" i="5"/>
  <c r="AJ9" i="5"/>
  <c r="AL9" i="5"/>
  <c r="AN9" i="5"/>
  <c r="AO12" i="5"/>
  <c r="AH10" i="5"/>
  <c r="K13" i="5"/>
  <c r="P13" i="5"/>
  <c r="C17" i="5"/>
  <c r="T14" i="5"/>
  <c r="G25" i="5"/>
  <c r="Y15" i="5"/>
  <c r="AL24" i="5"/>
  <c r="P12" i="5"/>
  <c r="AR25" i="5"/>
  <c r="J13" i="5"/>
  <c r="AR22" i="5"/>
  <c r="AK25" i="5"/>
  <c r="AH20" i="5"/>
  <c r="AJ14" i="5"/>
  <c r="C25" i="5"/>
  <c r="X25" i="5"/>
  <c r="U25" i="5"/>
  <c r="W25" i="5"/>
  <c r="AM25" i="5"/>
  <c r="I25" i="5"/>
  <c r="D25" i="5"/>
  <c r="Y25" i="5"/>
  <c r="N25" i="5"/>
  <c r="P25" i="5"/>
  <c r="R25" i="5"/>
  <c r="T25" i="5"/>
  <c r="AO25" i="5"/>
  <c r="AD25" i="5"/>
  <c r="AF25" i="5"/>
  <c r="AH25" i="5"/>
  <c r="AJ25" i="5"/>
  <c r="F25" i="5"/>
  <c r="V25" i="5"/>
  <c r="L25" i="5"/>
  <c r="AL25" i="5"/>
  <c r="H25" i="5"/>
  <c r="AB25" i="5"/>
  <c r="AN25" i="5"/>
  <c r="J25" i="5"/>
  <c r="O25" i="5"/>
  <c r="Q25" i="5"/>
  <c r="S25" i="5"/>
  <c r="M25" i="5"/>
  <c r="Z25" i="5"/>
  <c r="AE25" i="5"/>
  <c r="AG25" i="5"/>
  <c r="AI25" i="5"/>
  <c r="AP25" i="5"/>
  <c r="E25" i="5"/>
  <c r="K25" i="5"/>
  <c r="AA25" i="5"/>
  <c r="AC25" i="5"/>
  <c r="AQ25" i="5"/>
  <c r="AS25" i="5"/>
  <c r="E27" i="5" l="1"/>
  <c r="J27" i="5"/>
  <c r="U27" i="5"/>
  <c r="AR27" i="5"/>
  <c r="AG27" i="5"/>
  <c r="M27" i="5"/>
  <c r="AA27" i="5"/>
  <c r="O27" i="5"/>
  <c r="R27" i="5"/>
  <c r="AO27" i="5"/>
  <c r="AQ27" i="5"/>
  <c r="W27" i="5"/>
  <c r="D27" i="5"/>
  <c r="F27" i="5"/>
  <c r="P27" i="5"/>
  <c r="C27" i="5"/>
  <c r="AB27" i="5"/>
  <c r="AN27" i="5"/>
  <c r="AH27" i="5"/>
  <c r="N27" i="5"/>
  <c r="AL27" i="5"/>
  <c r="AJ27" i="5"/>
  <c r="AM27" i="5"/>
  <c r="AE27" i="5"/>
  <c r="Z27" i="5"/>
  <c r="S27" i="5"/>
  <c r="AF27" i="5"/>
  <c r="L27" i="5"/>
  <c r="K27" i="5"/>
  <c r="AD27" i="5"/>
  <c r="Y27" i="5"/>
  <c r="G27" i="5"/>
  <c r="G73" i="3" l="1"/>
  <c r="C28" i="5" l="1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AR28" i="5" s="1"/>
  <c r="AS28" i="5" s="1"/>
</calcChain>
</file>

<file path=xl/sharedStrings.xml><?xml version="1.0" encoding="utf-8"?>
<sst xmlns="http://schemas.openxmlformats.org/spreadsheetml/2006/main" count="5077" uniqueCount="185">
  <si>
    <t>Materiais</t>
  </si>
  <si>
    <t>Unidade</t>
  </si>
  <si>
    <t>QTD por Embalagem</t>
  </si>
  <si>
    <t>Total</t>
  </si>
  <si>
    <t>Unitario</t>
  </si>
  <si>
    <t>Açucar cristal</t>
  </si>
  <si>
    <t>g</t>
  </si>
  <si>
    <t>Amendoim moído</t>
  </si>
  <si>
    <t>Amendoim picado</t>
  </si>
  <si>
    <t>Barra chocolate amargo SICAO</t>
  </si>
  <si>
    <t>Barra chocolate branco SICAO</t>
  </si>
  <si>
    <t>Cacau em pó</t>
  </si>
  <si>
    <t>Café soluvel</t>
  </si>
  <si>
    <t>Canela</t>
  </si>
  <si>
    <t>Chocolate em pó</t>
  </si>
  <si>
    <t>Côco ralado fino</t>
  </si>
  <si>
    <t>Côco ralado grosso</t>
  </si>
  <si>
    <t>Creme de leite</t>
  </si>
  <si>
    <t>Doce de leite cremoso</t>
  </si>
  <si>
    <t>Farinha de trigo</t>
  </si>
  <si>
    <t>Leite condensado</t>
  </si>
  <si>
    <t>Limão</t>
  </si>
  <si>
    <t>Manteiga sem sal</t>
  </si>
  <si>
    <t>Nozes moída</t>
  </si>
  <si>
    <t>Nozes pedaço</t>
  </si>
  <si>
    <t>Produtos</t>
  </si>
  <si>
    <t>Produto</t>
  </si>
  <si>
    <t>Rendimento (g)</t>
  </si>
  <si>
    <t>Ingrediente_1</t>
  </si>
  <si>
    <t>Quantidade_1</t>
  </si>
  <si>
    <t>Quantidade_utilizada_1</t>
  </si>
  <si>
    <t>Medida_1</t>
  </si>
  <si>
    <t>Ingrediente_2</t>
  </si>
  <si>
    <t>Quantidade_2</t>
  </si>
  <si>
    <t>Quantidade_utilizada_2</t>
  </si>
  <si>
    <t>Medida_2</t>
  </si>
  <si>
    <t>Ingrediente_3</t>
  </si>
  <si>
    <t>Quantidade_3</t>
  </si>
  <si>
    <t>Quantidade_utilizada_3</t>
  </si>
  <si>
    <t>Medida_3</t>
  </si>
  <si>
    <t>Ingrediente_4</t>
  </si>
  <si>
    <t>Quantidade_4</t>
  </si>
  <si>
    <t>Quantidade_utilizada_4</t>
  </si>
  <si>
    <t>Medida_4</t>
  </si>
  <si>
    <t>Ingrediente_5</t>
  </si>
  <si>
    <t>Quantidade_5</t>
  </si>
  <si>
    <t>Quantidade_utilizada_5</t>
  </si>
  <si>
    <t>Medida_5</t>
  </si>
  <si>
    <t>Ingrediente_6</t>
  </si>
  <si>
    <t>Quantidade_6</t>
  </si>
  <si>
    <t>Quantidade_utilizada_6</t>
  </si>
  <si>
    <t>Medida_6</t>
  </si>
  <si>
    <t>Ingrediente_7</t>
  </si>
  <si>
    <t>Quantidade_7</t>
  </si>
  <si>
    <t>Quantidade_utilizada_7</t>
  </si>
  <si>
    <t>Medida_7</t>
  </si>
  <si>
    <t>Brigadeiro Chocolate</t>
  </si>
  <si>
    <t>Leite Condensado</t>
  </si>
  <si>
    <t>Brigadeiro Coco</t>
  </si>
  <si>
    <t>Brigadeiro Café</t>
  </si>
  <si>
    <t>Brigadeiro Nozes</t>
  </si>
  <si>
    <t>Brigadeiro Churros</t>
  </si>
  <si>
    <t>Brigadeiro Paçoca</t>
  </si>
  <si>
    <t>Brigadeiro Limão</t>
  </si>
  <si>
    <t>Registro</t>
  </si>
  <si>
    <t>Data</t>
  </si>
  <si>
    <t>Mês</t>
  </si>
  <si>
    <t>Ano</t>
  </si>
  <si>
    <t>Departamento</t>
  </si>
  <si>
    <t>Descrição</t>
  </si>
  <si>
    <t>Valor</t>
  </si>
  <si>
    <t>Quantidade</t>
  </si>
  <si>
    <t>Ingredientes</t>
  </si>
  <si>
    <t>Oreo</t>
  </si>
  <si>
    <t>Barra chocolate ao leite SICAO</t>
  </si>
  <si>
    <t>Embalagens</t>
  </si>
  <si>
    <t>Forminha</t>
  </si>
  <si>
    <t>Granulado redondo pequeno</t>
  </si>
  <si>
    <t>Vendas</t>
  </si>
  <si>
    <t>Croc-croc (Oreo)</t>
  </si>
  <si>
    <t>Bandeja isopor</t>
  </si>
  <si>
    <t>Forma quadrada exibição</t>
  </si>
  <si>
    <t>Ovomaltine</t>
  </si>
  <si>
    <t>saco plástico 30x45</t>
  </si>
  <si>
    <t>Viracasaca (ovomaltine)</t>
  </si>
  <si>
    <t>Duas caras (branco/preto)</t>
  </si>
  <si>
    <t>Barra chocolate branco Melken</t>
  </si>
  <si>
    <t>Copinho</t>
  </si>
  <si>
    <t>Cachepô</t>
  </si>
  <si>
    <t>Caixinha de papelão</t>
  </si>
  <si>
    <t>Cobertura de chocolate ao leite SICAO</t>
  </si>
  <si>
    <t>Papel Chumbo</t>
  </si>
  <si>
    <t>Fitilho</t>
  </si>
  <si>
    <t>Saco 10x15</t>
  </si>
  <si>
    <t>Caixinha de coelho</t>
  </si>
  <si>
    <t>Original (cacau)</t>
  </si>
  <si>
    <t>Margarina</t>
  </si>
  <si>
    <t>Cachepô com ovinhos</t>
  </si>
  <si>
    <t>Cachepô coelho marrom</t>
  </si>
  <si>
    <t>Caixa retangular craft</t>
  </si>
  <si>
    <t>Cajuzinho de ovomaltine</t>
  </si>
  <si>
    <t>Cenoura</t>
  </si>
  <si>
    <t>Colher plástica de sobremesa</t>
  </si>
  <si>
    <t>Fita</t>
  </si>
  <si>
    <t>Forminha n4</t>
  </si>
  <si>
    <t>Floco de arroz</t>
  </si>
  <si>
    <t>Ovinho amendoim</t>
  </si>
  <si>
    <t>Fita larga</t>
  </si>
  <si>
    <t>Forminha quadrada</t>
  </si>
  <si>
    <t>Mistura Carioca</t>
  </si>
  <si>
    <t>Bolsa kraft media</t>
  </si>
  <si>
    <t>Caixa branca n1</t>
  </si>
  <si>
    <t>Caixa ctaft n4</t>
  </si>
  <si>
    <t>Bolsa Kraft grande</t>
  </si>
  <si>
    <t>Caixa comprida</t>
  </si>
  <si>
    <t>Caixa Craft 4 lugares</t>
  </si>
  <si>
    <t>Churros</t>
  </si>
  <si>
    <t>Prestigio</t>
  </si>
  <si>
    <t>Palha</t>
  </si>
  <si>
    <t>Forminha n5</t>
  </si>
  <si>
    <t>Granulado redondo preto</t>
  </si>
  <si>
    <t>Coco</t>
  </si>
  <si>
    <t>Paçoca</t>
  </si>
  <si>
    <t>Caixa Coração 500g</t>
  </si>
  <si>
    <t>Forminha de papel flor</t>
  </si>
  <si>
    <t>Papel vivaldi 50x65</t>
  </si>
  <si>
    <t>Italianinho</t>
  </si>
  <si>
    <t>Biscoito Maizena</t>
  </si>
  <si>
    <t>Mineirinho</t>
  </si>
  <si>
    <t>Açucar de confeiteiro</t>
  </si>
  <si>
    <t>Amendoim descascado</t>
  </si>
  <si>
    <t>Chumbinho branco</t>
  </si>
  <si>
    <t>Leite ninho</t>
  </si>
  <si>
    <t>Branco de ninho</t>
  </si>
  <si>
    <t>Saco plástico 30x45</t>
  </si>
  <si>
    <t xml:space="preserve">Caixa quadrada natalina </t>
  </si>
  <si>
    <t>Caixa quadrada transparente</t>
  </si>
  <si>
    <t>Fita natalina 10mm</t>
  </si>
  <si>
    <t>Lata de alumínio</t>
  </si>
  <si>
    <t>Pote de vidro 105ml</t>
  </si>
  <si>
    <t>Tecido natalino</t>
  </si>
  <si>
    <t>|</t>
  </si>
  <si>
    <t>Maracuja</t>
  </si>
  <si>
    <t>Berço para chocolate</t>
  </si>
  <si>
    <t>Papel de trufa</t>
  </si>
  <si>
    <t>Bolsa Kraft Pequena</t>
  </si>
  <si>
    <t>branco de ninho</t>
  </si>
  <si>
    <t>cajuzinho de ovomaltine</t>
  </si>
  <si>
    <t>italianinho</t>
  </si>
  <si>
    <t>Mistura carioca</t>
  </si>
  <si>
    <t>Bombom grande</t>
  </si>
  <si>
    <t>Cacau</t>
  </si>
  <si>
    <t>mistura Carioca</t>
  </si>
  <si>
    <t>Mini colher prateada</t>
  </si>
  <si>
    <t>Caixa ovo de colher 150g</t>
  </si>
  <si>
    <t>Caixa ovo de colher 350g</t>
  </si>
  <si>
    <t>Maleta de pascoa P</t>
  </si>
  <si>
    <t>Cenoura fina</t>
  </si>
  <si>
    <t>Caixa 6 brigadeiros pascoa</t>
  </si>
  <si>
    <t>Caixa 4 brigadeiros pascoa</t>
  </si>
  <si>
    <t>Caixa 4 brigadeiros customizada</t>
  </si>
  <si>
    <t>Nutella</t>
  </si>
  <si>
    <t>Ninho  com Nutella</t>
  </si>
  <si>
    <t>Ninho com Nutella</t>
  </si>
  <si>
    <t>Doce de Leite</t>
  </si>
  <si>
    <t>Saco transparente pequeno</t>
  </si>
  <si>
    <t>Fluxo de Caixa</t>
  </si>
  <si>
    <t xml:space="preserve">Fluxo de Caixa </t>
  </si>
  <si>
    <t>Investimento</t>
  </si>
  <si>
    <t>Operacional</t>
  </si>
  <si>
    <t>Marketing</t>
  </si>
  <si>
    <t>Material</t>
  </si>
  <si>
    <t>Fluxo</t>
  </si>
  <si>
    <t>Fluxo Acumulado</t>
  </si>
  <si>
    <t>Produção</t>
  </si>
  <si>
    <t>Produção em gramas</t>
  </si>
  <si>
    <t>Estoque</t>
  </si>
  <si>
    <t>Un.</t>
  </si>
  <si>
    <t>Total            Comprado</t>
  </si>
  <si>
    <t>Total 
Utilizado</t>
  </si>
  <si>
    <t>Estoque
Atual</t>
  </si>
  <si>
    <t>*Vasilha retangular de tampa rosa</t>
  </si>
  <si>
    <t>25g</t>
  </si>
  <si>
    <t>Vasilha redonda pequena</t>
  </si>
  <si>
    <t>32g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</si>
</sst>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165" fontId="0" fillId="0" borderId="0" xfId="0" applyNumberFormat="1"/>
    <xf numFmtId="164" fontId="4" fillId="0" borderId="0" xfId="0" applyNumberFormat="1" applyFont="1"/>
    <xf numFmtId="164" fontId="0" fillId="0" borderId="0" xfId="0" applyNumberFormat="1"/>
    <xf numFmtId="0" fontId="0" fillId="3" borderId="1" xfId="0" applyFill="1" applyBorder="1"/>
    <xf numFmtId="2" fontId="0" fillId="3" borderId="1" xfId="0" applyNumberFormat="1" applyFill="1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2" borderId="0" xfId="0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17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164" fontId="0" fillId="3" borderId="1" xfId="0" applyNumberFormat="1" applyFill="1" applyBorder="1"/>
    <xf numFmtId="9" fontId="0" fillId="0" borderId="0" xfId="2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1" applyFont="1"/>
    <xf numFmtId="0" fontId="0" fillId="5" borderId="0" xfId="0" applyFill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164" fontId="0" fillId="0" borderId="0" xfId="1" applyFont="1" applyFill="1" applyBorder="1" applyAlignment="1">
      <alignment horizontal="center"/>
    </xf>
    <xf numFmtId="164" fontId="0" fillId="0" borderId="0" xfId="1" applyFont="1" applyAlignment="1">
      <alignment horizontal="center"/>
    </xf>
    <xf numFmtId="0" fontId="10" fillId="3" borderId="1" xfId="0" applyFont="1" applyFill="1" applyBorder="1"/>
    <xf numFmtId="0" fontId="11" fillId="2" borderId="0" xfId="0" applyFont="1" applyFill="1" applyAlignment="1">
      <alignment vertical="center"/>
    </xf>
    <xf numFmtId="1" fontId="0" fillId="3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1" fontId="9" fillId="3" borderId="1" xfId="0" applyNumberFormat="1" applyFont="1" applyFill="1" applyBorder="1"/>
    <xf numFmtId="1" fontId="7" fillId="3" borderId="1" xfId="0" applyNumberFormat="1" applyFont="1" applyFill="1" applyBorder="1"/>
    <xf numFmtId="2" fontId="0" fillId="0" borderId="0" xfId="0" applyNumberFormat="1" applyAlignment="1">
      <alignment horizontal="right"/>
    </xf>
    <xf numFmtId="0" fontId="5" fillId="2" borderId="0" xfId="0" applyFont="1" applyFill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font>
        <color rgb="FFFF0000"/>
      </font>
      <fill>
        <patternFill patternType="solid">
          <bgColor theme="3" tint="0.79998168889431442"/>
        </patternFill>
      </fill>
    </dxf>
    <dxf>
      <numFmt numFmtId="0" formatCode="General"/>
    </dxf>
    <dxf>
      <numFmt numFmtId="16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66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2"/>
        </patternFill>
      </fill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  <fill>
        <patternFill patternType="solid">
          <fgColor indexed="64"/>
          <bgColor theme="2"/>
        </patternFill>
      </fill>
    </dxf>
    <dxf>
      <numFmt numFmtId="2" formatCode="0.00"/>
    </dxf>
    <dxf>
      <numFmt numFmtId="0" formatCode="General"/>
      <fill>
        <patternFill patternType="solid">
          <fgColor indexed="64"/>
          <bgColor theme="2"/>
        </patternFill>
      </fill>
    </dxf>
    <dxf>
      <numFmt numFmtId="2" formatCode="0.00"/>
    </dxf>
    <dxf>
      <numFmt numFmtId="0" formatCode="General"/>
      <fill>
        <patternFill patternType="solid">
          <fgColor indexed="64"/>
          <bgColor theme="2"/>
        </patternFill>
      </fill>
    </dxf>
    <dxf>
      <numFmt numFmtId="2" formatCode="0.00"/>
    </dxf>
    <dxf>
      <numFmt numFmtId="0" formatCode="General"/>
      <fill>
        <patternFill patternType="solid">
          <fgColor indexed="64"/>
          <bgColor theme="2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165" formatCode="&quot;R$&quot;\ #,##0.00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F508B-14A9-40B4-8CFE-EF98EB0B5BC5}" name="Tabela2" displayName="Tabela2" ref="B4:F23" totalsRowShown="0">
  <autoFilter ref="B4:F23" xr:uid="{29EF508B-14A9-40B4-8CFE-EF98EB0B5BC5}"/>
  <tableColumns count="5">
    <tableColumn id="1" xr3:uid="{A1FC7040-746B-4D97-9708-ED52A77EC0B4}" name="Materiais" dataDxfId="25"/>
    <tableColumn id="2" xr3:uid="{960AD2E0-07EB-4CD1-A6C5-34E59CFF50AA}" name="Unidade"/>
    <tableColumn id="3" xr3:uid="{9137891F-ABED-4D72-9B72-83D86B4C7D72}" name="QTD por Embalagem"/>
    <tableColumn id="4" xr3:uid="{A3CFF2BC-FDF6-45D0-9F35-D7E362ACFC67}" name="Total" dataCellStyle="Moeda"/>
    <tableColumn id="5" xr3:uid="{1863B186-2598-4096-9D0D-DF3BAA68FC44}" name="Unitario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BD65F6-5864-4CAD-A6BF-00374A027BB0}" name="Tabela5" displayName="Tabela5" ref="B4:AE11" totalsRowShown="0">
  <tableColumns count="30">
    <tableColumn id="1" xr3:uid="{1E5B2594-2517-4756-AA83-F2CCA5C920CF}" name="Produto"/>
    <tableColumn id="32" xr3:uid="{E58FEA6A-ADEF-4017-99E0-DAC8C2F6F457}" name="Rendimento (g)" dataDxfId="23"/>
    <tableColumn id="2" xr3:uid="{31A466EA-A149-460F-9680-6ECE9C13F346}" name="Ingrediente_1"/>
    <tableColumn id="3" xr3:uid="{4981DB06-D463-4C82-966D-8EA9515F227C}" name="Quantidade_1" dataDxfId="22"/>
    <tableColumn id="33" xr3:uid="{D6962F84-80AE-4795-9044-36EA53549285}" name="Quantidade_utilizada_1" dataDxfId="21">
      <calculatedColumnFormula>SUMIFS(Produção!AT:AT,Produção!B:B,Tabela5[[#This Row],[Produto]])*Tabela5[[#This Row],[Quantidade_1]]/Tabela5[[#This Row],[Rendimento (g)]]</calculatedColumnFormula>
    </tableColumn>
    <tableColumn id="4" xr3:uid="{D403E726-4F38-47D0-A6CD-795E5235E155}" name="Medida_1" dataDxfId="20">
      <calculatedColumnFormula>IFERROR(VLOOKUP(Tabela5[[#This Row],[Ingrediente_1]],Tabela2[[Materiais]:[Unidade]],2,0),"")</calculatedColumnFormula>
    </tableColumn>
    <tableColumn id="5" xr3:uid="{4B380D8D-B874-486F-81D2-47C6FC665D54}" name="Ingrediente_2"/>
    <tableColumn id="6" xr3:uid="{D7DC3FA9-CCF7-4DA2-8161-86A81261E853}" name="Quantidade_2"/>
    <tableColumn id="34" xr3:uid="{687CEC23-C240-4F25-98DD-FD6111E9FF88}" name="Quantidade_utilizada_2" dataDxfId="19">
      <calculatedColumnFormula>SUMIFS(Produção!AT:AT,Produção!B:B,Tabela5[[#This Row],[Produto]])*Tabela5[[#This Row],[Quantidade_2]]/Tabela5[[#This Row],[Rendimento (g)]]</calculatedColumnFormula>
    </tableColumn>
    <tableColumn id="7" xr3:uid="{BA7CAECC-3DE2-43B3-BB9E-862B0257FD51}" name="Medida_2" dataDxfId="18">
      <calculatedColumnFormula>IFERROR(VLOOKUP(Tabela5[[#This Row],[Ingrediente_2]],Tabela2[[Materiais]:[Unidade]],2,0),"")</calculatedColumnFormula>
    </tableColumn>
    <tableColumn id="8" xr3:uid="{46C39E77-DBD4-4F42-B10B-E9DD2A097A3D}" name="Ingrediente_3"/>
    <tableColumn id="9" xr3:uid="{A0036FE9-CE8C-4588-A5C6-2305BEFE90AD}" name="Quantidade_3"/>
    <tableColumn id="35" xr3:uid="{15C0F8BD-9E6D-4E59-A71F-48DA4F6D3291}" name="Quantidade_utilizada_3" dataDxfId="17">
      <calculatedColumnFormula>SUMIFS(Produção!AT:AT,Produção!B:B,Tabela5[[#This Row],[Produto]])*Tabela5[[#This Row],[Quantidade_3]]/Tabela5[[#This Row],[Rendimento (g)]]</calculatedColumnFormula>
    </tableColumn>
    <tableColumn id="10" xr3:uid="{5AFFC22E-B983-4EF8-92F6-39E9EDCA53FC}" name="Medida_3" dataDxfId="16">
      <calculatedColumnFormula>IFERROR(VLOOKUP(Tabela5[[#This Row],[Ingrediente_3]],Tabela2[[Materiais]:[Unidade]],2,0),"")</calculatedColumnFormula>
    </tableColumn>
    <tableColumn id="11" xr3:uid="{372E41D0-78E0-4B38-9AB7-A4D86627A8BD}" name="Ingrediente_4"/>
    <tableColumn id="12" xr3:uid="{F37ADDBD-B3CD-494B-8124-9B97D7CAB510}" name="Quantidade_4"/>
    <tableColumn id="36" xr3:uid="{8092DE7A-2164-4FDE-A1AC-FE0BA03E0AE8}" name="Quantidade_utilizada_4" dataDxfId="15">
      <calculatedColumnFormula>SUMIFS(Produção!AT:AT,Produção!B:B,Tabela5[[#This Row],[Produto]])*Tabela5[[#This Row],[Quantidade_4]]/Tabela5[[#This Row],[Rendimento (g)]]</calculatedColumnFormula>
    </tableColumn>
    <tableColumn id="13" xr3:uid="{AAD578DF-1660-4621-97C5-93ABF281C84C}" name="Medida_4" dataDxfId="14">
      <calculatedColumnFormula>IFERROR(VLOOKUP(Tabela5[[#This Row],[Ingrediente_4]],Tabela2[[Materiais]:[Unidade]],2,0),"")</calculatedColumnFormula>
    </tableColumn>
    <tableColumn id="14" xr3:uid="{998F5006-FB82-451C-B605-FC9F2826C5FC}" name="Ingrediente_5"/>
    <tableColumn id="15" xr3:uid="{8C9340DA-7E7E-438D-AB5F-5B6F77BE88E0}" name="Quantidade_5"/>
    <tableColumn id="37" xr3:uid="{00184350-A897-4556-806B-9257CA98E0C8}" name="Quantidade_utilizada_5" dataDxfId="13">
      <calculatedColumnFormula>SUMIFS(Produção!AT:AT,Produção!B:B,Tabela5[[#This Row],[Produto]])*Tabela5[[#This Row],[Quantidade_5]]/Tabela5[[#This Row],[Rendimento (g)]]</calculatedColumnFormula>
    </tableColumn>
    <tableColumn id="16" xr3:uid="{EB33704A-34FE-469C-9E14-97EE8577748B}" name="Medida_5" dataDxfId="12">
      <calculatedColumnFormula>IFERROR(VLOOKUP(Tabela5[[#This Row],[Ingrediente_5]],Tabela2[[Materiais]:[Unidade]],2,0),"")</calculatedColumnFormula>
    </tableColumn>
    <tableColumn id="17" xr3:uid="{6E0504E0-6479-48E3-9C14-F1DFBBF7DD35}" name="Ingrediente_6"/>
    <tableColumn id="18" xr3:uid="{9C895857-4700-4AC4-87DB-3724D8CBF966}" name="Quantidade_6"/>
    <tableColumn id="38" xr3:uid="{5BA34934-10C4-438F-9C7F-0FD516C55478}" name="Quantidade_utilizada_6" dataDxfId="11">
      <calculatedColumnFormula>SUMIFS(Produção!AT:AT,Produção!B:B,Tabela5[[#This Row],[Produto]])*Tabela5[[#This Row],[Quantidade_6]]/Tabela5[[#This Row],[Rendimento (g)]]</calculatedColumnFormula>
    </tableColumn>
    <tableColumn id="19" xr3:uid="{0D21BE0E-FCA9-4BCA-AAB8-99ACEF14420C}" name="Medida_6" dataDxfId="10">
      <calculatedColumnFormula>IFERROR(VLOOKUP(Tabela5[[#This Row],[Ingrediente_6]],Tabela2[[Materiais]:[Unidade]],2,0),"")</calculatedColumnFormula>
    </tableColumn>
    <tableColumn id="20" xr3:uid="{5FB8B2A5-C057-4F7F-A588-F7E4897DA207}" name="Ingrediente_7"/>
    <tableColumn id="21" xr3:uid="{51385053-B5AE-443B-B408-E484860CFA4E}" name="Quantidade_7"/>
    <tableColumn id="39" xr3:uid="{59C72C79-223A-4364-9303-E3711B4C278D}" name="Quantidade_utilizada_7" dataDxfId="9">
      <calculatedColumnFormula>SUMIFS(Produção!AT:AT,Produção!B:B,Tabela5[[#This Row],[Produto]])*Tabela5[[#This Row],[Quantidade_7]]/Tabela5[[#This Row],[Rendimento (g)]]</calculatedColumnFormula>
    </tableColumn>
    <tableColumn id="22" xr3:uid="{F17352F7-5957-4513-9A08-DF0ADAF71A9F}" name="Medida_7" dataDxfId="8">
      <calculatedColumnFormula>IFERROR(VLOOKUP(Tabela5[[#This Row],[Ingrediente_7]],Tabela2[[Materiais]:[Unidade]],2,0),"")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5590BC-33FD-45A4-9E10-F86CED973C60}" name="Tabela6" displayName="Tabela6" ref="B4:I2466" totalsRowShown="0" headerRowDxfId="7">
  <autoFilter ref="B4:I2466" xr:uid="{635590BC-33FD-45A4-9E10-F86CED973C60}"/>
  <tableColumns count="8">
    <tableColumn id="1" xr3:uid="{3DDDC863-5F29-4BB4-96D1-F88937162ABB}" name="Data" dataDxfId="6"/>
    <tableColumn id="10" xr3:uid="{03D8A7D9-4EA1-4C9A-9F27-53E02F03506F}" name="Mês" dataDxfId="5">
      <calculatedColumnFormula>MONTH(Tabela6[[#This Row],[Data]])</calculatedColumnFormula>
    </tableColumn>
    <tableColumn id="9" xr3:uid="{51EB6FDE-B62A-44CA-A95C-AE5E503DB2D8}" name="Ano" dataDxfId="4">
      <calculatedColumnFormula>YEAR(Tabela6[[#This Row],[Data]])</calculatedColumnFormula>
    </tableColumn>
    <tableColumn id="2" xr3:uid="{57DE76F7-E152-4D52-A2EB-C49CF0FE33ED}" name="Departamento" dataDxfId="3"/>
    <tableColumn id="3" xr3:uid="{0123AD0D-493D-41AE-A0A4-3AC85C9096E7}" name="Descrição"/>
    <tableColumn id="6" xr3:uid="{15DE0AFF-2DB6-4DDC-9B42-1D0ADDCF43BE}" name="Valor" dataDxfId="2" dataCellStyle="Moeda"/>
    <tableColumn id="7" xr3:uid="{CBF340E4-B68B-4753-BB55-F491C118CC0A}" name="Quantidade"/>
    <tableColumn id="8" xr3:uid="{1F4403A8-B092-4E00-9A80-0317577CE3BA}" name="Unidade" dataDxfId="1">
      <calculatedColumnFormula>IFERROR(VLOOKUP(Tabela6[[#This Row],[Descrição]],Materiais!B:C,2,0),"")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6743-1443-4EAD-BB8E-4889DFD5B58B}">
  <sheetPr>
    <tabColor theme="4" tint="0.39997558519241921"/>
  </sheetPr>
  <dimension ref="B1:F23"/>
  <sheetViews>
    <sheetView showGridLines="0" tabSelected="1" topLeftCell="A4" zoomScale="130" zoomScaleNormal="130" workbookViewId="0">
      <selection activeCell="B4" sqref="B4"/>
    </sheetView>
  </sheetViews>
  <sheetFormatPr defaultRowHeight="14.45"/>
  <cols>
    <col min="1" max="1" width="1.28515625" customWidth="1"/>
    <col min="2" max="2" width="32.7109375" bestFit="1" customWidth="1"/>
    <col min="3" max="3" width="10" customWidth="1"/>
    <col min="4" max="4" width="20.7109375" bestFit="1" customWidth="1"/>
    <col min="5" max="5" width="9.28515625" bestFit="1" customWidth="1"/>
    <col min="6" max="6" width="12" bestFit="1" customWidth="1"/>
    <col min="9" max="9" width="11" bestFit="1" customWidth="1"/>
  </cols>
  <sheetData>
    <row r="1" spans="2:6" ht="4.9000000000000004" customHeight="1"/>
    <row r="2" spans="2:6" ht="20.45" customHeight="1">
      <c r="B2" s="28" t="s">
        <v>0</v>
      </c>
      <c r="C2" s="1"/>
      <c r="D2" s="1"/>
      <c r="E2" s="1"/>
      <c r="F2" s="2"/>
    </row>
    <row r="3" spans="2:6" ht="4.9000000000000004" customHeight="1"/>
    <row r="4" spans="2:6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>
      <c r="B5" t="s">
        <v>5</v>
      </c>
      <c r="C5" t="s">
        <v>6</v>
      </c>
      <c r="D5">
        <v>1000</v>
      </c>
      <c r="E5" s="21">
        <v>3.58</v>
      </c>
      <c r="F5" s="3">
        <v>3.5800000000000003E-3</v>
      </c>
    </row>
    <row r="6" spans="2:6">
      <c r="B6" t="s">
        <v>7</v>
      </c>
      <c r="C6" t="s">
        <v>6</v>
      </c>
      <c r="D6">
        <v>1000</v>
      </c>
      <c r="E6" s="21">
        <v>1.94</v>
      </c>
      <c r="F6" s="3">
        <v>1.9399999999999999E-3</v>
      </c>
    </row>
    <row r="7" spans="2:6">
      <c r="B7" t="s">
        <v>8</v>
      </c>
      <c r="C7" t="s">
        <v>6</v>
      </c>
      <c r="D7">
        <v>211</v>
      </c>
      <c r="E7" s="21">
        <v>1.79</v>
      </c>
      <c r="F7" s="3">
        <v>8.4834123222748813E-3</v>
      </c>
    </row>
    <row r="8" spans="2:6">
      <c r="B8" t="s">
        <v>9</v>
      </c>
      <c r="C8" t="s">
        <v>6</v>
      </c>
      <c r="D8">
        <v>1050</v>
      </c>
      <c r="E8" s="21">
        <v>24.7</v>
      </c>
      <c r="F8" s="3">
        <v>2.3523809523809523E-2</v>
      </c>
    </row>
    <row r="9" spans="2:6">
      <c r="B9" t="s">
        <v>10</v>
      </c>
      <c r="C9" t="s">
        <v>6</v>
      </c>
      <c r="D9">
        <v>1050</v>
      </c>
      <c r="E9" s="21">
        <v>29.45</v>
      </c>
      <c r="F9" s="3">
        <v>2.8047619047619047E-2</v>
      </c>
    </row>
    <row r="10" spans="2:6">
      <c r="B10" t="s">
        <v>11</v>
      </c>
      <c r="C10" t="s">
        <v>6</v>
      </c>
      <c r="D10">
        <v>500</v>
      </c>
      <c r="E10" s="21">
        <v>19.600000000000001</v>
      </c>
      <c r="F10" s="3">
        <v>3.9200000000000006E-2</v>
      </c>
    </row>
    <row r="11" spans="2:6">
      <c r="B11" t="s">
        <v>12</v>
      </c>
      <c r="C11" t="s">
        <v>6</v>
      </c>
      <c r="D11">
        <v>1000</v>
      </c>
      <c r="E11" s="21">
        <v>12</v>
      </c>
      <c r="F11" s="3">
        <v>1.2E-2</v>
      </c>
    </row>
    <row r="12" spans="2:6">
      <c r="B12" t="s">
        <v>13</v>
      </c>
      <c r="C12" t="s">
        <v>6</v>
      </c>
      <c r="D12">
        <v>50</v>
      </c>
      <c r="E12" s="21">
        <v>3.9</v>
      </c>
      <c r="F12" s="3">
        <v>7.8E-2</v>
      </c>
    </row>
    <row r="13" spans="2:6">
      <c r="B13" t="s">
        <v>14</v>
      </c>
      <c r="C13" t="s">
        <v>6</v>
      </c>
      <c r="D13">
        <v>300</v>
      </c>
      <c r="E13" s="21">
        <v>6.9</v>
      </c>
      <c r="F13" s="3">
        <v>2.3E-2</v>
      </c>
    </row>
    <row r="14" spans="2:6">
      <c r="B14" t="s">
        <v>15</v>
      </c>
      <c r="C14" t="s">
        <v>6</v>
      </c>
      <c r="D14">
        <v>1000</v>
      </c>
      <c r="E14" s="21">
        <v>17.5</v>
      </c>
      <c r="F14" s="3">
        <v>1.7500000000000002E-2</v>
      </c>
    </row>
    <row r="15" spans="2:6">
      <c r="B15" t="s">
        <v>16</v>
      </c>
      <c r="C15" t="s">
        <v>6</v>
      </c>
      <c r="D15">
        <v>1000</v>
      </c>
      <c r="E15" s="21">
        <v>31.5</v>
      </c>
      <c r="F15" s="3">
        <v>3.15E-2</v>
      </c>
    </row>
    <row r="16" spans="2:6">
      <c r="B16" t="s">
        <v>17</v>
      </c>
      <c r="C16" t="s">
        <v>6</v>
      </c>
      <c r="D16">
        <v>200</v>
      </c>
      <c r="E16" s="21">
        <v>2.9</v>
      </c>
      <c r="F16" s="3">
        <v>1.4499999999999999E-2</v>
      </c>
    </row>
    <row r="17" spans="2:6">
      <c r="B17" t="s">
        <v>18</v>
      </c>
      <c r="C17" t="s">
        <v>6</v>
      </c>
      <c r="D17">
        <v>395</v>
      </c>
      <c r="E17" s="21">
        <v>6.8</v>
      </c>
      <c r="F17" s="3">
        <v>1.7215189873417722E-2</v>
      </c>
    </row>
    <row r="18" spans="2:6">
      <c r="B18" t="s">
        <v>19</v>
      </c>
      <c r="C18" t="s">
        <v>6</v>
      </c>
      <c r="D18">
        <v>1000</v>
      </c>
      <c r="E18" s="21">
        <v>2.8</v>
      </c>
      <c r="F18" s="3">
        <v>2.8E-3</v>
      </c>
    </row>
    <row r="19" spans="2:6">
      <c r="B19" t="s">
        <v>20</v>
      </c>
      <c r="C19" t="s">
        <v>6</v>
      </c>
      <c r="D19">
        <v>395</v>
      </c>
      <c r="E19" s="21">
        <v>4</v>
      </c>
      <c r="F19" s="3">
        <v>1.0126582278481013E-2</v>
      </c>
    </row>
    <row r="20" spans="2:6">
      <c r="B20" t="s">
        <v>21</v>
      </c>
      <c r="C20" t="s">
        <v>6</v>
      </c>
      <c r="D20">
        <v>1000</v>
      </c>
      <c r="E20" s="21">
        <v>3.5</v>
      </c>
      <c r="F20" s="3">
        <v>3.5000000000000001E-3</v>
      </c>
    </row>
    <row r="21" spans="2:6">
      <c r="B21" t="s">
        <v>22</v>
      </c>
      <c r="C21" t="s">
        <v>6</v>
      </c>
      <c r="D21">
        <v>200</v>
      </c>
      <c r="E21" s="21">
        <v>9</v>
      </c>
      <c r="F21" s="3">
        <v>4.4999999999999998E-2</v>
      </c>
    </row>
    <row r="22" spans="2:6">
      <c r="B22" t="s">
        <v>23</v>
      </c>
      <c r="C22" t="s">
        <v>6</v>
      </c>
      <c r="D22">
        <v>1000</v>
      </c>
      <c r="E22" s="21">
        <v>69.900000000000006</v>
      </c>
      <c r="F22" s="3">
        <v>6.9900000000000004E-2</v>
      </c>
    </row>
    <row r="23" spans="2:6">
      <c r="B23" t="s">
        <v>24</v>
      </c>
      <c r="C23" t="s">
        <v>6</v>
      </c>
      <c r="D23">
        <v>1000</v>
      </c>
      <c r="E23" s="21">
        <v>59.9</v>
      </c>
      <c r="F23" s="3">
        <v>5.9900000000000002E-2</v>
      </c>
    </row>
  </sheetData>
  <sortState xmlns:xlrd2="http://schemas.microsoft.com/office/spreadsheetml/2017/richdata2" ref="I4:J11">
    <sortCondition ref="J4:J11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22E8-0D8A-47F3-A52D-43A163A6D9E1}">
  <sheetPr>
    <tabColor theme="4" tint="0.39997558519241921"/>
  </sheetPr>
  <dimension ref="B1:AE11"/>
  <sheetViews>
    <sheetView showGridLines="0" workbookViewId="0">
      <selection activeCell="AB17" sqref="AB17"/>
    </sheetView>
  </sheetViews>
  <sheetFormatPr defaultRowHeight="14.45"/>
  <cols>
    <col min="1" max="1" width="2.42578125" customWidth="1"/>
    <col min="2" max="2" width="23.42578125" customWidth="1"/>
    <col min="3" max="3" width="14.28515625" bestFit="1" customWidth="1"/>
    <col min="4" max="4" width="15.7109375" bestFit="1" customWidth="1"/>
    <col min="5" max="5" width="12.85546875" bestFit="1" customWidth="1"/>
    <col min="6" max="6" width="21.140625" hidden="1" customWidth="1"/>
    <col min="7" max="7" width="9.85546875" customWidth="1"/>
    <col min="8" max="8" width="15.28515625" bestFit="1" customWidth="1"/>
    <col min="9" max="9" width="14.7109375" customWidth="1"/>
    <col min="10" max="10" width="21.140625" hidden="1" customWidth="1"/>
    <col min="11" max="12" width="26.5703125" bestFit="1" customWidth="1"/>
    <col min="13" max="13" width="11.28515625" customWidth="1"/>
    <col min="14" max="14" width="21.140625" hidden="1" customWidth="1"/>
    <col min="15" max="15" width="14.7109375" customWidth="1"/>
    <col min="16" max="16" width="26.5703125" customWidth="1"/>
    <col min="17" max="17" width="16.7109375" bestFit="1" customWidth="1"/>
    <col min="18" max="18" width="21.140625" hidden="1" customWidth="1"/>
    <col min="19" max="19" width="11.28515625" customWidth="1"/>
    <col min="20" max="20" width="26.5703125" customWidth="1"/>
    <col min="21" max="21" width="14.7109375" customWidth="1"/>
    <col min="22" max="22" width="21.140625" hidden="1" customWidth="1"/>
    <col min="23" max="23" width="20.85546875" customWidth="1"/>
    <col min="24" max="24" width="26.5703125" customWidth="1"/>
    <col min="25" max="25" width="11.28515625" customWidth="1"/>
    <col min="26" max="26" width="0" hidden="1" customWidth="1"/>
    <col min="27" max="27" width="9.42578125" bestFit="1" customWidth="1"/>
    <col min="28" max="28" width="26.5703125" customWidth="1"/>
    <col min="29" max="29" width="12.85546875" bestFit="1" customWidth="1"/>
    <col min="30" max="30" width="21.140625" hidden="1" customWidth="1"/>
    <col min="31" max="31" width="9.42578125" bestFit="1" customWidth="1"/>
  </cols>
  <sheetData>
    <row r="1" spans="2:31" ht="4.9000000000000004" customHeight="1"/>
    <row r="2" spans="2:31" ht="28.9">
      <c r="B2" s="1" t="s">
        <v>25</v>
      </c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A2" s="2"/>
      <c r="AB2" s="2"/>
      <c r="AC2" s="2"/>
      <c r="AD2" s="2"/>
      <c r="AE2" s="2"/>
    </row>
    <row r="3" spans="2:31" ht="4.9000000000000004" customHeight="1"/>
    <row r="4" spans="2:31"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54</v>
      </c>
      <c r="AE4" t="s">
        <v>55</v>
      </c>
    </row>
    <row r="5" spans="2:31">
      <c r="B5" t="s">
        <v>56</v>
      </c>
      <c r="C5">
        <v>600</v>
      </c>
      <c r="D5" t="s">
        <v>57</v>
      </c>
      <c r="E5" s="20">
        <v>395</v>
      </c>
      <c r="F5" s="34">
        <f>SUMIFS(Produção!AT:AT,Produção!B:B,Tabela5[[#This Row],[Produto]])*Tabela5[[#This Row],[Quantidade_1]]/Tabela5[[#This Row],[Rendimento (g)]]</f>
        <v>1316.6666666666667</v>
      </c>
      <c r="G5" s="22" t="str">
        <f>IFERROR(VLOOKUP(Tabela5[[#This Row],[Ingrediente_1]],Tabela2[[Materiais]:[Unidade]],2,0),"")</f>
        <v>g</v>
      </c>
      <c r="H5" t="s">
        <v>22</v>
      </c>
      <c r="I5">
        <v>15</v>
      </c>
      <c r="J5" s="18">
        <f>SUMIFS(Produção!AT:AT,Produção!B:B,Tabela5[[#This Row],[Produto]])*Tabela5[[#This Row],[Quantidade_2]]/Tabela5[[#This Row],[Rendimento (g)]]</f>
        <v>50</v>
      </c>
      <c r="K5" s="22" t="str">
        <f>IFERROR(VLOOKUP(Tabela5[[#This Row],[Ingrediente_2]],Tabela2[[Materiais]:[Unidade]],2,0),"")</f>
        <v>g</v>
      </c>
      <c r="L5" t="s">
        <v>11</v>
      </c>
      <c r="M5">
        <v>6</v>
      </c>
      <c r="N5" s="18">
        <f>SUMIFS(Produção!AT:AT,Produção!B:B,Tabela5[[#This Row],[Produto]])*Tabela5[[#This Row],[Quantidade_3]]/Tabela5[[#This Row],[Rendimento (g)]]</f>
        <v>20</v>
      </c>
      <c r="O5" s="22" t="str">
        <f>IFERROR(VLOOKUP(Tabela5[[#This Row],[Ingrediente_3]],Tabela2[[Materiais]:[Unidade]],2,0),"")</f>
        <v>g</v>
      </c>
      <c r="P5" t="s">
        <v>17</v>
      </c>
      <c r="Q5">
        <v>50</v>
      </c>
      <c r="R5" s="18">
        <f>SUMIFS(Produção!AT:AT,Produção!B:B,Tabela5[[#This Row],[Produto]])*Tabela5[[#This Row],[Quantidade_4]]/Tabela5[[#This Row],[Rendimento (g)]]</f>
        <v>166.66666666666666</v>
      </c>
      <c r="S5" s="22" t="str">
        <f>IFERROR(VLOOKUP(Tabela5[[#This Row],[Ingrediente_4]],Tabela2[[Materiais]:[Unidade]],2,0),"")</f>
        <v>g</v>
      </c>
      <c r="T5" t="s">
        <v>19</v>
      </c>
      <c r="U5">
        <v>9</v>
      </c>
      <c r="V5" s="18">
        <f>SUMIFS(Produção!AT:AT,Produção!B:B,Tabela5[[#This Row],[Produto]])*Tabela5[[#This Row],[Quantidade_5]]/Tabela5[[#This Row],[Rendimento (g)]]</f>
        <v>30</v>
      </c>
      <c r="W5" s="22" t="str">
        <f>IFERROR(VLOOKUP(Tabela5[[#This Row],[Ingrediente_5]],Tabela2[[Materiais]:[Unidade]],2,0),"")</f>
        <v>g</v>
      </c>
      <c r="X5" t="s">
        <v>9</v>
      </c>
      <c r="Y5">
        <v>200</v>
      </c>
      <c r="Z5" s="18">
        <f>SUMIFS(Produção!AT:AT,Produção!B:B,Tabela5[[#This Row],[Produto]])*Tabela5[[#This Row],[Quantidade_6]]/Tabela5[[#This Row],[Rendimento (g)]]</f>
        <v>666.66666666666663</v>
      </c>
      <c r="AA5" s="22" t="str">
        <f>IFERROR(VLOOKUP(Tabela5[[#This Row],[Ingrediente_6]],Tabela2[[Materiais]:[Unidade]],2,0),"")</f>
        <v>g</v>
      </c>
      <c r="AD5">
        <f>SUMIFS(Produção!AT:AT,Produção!B:B,Tabela5[[#This Row],[Produto]])*Tabela5[[#This Row],[Quantidade_7]]/Tabela5[[#This Row],[Rendimento (g)]]</f>
        <v>0</v>
      </c>
      <c r="AE5" s="22" t="str">
        <f>IFERROR(VLOOKUP(Tabela5[[#This Row],[Ingrediente_7]],Tabela2[[Materiais]:[Unidade]],2,0),"")</f>
        <v/>
      </c>
    </row>
    <row r="6" spans="2:31">
      <c r="B6" t="s">
        <v>58</v>
      </c>
      <c r="C6">
        <v>550</v>
      </c>
      <c r="D6" t="s">
        <v>57</v>
      </c>
      <c r="E6" s="20">
        <v>395</v>
      </c>
      <c r="F6" s="34">
        <f>SUMIFS(Produção!AT:AT,Produção!B:B,Tabela5[[#This Row],[Produto]])*Tabela5[[#This Row],[Quantidade_1]]/Tabela5[[#This Row],[Rendimento (g)]]</f>
        <v>718.18181818181813</v>
      </c>
      <c r="G6" s="22" t="str">
        <f>IFERROR(VLOOKUP(Tabela5[[#This Row],[Ingrediente_1]],Tabela2[[Materiais]:[Unidade]],2,0),"")</f>
        <v>g</v>
      </c>
      <c r="H6" t="s">
        <v>22</v>
      </c>
      <c r="I6">
        <v>15</v>
      </c>
      <c r="J6" s="18">
        <f>SUMIFS(Produção!AT:AT,Produção!B:B,Tabela5[[#This Row],[Produto]])*Tabela5[[#This Row],[Quantidade_2]]/Tabela5[[#This Row],[Rendimento (g)]]</f>
        <v>27.272727272727273</v>
      </c>
      <c r="K6" s="22" t="str">
        <f>IFERROR(VLOOKUP(Tabela5[[#This Row],[Ingrediente_2]],Tabela2[[Materiais]:[Unidade]],2,0),"")</f>
        <v>g</v>
      </c>
      <c r="L6" t="s">
        <v>10</v>
      </c>
      <c r="M6">
        <v>40</v>
      </c>
      <c r="N6" s="18">
        <f>SUMIFS(Produção!AT:AT,Produção!B:B,Tabela5[[#This Row],[Produto]])*Tabela5[[#This Row],[Quantidade_3]]/Tabela5[[#This Row],[Rendimento (g)]]</f>
        <v>72.727272727272734</v>
      </c>
      <c r="O6" s="22" t="str">
        <f>IFERROR(VLOOKUP(Tabela5[[#This Row],[Ingrediente_3]],Tabela2[[Materiais]:[Unidade]],2,0),"")</f>
        <v>g</v>
      </c>
      <c r="P6" t="s">
        <v>15</v>
      </c>
      <c r="Q6">
        <v>50</v>
      </c>
      <c r="R6" s="18">
        <f>SUMIFS(Produção!AT:AT,Produção!B:B,Tabela5[[#This Row],[Produto]])*Tabela5[[#This Row],[Quantidade_4]]/Tabela5[[#This Row],[Rendimento (g)]]</f>
        <v>90.909090909090907</v>
      </c>
      <c r="S6" s="22" t="str">
        <f>IFERROR(VLOOKUP(Tabela5[[#This Row],[Ingrediente_4]],Tabela2[[Materiais]:[Unidade]],2,0),"")</f>
        <v>g</v>
      </c>
      <c r="T6" t="s">
        <v>16</v>
      </c>
      <c r="U6">
        <v>60</v>
      </c>
      <c r="V6" s="18">
        <f>SUMIFS(Produção!AT:AT,Produção!B:B,Tabela5[[#This Row],[Produto]])*Tabela5[[#This Row],[Quantidade_5]]/Tabela5[[#This Row],[Rendimento (g)]]</f>
        <v>109.09090909090909</v>
      </c>
      <c r="W6" s="22" t="str">
        <f>IFERROR(VLOOKUP(Tabela5[[#This Row],[Ingrediente_5]],Tabela2[[Materiais]:[Unidade]],2,0),"")</f>
        <v>g</v>
      </c>
      <c r="Z6" s="18">
        <f>SUMIFS(Produção!AT:AT,Produção!B:B,Tabela5[[#This Row],[Produto]])*Tabela5[[#This Row],[Quantidade_6]]/Tabela5[[#This Row],[Rendimento (g)]]</f>
        <v>0</v>
      </c>
      <c r="AA6" s="22" t="str">
        <f>IFERROR(VLOOKUP(Tabela5[[#This Row],[Ingrediente_6]],Tabela2[[Materiais]:[Unidade]],2,0),"")</f>
        <v/>
      </c>
      <c r="AD6">
        <f>SUMIFS(Produção!AT:AT,Produção!B:B,Tabela5[[#This Row],[Produto]])*Tabela5[[#This Row],[Quantidade_7]]/Tabela5[[#This Row],[Rendimento (g)]]</f>
        <v>0</v>
      </c>
      <c r="AE6" s="22" t="str">
        <f>IFERROR(VLOOKUP(Tabela5[[#This Row],[Ingrediente_7]],Tabela2[[Materiais]:[Unidade]],2,0),"")</f>
        <v/>
      </c>
    </row>
    <row r="7" spans="2:31">
      <c r="B7" t="s">
        <v>59</v>
      </c>
      <c r="C7">
        <v>500</v>
      </c>
      <c r="D7" t="s">
        <v>57</v>
      </c>
      <c r="E7" s="20">
        <v>395</v>
      </c>
      <c r="F7" s="34">
        <f>SUMIFS(Produção!AT:AT,Produção!B:B,Tabela5[[#This Row],[Produto]])*Tabela5[[#This Row],[Quantidade_1]]/Tabela5[[#This Row],[Rendimento (g)]]</f>
        <v>790</v>
      </c>
      <c r="G7" s="22" t="str">
        <f>IFERROR(VLOOKUP(Tabela5[[#This Row],[Ingrediente_1]],Tabela2[[Materiais]:[Unidade]],2,0),"")</f>
        <v>g</v>
      </c>
      <c r="H7" t="s">
        <v>22</v>
      </c>
      <c r="I7">
        <v>15</v>
      </c>
      <c r="J7" s="18">
        <f>SUMIFS(Produção!AT:AT,Produção!B:B,Tabela5[[#This Row],[Produto]])*Tabela5[[#This Row],[Quantidade_2]]/Tabela5[[#This Row],[Rendimento (g)]]</f>
        <v>30</v>
      </c>
      <c r="K7" s="22" t="str">
        <f>IFERROR(VLOOKUP(Tabela5[[#This Row],[Ingrediente_2]],Tabela2[[Materiais]:[Unidade]],2,0),"")</f>
        <v>g</v>
      </c>
      <c r="L7" t="s">
        <v>24</v>
      </c>
      <c r="M7">
        <v>27</v>
      </c>
      <c r="N7" s="18">
        <f>SUMIFS(Produção!AT:AT,Produção!B:B,Tabela5[[#This Row],[Produto]])*Tabela5[[#This Row],[Quantidade_3]]/Tabela5[[#This Row],[Rendimento (g)]]</f>
        <v>54</v>
      </c>
      <c r="O7" s="22" t="str">
        <f>IFERROR(VLOOKUP(Tabela5[[#This Row],[Ingrediente_3]],Tabela2[[Materiais]:[Unidade]],2,0),"")</f>
        <v>g</v>
      </c>
      <c r="P7" t="s">
        <v>23</v>
      </c>
      <c r="Q7">
        <v>50</v>
      </c>
      <c r="R7" s="18">
        <f>SUMIFS(Produção!AT:AT,Produção!B:B,Tabela5[[#This Row],[Produto]])*Tabela5[[#This Row],[Quantidade_4]]/Tabela5[[#This Row],[Rendimento (g)]]</f>
        <v>100</v>
      </c>
      <c r="S7" s="22" t="str">
        <f>IFERROR(VLOOKUP(Tabela5[[#This Row],[Ingrediente_4]],Tabela2[[Materiais]:[Unidade]],2,0),"")</f>
        <v>g</v>
      </c>
      <c r="T7" t="s">
        <v>5</v>
      </c>
      <c r="U7">
        <v>40</v>
      </c>
      <c r="V7" s="18">
        <f>SUMIFS(Produção!AT:AT,Produção!B:B,Tabela5[[#This Row],[Produto]])*Tabela5[[#This Row],[Quantidade_5]]/Tabela5[[#This Row],[Rendimento (g)]]</f>
        <v>80</v>
      </c>
      <c r="W7" s="22" t="str">
        <f>IFERROR(VLOOKUP(Tabela5[[#This Row],[Ingrediente_5]],Tabela2[[Materiais]:[Unidade]],2,0),"")</f>
        <v>g</v>
      </c>
      <c r="Z7" s="18">
        <f>SUMIFS(Produção!AT:AT,Produção!B:B,Tabela5[[#This Row],[Produto]])*Tabela5[[#This Row],[Quantidade_6]]/Tabela5[[#This Row],[Rendimento (g)]]</f>
        <v>0</v>
      </c>
      <c r="AA7" s="22" t="str">
        <f>IFERROR(VLOOKUP(Tabela5[[#This Row],[Ingrediente_6]],Tabela2[[Materiais]:[Unidade]],2,0),"")</f>
        <v/>
      </c>
      <c r="AD7">
        <f>SUMIFS(Produção!AT:AT,Produção!B:B,Tabela5[[#This Row],[Produto]])*Tabela5[[#This Row],[Quantidade_7]]/Tabela5[[#This Row],[Rendimento (g)]]</f>
        <v>0</v>
      </c>
      <c r="AE7" s="22" t="str">
        <f>IFERROR(VLOOKUP(Tabela5[[#This Row],[Ingrediente_7]],Tabela2[[Materiais]:[Unidade]],2,0),"")</f>
        <v/>
      </c>
    </row>
    <row r="8" spans="2:31">
      <c r="B8" t="s">
        <v>60</v>
      </c>
      <c r="C8">
        <v>500</v>
      </c>
      <c r="D8" t="s">
        <v>57</v>
      </c>
      <c r="E8" s="20">
        <v>395</v>
      </c>
      <c r="F8" s="34">
        <f>SUMIFS(Produção!AT:AT,Produção!B:B,Tabela5[[#This Row],[Produto]])*Tabela5[[#This Row],[Quantidade_1]]/Tabela5[[#This Row],[Rendimento (g)]]</f>
        <v>790</v>
      </c>
      <c r="G8" s="22" t="str">
        <f>IFERROR(VLOOKUP(Tabela5[[#This Row],[Ingrediente_1]],Tabela2[[Materiais]:[Unidade]],2,0),"")</f>
        <v>g</v>
      </c>
      <c r="H8" t="s">
        <v>22</v>
      </c>
      <c r="I8">
        <v>15</v>
      </c>
      <c r="J8" s="18">
        <f>SUMIFS(Produção!AT:AT,Produção!B:B,Tabela5[[#This Row],[Produto]])*Tabela5[[#This Row],[Quantidade_2]]/Tabela5[[#This Row],[Rendimento (g)]]</f>
        <v>30</v>
      </c>
      <c r="K8" s="22" t="str">
        <f>IFERROR(VLOOKUP(Tabela5[[#This Row],[Ingrediente_2]],Tabela2[[Materiais]:[Unidade]],2,0),"")</f>
        <v>g</v>
      </c>
      <c r="L8" t="s">
        <v>9</v>
      </c>
      <c r="M8">
        <v>60</v>
      </c>
      <c r="N8" s="18">
        <f>SUMIFS(Produção!AT:AT,Produção!B:B,Tabela5[[#This Row],[Produto]])*Tabela5[[#This Row],[Quantidade_3]]/Tabela5[[#This Row],[Rendimento (g)]]</f>
        <v>120</v>
      </c>
      <c r="O8" s="22" t="str">
        <f>IFERROR(VLOOKUP(Tabela5[[#This Row],[Ingrediente_3]],Tabela2[[Materiais]:[Unidade]],2,0),"")</f>
        <v>g</v>
      </c>
      <c r="P8" t="s">
        <v>12</v>
      </c>
      <c r="Q8">
        <v>5</v>
      </c>
      <c r="R8" s="18">
        <f>SUMIFS(Produção!AT:AT,Produção!B:B,Tabela5[[#This Row],[Produto]])*Tabela5[[#This Row],[Quantidade_4]]/Tabela5[[#This Row],[Rendimento (g)]]</f>
        <v>10</v>
      </c>
      <c r="S8" s="22" t="str">
        <f>IFERROR(VLOOKUP(Tabela5[[#This Row],[Ingrediente_4]],Tabela2[[Materiais]:[Unidade]],2,0),"")</f>
        <v>g</v>
      </c>
      <c r="T8" t="s">
        <v>14</v>
      </c>
      <c r="U8">
        <v>15</v>
      </c>
      <c r="V8" s="18">
        <f>SUMIFS(Produção!AT:AT,Produção!B:B,Tabela5[[#This Row],[Produto]])*Tabela5[[#This Row],[Quantidade_5]]/Tabela5[[#This Row],[Rendimento (g)]]</f>
        <v>30</v>
      </c>
      <c r="W8" s="22" t="str">
        <f>IFERROR(VLOOKUP(Tabela5[[#This Row],[Ingrediente_5]],Tabela2[[Materiais]:[Unidade]],2,0),"")</f>
        <v>g</v>
      </c>
      <c r="X8" t="s">
        <v>5</v>
      </c>
      <c r="Y8">
        <v>50</v>
      </c>
      <c r="Z8" s="18">
        <f>SUMIFS(Produção!AT:AT,Produção!B:B,Tabela5[[#This Row],[Produto]])*Tabela5[[#This Row],[Quantidade_6]]/Tabela5[[#This Row],[Rendimento (g)]]</f>
        <v>100</v>
      </c>
      <c r="AA8" s="22" t="str">
        <f>IFERROR(VLOOKUP(Tabela5[[#This Row],[Ingrediente_6]],Tabela2[[Materiais]:[Unidade]],2,0),"")</f>
        <v>g</v>
      </c>
      <c r="AD8">
        <f>SUMIFS(Produção!AT:AT,Produção!B:B,Tabela5[[#This Row],[Produto]])*Tabela5[[#This Row],[Quantidade_7]]/Tabela5[[#This Row],[Rendimento (g)]]</f>
        <v>0</v>
      </c>
      <c r="AE8" s="22" t="str">
        <f>IFERROR(VLOOKUP(Tabela5[[#This Row],[Ingrediente_7]],Tabela2[[Materiais]:[Unidade]],2,0),"")</f>
        <v/>
      </c>
    </row>
    <row r="9" spans="2:31">
      <c r="B9" t="s">
        <v>61</v>
      </c>
      <c r="C9">
        <v>500</v>
      </c>
      <c r="D9" t="s">
        <v>57</v>
      </c>
      <c r="E9" s="20">
        <v>395</v>
      </c>
      <c r="F9" s="34">
        <f>SUMIFS(Produção!AT:AT,Produção!B:B,Tabela5[[#This Row],[Produto]])*Tabela5[[#This Row],[Quantidade_1]]/Tabela5[[#This Row],[Rendimento (g)]]</f>
        <v>790</v>
      </c>
      <c r="G9" s="22" t="str">
        <f>IFERROR(VLOOKUP(Tabela5[[#This Row],[Ingrediente_1]],Tabela2[[Materiais]:[Unidade]],2,0),"")</f>
        <v>g</v>
      </c>
      <c r="H9" t="s">
        <v>22</v>
      </c>
      <c r="I9">
        <v>15</v>
      </c>
      <c r="J9" s="18">
        <f>SUMIFS(Produção!AT:AT,Produção!B:B,Tabela5[[#This Row],[Produto]])*Tabela5[[#This Row],[Quantidade_2]]/Tabela5[[#This Row],[Rendimento (g)]]</f>
        <v>30</v>
      </c>
      <c r="K9" s="22" t="str">
        <f>IFERROR(VLOOKUP(Tabela5[[#This Row],[Ingrediente_2]],Tabela2[[Materiais]:[Unidade]],2,0),"")</f>
        <v>g</v>
      </c>
      <c r="L9" t="s">
        <v>17</v>
      </c>
      <c r="M9">
        <v>50</v>
      </c>
      <c r="N9" s="18">
        <f>SUMIFS(Produção!AT:AT,Produção!B:B,Tabela5[[#This Row],[Produto]])*Tabela5[[#This Row],[Quantidade_3]]/Tabela5[[#This Row],[Rendimento (g)]]</f>
        <v>100</v>
      </c>
      <c r="O9" s="22" t="str">
        <f>IFERROR(VLOOKUP(Tabela5[[#This Row],[Ingrediente_3]],Tabela2[[Materiais]:[Unidade]],2,0),"")</f>
        <v>g</v>
      </c>
      <c r="P9" t="s">
        <v>18</v>
      </c>
      <c r="Q9">
        <v>30</v>
      </c>
      <c r="R9" s="18">
        <f>SUMIFS(Produção!AT:AT,Produção!B:B,Tabela5[[#This Row],[Produto]])*Tabela5[[#This Row],[Quantidade_4]]/Tabela5[[#This Row],[Rendimento (g)]]</f>
        <v>60</v>
      </c>
      <c r="S9" s="22" t="str">
        <f>IFERROR(VLOOKUP(Tabela5[[#This Row],[Ingrediente_4]],Tabela2[[Materiais]:[Unidade]],2,0),"")</f>
        <v>g</v>
      </c>
      <c r="T9" t="s">
        <v>13</v>
      </c>
      <c r="U9">
        <v>2</v>
      </c>
      <c r="V9" s="18">
        <f>SUMIFS(Produção!AT:AT,Produção!B:B,Tabela5[[#This Row],[Produto]])*Tabela5[[#This Row],[Quantidade_5]]/Tabela5[[#This Row],[Rendimento (g)]]</f>
        <v>4</v>
      </c>
      <c r="W9" s="22" t="str">
        <f>IFERROR(VLOOKUP(Tabela5[[#This Row],[Ingrediente_5]],Tabela2[[Materiais]:[Unidade]],2,0),"")</f>
        <v>g</v>
      </c>
      <c r="X9" t="s">
        <v>5</v>
      </c>
      <c r="Y9">
        <v>40</v>
      </c>
      <c r="Z9" s="18">
        <f>SUMIFS(Produção!AT:AT,Produção!B:B,Tabela5[[#This Row],[Produto]])*Tabela5[[#This Row],[Quantidade_6]]/Tabela5[[#This Row],[Rendimento (g)]]</f>
        <v>80</v>
      </c>
      <c r="AA9" s="22" t="str">
        <f>IFERROR(VLOOKUP(Tabela5[[#This Row],[Ingrediente_6]],Tabela2[[Materiais]:[Unidade]],2,0),"")</f>
        <v>g</v>
      </c>
      <c r="AD9">
        <f>SUMIFS(Produção!AT:AT,Produção!B:B,Tabela5[[#This Row],[Produto]])*Tabela5[[#This Row],[Quantidade_7]]/Tabela5[[#This Row],[Rendimento (g)]]</f>
        <v>0</v>
      </c>
      <c r="AE9" s="22" t="str">
        <f>IFERROR(VLOOKUP(Tabela5[[#This Row],[Ingrediente_7]],Tabela2[[Materiais]:[Unidade]],2,0),"")</f>
        <v/>
      </c>
    </row>
    <row r="10" spans="2:31">
      <c r="B10" t="s">
        <v>62</v>
      </c>
      <c r="C10">
        <v>500</v>
      </c>
      <c r="D10" t="s">
        <v>57</v>
      </c>
      <c r="E10" s="20">
        <v>395</v>
      </c>
      <c r="F10" s="34">
        <f>SUMIFS(Produção!AT:AT,Produção!B:B,Tabela5[[#This Row],[Produto]])*Tabela5[[#This Row],[Quantidade_1]]/Tabela5[[#This Row],[Rendimento (g)]]</f>
        <v>790</v>
      </c>
      <c r="G10" s="22" t="str">
        <f>IFERROR(VLOOKUP(Tabela5[[#This Row],[Ingrediente_1]],Tabela2[[Materiais]:[Unidade]],2,0),"")</f>
        <v>g</v>
      </c>
      <c r="H10" t="s">
        <v>22</v>
      </c>
      <c r="I10">
        <v>15</v>
      </c>
      <c r="J10" s="18">
        <f>SUMIFS(Produção!AT:AT,Produção!B:B,Tabela5[[#This Row],[Produto]])*Tabela5[[#This Row],[Quantidade_2]]/Tabela5[[#This Row],[Rendimento (g)]]</f>
        <v>30</v>
      </c>
      <c r="K10" s="22" t="str">
        <f>IFERROR(VLOOKUP(Tabela5[[#This Row],[Ingrediente_2]],Tabela2[[Materiais]:[Unidade]],2,0),"")</f>
        <v>g</v>
      </c>
      <c r="L10" t="s">
        <v>7</v>
      </c>
      <c r="M10">
        <v>50</v>
      </c>
      <c r="N10" s="18">
        <f>SUMIFS(Produção!AT:AT,Produção!B:B,Tabela5[[#This Row],[Produto]])*Tabela5[[#This Row],[Quantidade_3]]/Tabela5[[#This Row],[Rendimento (g)]]</f>
        <v>100</v>
      </c>
      <c r="O10" s="22" t="str">
        <f>IFERROR(VLOOKUP(Tabela5[[#This Row],[Ingrediente_3]],Tabela2[[Materiais]:[Unidade]],2,0),"")</f>
        <v>g</v>
      </c>
      <c r="P10" t="s">
        <v>8</v>
      </c>
      <c r="Q10">
        <v>50</v>
      </c>
      <c r="R10" s="18">
        <f>SUMIFS(Produção!AT:AT,Produção!B:B,Tabela5[[#This Row],[Produto]])*Tabela5[[#This Row],[Quantidade_4]]/Tabela5[[#This Row],[Rendimento (g)]]</f>
        <v>100</v>
      </c>
      <c r="S10" s="22" t="str">
        <f>IFERROR(VLOOKUP(Tabela5[[#This Row],[Ingrediente_4]],Tabela2[[Materiais]:[Unidade]],2,0),"")</f>
        <v>g</v>
      </c>
      <c r="V10" s="18">
        <f>SUMIFS(Produção!AT:AT,Produção!B:B,Tabela5[[#This Row],[Produto]])*Tabela5[[#This Row],[Quantidade_5]]/Tabela5[[#This Row],[Rendimento (g)]]</f>
        <v>0</v>
      </c>
      <c r="W10" s="22" t="str">
        <f>IFERROR(VLOOKUP(Tabela5[[#This Row],[Ingrediente_5]],Tabela2[[Materiais]:[Unidade]],2,0),"")</f>
        <v/>
      </c>
      <c r="Z10" s="18">
        <f>SUMIFS(Produção!AT:AT,Produção!B:B,Tabela5[[#This Row],[Produto]])*Tabela5[[#This Row],[Quantidade_6]]/Tabela5[[#This Row],[Rendimento (g)]]</f>
        <v>0</v>
      </c>
      <c r="AA10" s="22" t="str">
        <f>IFERROR(VLOOKUP(Tabela5[[#This Row],[Ingrediente_6]],Tabela2[[Materiais]:[Unidade]],2,0),"")</f>
        <v/>
      </c>
      <c r="AD10">
        <f>SUMIFS(Produção!AT:AT,Produção!B:B,Tabela5[[#This Row],[Produto]])*Tabela5[[#This Row],[Quantidade_7]]/Tabela5[[#This Row],[Rendimento (g)]]</f>
        <v>0</v>
      </c>
      <c r="AE10" s="22" t="str">
        <f>IFERROR(VLOOKUP(Tabela5[[#This Row],[Ingrediente_7]],Tabela2[[Materiais]:[Unidade]],2,0),"")</f>
        <v/>
      </c>
    </row>
    <row r="11" spans="2:31">
      <c r="B11" t="s">
        <v>63</v>
      </c>
      <c r="C11">
        <v>550</v>
      </c>
      <c r="D11" t="s">
        <v>57</v>
      </c>
      <c r="E11" s="20">
        <v>395</v>
      </c>
      <c r="F11" s="34">
        <f>SUMIFS(Produção!AT:AT,Produção!B:B,Tabela5[[#This Row],[Produto]])*Tabela5[[#This Row],[Quantidade_1]]/Tabela5[[#This Row],[Rendimento (g)]]</f>
        <v>718.18181818181813</v>
      </c>
      <c r="G11" s="22" t="str">
        <f>IFERROR(VLOOKUP(Tabela5[[#This Row],[Ingrediente_1]],Tabela2[[Materiais]:[Unidade]],2,0),"")</f>
        <v>g</v>
      </c>
      <c r="H11" t="s">
        <v>22</v>
      </c>
      <c r="I11">
        <v>15</v>
      </c>
      <c r="J11" s="18">
        <f>SUMIFS(Produção!AT:AT,Produção!B:B,Tabela5[[#This Row],[Produto]])*Tabela5[[#This Row],[Quantidade_2]]/Tabela5[[#This Row],[Rendimento (g)]]</f>
        <v>27.272727272727273</v>
      </c>
      <c r="K11" s="22" t="str">
        <f>IFERROR(VLOOKUP(Tabela5[[#This Row],[Ingrediente_2]],Tabela2[[Materiais]:[Unidade]],2,0),"")</f>
        <v>g</v>
      </c>
      <c r="L11" t="s">
        <v>10</v>
      </c>
      <c r="M11">
        <v>30</v>
      </c>
      <c r="N11" s="18">
        <f>SUMIFS(Produção!AT:AT,Produção!B:B,Tabela5[[#This Row],[Produto]])*Tabela5[[#This Row],[Quantidade_3]]/Tabela5[[#This Row],[Rendimento (g)]]</f>
        <v>54.545454545454547</v>
      </c>
      <c r="O11" s="22" t="str">
        <f>IFERROR(VLOOKUP(Tabela5[[#This Row],[Ingrediente_3]],Tabela2[[Materiais]:[Unidade]],2,0),"")</f>
        <v>g</v>
      </c>
      <c r="P11" t="s">
        <v>17</v>
      </c>
      <c r="Q11">
        <v>50</v>
      </c>
      <c r="R11" s="18">
        <f>SUMIFS(Produção!AT:AT,Produção!B:B,Tabela5[[#This Row],[Produto]])*Tabela5[[#This Row],[Quantidade_4]]/Tabela5[[#This Row],[Rendimento (g)]]</f>
        <v>90.909090909090907</v>
      </c>
      <c r="S11" s="22" t="str">
        <f>IFERROR(VLOOKUP(Tabela5[[#This Row],[Ingrediente_4]],Tabela2[[Materiais]:[Unidade]],2,0),"")</f>
        <v>g</v>
      </c>
      <c r="T11" t="s">
        <v>21</v>
      </c>
      <c r="U11">
        <v>50</v>
      </c>
      <c r="V11" s="18">
        <f>SUMIFS(Produção!AT:AT,Produção!B:B,Tabela5[[#This Row],[Produto]])*Tabela5[[#This Row],[Quantidade_5]]/Tabela5[[#This Row],[Rendimento (g)]]</f>
        <v>90.909090909090907</v>
      </c>
      <c r="W11" s="22" t="str">
        <f>IFERROR(VLOOKUP(Tabela5[[#This Row],[Ingrediente_5]],Tabela2[[Materiais]:[Unidade]],2,0),"")</f>
        <v>g</v>
      </c>
      <c r="X11" t="s">
        <v>5</v>
      </c>
      <c r="Y11">
        <v>50</v>
      </c>
      <c r="Z11" s="18">
        <f>SUMIFS(Produção!AT:AT,Produção!B:B,Tabela5[[#This Row],[Produto]])*Tabela5[[#This Row],[Quantidade_6]]/Tabela5[[#This Row],[Rendimento (g)]]</f>
        <v>90.909090909090907</v>
      </c>
      <c r="AA11" s="22" t="str">
        <f>IFERROR(VLOOKUP(Tabela5[[#This Row],[Ingrediente_6]],Tabela2[[Materiais]:[Unidade]],2,0),"")</f>
        <v>g</v>
      </c>
      <c r="AD11">
        <f>SUMIFS(Produção!AT:AT,Produção!B:B,Tabela5[[#This Row],[Produto]])*Tabela5[[#This Row],[Quantidade_7]]/Tabela5[[#This Row],[Rendimento (g)]]</f>
        <v>0</v>
      </c>
      <c r="AE11" s="22" t="str">
        <f>IFERROR(VLOOKUP(Tabela5[[#This Row],[Ingrediente_7]],Tabela2[[Materiais]:[Unidade]],2,0),"")</f>
        <v/>
      </c>
    </row>
  </sheetData>
  <sortState xmlns:xlrd2="http://schemas.microsoft.com/office/spreadsheetml/2017/richdata2" ref="D15:D33">
    <sortCondition ref="D33"/>
  </sortState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67AAB5-4226-478F-9AA1-42BAF17F8827}">
          <x14:formula1>
            <xm:f>Materiais!$B$5:$B$23</xm:f>
          </x14:formula1>
          <xm:sqref>D5:D11 H5:H11 L5:L11 P5:P11 T5:T11 X5:X11 AB5:AB11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37CB-8B72-4A3F-9A85-779D47823135}">
  <sheetPr>
    <tabColor theme="4" tint="0.39997558519241921"/>
  </sheetPr>
  <dimension ref="B1:I2466"/>
  <sheetViews>
    <sheetView showGridLines="0" zoomScale="130" zoomScaleNormal="130" workbookViewId="0">
      <selection activeCell="F18" sqref="F18"/>
    </sheetView>
  </sheetViews>
  <sheetFormatPr defaultRowHeight="14.45"/>
  <cols>
    <col min="1" max="1" width="1.28515625" customWidth="1"/>
    <col min="2" max="2" width="15.7109375" bestFit="1" customWidth="1"/>
    <col min="3" max="3" width="9" hidden="1" customWidth="1"/>
    <col min="4" max="4" width="8.85546875" hidden="1" customWidth="1"/>
    <col min="5" max="5" width="14.5703125" customWidth="1"/>
    <col min="6" max="6" width="26.42578125" bestFit="1" customWidth="1"/>
    <col min="7" max="7" width="11.7109375" bestFit="1" customWidth="1"/>
    <col min="8" max="8" width="15.28515625" bestFit="1" customWidth="1"/>
    <col min="9" max="9" width="12.5703125" bestFit="1" customWidth="1"/>
  </cols>
  <sheetData>
    <row r="1" spans="2:9" ht="4.9000000000000004" customHeight="1"/>
    <row r="2" spans="2:9" ht="20.45" customHeight="1">
      <c r="B2" s="28" t="s">
        <v>64</v>
      </c>
      <c r="C2" s="1"/>
      <c r="D2" s="1"/>
      <c r="E2" s="2"/>
      <c r="F2" s="2"/>
      <c r="G2" s="2"/>
      <c r="H2" s="2"/>
      <c r="I2" s="2"/>
    </row>
    <row r="3" spans="2:9" ht="4.9000000000000004" customHeight="1"/>
    <row r="4" spans="2:9">
      <c r="B4" s="23" t="s">
        <v>65</v>
      </c>
      <c r="C4" s="23" t="s">
        <v>66</v>
      </c>
      <c r="D4" s="23" t="s">
        <v>67</v>
      </c>
      <c r="E4" s="23" t="s">
        <v>68</v>
      </c>
      <c r="F4" s="23" t="s">
        <v>69</v>
      </c>
      <c r="G4" s="23" t="s">
        <v>70</v>
      </c>
      <c r="H4" s="23" t="s">
        <v>71</v>
      </c>
      <c r="I4" s="23" t="s">
        <v>1</v>
      </c>
    </row>
    <row r="5" spans="2:9">
      <c r="B5" s="11">
        <f>42722+(365*4)</f>
        <v>44182</v>
      </c>
      <c r="C5" s="19">
        <f>MONTH(Tabela6[[#This Row],[Data]])</f>
        <v>12</v>
      </c>
      <c r="D5" s="19">
        <f>YEAR(Tabela6[[#This Row],[Data]])</f>
        <v>2020</v>
      </c>
      <c r="E5" s="12" t="s">
        <v>72</v>
      </c>
      <c r="F5" t="s">
        <v>73</v>
      </c>
      <c r="G5" s="25">
        <v>-1.49</v>
      </c>
      <c r="H5" s="24">
        <v>10</v>
      </c>
      <c r="I5" s="8" t="str">
        <f>IFERROR(VLOOKUP(Tabela6[[#This Row],[Descrição]],Materiais!B:C,2,0),"")</f>
        <v/>
      </c>
    </row>
    <row r="6" spans="2:9">
      <c r="B6" s="11">
        <f t="shared" ref="B6:B11" si="0">42724+(365*4)</f>
        <v>44184</v>
      </c>
      <c r="C6" s="19">
        <f>MONTH(Tabela6[[#This Row],[Data]])</f>
        <v>12</v>
      </c>
      <c r="D6" s="19">
        <f>YEAR(Tabela6[[#This Row],[Data]])</f>
        <v>2020</v>
      </c>
      <c r="E6" s="12" t="s">
        <v>72</v>
      </c>
      <c r="F6" t="s">
        <v>5</v>
      </c>
      <c r="G6" s="25">
        <v>-3.58</v>
      </c>
      <c r="H6" s="24">
        <v>1000</v>
      </c>
      <c r="I6" s="8" t="str">
        <f>IFERROR(VLOOKUP(Tabela6[[#This Row],[Descrição]],Materiais!B:C,2,0),"")</f>
        <v>g</v>
      </c>
    </row>
    <row r="7" spans="2:9">
      <c r="B7" s="11">
        <f t="shared" si="0"/>
        <v>44184</v>
      </c>
      <c r="C7" s="19">
        <f>MONTH(Tabela6[[#This Row],[Data]])</f>
        <v>12</v>
      </c>
      <c r="D7" s="19">
        <f>YEAR(Tabela6[[#This Row],[Data]])</f>
        <v>2020</v>
      </c>
      <c r="E7" s="12" t="s">
        <v>72</v>
      </c>
      <c r="F7" t="s">
        <v>13</v>
      </c>
      <c r="G7" s="25">
        <v>-3.79</v>
      </c>
      <c r="H7" s="24">
        <v>35</v>
      </c>
      <c r="I7" s="8" t="str">
        <f>IFERROR(VLOOKUP(Tabela6[[#This Row],[Descrição]],Materiais!B:C,2,0),"")</f>
        <v>g</v>
      </c>
    </row>
    <row r="8" spans="2:9">
      <c r="B8" s="11">
        <f t="shared" si="0"/>
        <v>44184</v>
      </c>
      <c r="C8" s="19">
        <f>MONTH(Tabela6[[#This Row],[Data]])</f>
        <v>12</v>
      </c>
      <c r="D8" s="19">
        <f>YEAR(Tabela6[[#This Row],[Data]])</f>
        <v>2020</v>
      </c>
      <c r="E8" s="12" t="s">
        <v>72</v>
      </c>
      <c r="F8" t="s">
        <v>17</v>
      </c>
      <c r="G8" s="25">
        <v>-19.350000000000001</v>
      </c>
      <c r="H8" s="24">
        <v>1000</v>
      </c>
      <c r="I8" s="8" t="str">
        <f>IFERROR(VLOOKUP(Tabela6[[#This Row],[Descrição]],Materiais!B:C,2,0),"")</f>
        <v>g</v>
      </c>
    </row>
    <row r="9" spans="2:9">
      <c r="B9" s="11">
        <f t="shared" si="0"/>
        <v>44184</v>
      </c>
      <c r="C9" s="19">
        <f>MONTH(Tabela6[[#This Row],[Data]])</f>
        <v>12</v>
      </c>
      <c r="D9" s="19">
        <f>YEAR(Tabela6[[#This Row],[Data]])</f>
        <v>2020</v>
      </c>
      <c r="E9" s="12" t="s">
        <v>72</v>
      </c>
      <c r="F9" t="s">
        <v>19</v>
      </c>
      <c r="G9" s="25">
        <v>-2.59</v>
      </c>
      <c r="H9" s="24">
        <v>1000</v>
      </c>
      <c r="I9" s="8" t="str">
        <f>IFERROR(VLOOKUP(Tabela6[[#This Row],[Descrição]],Materiais!B:C,2,0),"")</f>
        <v>g</v>
      </c>
    </row>
    <row r="10" spans="2:9">
      <c r="B10" s="11">
        <f t="shared" si="0"/>
        <v>44184</v>
      </c>
      <c r="C10" s="19">
        <f>MONTH(Tabela6[[#This Row],[Data]])</f>
        <v>12</v>
      </c>
      <c r="D10" s="19">
        <f>YEAR(Tabela6[[#This Row],[Data]])</f>
        <v>2020</v>
      </c>
      <c r="E10" s="12" t="s">
        <v>72</v>
      </c>
      <c r="F10" t="s">
        <v>20</v>
      </c>
      <c r="G10" s="25">
        <v>-67.05</v>
      </c>
      <c r="H10" s="24">
        <v>5925</v>
      </c>
      <c r="I10" s="8" t="str">
        <f>IFERROR(VLOOKUP(Tabela6[[#This Row],[Descrição]],Materiais!B:C,2,0),"")</f>
        <v>g</v>
      </c>
    </row>
    <row r="11" spans="2:9">
      <c r="B11" s="11">
        <f t="shared" si="0"/>
        <v>44184</v>
      </c>
      <c r="C11" s="19">
        <f>MONTH(Tabela6[[#This Row],[Data]])</f>
        <v>12</v>
      </c>
      <c r="D11" s="19">
        <f>YEAR(Tabela6[[#This Row],[Data]])</f>
        <v>2020</v>
      </c>
      <c r="E11" s="12" t="s">
        <v>72</v>
      </c>
      <c r="F11" t="s">
        <v>22</v>
      </c>
      <c r="G11" s="25">
        <v>-7.85</v>
      </c>
      <c r="H11" s="24">
        <v>200</v>
      </c>
      <c r="I11" s="8" t="str">
        <f>IFERROR(VLOOKUP(Tabela6[[#This Row],[Descrição]],Materiais!B:C,2,0),"")</f>
        <v>g</v>
      </c>
    </row>
    <row r="12" spans="2:9">
      <c r="B12" s="11">
        <f t="shared" ref="B12:B18" si="1">42734+(365*4)</f>
        <v>44194</v>
      </c>
      <c r="C12" s="19">
        <f>MONTH(Tabela6[[#This Row],[Data]])</f>
        <v>12</v>
      </c>
      <c r="D12" s="19">
        <f>YEAR(Tabela6[[#This Row],[Data]])</f>
        <v>2020</v>
      </c>
      <c r="E12" s="12" t="s">
        <v>72</v>
      </c>
      <c r="F12" t="s">
        <v>9</v>
      </c>
      <c r="G12" s="25">
        <v>-25.2</v>
      </c>
      <c r="H12" s="24">
        <v>1050</v>
      </c>
      <c r="I12" s="8" t="str">
        <f>IFERROR(VLOOKUP(Tabela6[[#This Row],[Descrição]],Materiais!B:C,2,0),"")</f>
        <v>g</v>
      </c>
    </row>
    <row r="13" spans="2:9">
      <c r="B13" s="11">
        <f t="shared" si="1"/>
        <v>44194</v>
      </c>
      <c r="C13" s="19">
        <f>MONTH(Tabela6[[#This Row],[Data]])</f>
        <v>12</v>
      </c>
      <c r="D13" s="19">
        <f>YEAR(Tabela6[[#This Row],[Data]])</f>
        <v>2020</v>
      </c>
      <c r="E13" s="12" t="s">
        <v>72</v>
      </c>
      <c r="F13" t="s">
        <v>74</v>
      </c>
      <c r="G13" s="25">
        <v>-25.4</v>
      </c>
      <c r="H13" s="24">
        <v>1050</v>
      </c>
      <c r="I13" s="8" t="str">
        <f>IFERROR(VLOOKUP(Tabela6[[#This Row],[Descrição]],Materiais!B:C,2,0),"")</f>
        <v/>
      </c>
    </row>
    <row r="14" spans="2:9">
      <c r="B14" s="11">
        <f t="shared" si="1"/>
        <v>44194</v>
      </c>
      <c r="C14" s="19">
        <f>MONTH(Tabela6[[#This Row],[Data]])</f>
        <v>12</v>
      </c>
      <c r="D14" s="19">
        <f>YEAR(Tabela6[[#This Row],[Data]])</f>
        <v>2020</v>
      </c>
      <c r="E14" s="12" t="s">
        <v>72</v>
      </c>
      <c r="F14" t="s">
        <v>11</v>
      </c>
      <c r="G14" s="26">
        <v>-19.600000000000001</v>
      </c>
      <c r="H14">
        <v>500</v>
      </c>
      <c r="I14" t="str">
        <f>IFERROR(VLOOKUP(Tabela6[[#This Row],[Descrição]],Materiais!B:C,2,0),"")</f>
        <v>g</v>
      </c>
    </row>
    <row r="15" spans="2:9">
      <c r="B15" s="11">
        <f t="shared" si="1"/>
        <v>44194</v>
      </c>
      <c r="C15" s="19">
        <f>MONTH(Tabela6[[#This Row],[Data]])</f>
        <v>12</v>
      </c>
      <c r="D15" s="19">
        <f>YEAR(Tabela6[[#This Row],[Data]])</f>
        <v>2020</v>
      </c>
      <c r="E15" s="12" t="s">
        <v>72</v>
      </c>
      <c r="F15" t="s">
        <v>14</v>
      </c>
      <c r="G15" s="26">
        <v>-6.9</v>
      </c>
      <c r="H15">
        <v>300</v>
      </c>
      <c r="I15" t="str">
        <f>IFERROR(VLOOKUP(Tabela6[[#This Row],[Descrição]],Materiais!B:C,2,0),"")</f>
        <v>g</v>
      </c>
    </row>
    <row r="16" spans="2:9">
      <c r="B16" s="11">
        <f t="shared" si="1"/>
        <v>44194</v>
      </c>
      <c r="C16" s="19">
        <f>MONTH(Tabela6[[#This Row],[Data]])</f>
        <v>12</v>
      </c>
      <c r="D16" s="19">
        <f>YEAR(Tabela6[[#This Row],[Data]])</f>
        <v>2020</v>
      </c>
      <c r="E16" s="12" t="s">
        <v>72</v>
      </c>
      <c r="F16" t="s">
        <v>18</v>
      </c>
      <c r="G16" s="26">
        <v>-11.8</v>
      </c>
      <c r="H16">
        <v>800</v>
      </c>
      <c r="I16" t="str">
        <f>IFERROR(VLOOKUP(Tabela6[[#This Row],[Descrição]],Materiais!B:C,2,0),"")</f>
        <v>g</v>
      </c>
    </row>
    <row r="17" spans="2:9">
      <c r="B17" s="11">
        <f t="shared" si="1"/>
        <v>44194</v>
      </c>
      <c r="C17" s="19">
        <f>MONTH(Tabela6[[#This Row],[Data]])</f>
        <v>12</v>
      </c>
      <c r="D17" s="19">
        <f>YEAR(Tabela6[[#This Row],[Data]])</f>
        <v>2020</v>
      </c>
      <c r="E17" s="12" t="s">
        <v>75</v>
      </c>
      <c r="F17" t="s">
        <v>76</v>
      </c>
      <c r="G17" s="26">
        <v>-4</v>
      </c>
      <c r="H17">
        <v>400</v>
      </c>
      <c r="I17" t="str">
        <f>IFERROR(VLOOKUP(Tabela6[[#This Row],[Descrição]],Materiais!B:C,2,0),"")</f>
        <v/>
      </c>
    </row>
    <row r="18" spans="2:9">
      <c r="B18" s="11">
        <f t="shared" si="1"/>
        <v>44194</v>
      </c>
      <c r="C18" s="19">
        <f>MONTH(Tabela6[[#This Row],[Data]])</f>
        <v>12</v>
      </c>
      <c r="D18" s="19">
        <f>YEAR(Tabela6[[#This Row],[Data]])</f>
        <v>2020</v>
      </c>
      <c r="E18" s="12" t="s">
        <v>72</v>
      </c>
      <c r="F18" t="s">
        <v>77</v>
      </c>
      <c r="G18" s="26">
        <v>-8.6</v>
      </c>
      <c r="H18">
        <v>500</v>
      </c>
      <c r="I18" t="str">
        <f>IFERROR(VLOOKUP(Tabela6[[#This Row],[Descrição]],Materiais!B:C,2,0),"")</f>
        <v/>
      </c>
    </row>
    <row r="19" spans="2:9">
      <c r="B19" s="11">
        <f>42751+(365*4)</f>
        <v>44211</v>
      </c>
      <c r="C19" s="19">
        <f>MONTH(Tabela6[[#This Row],[Data]])</f>
        <v>1</v>
      </c>
      <c r="D19" s="19">
        <f>YEAR(Tabela6[[#This Row],[Data]])</f>
        <v>2021</v>
      </c>
      <c r="E19" s="12" t="s">
        <v>78</v>
      </c>
      <c r="F19" t="s">
        <v>56</v>
      </c>
      <c r="G19" s="26">
        <v>10</v>
      </c>
      <c r="H19">
        <v>5</v>
      </c>
      <c r="I19" t="str">
        <f>IFERROR(VLOOKUP(Tabela6[[#This Row],[Descrição]],Materiais!B:C,2,0),"")</f>
        <v/>
      </c>
    </row>
    <row r="20" spans="2:9">
      <c r="B20" s="11">
        <f>42751+(365*4)</f>
        <v>44211</v>
      </c>
      <c r="C20" s="19">
        <f>MONTH(Tabela6[[#This Row],[Data]])</f>
        <v>1</v>
      </c>
      <c r="D20" s="19">
        <f>YEAR(Tabela6[[#This Row],[Data]])</f>
        <v>2021</v>
      </c>
      <c r="E20" s="12" t="s">
        <v>78</v>
      </c>
      <c r="F20" t="s">
        <v>61</v>
      </c>
      <c r="G20" s="26">
        <v>8</v>
      </c>
      <c r="H20">
        <v>4</v>
      </c>
      <c r="I20" t="str">
        <f>IFERROR(VLOOKUP(Tabela6[[#This Row],[Descrição]],Materiais!B:C,2,0),"")</f>
        <v/>
      </c>
    </row>
    <row r="21" spans="2:9">
      <c r="B21" s="11">
        <f>42752+(365*4)</f>
        <v>44212</v>
      </c>
      <c r="C21" s="19">
        <f>MONTH(Tabela6[[#This Row],[Data]])</f>
        <v>1</v>
      </c>
      <c r="D21" s="19">
        <f>YEAR(Tabela6[[#This Row],[Data]])</f>
        <v>2021</v>
      </c>
      <c r="E21" s="12" t="s">
        <v>78</v>
      </c>
      <c r="F21" t="s">
        <v>56</v>
      </c>
      <c r="G21" s="26">
        <v>36</v>
      </c>
      <c r="H21">
        <v>18</v>
      </c>
      <c r="I21" t="str">
        <f>IFERROR(VLOOKUP(Tabela6[[#This Row],[Descrição]],Materiais!B:C,2,0),"")</f>
        <v/>
      </c>
    </row>
    <row r="22" spans="2:9">
      <c r="B22" s="11">
        <f>42752+(365*4)</f>
        <v>44212</v>
      </c>
      <c r="C22" s="19">
        <f>MONTH(Tabela6[[#This Row],[Data]])</f>
        <v>1</v>
      </c>
      <c r="D22" s="19">
        <f>YEAR(Tabela6[[#This Row],[Data]])</f>
        <v>2021</v>
      </c>
      <c r="E22" s="12" t="s">
        <v>78</v>
      </c>
      <c r="F22" t="s">
        <v>61</v>
      </c>
      <c r="G22" s="26">
        <v>30</v>
      </c>
      <c r="H22">
        <v>15</v>
      </c>
      <c r="I22" t="str">
        <f>IFERROR(VLOOKUP(Tabela6[[#This Row],[Descrição]],Materiais!B:C,2,0),"")</f>
        <v/>
      </c>
    </row>
    <row r="23" spans="2:9">
      <c r="B23" s="11">
        <f>42753+(365*4)</f>
        <v>44213</v>
      </c>
      <c r="C23" s="19">
        <f>MONTH(Tabela6[[#This Row],[Data]])</f>
        <v>1</v>
      </c>
      <c r="D23" s="19">
        <f>YEAR(Tabela6[[#This Row],[Data]])</f>
        <v>2021</v>
      </c>
      <c r="E23" s="12" t="s">
        <v>78</v>
      </c>
      <c r="F23" t="s">
        <v>56</v>
      </c>
      <c r="G23" s="26">
        <v>10</v>
      </c>
      <c r="H23">
        <v>5</v>
      </c>
      <c r="I23" t="str">
        <f>IFERROR(VLOOKUP(Tabela6[[#This Row],[Descrição]],Materiais!B:C,2,0),"")</f>
        <v/>
      </c>
    </row>
    <row r="24" spans="2:9">
      <c r="B24" s="11">
        <f>42753+(365*4)</f>
        <v>44213</v>
      </c>
      <c r="C24" s="19">
        <f>MONTH(Tabela6[[#This Row],[Data]])</f>
        <v>1</v>
      </c>
      <c r="D24" s="19">
        <f>YEAR(Tabela6[[#This Row],[Data]])</f>
        <v>2021</v>
      </c>
      <c r="E24" s="12" t="s">
        <v>78</v>
      </c>
      <c r="F24" t="s">
        <v>61</v>
      </c>
      <c r="G24" s="26">
        <v>8</v>
      </c>
      <c r="H24">
        <v>4</v>
      </c>
      <c r="I24" t="str">
        <f>IFERROR(VLOOKUP(Tabela6[[#This Row],[Descrição]],Materiais!B:C,2,0),"")</f>
        <v/>
      </c>
    </row>
    <row r="25" spans="2:9">
      <c r="B25" s="11">
        <f>42753+(365*4)</f>
        <v>44213</v>
      </c>
      <c r="C25" s="19">
        <f>MONTH(Tabela6[[#This Row],[Data]])</f>
        <v>1</v>
      </c>
      <c r="D25" s="19">
        <f>YEAR(Tabela6[[#This Row],[Data]])</f>
        <v>2021</v>
      </c>
      <c r="E25" s="12" t="s">
        <v>78</v>
      </c>
      <c r="F25" t="s">
        <v>79</v>
      </c>
      <c r="G25" s="26">
        <v>6</v>
      </c>
      <c r="H25">
        <v>3</v>
      </c>
      <c r="I25" t="str">
        <f>IFERROR(VLOOKUP(Tabela6[[#This Row],[Descrição]],Materiais!B:C,2,0),"")</f>
        <v/>
      </c>
    </row>
    <row r="26" spans="2:9">
      <c r="B26" s="11">
        <f>42754+(365*4)</f>
        <v>44214</v>
      </c>
      <c r="C26" s="19">
        <f>MONTH(Tabela6[[#This Row],[Data]])</f>
        <v>1</v>
      </c>
      <c r="D26" s="19">
        <f>YEAR(Tabela6[[#This Row],[Data]])</f>
        <v>2021</v>
      </c>
      <c r="E26" s="12" t="s">
        <v>78</v>
      </c>
      <c r="F26" t="s">
        <v>56</v>
      </c>
      <c r="G26" s="26">
        <v>26</v>
      </c>
      <c r="H26">
        <v>13</v>
      </c>
      <c r="I26" t="str">
        <f>IFERROR(VLOOKUP(Tabela6[[#This Row],[Descrição]],Materiais!B:C,2,0),"")</f>
        <v/>
      </c>
    </row>
    <row r="27" spans="2:9">
      <c r="B27" s="11">
        <f>42754+(365*4)</f>
        <v>44214</v>
      </c>
      <c r="C27" s="19">
        <f>MONTH(Tabela6[[#This Row],[Data]])</f>
        <v>1</v>
      </c>
      <c r="D27" s="19">
        <f>YEAR(Tabela6[[#This Row],[Data]])</f>
        <v>2021</v>
      </c>
      <c r="E27" s="12" t="s">
        <v>78</v>
      </c>
      <c r="F27" t="s">
        <v>61</v>
      </c>
      <c r="G27" s="26">
        <v>12</v>
      </c>
      <c r="H27">
        <v>6</v>
      </c>
      <c r="I27" t="str">
        <f>IFERROR(VLOOKUP(Tabela6[[#This Row],[Descrição]],Materiais!B:C,2,0),"")</f>
        <v/>
      </c>
    </row>
    <row r="28" spans="2:9">
      <c r="B28" s="11">
        <f>42754+(365*4)</f>
        <v>44214</v>
      </c>
      <c r="C28" s="19">
        <f>MONTH(Tabela6[[#This Row],[Data]])</f>
        <v>1</v>
      </c>
      <c r="D28" s="19">
        <f>YEAR(Tabela6[[#This Row],[Data]])</f>
        <v>2021</v>
      </c>
      <c r="E28" s="12" t="s">
        <v>78</v>
      </c>
      <c r="F28" t="s">
        <v>79</v>
      </c>
      <c r="G28" s="26">
        <v>12</v>
      </c>
      <c r="H28">
        <v>6</v>
      </c>
      <c r="I28" t="str">
        <f>IFERROR(VLOOKUP(Tabela6[[#This Row],[Descrição]],Materiais!B:C,2,0),"")</f>
        <v/>
      </c>
    </row>
    <row r="29" spans="2:9">
      <c r="B29" s="11">
        <f t="shared" ref="B29:B39" si="2">42755+(365*4)</f>
        <v>44215</v>
      </c>
      <c r="C29" s="19">
        <f>MONTH(Tabela6[[#This Row],[Data]])</f>
        <v>1</v>
      </c>
      <c r="D29" s="19">
        <f>YEAR(Tabela6[[#This Row],[Data]])</f>
        <v>2021</v>
      </c>
      <c r="E29" s="12" t="s">
        <v>75</v>
      </c>
      <c r="F29" t="s">
        <v>80</v>
      </c>
      <c r="G29" s="26">
        <v>-1.7</v>
      </c>
      <c r="H29">
        <v>10</v>
      </c>
      <c r="I29" t="str">
        <f>IFERROR(VLOOKUP(Tabela6[[#This Row],[Descrição]],Materiais!B:C,2,0),"")</f>
        <v/>
      </c>
    </row>
    <row r="30" spans="2:9">
      <c r="B30" s="11">
        <f t="shared" si="2"/>
        <v>44215</v>
      </c>
      <c r="C30" s="19">
        <f>MONTH(Tabela6[[#This Row],[Data]])</f>
        <v>1</v>
      </c>
      <c r="D30" s="19">
        <f>YEAR(Tabela6[[#This Row],[Data]])</f>
        <v>2021</v>
      </c>
      <c r="E30" s="12" t="s">
        <v>78</v>
      </c>
      <c r="F30" t="s">
        <v>56</v>
      </c>
      <c r="G30" s="26">
        <v>6</v>
      </c>
      <c r="H30">
        <v>3</v>
      </c>
      <c r="I30" t="str">
        <f>IFERROR(VLOOKUP(Tabela6[[#This Row],[Descrição]],Materiais!B:C,2,0),"")</f>
        <v/>
      </c>
    </row>
    <row r="31" spans="2:9">
      <c r="B31" s="11">
        <f t="shared" si="2"/>
        <v>44215</v>
      </c>
      <c r="C31" s="19">
        <f>MONTH(Tabela6[[#This Row],[Data]])</f>
        <v>1</v>
      </c>
      <c r="D31" s="19">
        <f>YEAR(Tabela6[[#This Row],[Data]])</f>
        <v>2021</v>
      </c>
      <c r="E31" s="12" t="s">
        <v>72</v>
      </c>
      <c r="F31" t="s">
        <v>15</v>
      </c>
      <c r="G31" s="26">
        <v>-4.3</v>
      </c>
      <c r="H31">
        <v>246</v>
      </c>
      <c r="I31" t="str">
        <f>IFERROR(VLOOKUP(Tabela6[[#This Row],[Descrição]],Materiais!B:C,2,0),"")</f>
        <v>g</v>
      </c>
    </row>
    <row r="32" spans="2:9">
      <c r="B32" s="11">
        <f t="shared" si="2"/>
        <v>44215</v>
      </c>
      <c r="C32" s="19">
        <f>MONTH(Tabela6[[#This Row],[Data]])</f>
        <v>1</v>
      </c>
      <c r="D32" s="19">
        <f>YEAR(Tabela6[[#This Row],[Data]])</f>
        <v>2021</v>
      </c>
      <c r="E32" s="12" t="s">
        <v>72</v>
      </c>
      <c r="F32" t="s">
        <v>16</v>
      </c>
      <c r="G32" s="26">
        <v>-6.45</v>
      </c>
      <c r="H32">
        <v>205</v>
      </c>
      <c r="I32" t="str">
        <f>IFERROR(VLOOKUP(Tabela6[[#This Row],[Descrição]],Materiais!B:C,2,0),"")</f>
        <v>g</v>
      </c>
    </row>
    <row r="33" spans="2:9">
      <c r="B33" s="11">
        <f t="shared" si="2"/>
        <v>44215</v>
      </c>
      <c r="C33" s="19">
        <f>MONTH(Tabela6[[#This Row],[Data]])</f>
        <v>1</v>
      </c>
      <c r="D33" s="19">
        <f>YEAR(Tabela6[[#This Row],[Data]])</f>
        <v>2021</v>
      </c>
      <c r="E33" s="12" t="s">
        <v>78</v>
      </c>
      <c r="F33" t="s">
        <v>79</v>
      </c>
      <c r="G33" s="26">
        <v>26</v>
      </c>
      <c r="H33">
        <v>13</v>
      </c>
      <c r="I33" t="str">
        <f>IFERROR(VLOOKUP(Tabela6[[#This Row],[Descrição]],Materiais!B:C,2,0),"")</f>
        <v/>
      </c>
    </row>
    <row r="34" spans="2:9">
      <c r="B34" s="11">
        <f t="shared" si="2"/>
        <v>44215</v>
      </c>
      <c r="C34" s="19">
        <f>MONTH(Tabela6[[#This Row],[Data]])</f>
        <v>1</v>
      </c>
      <c r="D34" s="19">
        <f>YEAR(Tabela6[[#This Row],[Data]])</f>
        <v>2021</v>
      </c>
      <c r="E34" s="12" t="s">
        <v>75</v>
      </c>
      <c r="F34" t="s">
        <v>81</v>
      </c>
      <c r="G34" s="26">
        <v>-2.5</v>
      </c>
      <c r="H34">
        <v>2</v>
      </c>
      <c r="I34" t="str">
        <f>IFERROR(VLOOKUP(Tabela6[[#This Row],[Descrição]],Materiais!B:C,2,0),"")</f>
        <v/>
      </c>
    </row>
    <row r="35" spans="2:9">
      <c r="B35" s="11">
        <f t="shared" si="2"/>
        <v>44215</v>
      </c>
      <c r="C35" s="19">
        <f>MONTH(Tabela6[[#This Row],[Data]])</f>
        <v>1</v>
      </c>
      <c r="D35" s="19">
        <f>YEAR(Tabela6[[#This Row],[Data]])</f>
        <v>2021</v>
      </c>
      <c r="E35" s="12" t="s">
        <v>75</v>
      </c>
      <c r="F35" t="s">
        <v>76</v>
      </c>
      <c r="G35" s="26">
        <v>-5</v>
      </c>
      <c r="H35">
        <v>300</v>
      </c>
      <c r="I35" t="str">
        <f>IFERROR(VLOOKUP(Tabela6[[#This Row],[Descrição]],Materiais!B:C,2,0),"")</f>
        <v/>
      </c>
    </row>
    <row r="36" spans="2:9">
      <c r="B36" s="11">
        <f t="shared" si="2"/>
        <v>44215</v>
      </c>
      <c r="C36" s="19">
        <f>MONTH(Tabela6[[#This Row],[Data]])</f>
        <v>1</v>
      </c>
      <c r="D36" s="19">
        <f>YEAR(Tabela6[[#This Row],[Data]])</f>
        <v>2021</v>
      </c>
      <c r="E36" s="12" t="s">
        <v>72</v>
      </c>
      <c r="F36" t="s">
        <v>77</v>
      </c>
      <c r="G36" s="26">
        <v>-8.6</v>
      </c>
      <c r="H36">
        <v>500</v>
      </c>
      <c r="I36" t="str">
        <f>IFERROR(VLOOKUP(Tabela6[[#This Row],[Descrição]],Materiais!B:C,2,0),"")</f>
        <v/>
      </c>
    </row>
    <row r="37" spans="2:9">
      <c r="B37" s="11">
        <f t="shared" si="2"/>
        <v>44215</v>
      </c>
      <c r="C37" s="19">
        <f>MONTH(Tabela6[[#This Row],[Data]])</f>
        <v>1</v>
      </c>
      <c r="D37" s="19">
        <f>YEAR(Tabela6[[#This Row],[Data]])</f>
        <v>2021</v>
      </c>
      <c r="E37" s="12" t="s">
        <v>72</v>
      </c>
      <c r="F37" t="s">
        <v>20</v>
      </c>
      <c r="G37" s="26">
        <v>-85.350000000000009</v>
      </c>
      <c r="H37">
        <v>5925</v>
      </c>
      <c r="I37" t="str">
        <f>IFERROR(VLOOKUP(Tabela6[[#This Row],[Descrição]],Materiais!B:C,2,0),"")</f>
        <v>g</v>
      </c>
    </row>
    <row r="38" spans="2:9">
      <c r="B38" s="11">
        <f t="shared" si="2"/>
        <v>44215</v>
      </c>
      <c r="C38" s="19">
        <f>MONTH(Tabela6[[#This Row],[Data]])</f>
        <v>1</v>
      </c>
      <c r="D38" s="19">
        <f>YEAR(Tabela6[[#This Row],[Data]])</f>
        <v>2021</v>
      </c>
      <c r="E38" s="12" t="s">
        <v>72</v>
      </c>
      <c r="F38" t="s">
        <v>82</v>
      </c>
      <c r="G38" s="26">
        <v>-7.09</v>
      </c>
      <c r="H38">
        <v>300</v>
      </c>
      <c r="I38" t="str">
        <f>IFERROR(VLOOKUP(Tabela6[[#This Row],[Descrição]],Materiais!B:C,2,0),"")</f>
        <v/>
      </c>
    </row>
    <row r="39" spans="2:9">
      <c r="B39" s="11">
        <f t="shared" si="2"/>
        <v>44215</v>
      </c>
      <c r="C39" s="19">
        <f>MONTH(Tabela6[[#This Row],[Data]])</f>
        <v>1</v>
      </c>
      <c r="D39" s="19">
        <f>YEAR(Tabela6[[#This Row],[Data]])</f>
        <v>2021</v>
      </c>
      <c r="E39" s="12" t="s">
        <v>75</v>
      </c>
      <c r="F39" t="s">
        <v>83</v>
      </c>
      <c r="G39" s="26">
        <v>-2.2999999999999998</v>
      </c>
      <c r="H39">
        <v>100</v>
      </c>
      <c r="I39" t="str">
        <f>IFERROR(VLOOKUP(Tabela6[[#This Row],[Descrição]],Materiais!B:C,2,0),"")</f>
        <v/>
      </c>
    </row>
    <row r="40" spans="2:9">
      <c r="B40" s="11">
        <f>42758+(365*4)</f>
        <v>44218</v>
      </c>
      <c r="C40" s="19">
        <f>MONTH(Tabela6[[#This Row],[Data]])</f>
        <v>1</v>
      </c>
      <c r="D40" s="19">
        <f>YEAR(Tabela6[[#This Row],[Data]])</f>
        <v>2021</v>
      </c>
      <c r="E40" s="12" t="s">
        <v>78</v>
      </c>
      <c r="F40" t="s">
        <v>56</v>
      </c>
      <c r="G40" s="26">
        <v>16</v>
      </c>
      <c r="H40">
        <v>8</v>
      </c>
      <c r="I40" t="str">
        <f>IFERROR(VLOOKUP(Tabela6[[#This Row],[Descrição]],Materiais!B:C,2,0),"")</f>
        <v/>
      </c>
    </row>
    <row r="41" spans="2:9">
      <c r="B41" s="11">
        <f>42758+(365*4)</f>
        <v>44218</v>
      </c>
      <c r="C41" s="19">
        <f>MONTH(Tabela6[[#This Row],[Data]])</f>
        <v>1</v>
      </c>
      <c r="D41" s="19">
        <f>YEAR(Tabela6[[#This Row],[Data]])</f>
        <v>2021</v>
      </c>
      <c r="E41" s="12" t="s">
        <v>78</v>
      </c>
      <c r="F41" t="s">
        <v>61</v>
      </c>
      <c r="G41" s="26">
        <v>4</v>
      </c>
      <c r="H41">
        <v>2</v>
      </c>
      <c r="I41" t="str">
        <f>IFERROR(VLOOKUP(Tabela6[[#This Row],[Descrição]],Materiais!B:C,2,0),"")</f>
        <v/>
      </c>
    </row>
    <row r="42" spans="2:9">
      <c r="B42" s="11">
        <f>42759+(365*4)</f>
        <v>44219</v>
      </c>
      <c r="C42" s="19">
        <f>MONTH(Tabela6[[#This Row],[Data]])</f>
        <v>1</v>
      </c>
      <c r="D42" s="19">
        <f>YEAR(Tabela6[[#This Row],[Data]])</f>
        <v>2021</v>
      </c>
      <c r="E42" s="12" t="s">
        <v>78</v>
      </c>
      <c r="F42" t="s">
        <v>56</v>
      </c>
      <c r="G42" s="26">
        <v>14</v>
      </c>
      <c r="H42">
        <v>7</v>
      </c>
      <c r="I42" t="str">
        <f>IFERROR(VLOOKUP(Tabela6[[#This Row],[Descrição]],Materiais!B:C,2,0),"")</f>
        <v/>
      </c>
    </row>
    <row r="43" spans="2:9">
      <c r="B43" s="11">
        <f>42759+(365*4)</f>
        <v>44219</v>
      </c>
      <c r="C43" s="19">
        <f>MONTH(Tabela6[[#This Row],[Data]])</f>
        <v>1</v>
      </c>
      <c r="D43" s="19">
        <f>YEAR(Tabela6[[#This Row],[Data]])</f>
        <v>2021</v>
      </c>
      <c r="E43" s="12" t="s">
        <v>78</v>
      </c>
      <c r="F43" t="s">
        <v>61</v>
      </c>
      <c r="G43" s="26">
        <v>12</v>
      </c>
      <c r="H43">
        <v>6</v>
      </c>
      <c r="I43" t="str">
        <f>IFERROR(VLOOKUP(Tabela6[[#This Row],[Descrição]],Materiais!B:C,2,0),"")</f>
        <v/>
      </c>
    </row>
    <row r="44" spans="2:9">
      <c r="B44" s="11">
        <f>42759+(365*4)</f>
        <v>44219</v>
      </c>
      <c r="C44" s="19">
        <f>MONTH(Tabela6[[#This Row],[Data]])</f>
        <v>1</v>
      </c>
      <c r="D44" s="19">
        <f>YEAR(Tabela6[[#This Row],[Data]])</f>
        <v>2021</v>
      </c>
      <c r="E44" s="12" t="s">
        <v>78</v>
      </c>
      <c r="F44" t="s">
        <v>84</v>
      </c>
      <c r="G44" s="26">
        <v>18</v>
      </c>
      <c r="H44">
        <v>9</v>
      </c>
      <c r="I44" t="str">
        <f>IFERROR(VLOOKUP(Tabela6[[#This Row],[Descrição]],Materiais!B:C,2,0),"")</f>
        <v/>
      </c>
    </row>
    <row r="45" spans="2:9">
      <c r="B45" s="11">
        <f>42760+(365*4)</f>
        <v>44220</v>
      </c>
      <c r="C45" s="19">
        <f>MONTH(Tabela6[[#This Row],[Data]])</f>
        <v>1</v>
      </c>
      <c r="D45" s="19">
        <f>YEAR(Tabela6[[#This Row],[Data]])</f>
        <v>2021</v>
      </c>
      <c r="E45" s="12" t="s">
        <v>78</v>
      </c>
      <c r="F45" t="s">
        <v>56</v>
      </c>
      <c r="G45" s="26">
        <v>6</v>
      </c>
      <c r="H45">
        <v>3</v>
      </c>
      <c r="I45" t="str">
        <f>IFERROR(VLOOKUP(Tabela6[[#This Row],[Descrição]],Materiais!B:C,2,0),"")</f>
        <v/>
      </c>
    </row>
    <row r="46" spans="2:9">
      <c r="B46" s="11">
        <f>42760+(365*4)</f>
        <v>44220</v>
      </c>
      <c r="C46" s="19">
        <f>MONTH(Tabela6[[#This Row],[Data]])</f>
        <v>1</v>
      </c>
      <c r="D46" s="19">
        <f>YEAR(Tabela6[[#This Row],[Data]])</f>
        <v>2021</v>
      </c>
      <c r="E46" s="12" t="s">
        <v>78</v>
      </c>
      <c r="F46" t="s">
        <v>61</v>
      </c>
      <c r="G46" s="26">
        <v>6</v>
      </c>
      <c r="H46">
        <v>3</v>
      </c>
      <c r="I46" t="str">
        <f>IFERROR(VLOOKUP(Tabela6[[#This Row],[Descrição]],Materiais!B:C,2,0),"")</f>
        <v/>
      </c>
    </row>
    <row r="47" spans="2:9">
      <c r="B47" s="11">
        <f>42760+(365*4)</f>
        <v>44220</v>
      </c>
      <c r="C47" s="19">
        <f>MONTH(Tabela6[[#This Row],[Data]])</f>
        <v>1</v>
      </c>
      <c r="D47" s="19">
        <f>YEAR(Tabela6[[#This Row],[Data]])</f>
        <v>2021</v>
      </c>
      <c r="E47" s="12" t="s">
        <v>78</v>
      </c>
      <c r="F47" t="s">
        <v>84</v>
      </c>
      <c r="G47" s="26">
        <v>14</v>
      </c>
      <c r="H47">
        <v>7</v>
      </c>
      <c r="I47" t="str">
        <f>IFERROR(VLOOKUP(Tabela6[[#This Row],[Descrição]],Materiais!B:C,2,0),"")</f>
        <v/>
      </c>
    </row>
    <row r="48" spans="2:9">
      <c r="B48" s="11">
        <f>42761+(365*4)</f>
        <v>44221</v>
      </c>
      <c r="C48" s="19">
        <f>MONTH(Tabela6[[#This Row],[Data]])</f>
        <v>1</v>
      </c>
      <c r="D48" s="19">
        <f>YEAR(Tabela6[[#This Row],[Data]])</f>
        <v>2021</v>
      </c>
      <c r="E48" s="12" t="s">
        <v>78</v>
      </c>
      <c r="F48" t="s">
        <v>56</v>
      </c>
      <c r="G48" s="26">
        <v>26</v>
      </c>
      <c r="H48">
        <v>13</v>
      </c>
      <c r="I48" t="str">
        <f>IFERROR(VLOOKUP(Tabela6[[#This Row],[Descrição]],Materiais!B:C,2,0),"")</f>
        <v/>
      </c>
    </row>
    <row r="49" spans="2:9">
      <c r="B49" s="11">
        <f>42761+(365*4)</f>
        <v>44221</v>
      </c>
      <c r="C49" s="19">
        <f>MONTH(Tabela6[[#This Row],[Data]])</f>
        <v>1</v>
      </c>
      <c r="D49" s="19">
        <f>YEAR(Tabela6[[#This Row],[Data]])</f>
        <v>2021</v>
      </c>
      <c r="E49" s="12" t="s">
        <v>78</v>
      </c>
      <c r="F49" t="s">
        <v>61</v>
      </c>
      <c r="G49" s="26">
        <v>12</v>
      </c>
      <c r="H49">
        <v>6</v>
      </c>
      <c r="I49" t="str">
        <f>IFERROR(VLOOKUP(Tabela6[[#This Row],[Descrição]],Materiais!B:C,2,0),"")</f>
        <v/>
      </c>
    </row>
    <row r="50" spans="2:9">
      <c r="B50" s="11">
        <f>42762+(365*4)</f>
        <v>44222</v>
      </c>
      <c r="C50" s="19">
        <f>MONTH(Tabela6[[#This Row],[Data]])</f>
        <v>1</v>
      </c>
      <c r="D50" s="19">
        <f>YEAR(Tabela6[[#This Row],[Data]])</f>
        <v>2021</v>
      </c>
      <c r="E50" s="12" t="s">
        <v>78</v>
      </c>
      <c r="F50" t="s">
        <v>56</v>
      </c>
      <c r="G50" s="26">
        <v>6</v>
      </c>
      <c r="H50">
        <v>3</v>
      </c>
      <c r="I50" t="str">
        <f>IFERROR(VLOOKUP(Tabela6[[#This Row],[Descrição]],Materiais!B:C,2,0),"")</f>
        <v/>
      </c>
    </row>
    <row r="51" spans="2:9">
      <c r="B51" s="11">
        <f>42762+(365*4)</f>
        <v>44222</v>
      </c>
      <c r="C51" s="19">
        <f>MONTH(Tabela6[[#This Row],[Data]])</f>
        <v>1</v>
      </c>
      <c r="D51" s="19">
        <f>YEAR(Tabela6[[#This Row],[Data]])</f>
        <v>2021</v>
      </c>
      <c r="E51" s="12" t="s">
        <v>78</v>
      </c>
      <c r="F51" t="s">
        <v>79</v>
      </c>
      <c r="G51" s="26">
        <v>20</v>
      </c>
      <c r="H51">
        <v>10</v>
      </c>
      <c r="I51" t="str">
        <f>IFERROR(VLOOKUP(Tabela6[[#This Row],[Descrição]],Materiais!B:C,2,0),"")</f>
        <v/>
      </c>
    </row>
    <row r="52" spans="2:9">
      <c r="B52" s="11">
        <f>42765+(365*4)</f>
        <v>44225</v>
      </c>
      <c r="C52" s="19">
        <f>MONTH(Tabela6[[#This Row],[Data]])</f>
        <v>1</v>
      </c>
      <c r="D52" s="19">
        <f>YEAR(Tabela6[[#This Row],[Data]])</f>
        <v>2021</v>
      </c>
      <c r="E52" s="12" t="s">
        <v>78</v>
      </c>
      <c r="F52" t="s">
        <v>56</v>
      </c>
      <c r="G52" s="26">
        <v>18</v>
      </c>
      <c r="H52">
        <v>9</v>
      </c>
      <c r="I52" t="str">
        <f>IFERROR(VLOOKUP(Tabela6[[#This Row],[Descrição]],Materiais!B:C,2,0),"")</f>
        <v/>
      </c>
    </row>
    <row r="53" spans="2:9">
      <c r="B53" s="11">
        <f>42765+(365*4)</f>
        <v>44225</v>
      </c>
      <c r="C53" s="19">
        <f>MONTH(Tabela6[[#This Row],[Data]])</f>
        <v>1</v>
      </c>
      <c r="D53" s="19">
        <f>YEAR(Tabela6[[#This Row],[Data]])</f>
        <v>2021</v>
      </c>
      <c r="E53" s="12" t="s">
        <v>78</v>
      </c>
      <c r="F53" t="s">
        <v>61</v>
      </c>
      <c r="G53" s="26">
        <v>14</v>
      </c>
      <c r="H53">
        <v>7</v>
      </c>
      <c r="I53" t="str">
        <f>IFERROR(VLOOKUP(Tabela6[[#This Row],[Descrição]],Materiais!B:C,2,0),"")</f>
        <v/>
      </c>
    </row>
    <row r="54" spans="2:9">
      <c r="B54" s="11">
        <f>42766+(365*4)</f>
        <v>44226</v>
      </c>
      <c r="C54" s="19">
        <f>MONTH(Tabela6[[#This Row],[Data]])</f>
        <v>1</v>
      </c>
      <c r="D54" s="19">
        <f>YEAR(Tabela6[[#This Row],[Data]])</f>
        <v>2021</v>
      </c>
      <c r="E54" s="12" t="s">
        <v>78</v>
      </c>
      <c r="F54" t="s">
        <v>56</v>
      </c>
      <c r="G54" s="26">
        <v>12</v>
      </c>
      <c r="H54">
        <v>6</v>
      </c>
      <c r="I54" t="str">
        <f>IFERROR(VLOOKUP(Tabela6[[#This Row],[Descrição]],Materiais!B:C,2,0),"")</f>
        <v/>
      </c>
    </row>
    <row r="55" spans="2:9">
      <c r="B55" s="11">
        <f>42766+(365*4)</f>
        <v>44226</v>
      </c>
      <c r="C55" s="19">
        <f>MONTH(Tabela6[[#This Row],[Data]])</f>
        <v>1</v>
      </c>
      <c r="D55" s="19">
        <f>YEAR(Tabela6[[#This Row],[Data]])</f>
        <v>2021</v>
      </c>
      <c r="E55" s="12" t="s">
        <v>78</v>
      </c>
      <c r="F55" t="s">
        <v>61</v>
      </c>
      <c r="G55" s="26">
        <v>12</v>
      </c>
      <c r="H55">
        <v>6</v>
      </c>
      <c r="I55" t="str">
        <f>IFERROR(VLOOKUP(Tabela6[[#This Row],[Descrição]],Materiais!B:C,2,0),"")</f>
        <v/>
      </c>
    </row>
    <row r="56" spans="2:9">
      <c r="B56" s="11">
        <f>42766+(365*4)</f>
        <v>44226</v>
      </c>
      <c r="C56" s="19">
        <f>MONTH(Tabela6[[#This Row],[Data]])</f>
        <v>1</v>
      </c>
      <c r="D56" s="19">
        <f>YEAR(Tabela6[[#This Row],[Data]])</f>
        <v>2021</v>
      </c>
      <c r="E56" s="12" t="s">
        <v>78</v>
      </c>
      <c r="F56" t="s">
        <v>85</v>
      </c>
      <c r="G56" s="26">
        <v>18</v>
      </c>
      <c r="H56">
        <v>9</v>
      </c>
      <c r="I56" t="str">
        <f>IFERROR(VLOOKUP(Tabela6[[#This Row],[Descrição]],Materiais!B:C,2,0),"")</f>
        <v/>
      </c>
    </row>
    <row r="57" spans="2:9">
      <c r="B57" s="11">
        <f>42774+(365*4)</f>
        <v>44234</v>
      </c>
      <c r="C57" s="19">
        <f>MONTH(Tabela6[[#This Row],[Data]])</f>
        <v>2</v>
      </c>
      <c r="D57" s="19">
        <f>YEAR(Tabela6[[#This Row],[Data]])</f>
        <v>2021</v>
      </c>
      <c r="E57" s="12" t="s">
        <v>72</v>
      </c>
      <c r="F57" t="s">
        <v>86</v>
      </c>
      <c r="G57" s="26">
        <v>-24.5</v>
      </c>
      <c r="H57">
        <v>1050</v>
      </c>
      <c r="I57" t="str">
        <f>IFERROR(VLOOKUP(Tabela6[[#This Row],[Descrição]],Materiais!B:C,2,0),"")</f>
        <v/>
      </c>
    </row>
    <row r="58" spans="2:9">
      <c r="B58" s="11">
        <f t="shared" ref="B58:B63" si="3">42781+(365*4)</f>
        <v>44241</v>
      </c>
      <c r="C58" s="19">
        <f>MONTH(Tabela6[[#This Row],[Data]])</f>
        <v>2</v>
      </c>
      <c r="D58" s="19">
        <f>YEAR(Tabela6[[#This Row],[Data]])</f>
        <v>2021</v>
      </c>
      <c r="E58" s="12" t="s">
        <v>72</v>
      </c>
      <c r="F58" t="s">
        <v>74</v>
      </c>
      <c r="G58" s="26">
        <v>-9.8000000000000007</v>
      </c>
      <c r="H58">
        <v>-400</v>
      </c>
      <c r="I58" t="str">
        <f>IFERROR(VLOOKUP(Tabela6[[#This Row],[Descrição]],Materiais!B:C,2,0),"")</f>
        <v/>
      </c>
    </row>
    <row r="59" spans="2:9">
      <c r="B59" s="11">
        <f t="shared" si="3"/>
        <v>44241</v>
      </c>
      <c r="C59" s="19">
        <f>MONTH(Tabela6[[#This Row],[Data]])</f>
        <v>2</v>
      </c>
      <c r="D59" s="19">
        <f>YEAR(Tabela6[[#This Row],[Data]])</f>
        <v>2021</v>
      </c>
      <c r="E59" s="12" t="s">
        <v>72</v>
      </c>
      <c r="F59" t="s">
        <v>15</v>
      </c>
      <c r="G59" s="26">
        <v>-1.7640000000000002</v>
      </c>
      <c r="H59">
        <v>100</v>
      </c>
      <c r="I59" t="str">
        <f>IFERROR(VLOOKUP(Tabela6[[#This Row],[Descrição]],Materiais!B:C,2,0),"")</f>
        <v>g</v>
      </c>
    </row>
    <row r="60" spans="2:9">
      <c r="B60" s="11">
        <f t="shared" si="3"/>
        <v>44241</v>
      </c>
      <c r="C60" s="19">
        <f>MONTH(Tabela6[[#This Row],[Data]])</f>
        <v>2</v>
      </c>
      <c r="D60" s="19">
        <f>YEAR(Tabela6[[#This Row],[Data]])</f>
        <v>2021</v>
      </c>
      <c r="E60" s="12" t="s">
        <v>72</v>
      </c>
      <c r="F60" t="s">
        <v>16</v>
      </c>
      <c r="G60" s="26">
        <v>-2.85</v>
      </c>
      <c r="H60">
        <v>90.5</v>
      </c>
      <c r="I60" t="str">
        <f>IFERROR(VLOOKUP(Tabela6[[#This Row],[Descrição]],Materiais!B:C,2,0),"")</f>
        <v>g</v>
      </c>
    </row>
    <row r="61" spans="2:9">
      <c r="B61" s="11">
        <f t="shared" si="3"/>
        <v>44241</v>
      </c>
      <c r="C61" s="19">
        <f>MONTH(Tabela6[[#This Row],[Data]])</f>
        <v>2</v>
      </c>
      <c r="D61" s="19">
        <f>YEAR(Tabela6[[#This Row],[Data]])</f>
        <v>2021</v>
      </c>
      <c r="E61" s="12" t="s">
        <v>75</v>
      </c>
      <c r="F61" t="s">
        <v>87</v>
      </c>
      <c r="G61" s="26">
        <v>-3</v>
      </c>
      <c r="H61">
        <v>70</v>
      </c>
      <c r="I61" t="str">
        <f>IFERROR(VLOOKUP(Tabela6[[#This Row],[Descrição]],Materiais!B:C,2,0),"")</f>
        <v/>
      </c>
    </row>
    <row r="62" spans="2:9">
      <c r="B62" s="11">
        <f t="shared" si="3"/>
        <v>44241</v>
      </c>
      <c r="C62" s="19">
        <f>MONTH(Tabela6[[#This Row],[Data]])</f>
        <v>2</v>
      </c>
      <c r="D62" s="19">
        <f>YEAR(Tabela6[[#This Row],[Data]])</f>
        <v>2021</v>
      </c>
      <c r="E62" s="12" t="s">
        <v>72</v>
      </c>
      <c r="F62" t="s">
        <v>18</v>
      </c>
      <c r="G62" s="26">
        <v>-8.26</v>
      </c>
      <c r="H62">
        <v>-560</v>
      </c>
      <c r="I62" t="str">
        <f>IFERROR(VLOOKUP(Tabela6[[#This Row],[Descrição]],Materiais!B:C,2,0),"")</f>
        <v>g</v>
      </c>
    </row>
    <row r="63" spans="2:9">
      <c r="B63" s="11">
        <f t="shared" si="3"/>
        <v>44241</v>
      </c>
      <c r="C63" s="19">
        <f>MONTH(Tabela6[[#This Row],[Data]])</f>
        <v>2</v>
      </c>
      <c r="D63" s="19">
        <f>YEAR(Tabela6[[#This Row],[Data]])</f>
        <v>2021</v>
      </c>
      <c r="E63" s="12" t="s">
        <v>72</v>
      </c>
      <c r="F63" t="s">
        <v>77</v>
      </c>
      <c r="G63" s="26">
        <v>-3.44</v>
      </c>
      <c r="H63">
        <v>386</v>
      </c>
      <c r="I63" t="str">
        <f>IFERROR(VLOOKUP(Tabela6[[#This Row],[Descrição]],Materiais!B:C,2,0),"")</f>
        <v/>
      </c>
    </row>
    <row r="64" spans="2:9">
      <c r="B64" s="11">
        <f>42782+(365*4)</f>
        <v>44242</v>
      </c>
      <c r="C64" s="19">
        <f>MONTH(Tabela6[[#This Row],[Data]])</f>
        <v>2</v>
      </c>
      <c r="D64" s="19">
        <f>YEAR(Tabela6[[#This Row],[Data]])</f>
        <v>2021</v>
      </c>
      <c r="E64" s="12" t="s">
        <v>72</v>
      </c>
      <c r="F64" t="s">
        <v>18</v>
      </c>
      <c r="G64" s="26">
        <v>-5.99</v>
      </c>
      <c r="H64">
        <v>395</v>
      </c>
      <c r="I64" t="str">
        <f>IFERROR(VLOOKUP(Tabela6[[#This Row],[Descrição]],Materiais!B:C,2,0),"")</f>
        <v>g</v>
      </c>
    </row>
    <row r="65" spans="2:9">
      <c r="B65" s="11">
        <f>42782+(365*4)</f>
        <v>44242</v>
      </c>
      <c r="C65" s="19">
        <f>MONTH(Tabela6[[#This Row],[Data]])</f>
        <v>2</v>
      </c>
      <c r="D65" s="19">
        <f>YEAR(Tabela6[[#This Row],[Data]])</f>
        <v>2021</v>
      </c>
      <c r="E65" s="12" t="s">
        <v>78</v>
      </c>
      <c r="F65" t="s">
        <v>58</v>
      </c>
      <c r="G65" s="26">
        <v>22</v>
      </c>
      <c r="H65">
        <v>11</v>
      </c>
      <c r="I65" t="str">
        <f>IFERROR(VLOOKUP(Tabela6[[#This Row],[Descrição]],Materiais!B:C,2,0),"")</f>
        <v/>
      </c>
    </row>
    <row r="66" spans="2:9">
      <c r="B66" s="11">
        <f>42783+(365*4)</f>
        <v>44243</v>
      </c>
      <c r="C66" s="19">
        <f>MONTH(Tabela6[[#This Row],[Data]])</f>
        <v>2</v>
      </c>
      <c r="D66" s="19">
        <f>YEAR(Tabela6[[#This Row],[Data]])</f>
        <v>2021</v>
      </c>
      <c r="E66" s="12" t="s">
        <v>78</v>
      </c>
      <c r="F66" t="s">
        <v>56</v>
      </c>
      <c r="G66" s="26">
        <v>26</v>
      </c>
      <c r="H66">
        <v>13</v>
      </c>
      <c r="I66" t="str">
        <f>IFERROR(VLOOKUP(Tabela6[[#This Row],[Descrição]],Materiais!B:C,2,0),"")</f>
        <v/>
      </c>
    </row>
    <row r="67" spans="2:9">
      <c r="B67" s="11">
        <f>42786+(365*4)</f>
        <v>44246</v>
      </c>
      <c r="C67" s="19">
        <f>MONTH(Tabela6[[#This Row],[Data]])</f>
        <v>2</v>
      </c>
      <c r="D67" s="19">
        <f>YEAR(Tabela6[[#This Row],[Data]])</f>
        <v>2021</v>
      </c>
      <c r="E67" s="12" t="s">
        <v>78</v>
      </c>
      <c r="F67" t="s">
        <v>56</v>
      </c>
      <c r="G67" s="26">
        <v>14</v>
      </c>
      <c r="H67">
        <v>7</v>
      </c>
      <c r="I67" t="str">
        <f>IFERROR(VLOOKUP(Tabela6[[#This Row],[Descrição]],Materiais!B:C,2,0),"")</f>
        <v/>
      </c>
    </row>
    <row r="68" spans="2:9">
      <c r="B68" s="11">
        <f>42786+(365*4)</f>
        <v>44246</v>
      </c>
      <c r="C68" s="19">
        <f>MONTH(Tabela6[[#This Row],[Data]])</f>
        <v>2</v>
      </c>
      <c r="D68" s="19">
        <f>YEAR(Tabela6[[#This Row],[Data]])</f>
        <v>2021</v>
      </c>
      <c r="E68" s="12" t="s">
        <v>78</v>
      </c>
      <c r="F68" t="s">
        <v>58</v>
      </c>
      <c r="G68" s="26">
        <v>8</v>
      </c>
      <c r="H68">
        <v>4</v>
      </c>
      <c r="I68" t="str">
        <f>IFERROR(VLOOKUP(Tabela6[[#This Row],[Descrição]],Materiais!B:C,2,0),"")</f>
        <v/>
      </c>
    </row>
    <row r="69" spans="2:9">
      <c r="B69" s="11">
        <f>42787+(365*4)</f>
        <v>44247</v>
      </c>
      <c r="C69" s="19">
        <f>MONTH(Tabela6[[#This Row],[Data]])</f>
        <v>2</v>
      </c>
      <c r="D69" s="19">
        <f>YEAR(Tabela6[[#This Row],[Data]])</f>
        <v>2021</v>
      </c>
      <c r="E69" s="12" t="s">
        <v>78</v>
      </c>
      <c r="F69" t="s">
        <v>56</v>
      </c>
      <c r="G69" s="26">
        <v>8</v>
      </c>
      <c r="H69">
        <v>4</v>
      </c>
      <c r="I69" t="str">
        <f>IFERROR(VLOOKUP(Tabela6[[#This Row],[Descrição]],Materiais!B:C,2,0),"")</f>
        <v/>
      </c>
    </row>
    <row r="70" spans="2:9">
      <c r="B70" s="11">
        <f>42787+(365*4)</f>
        <v>44247</v>
      </c>
      <c r="C70" s="19">
        <f>MONTH(Tabela6[[#This Row],[Data]])</f>
        <v>2</v>
      </c>
      <c r="D70" s="19">
        <f>YEAR(Tabela6[[#This Row],[Data]])</f>
        <v>2021</v>
      </c>
      <c r="E70" s="12" t="s">
        <v>78</v>
      </c>
      <c r="F70" t="s">
        <v>58</v>
      </c>
      <c r="G70" s="26">
        <v>8</v>
      </c>
      <c r="H70">
        <v>4</v>
      </c>
      <c r="I70" t="str">
        <f>IFERROR(VLOOKUP(Tabela6[[#This Row],[Descrição]],Materiais!B:C,2,0),"")</f>
        <v/>
      </c>
    </row>
    <row r="71" spans="2:9">
      <c r="B71" s="11">
        <f>42788+(365*4)</f>
        <v>44248</v>
      </c>
      <c r="C71" s="19">
        <f>MONTH(Tabela6[[#This Row],[Data]])</f>
        <v>2</v>
      </c>
      <c r="D71" s="19">
        <f>YEAR(Tabela6[[#This Row],[Data]])</f>
        <v>2021</v>
      </c>
      <c r="E71" s="12" t="s">
        <v>78</v>
      </c>
      <c r="F71" t="s">
        <v>61</v>
      </c>
      <c r="G71" s="26">
        <v>22</v>
      </c>
      <c r="H71">
        <v>11</v>
      </c>
      <c r="I71" t="str">
        <f>IFERROR(VLOOKUP(Tabela6[[#This Row],[Descrição]],Materiais!B:C,2,0),"")</f>
        <v/>
      </c>
    </row>
    <row r="72" spans="2:9">
      <c r="B72" s="11">
        <f>42789+(365*4)</f>
        <v>44249</v>
      </c>
      <c r="C72" s="19">
        <f>MONTH(Tabela6[[#This Row],[Data]])</f>
        <v>2</v>
      </c>
      <c r="D72" s="19">
        <f>YEAR(Tabela6[[#This Row],[Data]])</f>
        <v>2021</v>
      </c>
      <c r="E72" s="12" t="s">
        <v>78</v>
      </c>
      <c r="F72" t="s">
        <v>56</v>
      </c>
      <c r="G72" s="26">
        <v>16</v>
      </c>
      <c r="H72">
        <v>8</v>
      </c>
      <c r="I72" t="str">
        <f>IFERROR(VLOOKUP(Tabela6[[#This Row],[Descrição]],Materiais!B:C,2,0),"")</f>
        <v/>
      </c>
    </row>
    <row r="73" spans="2:9">
      <c r="B73" s="11">
        <f>42789+(365*4)</f>
        <v>44249</v>
      </c>
      <c r="C73" s="19">
        <f>MONTH(Tabela6[[#This Row],[Data]])</f>
        <v>2</v>
      </c>
      <c r="D73" s="19">
        <f>YEAR(Tabela6[[#This Row],[Data]])</f>
        <v>2021</v>
      </c>
      <c r="E73" s="12" t="s">
        <v>78</v>
      </c>
      <c r="F73" t="s">
        <v>58</v>
      </c>
      <c r="G73" s="26">
        <v>10</v>
      </c>
      <c r="H73">
        <v>5</v>
      </c>
      <c r="I73" t="str">
        <f>IFERROR(VLOOKUP(Tabela6[[#This Row],[Descrição]],Materiais!B:C,2,0),"")</f>
        <v/>
      </c>
    </row>
    <row r="74" spans="2:9">
      <c r="B74" s="11">
        <f>42796+(365*4)</f>
        <v>44256</v>
      </c>
      <c r="C74" s="19">
        <f>MONTH(Tabela6[[#This Row],[Data]])</f>
        <v>3</v>
      </c>
      <c r="D74" s="19">
        <f>YEAR(Tabela6[[#This Row],[Data]])</f>
        <v>2021</v>
      </c>
      <c r="E74" s="12" t="s">
        <v>78</v>
      </c>
      <c r="F74" t="s">
        <v>56</v>
      </c>
      <c r="G74" s="26">
        <v>6</v>
      </c>
      <c r="H74">
        <v>3</v>
      </c>
      <c r="I74" t="str">
        <f>IFERROR(VLOOKUP(Tabela6[[#This Row],[Descrição]],Materiais!B:C,2,0),"")</f>
        <v/>
      </c>
    </row>
    <row r="75" spans="2:9">
      <c r="B75" s="11">
        <f>42797+(365*4)</f>
        <v>44257</v>
      </c>
      <c r="C75" s="19">
        <f>MONTH(Tabela6[[#This Row],[Data]])</f>
        <v>3</v>
      </c>
      <c r="D75" s="19">
        <f>YEAR(Tabela6[[#This Row],[Data]])</f>
        <v>2021</v>
      </c>
      <c r="E75" s="12" t="s">
        <v>78</v>
      </c>
      <c r="F75" t="s">
        <v>61</v>
      </c>
      <c r="G75" s="26">
        <v>2</v>
      </c>
      <c r="H75">
        <v>1</v>
      </c>
      <c r="I75" t="str">
        <f>IFERROR(VLOOKUP(Tabela6[[#This Row],[Descrição]],Materiais!B:C,2,0),"")</f>
        <v/>
      </c>
    </row>
    <row r="76" spans="2:9">
      <c r="B76" s="11">
        <f>42800+(365*4)</f>
        <v>44260</v>
      </c>
      <c r="C76" s="19">
        <f>MONTH(Tabela6[[#This Row],[Data]])</f>
        <v>3</v>
      </c>
      <c r="D76" s="19">
        <f>YEAR(Tabela6[[#This Row],[Data]])</f>
        <v>2021</v>
      </c>
      <c r="E76" s="12" t="s">
        <v>78</v>
      </c>
      <c r="F76" t="s">
        <v>56</v>
      </c>
      <c r="G76" s="26">
        <v>4</v>
      </c>
      <c r="H76">
        <v>2</v>
      </c>
      <c r="I76" t="str">
        <f>IFERROR(VLOOKUP(Tabela6[[#This Row],[Descrição]],Materiais!B:C,2,0),"")</f>
        <v/>
      </c>
    </row>
    <row r="77" spans="2:9">
      <c r="B77" s="11">
        <f>42800+(365*4)</f>
        <v>44260</v>
      </c>
      <c r="C77" s="19">
        <f>MONTH(Tabela6[[#This Row],[Data]])</f>
        <v>3</v>
      </c>
      <c r="D77" s="19">
        <f>YEAR(Tabela6[[#This Row],[Data]])</f>
        <v>2021</v>
      </c>
      <c r="E77" s="12" t="s">
        <v>78</v>
      </c>
      <c r="F77" t="s">
        <v>61</v>
      </c>
      <c r="G77" s="26">
        <v>8</v>
      </c>
      <c r="H77">
        <v>4</v>
      </c>
      <c r="I77" t="str">
        <f>IFERROR(VLOOKUP(Tabela6[[#This Row],[Descrição]],Materiais!B:C,2,0),"")</f>
        <v/>
      </c>
    </row>
    <row r="78" spans="2:9">
      <c r="B78" s="11">
        <f>42801+(365*4)</f>
        <v>44261</v>
      </c>
      <c r="C78" s="19">
        <f>MONTH(Tabela6[[#This Row],[Data]])</f>
        <v>3</v>
      </c>
      <c r="D78" s="19">
        <f>YEAR(Tabela6[[#This Row],[Data]])</f>
        <v>2021</v>
      </c>
      <c r="E78" s="12" t="s">
        <v>78</v>
      </c>
      <c r="F78" t="s">
        <v>61</v>
      </c>
      <c r="G78" s="26">
        <v>14</v>
      </c>
      <c r="H78">
        <v>7</v>
      </c>
      <c r="I78" t="str">
        <f>IFERROR(VLOOKUP(Tabela6[[#This Row],[Descrição]],Materiais!B:C,2,0),"")</f>
        <v/>
      </c>
    </row>
    <row r="79" spans="2:9">
      <c r="B79" s="11">
        <f>42801+(365*4)</f>
        <v>44261</v>
      </c>
      <c r="C79" s="19">
        <f>MONTH(Tabela6[[#This Row],[Data]])</f>
        <v>3</v>
      </c>
      <c r="D79" s="19">
        <f>YEAR(Tabela6[[#This Row],[Data]])</f>
        <v>2021</v>
      </c>
      <c r="E79" s="12" t="s">
        <v>78</v>
      </c>
      <c r="F79" t="s">
        <v>84</v>
      </c>
      <c r="G79" s="26">
        <v>4</v>
      </c>
      <c r="H79">
        <v>2</v>
      </c>
      <c r="I79" t="str">
        <f>IFERROR(VLOOKUP(Tabela6[[#This Row],[Descrição]],Materiais!B:C,2,0),"")</f>
        <v/>
      </c>
    </row>
    <row r="80" spans="2:9">
      <c r="B80" s="11">
        <f>42802+(365*4)</f>
        <v>44262</v>
      </c>
      <c r="C80" s="19">
        <f>MONTH(Tabela6[[#This Row],[Data]])</f>
        <v>3</v>
      </c>
      <c r="D80" s="19">
        <f>YEAR(Tabela6[[#This Row],[Data]])</f>
        <v>2021</v>
      </c>
      <c r="E80" s="12" t="s">
        <v>78</v>
      </c>
      <c r="F80" t="s">
        <v>61</v>
      </c>
      <c r="G80" s="26">
        <v>12</v>
      </c>
      <c r="H80">
        <v>6</v>
      </c>
      <c r="I80" t="str">
        <f>IFERROR(VLOOKUP(Tabela6[[#This Row],[Descrição]],Materiais!B:C,2,0),"")</f>
        <v/>
      </c>
    </row>
    <row r="81" spans="2:9">
      <c r="B81" s="11">
        <f>42802+(365*4)</f>
        <v>44262</v>
      </c>
      <c r="C81" s="19">
        <f>MONTH(Tabela6[[#This Row],[Data]])</f>
        <v>3</v>
      </c>
      <c r="D81" s="19">
        <f>YEAR(Tabela6[[#This Row],[Data]])</f>
        <v>2021</v>
      </c>
      <c r="E81" s="12" t="s">
        <v>78</v>
      </c>
      <c r="F81" t="s">
        <v>84</v>
      </c>
      <c r="G81" s="26">
        <v>6</v>
      </c>
      <c r="H81">
        <v>3</v>
      </c>
      <c r="I81" t="str">
        <f>IFERROR(VLOOKUP(Tabela6[[#This Row],[Descrição]],Materiais!B:C,2,0),"")</f>
        <v/>
      </c>
    </row>
    <row r="82" spans="2:9">
      <c r="B82" s="11">
        <f>42803+(365*4)</f>
        <v>44263</v>
      </c>
      <c r="C82" s="19">
        <f>MONTH(Tabela6[[#This Row],[Data]])</f>
        <v>3</v>
      </c>
      <c r="D82" s="19">
        <f>YEAR(Tabela6[[#This Row],[Data]])</f>
        <v>2021</v>
      </c>
      <c r="E82" s="12" t="s">
        <v>78</v>
      </c>
      <c r="F82" t="s">
        <v>61</v>
      </c>
      <c r="G82" s="26">
        <v>4</v>
      </c>
      <c r="H82">
        <v>2</v>
      </c>
      <c r="I82" t="str">
        <f>IFERROR(VLOOKUP(Tabela6[[#This Row],[Descrição]],Materiais!B:C,2,0),"")</f>
        <v/>
      </c>
    </row>
    <row r="83" spans="2:9">
      <c r="B83" s="11">
        <f>42803+(365*4)</f>
        <v>44263</v>
      </c>
      <c r="C83" s="19">
        <f>MONTH(Tabela6[[#This Row],[Data]])</f>
        <v>3</v>
      </c>
      <c r="D83" s="19">
        <f>YEAR(Tabela6[[#This Row],[Data]])</f>
        <v>2021</v>
      </c>
      <c r="E83" s="12" t="s">
        <v>78</v>
      </c>
      <c r="F83" t="s">
        <v>84</v>
      </c>
      <c r="G83" s="26">
        <v>10</v>
      </c>
      <c r="H83">
        <v>5</v>
      </c>
      <c r="I83" t="str">
        <f>IFERROR(VLOOKUP(Tabela6[[#This Row],[Descrição]],Materiais!B:C,2,0),"")</f>
        <v/>
      </c>
    </row>
    <row r="84" spans="2:9">
      <c r="B84" s="11">
        <f>42804+(365*4)</f>
        <v>44264</v>
      </c>
      <c r="C84" s="19">
        <f>MONTH(Tabela6[[#This Row],[Data]])</f>
        <v>3</v>
      </c>
      <c r="D84" s="19">
        <f>YEAR(Tabela6[[#This Row],[Data]])</f>
        <v>2021</v>
      </c>
      <c r="E84" s="12" t="s">
        <v>78</v>
      </c>
      <c r="F84" t="s">
        <v>61</v>
      </c>
      <c r="G84" s="26">
        <v>10</v>
      </c>
      <c r="H84">
        <v>5</v>
      </c>
      <c r="I84" t="str">
        <f>IFERROR(VLOOKUP(Tabela6[[#This Row],[Descrição]],Materiais!B:C,2,0),"")</f>
        <v/>
      </c>
    </row>
    <row r="85" spans="2:9">
      <c r="B85" s="11">
        <f>42804+(365*4)</f>
        <v>44264</v>
      </c>
      <c r="C85" s="19">
        <f>MONTH(Tabela6[[#This Row],[Data]])</f>
        <v>3</v>
      </c>
      <c r="D85" s="19">
        <f>YEAR(Tabela6[[#This Row],[Data]])</f>
        <v>2021</v>
      </c>
      <c r="E85" s="12" t="s">
        <v>78</v>
      </c>
      <c r="F85" t="s">
        <v>84</v>
      </c>
      <c r="G85" s="26">
        <v>10</v>
      </c>
      <c r="H85">
        <v>5</v>
      </c>
      <c r="I85" t="str">
        <f>IFERROR(VLOOKUP(Tabela6[[#This Row],[Descrição]],Materiais!B:C,2,0),"")</f>
        <v/>
      </c>
    </row>
    <row r="86" spans="2:9">
      <c r="B86" s="11">
        <f>42805+(365*4)</f>
        <v>44265</v>
      </c>
      <c r="C86" s="19">
        <f>MONTH(Tabela6[[#This Row],[Data]])</f>
        <v>3</v>
      </c>
      <c r="D86" s="19">
        <f>YEAR(Tabela6[[#This Row],[Data]])</f>
        <v>2021</v>
      </c>
      <c r="E86" s="12" t="s">
        <v>75</v>
      </c>
      <c r="F86" t="s">
        <v>88</v>
      </c>
      <c r="G86" s="26">
        <v>-7.2</v>
      </c>
      <c r="H86">
        <v>20</v>
      </c>
      <c r="I86" t="str">
        <f>IFERROR(VLOOKUP(Tabela6[[#This Row],[Descrição]],Materiais!B:C,2,0),"")</f>
        <v/>
      </c>
    </row>
    <row r="87" spans="2:9">
      <c r="B87" s="11">
        <f>42805+(365*4)</f>
        <v>44265</v>
      </c>
      <c r="C87" s="19">
        <f>MONTH(Tabela6[[#This Row],[Data]])</f>
        <v>3</v>
      </c>
      <c r="D87" s="19">
        <f>YEAR(Tabela6[[#This Row],[Data]])</f>
        <v>2021</v>
      </c>
      <c r="E87" s="12" t="s">
        <v>75</v>
      </c>
      <c r="F87" t="s">
        <v>89</v>
      </c>
      <c r="G87" s="26">
        <v>-1.5</v>
      </c>
      <c r="H87">
        <v>1</v>
      </c>
      <c r="I87" t="str">
        <f>IFERROR(VLOOKUP(Tabela6[[#This Row],[Descrição]],Materiais!B:C,2,0),"")</f>
        <v/>
      </c>
    </row>
    <row r="88" spans="2:9">
      <c r="B88" s="11">
        <f>42805+(365*4)</f>
        <v>44265</v>
      </c>
      <c r="C88" s="19">
        <f>MONTH(Tabela6[[#This Row],[Data]])</f>
        <v>3</v>
      </c>
      <c r="D88" s="19">
        <f>YEAR(Tabela6[[#This Row],[Data]])</f>
        <v>2021</v>
      </c>
      <c r="E88" s="12" t="s">
        <v>72</v>
      </c>
      <c r="F88" t="s">
        <v>90</v>
      </c>
      <c r="G88" s="26">
        <v>-16.8</v>
      </c>
      <c r="H88">
        <v>1050</v>
      </c>
      <c r="I88" t="str">
        <f>IFERROR(VLOOKUP(Tabela6[[#This Row],[Descrição]],Materiais!B:C,2,0),"")</f>
        <v/>
      </c>
    </row>
    <row r="89" spans="2:9">
      <c r="B89" s="11">
        <f>42805+(365*4)</f>
        <v>44265</v>
      </c>
      <c r="C89" s="19">
        <f>MONTH(Tabela6[[#This Row],[Data]])</f>
        <v>3</v>
      </c>
      <c r="D89" s="19">
        <f>YEAR(Tabela6[[#This Row],[Data]])</f>
        <v>2021</v>
      </c>
      <c r="E89" s="12" t="s">
        <v>72</v>
      </c>
      <c r="F89" t="s">
        <v>17</v>
      </c>
      <c r="G89" s="26">
        <v>-3.15</v>
      </c>
      <c r="H89">
        <v>200</v>
      </c>
      <c r="I89" t="str">
        <f>IFERROR(VLOOKUP(Tabela6[[#This Row],[Descrição]],Materiais!B:C,2,0),"")</f>
        <v>g</v>
      </c>
    </row>
    <row r="90" spans="2:9">
      <c r="B90" s="11">
        <f>42805+(365*4)</f>
        <v>44265</v>
      </c>
      <c r="C90" s="19">
        <f>MONTH(Tabela6[[#This Row],[Data]])</f>
        <v>3</v>
      </c>
      <c r="D90" s="19">
        <f>YEAR(Tabela6[[#This Row],[Data]])</f>
        <v>2021</v>
      </c>
      <c r="E90" s="12" t="s">
        <v>75</v>
      </c>
      <c r="F90" t="s">
        <v>91</v>
      </c>
      <c r="G90" s="26">
        <v>-3.9000000000000004</v>
      </c>
      <c r="H90">
        <v>5</v>
      </c>
      <c r="I90" t="str">
        <f>IFERROR(VLOOKUP(Tabela6[[#This Row],[Descrição]],Materiais!B:C,2,0),"")</f>
        <v/>
      </c>
    </row>
    <row r="91" spans="2:9">
      <c r="B91" s="11">
        <f>42806+(365*4)</f>
        <v>44266</v>
      </c>
      <c r="C91" s="19">
        <f>MONTH(Tabela6[[#This Row],[Data]])</f>
        <v>3</v>
      </c>
      <c r="D91" s="19">
        <f>YEAR(Tabela6[[#This Row],[Data]])</f>
        <v>2021</v>
      </c>
      <c r="E91" s="12" t="s">
        <v>75</v>
      </c>
      <c r="F91" t="s">
        <v>92</v>
      </c>
      <c r="G91" s="26">
        <v>-1.7</v>
      </c>
      <c r="H91">
        <v>1500</v>
      </c>
      <c r="I91" t="str">
        <f>IFERROR(VLOOKUP(Tabela6[[#This Row],[Descrição]],Materiais!B:C,2,0),"")</f>
        <v/>
      </c>
    </row>
    <row r="92" spans="2:9">
      <c r="B92" s="11">
        <f>42806+(365*4)</f>
        <v>44266</v>
      </c>
      <c r="C92" s="19">
        <f>MONTH(Tabela6[[#This Row],[Data]])</f>
        <v>3</v>
      </c>
      <c r="D92" s="19">
        <f>YEAR(Tabela6[[#This Row],[Data]])</f>
        <v>2021</v>
      </c>
      <c r="E92" s="12" t="s">
        <v>75</v>
      </c>
      <c r="F92" t="s">
        <v>93</v>
      </c>
      <c r="G92" s="26">
        <v>-4.24</v>
      </c>
      <c r="H92">
        <v>50</v>
      </c>
      <c r="I92" t="str">
        <f>IFERROR(VLOOKUP(Tabela6[[#This Row],[Descrição]],Materiais!B:C,2,0),"")</f>
        <v/>
      </c>
    </row>
    <row r="93" spans="2:9">
      <c r="B93" s="11">
        <f>42807+(365*4)</f>
        <v>44267</v>
      </c>
      <c r="C93" s="19">
        <f>MONTH(Tabela6[[#This Row],[Data]])</f>
        <v>3</v>
      </c>
      <c r="D93" s="19">
        <f>YEAR(Tabela6[[#This Row],[Data]])</f>
        <v>2021</v>
      </c>
      <c r="E93" s="12" t="s">
        <v>78</v>
      </c>
      <c r="F93" t="s">
        <v>56</v>
      </c>
      <c r="G93" s="26">
        <v>16</v>
      </c>
      <c r="H93">
        <v>8</v>
      </c>
      <c r="I93" t="str">
        <f>IFERROR(VLOOKUP(Tabela6[[#This Row],[Descrição]],Materiais!B:C,2,0),"")</f>
        <v/>
      </c>
    </row>
    <row r="94" spans="2:9">
      <c r="B94" s="11">
        <f>42807+(365*4)</f>
        <v>44267</v>
      </c>
      <c r="C94" s="19">
        <f>MONTH(Tabela6[[#This Row],[Data]])</f>
        <v>3</v>
      </c>
      <c r="D94" s="19">
        <f>YEAR(Tabela6[[#This Row],[Data]])</f>
        <v>2021</v>
      </c>
      <c r="E94" s="12" t="s">
        <v>75</v>
      </c>
      <c r="F94" t="s">
        <v>94</v>
      </c>
      <c r="G94" s="26">
        <v>-8.1</v>
      </c>
      <c r="H94">
        <v>8</v>
      </c>
      <c r="I94" t="str">
        <f>IFERROR(VLOOKUP(Tabela6[[#This Row],[Descrição]],Materiais!B:C,2,0),"")</f>
        <v/>
      </c>
    </row>
    <row r="95" spans="2:9">
      <c r="B95" s="11">
        <f>42807+(365*4)</f>
        <v>44267</v>
      </c>
      <c r="C95" s="19">
        <f>MONTH(Tabela6[[#This Row],[Data]])</f>
        <v>3</v>
      </c>
      <c r="D95" s="19">
        <f>YEAR(Tabela6[[#This Row],[Data]])</f>
        <v>2021</v>
      </c>
      <c r="E95" s="12" t="s">
        <v>78</v>
      </c>
      <c r="F95" t="s">
        <v>61</v>
      </c>
      <c r="G95" s="26">
        <v>8</v>
      </c>
      <c r="H95">
        <v>4</v>
      </c>
      <c r="I95" t="str">
        <f>IFERROR(VLOOKUP(Tabela6[[#This Row],[Descrição]],Materiais!B:C,2,0),"")</f>
        <v/>
      </c>
    </row>
    <row r="96" spans="2:9">
      <c r="B96" s="11">
        <f>42807+(365*4)</f>
        <v>44267</v>
      </c>
      <c r="C96" s="19">
        <f>MONTH(Tabela6[[#This Row],[Data]])</f>
        <v>3</v>
      </c>
      <c r="D96" s="19">
        <f>YEAR(Tabela6[[#This Row],[Data]])</f>
        <v>2021</v>
      </c>
      <c r="E96" s="12" t="s">
        <v>78</v>
      </c>
      <c r="F96" t="s">
        <v>58</v>
      </c>
      <c r="G96" s="26">
        <v>4</v>
      </c>
      <c r="H96">
        <v>2</v>
      </c>
      <c r="I96" t="str">
        <f>IFERROR(VLOOKUP(Tabela6[[#This Row],[Descrição]],Materiais!B:C,2,0),"")</f>
        <v/>
      </c>
    </row>
    <row r="97" spans="2:9">
      <c r="B97" s="11">
        <f>42807+(365*4)</f>
        <v>44267</v>
      </c>
      <c r="C97" s="19">
        <f>MONTH(Tabela6[[#This Row],[Data]])</f>
        <v>3</v>
      </c>
      <c r="D97" s="19">
        <f>YEAR(Tabela6[[#This Row],[Data]])</f>
        <v>2021</v>
      </c>
      <c r="E97" s="12" t="s">
        <v>78</v>
      </c>
      <c r="F97" t="s">
        <v>95</v>
      </c>
      <c r="G97" s="26">
        <v>4</v>
      </c>
      <c r="H97">
        <v>2</v>
      </c>
      <c r="I97" t="str">
        <f>IFERROR(VLOOKUP(Tabela6[[#This Row],[Descrição]],Materiais!B:C,2,0),"")</f>
        <v/>
      </c>
    </row>
    <row r="98" spans="2:9">
      <c r="B98" s="11">
        <f t="shared" ref="B98:B105" si="4">42808+(365*4)</f>
        <v>44268</v>
      </c>
      <c r="C98" s="19">
        <f>MONTH(Tabela6[[#This Row],[Data]])</f>
        <v>3</v>
      </c>
      <c r="D98" s="19">
        <f>YEAR(Tabela6[[#This Row],[Data]])</f>
        <v>2021</v>
      </c>
      <c r="E98" s="12" t="s">
        <v>78</v>
      </c>
      <c r="F98" t="s">
        <v>56</v>
      </c>
      <c r="G98" s="26">
        <v>16</v>
      </c>
      <c r="H98">
        <v>8</v>
      </c>
      <c r="I98" t="str">
        <f>IFERROR(VLOOKUP(Tabela6[[#This Row],[Descrição]],Materiais!B:C,2,0),"")</f>
        <v/>
      </c>
    </row>
    <row r="99" spans="2:9">
      <c r="B99" s="11">
        <f t="shared" si="4"/>
        <v>44268</v>
      </c>
      <c r="C99" s="19">
        <f>MONTH(Tabela6[[#This Row],[Data]])</f>
        <v>3</v>
      </c>
      <c r="D99" s="19">
        <f>YEAR(Tabela6[[#This Row],[Data]])</f>
        <v>2021</v>
      </c>
      <c r="E99" s="12" t="s">
        <v>78</v>
      </c>
      <c r="F99" t="s">
        <v>61</v>
      </c>
      <c r="G99" s="26">
        <v>10</v>
      </c>
      <c r="H99">
        <v>5</v>
      </c>
      <c r="I99" t="str">
        <f>IFERROR(VLOOKUP(Tabela6[[#This Row],[Descrição]],Materiais!B:C,2,0),"")</f>
        <v/>
      </c>
    </row>
    <row r="100" spans="2:9">
      <c r="B100" s="11">
        <f t="shared" si="4"/>
        <v>44268</v>
      </c>
      <c r="C100" s="19">
        <f>MONTH(Tabela6[[#This Row],[Data]])</f>
        <v>3</v>
      </c>
      <c r="D100" s="19">
        <f>YEAR(Tabela6[[#This Row],[Data]])</f>
        <v>2021</v>
      </c>
      <c r="E100" s="12" t="s">
        <v>72</v>
      </c>
      <c r="F100" t="s">
        <v>20</v>
      </c>
      <c r="G100" s="26">
        <v>-124.75</v>
      </c>
      <c r="H100">
        <v>9875</v>
      </c>
      <c r="I100" t="str">
        <f>IFERROR(VLOOKUP(Tabela6[[#This Row],[Descrição]],Materiais!B:C,2,0),"")</f>
        <v>g</v>
      </c>
    </row>
    <row r="101" spans="2:9">
      <c r="B101" s="11">
        <f t="shared" si="4"/>
        <v>44268</v>
      </c>
      <c r="C101" s="19">
        <f>MONTH(Tabela6[[#This Row],[Data]])</f>
        <v>3</v>
      </c>
      <c r="D101" s="19">
        <f>YEAR(Tabela6[[#This Row],[Data]])</f>
        <v>2021</v>
      </c>
      <c r="E101" s="12" t="s">
        <v>72</v>
      </c>
      <c r="F101" t="s">
        <v>22</v>
      </c>
      <c r="G101" s="26">
        <v>-8.4</v>
      </c>
      <c r="H101">
        <v>400</v>
      </c>
      <c r="I101" t="str">
        <f>IFERROR(VLOOKUP(Tabela6[[#This Row],[Descrição]],Materiais!B:C,2,0),"")</f>
        <v>g</v>
      </c>
    </row>
    <row r="102" spans="2:9">
      <c r="B102" s="11">
        <f t="shared" si="4"/>
        <v>44268</v>
      </c>
      <c r="C102" s="19">
        <f>MONTH(Tabela6[[#This Row],[Data]])</f>
        <v>3</v>
      </c>
      <c r="D102" s="19">
        <f>YEAR(Tabela6[[#This Row],[Data]])</f>
        <v>2021</v>
      </c>
      <c r="E102" s="12" t="s">
        <v>72</v>
      </c>
      <c r="F102" t="s">
        <v>96</v>
      </c>
      <c r="G102" s="26">
        <v>-4.6900000000000004</v>
      </c>
      <c r="H102">
        <v>500</v>
      </c>
      <c r="I102" t="str">
        <f>IFERROR(VLOOKUP(Tabela6[[#This Row],[Descrição]],Materiais!B:C,2,0),"")</f>
        <v/>
      </c>
    </row>
    <row r="103" spans="2:9">
      <c r="B103" s="11">
        <f t="shared" si="4"/>
        <v>44268</v>
      </c>
      <c r="C103" s="19">
        <f>MONTH(Tabela6[[#This Row],[Data]])</f>
        <v>3</v>
      </c>
      <c r="D103" s="19">
        <f>YEAR(Tabela6[[#This Row],[Data]])</f>
        <v>2021</v>
      </c>
      <c r="E103" s="12" t="s">
        <v>78</v>
      </c>
      <c r="F103" t="s">
        <v>62</v>
      </c>
      <c r="G103" s="26">
        <v>2</v>
      </c>
      <c r="H103">
        <v>1</v>
      </c>
      <c r="I103" t="str">
        <f>IFERROR(VLOOKUP(Tabela6[[#This Row],[Descrição]],Materiais!B:C,2,0),"")</f>
        <v/>
      </c>
    </row>
    <row r="104" spans="2:9">
      <c r="B104" s="11">
        <f t="shared" si="4"/>
        <v>44268</v>
      </c>
      <c r="C104" s="19">
        <f>MONTH(Tabela6[[#This Row],[Data]])</f>
        <v>3</v>
      </c>
      <c r="D104" s="19">
        <f>YEAR(Tabela6[[#This Row],[Data]])</f>
        <v>2021</v>
      </c>
      <c r="E104" s="12" t="s">
        <v>78</v>
      </c>
      <c r="F104" t="s">
        <v>58</v>
      </c>
      <c r="G104" s="26">
        <v>10</v>
      </c>
      <c r="H104">
        <v>5</v>
      </c>
      <c r="I104" t="str">
        <f>IFERROR(VLOOKUP(Tabela6[[#This Row],[Descrição]],Materiais!B:C,2,0),"")</f>
        <v/>
      </c>
    </row>
    <row r="105" spans="2:9">
      <c r="B105" s="11">
        <f t="shared" si="4"/>
        <v>44268</v>
      </c>
      <c r="C105" s="19">
        <f>MONTH(Tabela6[[#This Row],[Data]])</f>
        <v>3</v>
      </c>
      <c r="D105" s="19">
        <f>YEAR(Tabela6[[#This Row],[Data]])</f>
        <v>2021</v>
      </c>
      <c r="E105" s="12" t="s">
        <v>78</v>
      </c>
      <c r="F105" t="s">
        <v>95</v>
      </c>
      <c r="G105" s="26">
        <v>8</v>
      </c>
      <c r="H105">
        <v>4</v>
      </c>
      <c r="I105" t="str">
        <f>IFERROR(VLOOKUP(Tabela6[[#This Row],[Descrição]],Materiais!B:C,2,0),"")</f>
        <v/>
      </c>
    </row>
    <row r="106" spans="2:9">
      <c r="B106" s="11">
        <f>42810+(365*4)</f>
        <v>44270</v>
      </c>
      <c r="C106" s="19">
        <f>MONTH(Tabela6[[#This Row],[Data]])</f>
        <v>3</v>
      </c>
      <c r="D106" s="19">
        <f>YEAR(Tabela6[[#This Row],[Data]])</f>
        <v>2021</v>
      </c>
      <c r="E106" s="12" t="s">
        <v>78</v>
      </c>
      <c r="F106" t="s">
        <v>97</v>
      </c>
      <c r="G106" s="26">
        <v>68</v>
      </c>
      <c r="H106">
        <v>6</v>
      </c>
      <c r="I106" t="str">
        <f>IFERROR(VLOOKUP(Tabela6[[#This Row],[Descrição]],Materiais!B:C,2,0),"")</f>
        <v/>
      </c>
    </row>
    <row r="107" spans="2:9">
      <c r="B107" s="11">
        <f>42811+(365*4)</f>
        <v>44271</v>
      </c>
      <c r="C107" s="19">
        <f>MONTH(Tabela6[[#This Row],[Data]])</f>
        <v>3</v>
      </c>
      <c r="D107" s="19">
        <f>YEAR(Tabela6[[#This Row],[Data]])</f>
        <v>2021</v>
      </c>
      <c r="E107" s="12" t="s">
        <v>78</v>
      </c>
      <c r="F107" t="s">
        <v>56</v>
      </c>
      <c r="G107" s="26">
        <v>42</v>
      </c>
      <c r="H107">
        <v>21</v>
      </c>
      <c r="I107" t="str">
        <f>IFERROR(VLOOKUP(Tabela6[[#This Row],[Descrição]],Materiais!B:C,2,0),"")</f>
        <v/>
      </c>
    </row>
    <row r="108" spans="2:9">
      <c r="B108" s="11">
        <f>42811+(365*4)</f>
        <v>44271</v>
      </c>
      <c r="C108" s="19">
        <f>MONTH(Tabela6[[#This Row],[Data]])</f>
        <v>3</v>
      </c>
      <c r="D108" s="19">
        <f>YEAR(Tabela6[[#This Row],[Data]])</f>
        <v>2021</v>
      </c>
      <c r="E108" s="12" t="s">
        <v>78</v>
      </c>
      <c r="F108" t="s">
        <v>61</v>
      </c>
      <c r="G108" s="26">
        <v>14</v>
      </c>
      <c r="H108">
        <v>7</v>
      </c>
      <c r="I108" t="str">
        <f>IFERROR(VLOOKUP(Tabela6[[#This Row],[Descrição]],Materiais!B:C,2,0),"")</f>
        <v/>
      </c>
    </row>
    <row r="109" spans="2:9">
      <c r="B109" s="11">
        <f>42811+(365*4)</f>
        <v>44271</v>
      </c>
      <c r="C109" s="19">
        <f>MONTH(Tabela6[[#This Row],[Data]])</f>
        <v>3</v>
      </c>
      <c r="D109" s="19">
        <f>YEAR(Tabela6[[#This Row],[Data]])</f>
        <v>2021</v>
      </c>
      <c r="E109" s="12" t="s">
        <v>78</v>
      </c>
      <c r="F109" t="s">
        <v>62</v>
      </c>
      <c r="G109" s="26">
        <v>6</v>
      </c>
      <c r="H109">
        <v>3</v>
      </c>
      <c r="I109" t="str">
        <f>IFERROR(VLOOKUP(Tabela6[[#This Row],[Descrição]],Materiais!B:C,2,0),"")</f>
        <v/>
      </c>
    </row>
    <row r="110" spans="2:9">
      <c r="B110" s="11">
        <f>42811+(365*4)</f>
        <v>44271</v>
      </c>
      <c r="C110" s="19">
        <f>MONTH(Tabela6[[#This Row],[Data]])</f>
        <v>3</v>
      </c>
      <c r="D110" s="19">
        <f>YEAR(Tabela6[[#This Row],[Data]])</f>
        <v>2021</v>
      </c>
      <c r="E110" s="12" t="s">
        <v>78</v>
      </c>
      <c r="F110" t="s">
        <v>58</v>
      </c>
      <c r="G110" s="26">
        <v>4</v>
      </c>
      <c r="H110">
        <v>2</v>
      </c>
      <c r="I110" t="str">
        <f>IFERROR(VLOOKUP(Tabela6[[#This Row],[Descrição]],Materiais!B:C,2,0),"")</f>
        <v/>
      </c>
    </row>
    <row r="111" spans="2:9">
      <c r="B111" s="11">
        <f>42811+(365*4)</f>
        <v>44271</v>
      </c>
      <c r="C111" s="19">
        <f>MONTH(Tabela6[[#This Row],[Data]])</f>
        <v>3</v>
      </c>
      <c r="D111" s="19">
        <f>YEAR(Tabela6[[#This Row],[Data]])</f>
        <v>2021</v>
      </c>
      <c r="E111" s="12" t="s">
        <v>78</v>
      </c>
      <c r="F111" t="s">
        <v>95</v>
      </c>
      <c r="G111" s="26">
        <v>6</v>
      </c>
      <c r="H111">
        <v>3</v>
      </c>
      <c r="I111" t="str">
        <f>IFERROR(VLOOKUP(Tabela6[[#This Row],[Descrição]],Materiais!B:C,2,0),"")</f>
        <v/>
      </c>
    </row>
    <row r="112" spans="2:9">
      <c r="B112" s="11">
        <f>42812+(365*4)</f>
        <v>44272</v>
      </c>
      <c r="C112" s="19">
        <f>MONTH(Tabela6[[#This Row],[Data]])</f>
        <v>3</v>
      </c>
      <c r="D112" s="19">
        <f>YEAR(Tabela6[[#This Row],[Data]])</f>
        <v>2021</v>
      </c>
      <c r="E112" s="12" t="s">
        <v>72</v>
      </c>
      <c r="F112" t="s">
        <v>7</v>
      </c>
      <c r="G112" s="26">
        <v>-2.44</v>
      </c>
      <c r="H112">
        <v>700</v>
      </c>
      <c r="I112" t="str">
        <f>IFERROR(VLOOKUP(Tabela6[[#This Row],[Descrição]],Materiais!B:C,2,0),"")</f>
        <v>g</v>
      </c>
    </row>
    <row r="113" spans="2:9">
      <c r="B113" s="11">
        <f>42812+(365*4)</f>
        <v>44272</v>
      </c>
      <c r="C113" s="19">
        <f>MONTH(Tabela6[[#This Row],[Data]])</f>
        <v>3</v>
      </c>
      <c r="D113" s="19">
        <f>YEAR(Tabela6[[#This Row],[Data]])</f>
        <v>2021</v>
      </c>
      <c r="E113" s="12" t="s">
        <v>75</v>
      </c>
      <c r="F113" t="s">
        <v>94</v>
      </c>
      <c r="G113" s="26">
        <v>-8.1</v>
      </c>
      <c r="H113">
        <v>8</v>
      </c>
      <c r="I113" t="str">
        <f>IFERROR(VLOOKUP(Tabela6[[#This Row],[Descrição]],Materiais!B:C,2,0),"")</f>
        <v/>
      </c>
    </row>
    <row r="114" spans="2:9">
      <c r="B114" s="11">
        <f>42812+(365*4)</f>
        <v>44272</v>
      </c>
      <c r="C114" s="19">
        <f>MONTH(Tabela6[[#This Row],[Data]])</f>
        <v>3</v>
      </c>
      <c r="D114" s="19">
        <f>YEAR(Tabela6[[#This Row],[Data]])</f>
        <v>2021</v>
      </c>
      <c r="E114" s="12" t="s">
        <v>75</v>
      </c>
      <c r="F114" t="s">
        <v>91</v>
      </c>
      <c r="G114" s="26">
        <v>-2.82</v>
      </c>
      <c r="H114">
        <v>10</v>
      </c>
      <c r="I114" t="str">
        <f>IFERROR(VLOOKUP(Tabela6[[#This Row],[Descrição]],Materiais!B:C,2,0),"")</f>
        <v/>
      </c>
    </row>
    <row r="115" spans="2:9">
      <c r="B115" s="11">
        <f>42812+(365*4)</f>
        <v>44272</v>
      </c>
      <c r="C115" s="19">
        <f>MONTH(Tabela6[[#This Row],[Data]])</f>
        <v>3</v>
      </c>
      <c r="D115" s="19">
        <f>YEAR(Tabela6[[#This Row],[Data]])</f>
        <v>2021</v>
      </c>
      <c r="E115" s="12" t="s">
        <v>75</v>
      </c>
      <c r="F115" t="s">
        <v>91</v>
      </c>
      <c r="G115" s="26">
        <v>-8.1</v>
      </c>
      <c r="H115">
        <v>7</v>
      </c>
      <c r="I115" t="str">
        <f>IFERROR(VLOOKUP(Tabela6[[#This Row],[Descrição]],Materiais!B:C,2,0),"")</f>
        <v/>
      </c>
    </row>
    <row r="116" spans="2:9">
      <c r="B116" s="11">
        <f>42812+(365*4)</f>
        <v>44272</v>
      </c>
      <c r="C116" s="19">
        <f>MONTH(Tabela6[[#This Row],[Data]])</f>
        <v>3</v>
      </c>
      <c r="D116" s="19">
        <f>YEAR(Tabela6[[#This Row],[Data]])</f>
        <v>2021</v>
      </c>
      <c r="E116" s="12" t="s">
        <v>75</v>
      </c>
      <c r="F116" t="s">
        <v>91</v>
      </c>
      <c r="G116" s="26">
        <v>-10.9</v>
      </c>
      <c r="H116">
        <v>5</v>
      </c>
      <c r="I116" t="str">
        <f>IFERROR(VLOOKUP(Tabela6[[#This Row],[Descrição]],Materiais!B:C,2,0),"")</f>
        <v/>
      </c>
    </row>
    <row r="117" spans="2:9">
      <c r="B117" s="11">
        <f>42813+(365*4)</f>
        <v>44273</v>
      </c>
      <c r="C117" s="19">
        <f>MONTH(Tabela6[[#This Row],[Data]])</f>
        <v>3</v>
      </c>
      <c r="D117" s="19">
        <f>YEAR(Tabela6[[#This Row],[Data]])</f>
        <v>2021</v>
      </c>
      <c r="E117" s="12" t="s">
        <v>78</v>
      </c>
      <c r="F117" t="s">
        <v>56</v>
      </c>
      <c r="G117" s="26">
        <v>10</v>
      </c>
      <c r="H117">
        <v>5</v>
      </c>
      <c r="I117" t="str">
        <f>IFERROR(VLOOKUP(Tabela6[[#This Row],[Descrição]],Materiais!B:C,2,0),"")</f>
        <v/>
      </c>
    </row>
    <row r="118" spans="2:9">
      <c r="B118" s="11">
        <f>42813+(365*4)</f>
        <v>44273</v>
      </c>
      <c r="C118" s="19">
        <f>MONTH(Tabela6[[#This Row],[Data]])</f>
        <v>3</v>
      </c>
      <c r="D118" s="19">
        <f>YEAR(Tabela6[[#This Row],[Data]])</f>
        <v>2021</v>
      </c>
      <c r="E118" s="12" t="s">
        <v>78</v>
      </c>
      <c r="F118" t="s">
        <v>61</v>
      </c>
      <c r="G118" s="26">
        <v>10</v>
      </c>
      <c r="H118">
        <v>5</v>
      </c>
      <c r="I118" t="str">
        <f>IFERROR(VLOOKUP(Tabela6[[#This Row],[Descrição]],Materiais!B:C,2,0),"")</f>
        <v/>
      </c>
    </row>
    <row r="119" spans="2:9">
      <c r="B119" s="11">
        <f t="shared" ref="B119:B125" si="5">42814+(365*4)</f>
        <v>44274</v>
      </c>
      <c r="C119" s="19">
        <f>MONTH(Tabela6[[#This Row],[Data]])</f>
        <v>3</v>
      </c>
      <c r="D119" s="19">
        <f>YEAR(Tabela6[[#This Row],[Data]])</f>
        <v>2021</v>
      </c>
      <c r="E119" s="12" t="s">
        <v>78</v>
      </c>
      <c r="F119" t="s">
        <v>56</v>
      </c>
      <c r="G119" s="26">
        <v>12</v>
      </c>
      <c r="H119">
        <v>6</v>
      </c>
      <c r="I119" t="str">
        <f>IFERROR(VLOOKUP(Tabela6[[#This Row],[Descrição]],Materiais!B:C,2,0),"")</f>
        <v/>
      </c>
    </row>
    <row r="120" spans="2:9">
      <c r="B120" s="11">
        <f t="shared" si="5"/>
        <v>44274</v>
      </c>
      <c r="C120" s="19">
        <f>MONTH(Tabela6[[#This Row],[Data]])</f>
        <v>3</v>
      </c>
      <c r="D120" s="19">
        <f>YEAR(Tabela6[[#This Row],[Data]])</f>
        <v>2021</v>
      </c>
      <c r="E120" s="12" t="s">
        <v>75</v>
      </c>
      <c r="F120" t="s">
        <v>98</v>
      </c>
      <c r="G120" s="26">
        <v>-11.4</v>
      </c>
      <c r="H120">
        <v>10</v>
      </c>
      <c r="I120" t="str">
        <f>IFERROR(VLOOKUP(Tabela6[[#This Row],[Descrição]],Materiais!B:C,2,0),"")</f>
        <v/>
      </c>
    </row>
    <row r="121" spans="2:9">
      <c r="B121" s="11">
        <f t="shared" si="5"/>
        <v>44274</v>
      </c>
      <c r="C121" s="19">
        <f>MONTH(Tabela6[[#This Row],[Data]])</f>
        <v>3</v>
      </c>
      <c r="D121" s="19">
        <f>YEAR(Tabela6[[#This Row],[Data]])</f>
        <v>2021</v>
      </c>
      <c r="E121" s="12" t="s">
        <v>75</v>
      </c>
      <c r="F121" t="s">
        <v>99</v>
      </c>
      <c r="G121" s="26">
        <v>-18</v>
      </c>
      <c r="H121">
        <v>10</v>
      </c>
      <c r="I121" t="str">
        <f>IFERROR(VLOOKUP(Tabela6[[#This Row],[Descrição]],Materiais!B:C,2,0),"")</f>
        <v/>
      </c>
    </row>
    <row r="122" spans="2:9">
      <c r="B122" s="11">
        <f t="shared" si="5"/>
        <v>44274</v>
      </c>
      <c r="C122" s="19">
        <f>MONTH(Tabela6[[#This Row],[Data]])</f>
        <v>3</v>
      </c>
      <c r="D122" s="19">
        <f>YEAR(Tabela6[[#This Row],[Data]])</f>
        <v>2021</v>
      </c>
      <c r="E122" s="12" t="s">
        <v>78</v>
      </c>
      <c r="F122" t="s">
        <v>100</v>
      </c>
      <c r="G122" s="26">
        <v>6</v>
      </c>
      <c r="H122">
        <v>3</v>
      </c>
      <c r="I122" t="str">
        <f>IFERROR(VLOOKUP(Tabela6[[#This Row],[Descrição]],Materiais!B:C,2,0),"")</f>
        <v/>
      </c>
    </row>
    <row r="123" spans="2:9">
      <c r="B123" s="11">
        <f t="shared" si="5"/>
        <v>44274</v>
      </c>
      <c r="C123" s="19">
        <f>MONTH(Tabela6[[#This Row],[Data]])</f>
        <v>3</v>
      </c>
      <c r="D123" s="19">
        <f>YEAR(Tabela6[[#This Row],[Data]])</f>
        <v>2021</v>
      </c>
      <c r="E123" s="12" t="s">
        <v>78</v>
      </c>
      <c r="F123" t="s">
        <v>61</v>
      </c>
      <c r="G123" s="26">
        <v>8</v>
      </c>
      <c r="H123">
        <v>4</v>
      </c>
      <c r="I123" t="str">
        <f>IFERROR(VLOOKUP(Tabela6[[#This Row],[Descrição]],Materiais!B:C,2,0),"")</f>
        <v/>
      </c>
    </row>
    <row r="124" spans="2:9">
      <c r="B124" s="11">
        <f t="shared" si="5"/>
        <v>44274</v>
      </c>
      <c r="C124" s="19">
        <f>MONTH(Tabela6[[#This Row],[Data]])</f>
        <v>3</v>
      </c>
      <c r="D124" s="19">
        <f>YEAR(Tabela6[[#This Row],[Data]])</f>
        <v>2021</v>
      </c>
      <c r="E124" s="12" t="s">
        <v>75</v>
      </c>
      <c r="F124" t="s">
        <v>101</v>
      </c>
      <c r="G124" s="26">
        <v>-12.8</v>
      </c>
      <c r="H124">
        <v>10</v>
      </c>
      <c r="I124" t="str">
        <f>IFERROR(VLOOKUP(Tabela6[[#This Row],[Descrição]],Materiais!B:C,2,0),"")</f>
        <v/>
      </c>
    </row>
    <row r="125" spans="2:9">
      <c r="B125" s="11">
        <f t="shared" si="5"/>
        <v>44274</v>
      </c>
      <c r="C125" s="19">
        <f>MONTH(Tabela6[[#This Row],[Data]])</f>
        <v>3</v>
      </c>
      <c r="D125" s="19">
        <f>YEAR(Tabela6[[#This Row],[Data]])</f>
        <v>2021</v>
      </c>
      <c r="E125" s="12" t="s">
        <v>78</v>
      </c>
      <c r="F125" t="s">
        <v>58</v>
      </c>
      <c r="G125" s="26">
        <v>10</v>
      </c>
      <c r="H125">
        <v>5</v>
      </c>
      <c r="I125" t="str">
        <f>IFERROR(VLOOKUP(Tabela6[[#This Row],[Descrição]],Materiais!B:C,2,0),"")</f>
        <v/>
      </c>
    </row>
    <row r="126" spans="2:9">
      <c r="B126" s="11">
        <f t="shared" ref="B126:B132" si="6">42815+(365*4)</f>
        <v>44275</v>
      </c>
      <c r="C126" s="19">
        <f>MONTH(Tabela6[[#This Row],[Data]])</f>
        <v>3</v>
      </c>
      <c r="D126" s="19">
        <f>YEAR(Tabela6[[#This Row],[Data]])</f>
        <v>2021</v>
      </c>
      <c r="E126" s="12" t="s">
        <v>75</v>
      </c>
      <c r="F126" t="s">
        <v>80</v>
      </c>
      <c r="G126" s="26">
        <v>-0.65</v>
      </c>
      <c r="H126">
        <v>10</v>
      </c>
      <c r="I126" t="str">
        <f>IFERROR(VLOOKUP(Tabela6[[#This Row],[Descrição]],Materiais!B:C,2,0),"")</f>
        <v/>
      </c>
    </row>
    <row r="127" spans="2:9">
      <c r="B127" s="11">
        <f t="shared" si="6"/>
        <v>44275</v>
      </c>
      <c r="C127" s="19">
        <f>MONTH(Tabela6[[#This Row],[Data]])</f>
        <v>3</v>
      </c>
      <c r="D127" s="19">
        <f>YEAR(Tabela6[[#This Row],[Data]])</f>
        <v>2021</v>
      </c>
      <c r="E127" s="12" t="s">
        <v>78</v>
      </c>
      <c r="F127" t="s">
        <v>56</v>
      </c>
      <c r="G127" s="26">
        <v>10</v>
      </c>
      <c r="H127">
        <v>5</v>
      </c>
      <c r="I127" t="str">
        <f>IFERROR(VLOOKUP(Tabela6[[#This Row],[Descrição]],Materiais!B:C,2,0),"")</f>
        <v/>
      </c>
    </row>
    <row r="128" spans="2:9">
      <c r="B128" s="11">
        <f t="shared" si="6"/>
        <v>44275</v>
      </c>
      <c r="C128" s="19">
        <f>MONTH(Tabela6[[#This Row],[Data]])</f>
        <v>3</v>
      </c>
      <c r="D128" s="19">
        <f>YEAR(Tabela6[[#This Row],[Data]])</f>
        <v>2021</v>
      </c>
      <c r="E128" s="12" t="s">
        <v>78</v>
      </c>
      <c r="F128" t="s">
        <v>100</v>
      </c>
      <c r="G128" s="26">
        <v>6</v>
      </c>
      <c r="H128">
        <v>3</v>
      </c>
      <c r="I128" t="str">
        <f>IFERROR(VLOOKUP(Tabela6[[#This Row],[Descrição]],Materiais!B:C,2,0),"")</f>
        <v/>
      </c>
    </row>
    <row r="129" spans="2:9">
      <c r="B129" s="11">
        <f t="shared" si="6"/>
        <v>44275</v>
      </c>
      <c r="C129" s="19">
        <f>MONTH(Tabela6[[#This Row],[Data]])</f>
        <v>3</v>
      </c>
      <c r="D129" s="19">
        <f>YEAR(Tabela6[[#This Row],[Data]])</f>
        <v>2021</v>
      </c>
      <c r="E129" s="12" t="s">
        <v>78</v>
      </c>
      <c r="F129" t="s">
        <v>61</v>
      </c>
      <c r="G129" s="26">
        <v>14</v>
      </c>
      <c r="H129">
        <v>7</v>
      </c>
      <c r="I129" t="str">
        <f>IFERROR(VLOOKUP(Tabela6[[#This Row],[Descrição]],Materiais!B:C,2,0),"")</f>
        <v/>
      </c>
    </row>
    <row r="130" spans="2:9">
      <c r="B130" s="11">
        <f t="shared" si="6"/>
        <v>44275</v>
      </c>
      <c r="C130" s="19">
        <f>MONTH(Tabela6[[#This Row],[Data]])</f>
        <v>3</v>
      </c>
      <c r="D130" s="19">
        <f>YEAR(Tabela6[[#This Row],[Data]])</f>
        <v>2021</v>
      </c>
      <c r="E130" s="12" t="s">
        <v>75</v>
      </c>
      <c r="F130" t="s">
        <v>102</v>
      </c>
      <c r="G130" s="26">
        <v>-2.2000000000000002</v>
      </c>
      <c r="H130">
        <v>50</v>
      </c>
      <c r="I130" t="str">
        <f>IFERROR(VLOOKUP(Tabela6[[#This Row],[Descrição]],Materiais!B:C,2,0),"")</f>
        <v/>
      </c>
    </row>
    <row r="131" spans="2:9">
      <c r="B131" s="11">
        <f t="shared" si="6"/>
        <v>44275</v>
      </c>
      <c r="C131" s="19">
        <f>MONTH(Tabela6[[#This Row],[Data]])</f>
        <v>3</v>
      </c>
      <c r="D131" s="19">
        <f>YEAR(Tabela6[[#This Row],[Data]])</f>
        <v>2021</v>
      </c>
      <c r="E131" s="12" t="s">
        <v>78</v>
      </c>
      <c r="F131" t="s">
        <v>62</v>
      </c>
      <c r="G131" s="26">
        <v>4</v>
      </c>
      <c r="H131">
        <v>2</v>
      </c>
      <c r="I131" t="str">
        <f>IFERROR(VLOOKUP(Tabela6[[#This Row],[Descrição]],Materiais!B:C,2,0),"")</f>
        <v/>
      </c>
    </row>
    <row r="132" spans="2:9">
      <c r="B132" s="11">
        <f t="shared" si="6"/>
        <v>44275</v>
      </c>
      <c r="C132" s="19">
        <f>MONTH(Tabela6[[#This Row],[Data]])</f>
        <v>3</v>
      </c>
      <c r="D132" s="19">
        <f>YEAR(Tabela6[[#This Row],[Data]])</f>
        <v>2021</v>
      </c>
      <c r="E132" s="12" t="s">
        <v>78</v>
      </c>
      <c r="F132" t="s">
        <v>58</v>
      </c>
      <c r="G132" s="26">
        <v>6</v>
      </c>
      <c r="H132">
        <v>3</v>
      </c>
      <c r="I132" t="str">
        <f>IFERROR(VLOOKUP(Tabela6[[#This Row],[Descrição]],Materiais!B:C,2,0),"")</f>
        <v/>
      </c>
    </row>
    <row r="133" spans="2:9">
      <c r="B133" s="11">
        <f>42816+(365*4)</f>
        <v>44276</v>
      </c>
      <c r="C133" s="19">
        <f>MONTH(Tabela6[[#This Row],[Data]])</f>
        <v>3</v>
      </c>
      <c r="D133" s="19">
        <f>YEAR(Tabela6[[#This Row],[Data]])</f>
        <v>2021</v>
      </c>
      <c r="E133" s="12" t="s">
        <v>78</v>
      </c>
      <c r="F133" t="s">
        <v>56</v>
      </c>
      <c r="G133" s="26">
        <v>14</v>
      </c>
      <c r="H133">
        <v>7</v>
      </c>
      <c r="I133" t="str">
        <f>IFERROR(VLOOKUP(Tabela6[[#This Row],[Descrição]],Materiais!B:C,2,0),"")</f>
        <v/>
      </c>
    </row>
    <row r="134" spans="2:9">
      <c r="B134" s="11">
        <f t="shared" ref="B134:B139" si="7">42817+(365*4)</f>
        <v>44277</v>
      </c>
      <c r="C134" s="19">
        <f>MONTH(Tabela6[[#This Row],[Data]])</f>
        <v>3</v>
      </c>
      <c r="D134" s="19">
        <f>YEAR(Tabela6[[#This Row],[Data]])</f>
        <v>2021</v>
      </c>
      <c r="E134" s="12" t="s">
        <v>72</v>
      </c>
      <c r="F134" t="s">
        <v>7</v>
      </c>
      <c r="G134" s="26">
        <v>-4.84</v>
      </c>
      <c r="H134">
        <v>1000</v>
      </c>
      <c r="I134" t="str">
        <f>IFERROR(VLOOKUP(Tabela6[[#This Row],[Descrição]],Materiais!B:C,2,0),"")</f>
        <v>g</v>
      </c>
    </row>
    <row r="135" spans="2:9">
      <c r="B135" s="11">
        <f t="shared" si="7"/>
        <v>44277</v>
      </c>
      <c r="C135" s="19">
        <f>MONTH(Tabela6[[#This Row],[Data]])</f>
        <v>3</v>
      </c>
      <c r="D135" s="19">
        <f>YEAR(Tabela6[[#This Row],[Data]])</f>
        <v>2021</v>
      </c>
      <c r="E135" s="12" t="s">
        <v>78</v>
      </c>
      <c r="F135" t="s">
        <v>56</v>
      </c>
      <c r="G135" s="26">
        <v>260</v>
      </c>
      <c r="H135">
        <v>400</v>
      </c>
      <c r="I135" t="str">
        <f>IFERROR(VLOOKUP(Tabela6[[#This Row],[Descrição]],Materiais!B:C,2,0),"")</f>
        <v/>
      </c>
    </row>
    <row r="136" spans="2:9">
      <c r="B136" s="11">
        <f t="shared" si="7"/>
        <v>44277</v>
      </c>
      <c r="C136" s="19">
        <f>MONTH(Tabela6[[#This Row],[Data]])</f>
        <v>3</v>
      </c>
      <c r="D136" s="19">
        <f>YEAR(Tabela6[[#This Row],[Data]])</f>
        <v>2021</v>
      </c>
      <c r="E136" s="12" t="s">
        <v>78</v>
      </c>
      <c r="F136" t="s">
        <v>100</v>
      </c>
      <c r="G136" s="26">
        <v>130</v>
      </c>
      <c r="H136">
        <v>200</v>
      </c>
      <c r="I136" t="str">
        <f>IFERROR(VLOOKUP(Tabela6[[#This Row],[Descrição]],Materiais!B:C,2,0),"")</f>
        <v/>
      </c>
    </row>
    <row r="137" spans="2:9">
      <c r="B137" s="11">
        <f t="shared" si="7"/>
        <v>44277</v>
      </c>
      <c r="C137" s="19">
        <f>MONTH(Tabela6[[#This Row],[Data]])</f>
        <v>3</v>
      </c>
      <c r="D137" s="19">
        <f>YEAR(Tabela6[[#This Row],[Data]])</f>
        <v>2021</v>
      </c>
      <c r="E137" s="12" t="s">
        <v>75</v>
      </c>
      <c r="F137" t="s">
        <v>103</v>
      </c>
      <c r="G137" s="26">
        <v>-1.75</v>
      </c>
      <c r="H137">
        <v>1000</v>
      </c>
      <c r="I137" t="str">
        <f>IFERROR(VLOOKUP(Tabela6[[#This Row],[Descrição]],Materiais!B:C,2,0),"")</f>
        <v/>
      </c>
    </row>
    <row r="138" spans="2:9">
      <c r="B138" s="11">
        <f t="shared" si="7"/>
        <v>44277</v>
      </c>
      <c r="C138" s="19">
        <f>MONTH(Tabela6[[#This Row],[Data]])</f>
        <v>3</v>
      </c>
      <c r="D138" s="19">
        <f>YEAR(Tabela6[[#This Row],[Data]])</f>
        <v>2021</v>
      </c>
      <c r="E138" s="12" t="s">
        <v>75</v>
      </c>
      <c r="F138" t="s">
        <v>104</v>
      </c>
      <c r="G138" s="26">
        <v>-6.3</v>
      </c>
      <c r="H138">
        <v>700</v>
      </c>
      <c r="I138" t="str">
        <f>IFERROR(VLOOKUP(Tabela6[[#This Row],[Descrição]],Materiais!B:C,2,0),"")</f>
        <v/>
      </c>
    </row>
    <row r="139" spans="2:9">
      <c r="B139" s="11">
        <f t="shared" si="7"/>
        <v>44277</v>
      </c>
      <c r="C139" s="19">
        <f>MONTH(Tabela6[[#This Row],[Data]])</f>
        <v>3</v>
      </c>
      <c r="D139" s="19">
        <f>YEAR(Tabela6[[#This Row],[Data]])</f>
        <v>2021</v>
      </c>
      <c r="E139" s="12" t="s">
        <v>72</v>
      </c>
      <c r="F139" t="s">
        <v>77</v>
      </c>
      <c r="G139" s="26">
        <v>-8.6</v>
      </c>
      <c r="H139">
        <v>500</v>
      </c>
      <c r="I139" t="str">
        <f>IFERROR(VLOOKUP(Tabela6[[#This Row],[Descrição]],Materiais!B:C,2,0),"")</f>
        <v/>
      </c>
    </row>
    <row r="140" spans="2:9">
      <c r="B140" s="11">
        <f>42818+(365*4)</f>
        <v>44278</v>
      </c>
      <c r="C140" s="19">
        <f>MONTH(Tabela6[[#This Row],[Data]])</f>
        <v>3</v>
      </c>
      <c r="D140" s="19">
        <f>YEAR(Tabela6[[#This Row],[Data]])</f>
        <v>2021</v>
      </c>
      <c r="E140" s="12" t="s">
        <v>78</v>
      </c>
      <c r="F140" t="s">
        <v>56</v>
      </c>
      <c r="G140" s="26">
        <v>24</v>
      </c>
      <c r="H140">
        <v>12</v>
      </c>
      <c r="I140" t="str">
        <f>IFERROR(VLOOKUP(Tabela6[[#This Row],[Descrição]],Materiais!B:C,2,0),"")</f>
        <v/>
      </c>
    </row>
    <row r="141" spans="2:9">
      <c r="B141" s="11">
        <f>42818+(365*4)</f>
        <v>44278</v>
      </c>
      <c r="C141" s="19">
        <f>MONTH(Tabela6[[#This Row],[Data]])</f>
        <v>3</v>
      </c>
      <c r="D141" s="19">
        <f>YEAR(Tabela6[[#This Row],[Data]])</f>
        <v>2021</v>
      </c>
      <c r="E141" s="12" t="s">
        <v>78</v>
      </c>
      <c r="F141" t="s">
        <v>100</v>
      </c>
      <c r="G141" s="26">
        <v>20</v>
      </c>
      <c r="H141">
        <v>10</v>
      </c>
      <c r="I141" t="str">
        <f>IFERROR(VLOOKUP(Tabela6[[#This Row],[Descrição]],Materiais!B:C,2,0),"")</f>
        <v/>
      </c>
    </row>
    <row r="142" spans="2:9">
      <c r="B142" s="11">
        <f>42818+(365*4)</f>
        <v>44278</v>
      </c>
      <c r="C142" s="19">
        <f>MONTH(Tabela6[[#This Row],[Data]])</f>
        <v>3</v>
      </c>
      <c r="D142" s="19">
        <f>YEAR(Tabela6[[#This Row],[Data]])</f>
        <v>2021</v>
      </c>
      <c r="E142" s="12" t="s">
        <v>78</v>
      </c>
      <c r="F142" t="s">
        <v>61</v>
      </c>
      <c r="G142" s="26">
        <v>20</v>
      </c>
      <c r="H142">
        <v>10</v>
      </c>
      <c r="I142" t="str">
        <f>IFERROR(VLOOKUP(Tabela6[[#This Row],[Descrição]],Materiais!B:C,2,0),"")</f>
        <v/>
      </c>
    </row>
    <row r="143" spans="2:9">
      <c r="B143" s="11">
        <f>42818+(365*4)</f>
        <v>44278</v>
      </c>
      <c r="C143" s="19">
        <f>MONTH(Tabela6[[#This Row],[Data]])</f>
        <v>3</v>
      </c>
      <c r="D143" s="19">
        <f>YEAR(Tabela6[[#This Row],[Data]])</f>
        <v>2021</v>
      </c>
      <c r="E143" s="12" t="s">
        <v>78</v>
      </c>
      <c r="F143" t="s">
        <v>62</v>
      </c>
      <c r="G143" s="26">
        <v>4</v>
      </c>
      <c r="H143">
        <v>2</v>
      </c>
      <c r="I143" t="str">
        <f>IFERROR(VLOOKUP(Tabela6[[#This Row],[Descrição]],Materiais!B:C,2,0),"")</f>
        <v/>
      </c>
    </row>
    <row r="144" spans="2:9">
      <c r="B144" s="11">
        <f>42818+(365*4)</f>
        <v>44278</v>
      </c>
      <c r="C144" s="19">
        <f>MONTH(Tabela6[[#This Row],[Data]])</f>
        <v>3</v>
      </c>
      <c r="D144" s="19">
        <f>YEAR(Tabela6[[#This Row],[Data]])</f>
        <v>2021</v>
      </c>
      <c r="E144" s="12" t="s">
        <v>78</v>
      </c>
      <c r="F144" t="s">
        <v>58</v>
      </c>
      <c r="G144" s="26">
        <v>2</v>
      </c>
      <c r="H144">
        <v>1</v>
      </c>
      <c r="I144" t="str">
        <f>IFERROR(VLOOKUP(Tabela6[[#This Row],[Descrição]],Materiais!B:C,2,0),"")</f>
        <v/>
      </c>
    </row>
    <row r="145" spans="2:9">
      <c r="B145" s="11">
        <f>42819+(365*4)</f>
        <v>44279</v>
      </c>
      <c r="C145" s="19">
        <f>MONTH(Tabela6[[#This Row],[Data]])</f>
        <v>3</v>
      </c>
      <c r="D145" s="19">
        <f>YEAR(Tabela6[[#This Row],[Data]])</f>
        <v>2021</v>
      </c>
      <c r="E145" s="12" t="s">
        <v>72</v>
      </c>
      <c r="F145" t="s">
        <v>5</v>
      </c>
      <c r="G145" s="26">
        <v>-3.58</v>
      </c>
      <c r="H145">
        <v>1000</v>
      </c>
      <c r="I145" t="str">
        <f>IFERROR(VLOOKUP(Tabela6[[#This Row],[Descrição]],Materiais!B:C,2,0),"")</f>
        <v>g</v>
      </c>
    </row>
    <row r="146" spans="2:9">
      <c r="B146" s="11">
        <f>42819+(365*4)</f>
        <v>44279</v>
      </c>
      <c r="C146" s="19">
        <f>MONTH(Tabela6[[#This Row],[Data]])</f>
        <v>3</v>
      </c>
      <c r="D146" s="19">
        <f>YEAR(Tabela6[[#This Row],[Data]])</f>
        <v>2021</v>
      </c>
      <c r="E146" s="12" t="s">
        <v>72</v>
      </c>
      <c r="F146" t="s">
        <v>17</v>
      </c>
      <c r="G146" s="26">
        <v>-4.8899999999999997</v>
      </c>
      <c r="H146">
        <v>200</v>
      </c>
      <c r="I146" t="str">
        <f>IFERROR(VLOOKUP(Tabela6[[#This Row],[Descrição]],Materiais!B:C,2,0),"")</f>
        <v>g</v>
      </c>
    </row>
    <row r="147" spans="2:9">
      <c r="B147" s="11">
        <f>42819+(365*4)</f>
        <v>44279</v>
      </c>
      <c r="C147" s="19">
        <f>MONTH(Tabela6[[#This Row],[Data]])</f>
        <v>3</v>
      </c>
      <c r="D147" s="19">
        <f>YEAR(Tabela6[[#This Row],[Data]])</f>
        <v>2021</v>
      </c>
      <c r="E147" s="12" t="s">
        <v>72</v>
      </c>
      <c r="F147" t="s">
        <v>20</v>
      </c>
      <c r="G147" s="26">
        <v>-134.1</v>
      </c>
      <c r="H147">
        <v>11850</v>
      </c>
      <c r="I147" t="str">
        <f>IFERROR(VLOOKUP(Tabela6[[#This Row],[Descrição]],Materiais!B:C,2,0),"")</f>
        <v>g</v>
      </c>
    </row>
    <row r="148" spans="2:9">
      <c r="B148" s="11">
        <f>42819+(365*4)</f>
        <v>44279</v>
      </c>
      <c r="C148" s="19">
        <f>MONTH(Tabela6[[#This Row],[Data]])</f>
        <v>3</v>
      </c>
      <c r="D148" s="19">
        <f>YEAR(Tabela6[[#This Row],[Data]])</f>
        <v>2021</v>
      </c>
      <c r="E148" s="12" t="s">
        <v>72</v>
      </c>
      <c r="F148" t="s">
        <v>22</v>
      </c>
      <c r="G148" s="26">
        <v>-8.4</v>
      </c>
      <c r="H148">
        <v>200</v>
      </c>
      <c r="I148" t="str">
        <f>IFERROR(VLOOKUP(Tabela6[[#This Row],[Descrição]],Materiais!B:C,2,0),"")</f>
        <v>g</v>
      </c>
    </row>
    <row r="149" spans="2:9">
      <c r="B149" s="11">
        <f>42819+(365*4)</f>
        <v>44279</v>
      </c>
      <c r="C149" s="19">
        <f>MONTH(Tabela6[[#This Row],[Data]])</f>
        <v>3</v>
      </c>
      <c r="D149" s="19">
        <f>YEAR(Tabela6[[#This Row],[Data]])</f>
        <v>2021</v>
      </c>
      <c r="E149" s="12" t="s">
        <v>72</v>
      </c>
      <c r="F149" t="s">
        <v>82</v>
      </c>
      <c r="G149" s="26">
        <v>-13.98</v>
      </c>
      <c r="H149">
        <v>380</v>
      </c>
      <c r="I149" t="str">
        <f>IFERROR(VLOOKUP(Tabela6[[#This Row],[Descrição]],Materiais!B:C,2,0),"")</f>
        <v/>
      </c>
    </row>
    <row r="150" spans="2:9">
      <c r="B150" s="11">
        <f>42820+(365*4)</f>
        <v>44280</v>
      </c>
      <c r="C150" s="19">
        <f>MONTH(Tabela6[[#This Row],[Data]])</f>
        <v>3</v>
      </c>
      <c r="D150" s="19">
        <f>YEAR(Tabela6[[#This Row],[Data]])</f>
        <v>2021</v>
      </c>
      <c r="E150" s="12" t="s">
        <v>72</v>
      </c>
      <c r="F150" t="s">
        <v>77</v>
      </c>
      <c r="G150" s="26">
        <v>-4.59</v>
      </c>
      <c r="H150">
        <v>80</v>
      </c>
      <c r="I150" t="str">
        <f>IFERROR(VLOOKUP(Tabela6[[#This Row],[Descrição]],Materiais!B:C,2,0),"")</f>
        <v/>
      </c>
    </row>
    <row r="151" spans="2:9">
      <c r="B151" s="11">
        <f t="shared" ref="B151:B156" si="8">42821+(365*4)</f>
        <v>44281</v>
      </c>
      <c r="C151" s="19">
        <f>MONTH(Tabela6[[#This Row],[Data]])</f>
        <v>3</v>
      </c>
      <c r="D151" s="19">
        <f>YEAR(Tabela6[[#This Row],[Data]])</f>
        <v>2021</v>
      </c>
      <c r="E151" s="12" t="s">
        <v>72</v>
      </c>
      <c r="F151" t="s">
        <v>74</v>
      </c>
      <c r="G151" s="26">
        <v>-57.4</v>
      </c>
      <c r="H151">
        <v>2100</v>
      </c>
      <c r="I151" t="str">
        <f>IFERROR(VLOOKUP(Tabela6[[#This Row],[Descrição]],Materiais!B:C,2,0),"")</f>
        <v/>
      </c>
    </row>
    <row r="152" spans="2:9">
      <c r="B152" s="11">
        <f t="shared" si="8"/>
        <v>44281</v>
      </c>
      <c r="C152" s="19">
        <f>MONTH(Tabela6[[#This Row],[Data]])</f>
        <v>3</v>
      </c>
      <c r="D152" s="19">
        <f>YEAR(Tabela6[[#This Row],[Data]])</f>
        <v>2021</v>
      </c>
      <c r="E152" s="12" t="s">
        <v>78</v>
      </c>
      <c r="F152" t="s">
        <v>100</v>
      </c>
      <c r="G152" s="26">
        <v>8</v>
      </c>
      <c r="H152">
        <v>4</v>
      </c>
      <c r="I152" t="str">
        <f>IFERROR(VLOOKUP(Tabela6[[#This Row],[Descrição]],Materiais!B:C,2,0),"")</f>
        <v/>
      </c>
    </row>
    <row r="153" spans="2:9">
      <c r="B153" s="11">
        <f t="shared" si="8"/>
        <v>44281</v>
      </c>
      <c r="C153" s="19">
        <f>MONTH(Tabela6[[#This Row],[Data]])</f>
        <v>3</v>
      </c>
      <c r="D153" s="19">
        <f>YEAR(Tabela6[[#This Row],[Data]])</f>
        <v>2021</v>
      </c>
      <c r="E153" s="12" t="s">
        <v>78</v>
      </c>
      <c r="F153" t="s">
        <v>61</v>
      </c>
      <c r="G153" s="26">
        <v>14</v>
      </c>
      <c r="H153">
        <v>7</v>
      </c>
      <c r="I153" t="str">
        <f>IFERROR(VLOOKUP(Tabela6[[#This Row],[Descrição]],Materiais!B:C,2,0),"")</f>
        <v/>
      </c>
    </row>
    <row r="154" spans="2:9">
      <c r="B154" s="11">
        <f t="shared" si="8"/>
        <v>44281</v>
      </c>
      <c r="C154" s="19">
        <f>MONTH(Tabela6[[#This Row],[Data]])</f>
        <v>3</v>
      </c>
      <c r="D154" s="19">
        <f>YEAR(Tabela6[[#This Row],[Data]])</f>
        <v>2021</v>
      </c>
      <c r="E154" s="12" t="s">
        <v>72</v>
      </c>
      <c r="F154" t="s">
        <v>90</v>
      </c>
      <c r="G154" s="26">
        <v>-30.2</v>
      </c>
      <c r="H154">
        <v>2100</v>
      </c>
      <c r="I154" t="str">
        <f>IFERROR(VLOOKUP(Tabela6[[#This Row],[Descrição]],Materiais!B:C,2,0),"")</f>
        <v/>
      </c>
    </row>
    <row r="155" spans="2:9">
      <c r="B155" s="11">
        <f t="shared" si="8"/>
        <v>44281</v>
      </c>
      <c r="C155" s="19">
        <f>MONTH(Tabela6[[#This Row],[Data]])</f>
        <v>3</v>
      </c>
      <c r="D155" s="19">
        <f>YEAR(Tabela6[[#This Row],[Data]])</f>
        <v>2021</v>
      </c>
      <c r="E155" s="12" t="s">
        <v>72</v>
      </c>
      <c r="F155" t="s">
        <v>77</v>
      </c>
      <c r="G155" s="26">
        <v>-17.2</v>
      </c>
      <c r="H155">
        <v>1000</v>
      </c>
      <c r="I155" t="str">
        <f>IFERROR(VLOOKUP(Tabela6[[#This Row],[Descrição]],Materiais!B:C,2,0),"")</f>
        <v/>
      </c>
    </row>
    <row r="156" spans="2:9">
      <c r="B156" s="11">
        <f t="shared" si="8"/>
        <v>44281</v>
      </c>
      <c r="C156" s="19">
        <f>MONTH(Tabela6[[#This Row],[Data]])</f>
        <v>3</v>
      </c>
      <c r="D156" s="19">
        <f>YEAR(Tabela6[[#This Row],[Data]])</f>
        <v>2021</v>
      </c>
      <c r="E156" s="12" t="s">
        <v>78</v>
      </c>
      <c r="F156" t="s">
        <v>58</v>
      </c>
      <c r="G156" s="26">
        <v>12</v>
      </c>
      <c r="H156">
        <v>6</v>
      </c>
      <c r="I156" t="str">
        <f>IFERROR(VLOOKUP(Tabela6[[#This Row],[Descrição]],Materiais!B:C,2,0),"")</f>
        <v/>
      </c>
    </row>
    <row r="157" spans="2:9">
      <c r="B157" s="11">
        <f>42822+(365*4)</f>
        <v>44282</v>
      </c>
      <c r="C157" s="19">
        <f>MONTH(Tabela6[[#This Row],[Data]])</f>
        <v>3</v>
      </c>
      <c r="D157" s="19">
        <f>YEAR(Tabela6[[#This Row],[Data]])</f>
        <v>2021</v>
      </c>
      <c r="E157" s="12" t="s">
        <v>78</v>
      </c>
      <c r="F157" t="s">
        <v>56</v>
      </c>
      <c r="G157" s="26">
        <v>20</v>
      </c>
      <c r="H157">
        <v>10</v>
      </c>
      <c r="I157" t="str">
        <f>IFERROR(VLOOKUP(Tabela6[[#This Row],[Descrição]],Materiais!B:C,2,0),"")</f>
        <v/>
      </c>
    </row>
    <row r="158" spans="2:9">
      <c r="B158" s="11">
        <f>42822+(365*4)</f>
        <v>44282</v>
      </c>
      <c r="C158" s="19">
        <f>MONTH(Tabela6[[#This Row],[Data]])</f>
        <v>3</v>
      </c>
      <c r="D158" s="19">
        <f>YEAR(Tabela6[[#This Row],[Data]])</f>
        <v>2021</v>
      </c>
      <c r="E158" s="12" t="s">
        <v>78</v>
      </c>
      <c r="F158" t="s">
        <v>97</v>
      </c>
      <c r="G158" s="26">
        <v>8.5</v>
      </c>
      <c r="H158">
        <v>1</v>
      </c>
      <c r="I158" t="str">
        <f>IFERROR(VLOOKUP(Tabela6[[#This Row],[Descrição]],Materiais!B:C,2,0),"")</f>
        <v/>
      </c>
    </row>
    <row r="159" spans="2:9">
      <c r="B159" s="11">
        <f>42822+(365*4)</f>
        <v>44282</v>
      </c>
      <c r="C159" s="19">
        <f>MONTH(Tabela6[[#This Row],[Data]])</f>
        <v>3</v>
      </c>
      <c r="D159" s="19">
        <f>YEAR(Tabela6[[#This Row],[Data]])</f>
        <v>2021</v>
      </c>
      <c r="E159" s="12" t="s">
        <v>78</v>
      </c>
      <c r="F159" t="s">
        <v>100</v>
      </c>
      <c r="G159" s="26">
        <v>14</v>
      </c>
      <c r="H159">
        <v>7</v>
      </c>
      <c r="I159" t="str">
        <f>IFERROR(VLOOKUP(Tabela6[[#This Row],[Descrição]],Materiais!B:C,2,0),"")</f>
        <v/>
      </c>
    </row>
    <row r="160" spans="2:9">
      <c r="B160" s="11">
        <f>42822+(365*4)</f>
        <v>44282</v>
      </c>
      <c r="C160" s="19">
        <f>MONTH(Tabela6[[#This Row],[Data]])</f>
        <v>3</v>
      </c>
      <c r="D160" s="19">
        <f>YEAR(Tabela6[[#This Row],[Data]])</f>
        <v>2021</v>
      </c>
      <c r="E160" s="12" t="s">
        <v>78</v>
      </c>
      <c r="F160" t="s">
        <v>61</v>
      </c>
      <c r="G160" s="26">
        <v>28</v>
      </c>
      <c r="H160">
        <v>14</v>
      </c>
      <c r="I160" t="str">
        <f>IFERROR(VLOOKUP(Tabela6[[#This Row],[Descrição]],Materiais!B:C,2,0),"")</f>
        <v/>
      </c>
    </row>
    <row r="161" spans="2:9">
      <c r="B161" s="11">
        <f>42822+(365*4)</f>
        <v>44282</v>
      </c>
      <c r="C161" s="19">
        <f>MONTH(Tabela6[[#This Row],[Data]])</f>
        <v>3</v>
      </c>
      <c r="D161" s="19">
        <f>YEAR(Tabela6[[#This Row],[Data]])</f>
        <v>2021</v>
      </c>
      <c r="E161" s="12" t="s">
        <v>78</v>
      </c>
      <c r="F161" t="s">
        <v>58</v>
      </c>
      <c r="G161" s="26">
        <v>10</v>
      </c>
      <c r="H161">
        <v>5</v>
      </c>
      <c r="I161" t="str">
        <f>IFERROR(VLOOKUP(Tabela6[[#This Row],[Descrição]],Materiais!B:C,2,0),"")</f>
        <v/>
      </c>
    </row>
    <row r="162" spans="2:9">
      <c r="B162" s="11">
        <f>42823+(365*4)</f>
        <v>44283</v>
      </c>
      <c r="C162" s="19">
        <f>MONTH(Tabela6[[#This Row],[Data]])</f>
        <v>3</v>
      </c>
      <c r="D162" s="19">
        <f>YEAR(Tabela6[[#This Row],[Data]])</f>
        <v>2021</v>
      </c>
      <c r="E162" s="12" t="s">
        <v>78</v>
      </c>
      <c r="F162" t="s">
        <v>56</v>
      </c>
      <c r="G162" s="26">
        <v>22</v>
      </c>
      <c r="H162">
        <v>11</v>
      </c>
      <c r="I162" t="str">
        <f>IFERROR(VLOOKUP(Tabela6[[#This Row],[Descrição]],Materiais!B:C,2,0),"")</f>
        <v/>
      </c>
    </row>
    <row r="163" spans="2:9">
      <c r="B163" s="11">
        <f>42823+(365*4)</f>
        <v>44283</v>
      </c>
      <c r="C163" s="19">
        <f>MONTH(Tabela6[[#This Row],[Data]])</f>
        <v>3</v>
      </c>
      <c r="D163" s="19">
        <f>YEAR(Tabela6[[#This Row],[Data]])</f>
        <v>2021</v>
      </c>
      <c r="E163" s="12" t="s">
        <v>78</v>
      </c>
      <c r="F163" t="s">
        <v>100</v>
      </c>
      <c r="G163" s="26">
        <v>6</v>
      </c>
      <c r="H163">
        <v>3</v>
      </c>
      <c r="I163" t="str">
        <f>IFERROR(VLOOKUP(Tabela6[[#This Row],[Descrição]],Materiais!B:C,2,0),"")</f>
        <v/>
      </c>
    </row>
    <row r="164" spans="2:9">
      <c r="B164" s="11">
        <f>42824+(365*4)</f>
        <v>44284</v>
      </c>
      <c r="C164" s="19">
        <f>MONTH(Tabela6[[#This Row],[Data]])</f>
        <v>3</v>
      </c>
      <c r="D164" s="19">
        <f>YEAR(Tabela6[[#This Row],[Data]])</f>
        <v>2021</v>
      </c>
      <c r="E164" s="12" t="s">
        <v>78</v>
      </c>
      <c r="F164" t="s">
        <v>56</v>
      </c>
      <c r="G164" s="26">
        <v>24</v>
      </c>
      <c r="H164">
        <v>12</v>
      </c>
      <c r="I164" t="str">
        <f>IFERROR(VLOOKUP(Tabela6[[#This Row],[Descrição]],Materiais!B:C,2,0),"")</f>
        <v/>
      </c>
    </row>
    <row r="165" spans="2:9">
      <c r="B165" s="11">
        <f>42824+(365*4)</f>
        <v>44284</v>
      </c>
      <c r="C165" s="19">
        <f>MONTH(Tabela6[[#This Row],[Data]])</f>
        <v>3</v>
      </c>
      <c r="D165" s="19">
        <f>YEAR(Tabela6[[#This Row],[Data]])</f>
        <v>2021</v>
      </c>
      <c r="E165" s="12" t="s">
        <v>78</v>
      </c>
      <c r="F165" t="s">
        <v>61</v>
      </c>
      <c r="G165" s="26">
        <v>16</v>
      </c>
      <c r="H165">
        <v>8</v>
      </c>
      <c r="I165" t="str">
        <f>IFERROR(VLOOKUP(Tabela6[[#This Row],[Descrição]],Materiais!B:C,2,0),"")</f>
        <v/>
      </c>
    </row>
    <row r="166" spans="2:9">
      <c r="B166" s="11">
        <f>42825+(365*4)</f>
        <v>44285</v>
      </c>
      <c r="C166" s="19">
        <f>MONTH(Tabela6[[#This Row],[Data]])</f>
        <v>3</v>
      </c>
      <c r="D166" s="19">
        <f>YEAR(Tabela6[[#This Row],[Data]])</f>
        <v>2021</v>
      </c>
      <c r="E166" s="12" t="s">
        <v>78</v>
      </c>
      <c r="F166" t="s">
        <v>56</v>
      </c>
      <c r="G166" s="26">
        <v>2</v>
      </c>
      <c r="H166">
        <v>1</v>
      </c>
      <c r="I166" t="str">
        <f>IFERROR(VLOOKUP(Tabela6[[#This Row],[Descrição]],Materiais!B:C,2,0),"")</f>
        <v/>
      </c>
    </row>
    <row r="167" spans="2:9">
      <c r="B167" s="11">
        <f>42828+(365*4)</f>
        <v>44288</v>
      </c>
      <c r="C167" s="19">
        <f>MONTH(Tabela6[[#This Row],[Data]])</f>
        <v>4</v>
      </c>
      <c r="D167" s="19">
        <f>YEAR(Tabela6[[#This Row],[Data]])</f>
        <v>2021</v>
      </c>
      <c r="E167" s="12" t="s">
        <v>78</v>
      </c>
      <c r="F167" t="s">
        <v>56</v>
      </c>
      <c r="G167" s="26">
        <v>12</v>
      </c>
      <c r="H167">
        <v>6</v>
      </c>
      <c r="I167" t="str">
        <f>IFERROR(VLOOKUP(Tabela6[[#This Row],[Descrição]],Materiais!B:C,2,0),"")</f>
        <v/>
      </c>
    </row>
    <row r="168" spans="2:9">
      <c r="B168" s="11">
        <f>42828+(365*4)</f>
        <v>44288</v>
      </c>
      <c r="C168" s="19">
        <f>MONTH(Tabela6[[#This Row],[Data]])</f>
        <v>4</v>
      </c>
      <c r="D168" s="19">
        <f>YEAR(Tabela6[[#This Row],[Data]])</f>
        <v>2021</v>
      </c>
      <c r="E168" s="12" t="s">
        <v>78</v>
      </c>
      <c r="F168" t="s">
        <v>61</v>
      </c>
      <c r="G168" s="26">
        <v>12</v>
      </c>
      <c r="H168">
        <v>6</v>
      </c>
      <c r="I168" t="str">
        <f>IFERROR(VLOOKUP(Tabela6[[#This Row],[Descrição]],Materiais!B:C,2,0),"")</f>
        <v/>
      </c>
    </row>
    <row r="169" spans="2:9">
      <c r="B169" s="11">
        <f>42828+(365*4)</f>
        <v>44288</v>
      </c>
      <c r="C169" s="19">
        <f>MONTH(Tabela6[[#This Row],[Data]])</f>
        <v>4</v>
      </c>
      <c r="D169" s="19">
        <f>YEAR(Tabela6[[#This Row],[Data]])</f>
        <v>2021</v>
      </c>
      <c r="E169" s="12" t="s">
        <v>78</v>
      </c>
      <c r="F169" t="s">
        <v>58</v>
      </c>
      <c r="G169" s="26">
        <v>4</v>
      </c>
      <c r="H169">
        <v>2</v>
      </c>
      <c r="I169" t="str">
        <f>IFERROR(VLOOKUP(Tabela6[[#This Row],[Descrição]],Materiais!B:C,2,0),"")</f>
        <v/>
      </c>
    </row>
    <row r="170" spans="2:9">
      <c r="B170" s="11">
        <f>42829+(365*4)</f>
        <v>44289</v>
      </c>
      <c r="C170" s="19">
        <f>MONTH(Tabela6[[#This Row],[Data]])</f>
        <v>4</v>
      </c>
      <c r="D170" s="19">
        <f>YEAR(Tabela6[[#This Row],[Data]])</f>
        <v>2021</v>
      </c>
      <c r="E170" s="12" t="s">
        <v>78</v>
      </c>
      <c r="F170" t="s">
        <v>56</v>
      </c>
      <c r="G170" s="26">
        <v>16</v>
      </c>
      <c r="H170">
        <v>8</v>
      </c>
      <c r="I170" t="str">
        <f>IFERROR(VLOOKUP(Tabela6[[#This Row],[Descrição]],Materiais!B:C,2,0),"")</f>
        <v/>
      </c>
    </row>
    <row r="171" spans="2:9">
      <c r="B171" s="11">
        <f>42829+(365*4)</f>
        <v>44289</v>
      </c>
      <c r="C171" s="19">
        <f>MONTH(Tabela6[[#This Row],[Data]])</f>
        <v>4</v>
      </c>
      <c r="D171" s="19">
        <f>YEAR(Tabela6[[#This Row],[Data]])</f>
        <v>2021</v>
      </c>
      <c r="E171" s="12" t="s">
        <v>78</v>
      </c>
      <c r="F171" t="s">
        <v>100</v>
      </c>
      <c r="G171" s="26">
        <v>6</v>
      </c>
      <c r="H171">
        <v>3</v>
      </c>
      <c r="I171" t="str">
        <f>IFERROR(VLOOKUP(Tabela6[[#This Row],[Descrição]],Materiais!B:C,2,0),"")</f>
        <v/>
      </c>
    </row>
    <row r="172" spans="2:9">
      <c r="B172" s="11">
        <f>42829+(365*4)</f>
        <v>44289</v>
      </c>
      <c r="C172" s="19">
        <f>MONTH(Tabela6[[#This Row],[Data]])</f>
        <v>4</v>
      </c>
      <c r="D172" s="19">
        <f>YEAR(Tabela6[[#This Row],[Data]])</f>
        <v>2021</v>
      </c>
      <c r="E172" s="12" t="s">
        <v>78</v>
      </c>
      <c r="F172" t="s">
        <v>61</v>
      </c>
      <c r="G172" s="26">
        <v>20</v>
      </c>
      <c r="H172">
        <v>10</v>
      </c>
      <c r="I172" t="str">
        <f>IFERROR(VLOOKUP(Tabela6[[#This Row],[Descrição]],Materiais!B:C,2,0),"")</f>
        <v/>
      </c>
    </row>
    <row r="173" spans="2:9">
      <c r="B173" s="11">
        <f>42829+(365*4)</f>
        <v>44289</v>
      </c>
      <c r="C173" s="19">
        <f>MONTH(Tabela6[[#This Row],[Data]])</f>
        <v>4</v>
      </c>
      <c r="D173" s="19">
        <f>YEAR(Tabela6[[#This Row],[Data]])</f>
        <v>2021</v>
      </c>
      <c r="E173" s="12" t="s">
        <v>78</v>
      </c>
      <c r="F173" t="s">
        <v>58</v>
      </c>
      <c r="G173" s="26">
        <v>4</v>
      </c>
      <c r="H173">
        <v>2</v>
      </c>
      <c r="I173" t="str">
        <f>IFERROR(VLOOKUP(Tabela6[[#This Row],[Descrição]],Materiais!B:C,2,0),"")</f>
        <v/>
      </c>
    </row>
    <row r="174" spans="2:9">
      <c r="B174" s="11">
        <f>42830+(365*4)</f>
        <v>44290</v>
      </c>
      <c r="C174" s="19">
        <f>MONTH(Tabela6[[#This Row],[Data]])</f>
        <v>4</v>
      </c>
      <c r="D174" s="19">
        <f>YEAR(Tabela6[[#This Row],[Data]])</f>
        <v>2021</v>
      </c>
      <c r="E174" s="12" t="s">
        <v>78</v>
      </c>
      <c r="F174" t="s">
        <v>100</v>
      </c>
      <c r="G174" s="26">
        <v>6</v>
      </c>
      <c r="H174">
        <v>3</v>
      </c>
      <c r="I174" t="str">
        <f>IFERROR(VLOOKUP(Tabela6[[#This Row],[Descrição]],Materiais!B:C,2,0),"")</f>
        <v/>
      </c>
    </row>
    <row r="175" spans="2:9">
      <c r="B175" s="11">
        <f>42830+(365*4)</f>
        <v>44290</v>
      </c>
      <c r="C175" s="19">
        <f>MONTH(Tabela6[[#This Row],[Data]])</f>
        <v>4</v>
      </c>
      <c r="D175" s="19">
        <f>YEAR(Tabela6[[#This Row],[Data]])</f>
        <v>2021</v>
      </c>
      <c r="E175" s="12" t="s">
        <v>78</v>
      </c>
      <c r="F175" t="s">
        <v>61</v>
      </c>
      <c r="G175" s="26">
        <v>4</v>
      </c>
      <c r="H175">
        <v>2</v>
      </c>
      <c r="I175" t="str">
        <f>IFERROR(VLOOKUP(Tabela6[[#This Row],[Descrição]],Materiais!B:C,2,0),"")</f>
        <v/>
      </c>
    </row>
    <row r="176" spans="2:9">
      <c r="B176" s="11">
        <f>42830+(365*4)</f>
        <v>44290</v>
      </c>
      <c r="C176" s="19">
        <f>MONTH(Tabela6[[#This Row],[Data]])</f>
        <v>4</v>
      </c>
      <c r="D176" s="19">
        <f>YEAR(Tabela6[[#This Row],[Data]])</f>
        <v>2021</v>
      </c>
      <c r="E176" s="12" t="s">
        <v>78</v>
      </c>
      <c r="F176" t="s">
        <v>58</v>
      </c>
      <c r="G176" s="26">
        <v>2</v>
      </c>
      <c r="H176">
        <v>1</v>
      </c>
      <c r="I176" t="str">
        <f>IFERROR(VLOOKUP(Tabela6[[#This Row],[Descrição]],Materiais!B:C,2,0),"")</f>
        <v/>
      </c>
    </row>
    <row r="177" spans="2:9">
      <c r="B177" s="11">
        <f>42831+(365*4)</f>
        <v>44291</v>
      </c>
      <c r="C177" s="19">
        <f>MONTH(Tabela6[[#This Row],[Data]])</f>
        <v>4</v>
      </c>
      <c r="D177" s="19">
        <f>YEAR(Tabela6[[#This Row],[Data]])</f>
        <v>2021</v>
      </c>
      <c r="E177" s="12" t="s">
        <v>78</v>
      </c>
      <c r="F177" t="s">
        <v>56</v>
      </c>
      <c r="G177" s="26">
        <v>8</v>
      </c>
      <c r="H177">
        <v>4</v>
      </c>
      <c r="I177" t="str">
        <f>IFERROR(VLOOKUP(Tabela6[[#This Row],[Descrição]],Materiais!B:C,2,0),"")</f>
        <v/>
      </c>
    </row>
    <row r="178" spans="2:9">
      <c r="B178" s="11">
        <f>42831+(365*4)</f>
        <v>44291</v>
      </c>
      <c r="C178" s="19">
        <f>MONTH(Tabela6[[#This Row],[Data]])</f>
        <v>4</v>
      </c>
      <c r="D178" s="19">
        <f>YEAR(Tabela6[[#This Row],[Data]])</f>
        <v>2021</v>
      </c>
      <c r="E178" s="12" t="s">
        <v>78</v>
      </c>
      <c r="F178" t="s">
        <v>100</v>
      </c>
      <c r="G178" s="26">
        <v>4</v>
      </c>
      <c r="H178">
        <v>2</v>
      </c>
      <c r="I178" t="str">
        <f>IFERROR(VLOOKUP(Tabela6[[#This Row],[Descrição]],Materiais!B:C,2,0),"")</f>
        <v/>
      </c>
    </row>
    <row r="179" spans="2:9">
      <c r="B179" s="11">
        <f>42831+(365*4)</f>
        <v>44291</v>
      </c>
      <c r="C179" s="19">
        <f>MONTH(Tabela6[[#This Row],[Data]])</f>
        <v>4</v>
      </c>
      <c r="D179" s="19">
        <f>YEAR(Tabela6[[#This Row],[Data]])</f>
        <v>2021</v>
      </c>
      <c r="E179" s="12" t="s">
        <v>78</v>
      </c>
      <c r="F179" t="s">
        <v>61</v>
      </c>
      <c r="G179" s="26">
        <v>10</v>
      </c>
      <c r="H179">
        <v>5</v>
      </c>
      <c r="I179" t="str">
        <f>IFERROR(VLOOKUP(Tabela6[[#This Row],[Descrição]],Materiais!B:C,2,0),"")</f>
        <v/>
      </c>
    </row>
    <row r="180" spans="2:9">
      <c r="B180" s="11">
        <f>42831+(365*4)</f>
        <v>44291</v>
      </c>
      <c r="C180" s="19">
        <f>MONTH(Tabela6[[#This Row],[Data]])</f>
        <v>4</v>
      </c>
      <c r="D180" s="19">
        <f>YEAR(Tabela6[[#This Row],[Data]])</f>
        <v>2021</v>
      </c>
      <c r="E180" s="12" t="s">
        <v>78</v>
      </c>
      <c r="F180" t="s">
        <v>58</v>
      </c>
      <c r="G180" s="26">
        <v>10</v>
      </c>
      <c r="H180">
        <v>5</v>
      </c>
      <c r="I180" t="str">
        <f>IFERROR(VLOOKUP(Tabela6[[#This Row],[Descrição]],Materiais!B:C,2,0),"")</f>
        <v/>
      </c>
    </row>
    <row r="181" spans="2:9">
      <c r="B181" s="11">
        <f>42832+(365*4)</f>
        <v>44292</v>
      </c>
      <c r="C181" s="19">
        <f>MONTH(Tabela6[[#This Row],[Data]])</f>
        <v>4</v>
      </c>
      <c r="D181" s="19">
        <f>YEAR(Tabela6[[#This Row],[Data]])</f>
        <v>2021</v>
      </c>
      <c r="E181" s="12" t="s">
        <v>78</v>
      </c>
      <c r="F181" t="s">
        <v>56</v>
      </c>
      <c r="G181" s="26">
        <v>4</v>
      </c>
      <c r="H181">
        <v>2</v>
      </c>
      <c r="I181" t="str">
        <f>IFERROR(VLOOKUP(Tabela6[[#This Row],[Descrição]],Materiais!B:C,2,0),"")</f>
        <v/>
      </c>
    </row>
    <row r="182" spans="2:9">
      <c r="B182" s="11">
        <f>42832+(365*4)</f>
        <v>44292</v>
      </c>
      <c r="C182" s="19">
        <f>MONTH(Tabela6[[#This Row],[Data]])</f>
        <v>4</v>
      </c>
      <c r="D182" s="19">
        <f>YEAR(Tabela6[[#This Row],[Data]])</f>
        <v>2021</v>
      </c>
      <c r="E182" s="12" t="s">
        <v>78</v>
      </c>
      <c r="F182" t="s">
        <v>100</v>
      </c>
      <c r="G182" s="26">
        <v>4</v>
      </c>
      <c r="H182">
        <v>2</v>
      </c>
      <c r="I182" t="str">
        <f>IFERROR(VLOOKUP(Tabela6[[#This Row],[Descrição]],Materiais!B:C,2,0),"")</f>
        <v/>
      </c>
    </row>
    <row r="183" spans="2:9">
      <c r="B183" s="11">
        <f>42832+(365*4)</f>
        <v>44292</v>
      </c>
      <c r="C183" s="19">
        <f>MONTH(Tabela6[[#This Row],[Data]])</f>
        <v>4</v>
      </c>
      <c r="D183" s="19">
        <f>YEAR(Tabela6[[#This Row],[Data]])</f>
        <v>2021</v>
      </c>
      <c r="E183" s="12" t="s">
        <v>78</v>
      </c>
      <c r="F183" t="s">
        <v>61</v>
      </c>
      <c r="G183" s="26">
        <v>4</v>
      </c>
      <c r="H183">
        <v>2</v>
      </c>
      <c r="I183" t="str">
        <f>IFERROR(VLOOKUP(Tabela6[[#This Row],[Descrição]],Materiais!B:C,2,0),"")</f>
        <v/>
      </c>
    </row>
    <row r="184" spans="2:9">
      <c r="B184" s="11">
        <f>42832+(365*4)</f>
        <v>44292</v>
      </c>
      <c r="C184" s="19">
        <f>MONTH(Tabela6[[#This Row],[Data]])</f>
        <v>4</v>
      </c>
      <c r="D184" s="19">
        <f>YEAR(Tabela6[[#This Row],[Data]])</f>
        <v>2021</v>
      </c>
      <c r="E184" s="12" t="s">
        <v>72</v>
      </c>
      <c r="F184" t="s">
        <v>17</v>
      </c>
      <c r="G184" s="26">
        <v>-3.67</v>
      </c>
      <c r="H184">
        <v>200</v>
      </c>
      <c r="I184" t="str">
        <f>IFERROR(VLOOKUP(Tabela6[[#This Row],[Descrição]],Materiais!B:C,2,0),"")</f>
        <v>g</v>
      </c>
    </row>
    <row r="185" spans="2:9">
      <c r="B185" s="11">
        <f>42832+(365*4)</f>
        <v>44292</v>
      </c>
      <c r="C185" s="19">
        <f>MONTH(Tabela6[[#This Row],[Data]])</f>
        <v>4</v>
      </c>
      <c r="D185" s="19">
        <f>YEAR(Tabela6[[#This Row],[Data]])</f>
        <v>2021</v>
      </c>
      <c r="E185" s="12" t="s">
        <v>72</v>
      </c>
      <c r="F185" t="s">
        <v>22</v>
      </c>
      <c r="G185" s="26">
        <v>-7.98</v>
      </c>
      <c r="H185">
        <v>200</v>
      </c>
      <c r="I185" t="str">
        <f>IFERROR(VLOOKUP(Tabela6[[#This Row],[Descrição]],Materiais!B:C,2,0),"")</f>
        <v>g</v>
      </c>
    </row>
    <row r="186" spans="2:9">
      <c r="B186" s="11">
        <f t="shared" ref="B186:B192" si="9">42835+(365*4)</f>
        <v>44295</v>
      </c>
      <c r="C186" s="19">
        <f>MONTH(Tabela6[[#This Row],[Data]])</f>
        <v>4</v>
      </c>
      <c r="D186" s="19">
        <f>YEAR(Tabela6[[#This Row],[Data]])</f>
        <v>2021</v>
      </c>
      <c r="E186" s="12" t="s">
        <v>78</v>
      </c>
      <c r="F186" t="s">
        <v>56</v>
      </c>
      <c r="G186" s="26">
        <v>10</v>
      </c>
      <c r="H186">
        <v>5</v>
      </c>
      <c r="I186" t="str">
        <f>IFERROR(VLOOKUP(Tabela6[[#This Row],[Descrição]],Materiais!B:C,2,0),"")</f>
        <v/>
      </c>
    </row>
    <row r="187" spans="2:9">
      <c r="B187" s="11">
        <f t="shared" si="9"/>
        <v>44295</v>
      </c>
      <c r="C187" s="19">
        <f>MONTH(Tabela6[[#This Row],[Data]])</f>
        <v>4</v>
      </c>
      <c r="D187" s="19">
        <f>YEAR(Tabela6[[#This Row],[Data]])</f>
        <v>2021</v>
      </c>
      <c r="E187" s="12" t="s">
        <v>78</v>
      </c>
      <c r="F187" t="s">
        <v>56</v>
      </c>
      <c r="G187" s="26">
        <v>6</v>
      </c>
      <c r="H187">
        <v>3</v>
      </c>
      <c r="I187" t="str">
        <f>IFERROR(VLOOKUP(Tabela6[[#This Row],[Descrição]],Materiais!B:C,2,0),"")</f>
        <v/>
      </c>
    </row>
    <row r="188" spans="2:9">
      <c r="B188" s="11">
        <f t="shared" si="9"/>
        <v>44295</v>
      </c>
      <c r="C188" s="19">
        <f>MONTH(Tabela6[[#This Row],[Data]])</f>
        <v>4</v>
      </c>
      <c r="D188" s="19">
        <f>YEAR(Tabela6[[#This Row],[Data]])</f>
        <v>2021</v>
      </c>
      <c r="E188" s="12" t="s">
        <v>78</v>
      </c>
      <c r="F188" t="s">
        <v>97</v>
      </c>
      <c r="G188" s="26">
        <v>8.5</v>
      </c>
      <c r="H188">
        <v>1</v>
      </c>
      <c r="I188" t="str">
        <f>IFERROR(VLOOKUP(Tabela6[[#This Row],[Descrição]],Materiais!B:C,2,0),"")</f>
        <v/>
      </c>
    </row>
    <row r="189" spans="2:9">
      <c r="B189" s="11">
        <f t="shared" si="9"/>
        <v>44295</v>
      </c>
      <c r="C189" s="19">
        <f>MONTH(Tabela6[[#This Row],[Data]])</f>
        <v>4</v>
      </c>
      <c r="D189" s="19">
        <f>YEAR(Tabela6[[#This Row],[Data]])</f>
        <v>2021</v>
      </c>
      <c r="E189" s="12" t="s">
        <v>78</v>
      </c>
      <c r="F189" t="s">
        <v>97</v>
      </c>
      <c r="G189" s="26">
        <v>25.5</v>
      </c>
      <c r="H189">
        <v>3</v>
      </c>
      <c r="I189" t="str">
        <f>IFERROR(VLOOKUP(Tabela6[[#This Row],[Descrição]],Materiais!B:C,2,0),"")</f>
        <v/>
      </c>
    </row>
    <row r="190" spans="2:9">
      <c r="B190" s="11">
        <f t="shared" si="9"/>
        <v>44295</v>
      </c>
      <c r="C190" s="19">
        <f>MONTH(Tabela6[[#This Row],[Data]])</f>
        <v>4</v>
      </c>
      <c r="D190" s="19">
        <f>YEAR(Tabela6[[#This Row],[Data]])</f>
        <v>2021</v>
      </c>
      <c r="E190" s="12" t="s">
        <v>78</v>
      </c>
      <c r="F190" t="s">
        <v>100</v>
      </c>
      <c r="G190" s="26">
        <v>2</v>
      </c>
      <c r="H190">
        <v>1</v>
      </c>
      <c r="I190" t="str">
        <f>IFERROR(VLOOKUP(Tabela6[[#This Row],[Descrição]],Materiais!B:C,2,0),"")</f>
        <v/>
      </c>
    </row>
    <row r="191" spans="2:9">
      <c r="B191" s="11">
        <f t="shared" si="9"/>
        <v>44295</v>
      </c>
      <c r="C191" s="19">
        <f>MONTH(Tabela6[[#This Row],[Data]])</f>
        <v>4</v>
      </c>
      <c r="D191" s="19">
        <f>YEAR(Tabela6[[#This Row],[Data]])</f>
        <v>2021</v>
      </c>
      <c r="E191" s="12" t="s">
        <v>78</v>
      </c>
      <c r="F191" t="s">
        <v>61</v>
      </c>
      <c r="G191" s="26">
        <v>24</v>
      </c>
      <c r="H191">
        <v>12</v>
      </c>
      <c r="I191" t="str">
        <f>IFERROR(VLOOKUP(Tabela6[[#This Row],[Descrição]],Materiais!B:C,2,0),"")</f>
        <v/>
      </c>
    </row>
    <row r="192" spans="2:9">
      <c r="B192" s="11">
        <f t="shared" si="9"/>
        <v>44295</v>
      </c>
      <c r="C192" s="19">
        <f>MONTH(Tabela6[[#This Row],[Data]])</f>
        <v>4</v>
      </c>
      <c r="D192" s="19">
        <f>YEAR(Tabela6[[#This Row],[Data]])</f>
        <v>2021</v>
      </c>
      <c r="E192" s="12" t="s">
        <v>78</v>
      </c>
      <c r="F192" t="s">
        <v>58</v>
      </c>
      <c r="G192" s="26">
        <v>10</v>
      </c>
      <c r="H192">
        <v>5</v>
      </c>
      <c r="I192" t="str">
        <f>IFERROR(VLOOKUP(Tabela6[[#This Row],[Descrição]],Materiais!B:C,2,0),"")</f>
        <v/>
      </c>
    </row>
    <row r="193" spans="2:9">
      <c r="B193" s="11">
        <f>42836+(365*4)</f>
        <v>44296</v>
      </c>
      <c r="C193" s="19">
        <f>MONTH(Tabela6[[#This Row],[Data]])</f>
        <v>4</v>
      </c>
      <c r="D193" s="19">
        <f>YEAR(Tabela6[[#This Row],[Data]])</f>
        <v>2021</v>
      </c>
      <c r="E193" s="12" t="s">
        <v>78</v>
      </c>
      <c r="F193" t="s">
        <v>97</v>
      </c>
      <c r="G193" s="26">
        <v>8.5</v>
      </c>
      <c r="H193">
        <v>1</v>
      </c>
      <c r="I193" t="str">
        <f>IFERROR(VLOOKUP(Tabela6[[#This Row],[Descrição]],Materiais!B:C,2,0),"")</f>
        <v/>
      </c>
    </row>
    <row r="194" spans="2:9">
      <c r="B194" s="11">
        <f>42836+(365*4)</f>
        <v>44296</v>
      </c>
      <c r="C194" s="19">
        <f>MONTH(Tabela6[[#This Row],[Data]])</f>
        <v>4</v>
      </c>
      <c r="D194" s="19">
        <f>YEAR(Tabela6[[#This Row],[Data]])</f>
        <v>2021</v>
      </c>
      <c r="E194" s="12" t="s">
        <v>78</v>
      </c>
      <c r="F194" t="s">
        <v>100</v>
      </c>
      <c r="G194" s="26">
        <v>4</v>
      </c>
      <c r="H194">
        <v>2</v>
      </c>
      <c r="I194" t="str">
        <f>IFERROR(VLOOKUP(Tabela6[[#This Row],[Descrição]],Materiais!B:C,2,0),"")</f>
        <v/>
      </c>
    </row>
    <row r="195" spans="2:9">
      <c r="B195" s="11">
        <f>42836+(365*4)</f>
        <v>44296</v>
      </c>
      <c r="C195" s="19">
        <f>MONTH(Tabela6[[#This Row],[Data]])</f>
        <v>4</v>
      </c>
      <c r="D195" s="19">
        <f>YEAR(Tabela6[[#This Row],[Data]])</f>
        <v>2021</v>
      </c>
      <c r="E195" s="12" t="s">
        <v>78</v>
      </c>
      <c r="F195" t="s">
        <v>58</v>
      </c>
      <c r="G195" s="26">
        <v>14</v>
      </c>
      <c r="H195">
        <v>7</v>
      </c>
      <c r="I195" t="str">
        <f>IFERROR(VLOOKUP(Tabela6[[#This Row],[Descrição]],Materiais!B:C,2,0),"")</f>
        <v/>
      </c>
    </row>
    <row r="196" spans="2:9">
      <c r="B196" s="11">
        <f t="shared" ref="B196:B202" si="10">42837+(365*4)</f>
        <v>44297</v>
      </c>
      <c r="C196" s="19">
        <f>MONTH(Tabela6[[#This Row],[Data]])</f>
        <v>4</v>
      </c>
      <c r="D196" s="19">
        <f>YEAR(Tabela6[[#This Row],[Data]])</f>
        <v>2021</v>
      </c>
      <c r="E196" s="12" t="s">
        <v>78</v>
      </c>
      <c r="F196" t="s">
        <v>56</v>
      </c>
      <c r="G196" s="26">
        <v>2</v>
      </c>
      <c r="H196">
        <v>1</v>
      </c>
      <c r="I196" t="str">
        <f>IFERROR(VLOOKUP(Tabela6[[#This Row],[Descrição]],Materiais!B:C,2,0),"")</f>
        <v/>
      </c>
    </row>
    <row r="197" spans="2:9">
      <c r="B197" s="11">
        <f t="shared" si="10"/>
        <v>44297</v>
      </c>
      <c r="C197" s="19">
        <f>MONTH(Tabela6[[#This Row],[Data]])</f>
        <v>4</v>
      </c>
      <c r="D197" s="19">
        <f>YEAR(Tabela6[[#This Row],[Data]])</f>
        <v>2021</v>
      </c>
      <c r="E197" s="12" t="s">
        <v>75</v>
      </c>
      <c r="F197" t="s">
        <v>99</v>
      </c>
      <c r="G197" s="26">
        <v>-7.2</v>
      </c>
      <c r="H197">
        <v>10</v>
      </c>
      <c r="I197" t="str">
        <f>IFERROR(VLOOKUP(Tabela6[[#This Row],[Descrição]],Materiais!B:C,2,0),"")</f>
        <v/>
      </c>
    </row>
    <row r="198" spans="2:9">
      <c r="B198" s="11">
        <f t="shared" si="10"/>
        <v>44297</v>
      </c>
      <c r="C198" s="19">
        <f>MONTH(Tabela6[[#This Row],[Data]])</f>
        <v>4</v>
      </c>
      <c r="D198" s="19">
        <f>YEAR(Tabela6[[#This Row],[Data]])</f>
        <v>2021</v>
      </c>
      <c r="E198" s="12" t="s">
        <v>78</v>
      </c>
      <c r="F198" t="s">
        <v>61</v>
      </c>
      <c r="G198" s="26">
        <v>2</v>
      </c>
      <c r="H198">
        <v>1</v>
      </c>
      <c r="I198" t="str">
        <f>IFERROR(VLOOKUP(Tabela6[[#This Row],[Descrição]],Materiais!B:C,2,0),"")</f>
        <v/>
      </c>
    </row>
    <row r="199" spans="2:9">
      <c r="B199" s="11">
        <f t="shared" si="10"/>
        <v>44297</v>
      </c>
      <c r="C199" s="19">
        <f>MONTH(Tabela6[[#This Row],[Data]])</f>
        <v>4</v>
      </c>
      <c r="D199" s="19">
        <f>YEAR(Tabela6[[#This Row],[Data]])</f>
        <v>2021</v>
      </c>
      <c r="E199" s="12" t="s">
        <v>72</v>
      </c>
      <c r="F199" t="s">
        <v>15</v>
      </c>
      <c r="G199" s="26">
        <v>-4.63</v>
      </c>
      <c r="H199">
        <v>265</v>
      </c>
      <c r="I199" t="str">
        <f>IFERROR(VLOOKUP(Tabela6[[#This Row],[Descrição]],Materiais!B:C,2,0),"")</f>
        <v>g</v>
      </c>
    </row>
    <row r="200" spans="2:9">
      <c r="B200" s="11">
        <f t="shared" si="10"/>
        <v>44297</v>
      </c>
      <c r="C200" s="19">
        <f>MONTH(Tabela6[[#This Row],[Data]])</f>
        <v>4</v>
      </c>
      <c r="D200" s="19">
        <f>YEAR(Tabela6[[#This Row],[Data]])</f>
        <v>2021</v>
      </c>
      <c r="E200" s="12" t="s">
        <v>72</v>
      </c>
      <c r="F200" t="s">
        <v>105</v>
      </c>
      <c r="G200" s="26">
        <v>-13.95</v>
      </c>
      <c r="H200">
        <v>500</v>
      </c>
      <c r="I200" t="str">
        <f>IFERROR(VLOOKUP(Tabela6[[#This Row],[Descrição]],Materiais!B:C,2,0),"")</f>
        <v/>
      </c>
    </row>
    <row r="201" spans="2:9">
      <c r="B201" s="11">
        <f t="shared" si="10"/>
        <v>44297</v>
      </c>
      <c r="C201" s="19">
        <f>MONTH(Tabela6[[#This Row],[Data]])</f>
        <v>4</v>
      </c>
      <c r="D201" s="19">
        <f>YEAR(Tabela6[[#This Row],[Data]])</f>
        <v>2021</v>
      </c>
      <c r="E201" s="12" t="s">
        <v>72</v>
      </c>
      <c r="F201" t="s">
        <v>22</v>
      </c>
      <c r="G201" s="26">
        <v>-16</v>
      </c>
      <c r="H201">
        <v>400</v>
      </c>
      <c r="I201" t="str">
        <f>IFERROR(VLOOKUP(Tabela6[[#This Row],[Descrição]],Materiais!B:C,2,0),"")</f>
        <v>g</v>
      </c>
    </row>
    <row r="202" spans="2:9">
      <c r="B202" s="11">
        <f t="shared" si="10"/>
        <v>44297</v>
      </c>
      <c r="C202" s="19">
        <f>MONTH(Tabela6[[#This Row],[Data]])</f>
        <v>4</v>
      </c>
      <c r="D202" s="19">
        <f>YEAR(Tabela6[[#This Row],[Data]])</f>
        <v>2021</v>
      </c>
      <c r="E202" s="12" t="s">
        <v>78</v>
      </c>
      <c r="F202" t="s">
        <v>106</v>
      </c>
      <c r="G202" s="26">
        <v>13</v>
      </c>
      <c r="H202">
        <v>13</v>
      </c>
      <c r="I202" t="str">
        <f>IFERROR(VLOOKUP(Tabela6[[#This Row],[Descrição]],Materiais!B:C,2,0),"")</f>
        <v/>
      </c>
    </row>
    <row r="203" spans="2:9">
      <c r="B203" s="11">
        <f>42839+(365*4)</f>
        <v>44299</v>
      </c>
      <c r="C203" s="19">
        <f>MONTH(Tabela6[[#This Row],[Data]])</f>
        <v>4</v>
      </c>
      <c r="D203" s="19">
        <f>YEAR(Tabela6[[#This Row],[Data]])</f>
        <v>2021</v>
      </c>
      <c r="E203" s="12" t="s">
        <v>78</v>
      </c>
      <c r="F203" t="s">
        <v>56</v>
      </c>
      <c r="G203" s="26">
        <v>8</v>
      </c>
      <c r="H203">
        <v>4</v>
      </c>
      <c r="I203" t="str">
        <f>IFERROR(VLOOKUP(Tabela6[[#This Row],[Descrição]],Materiais!B:C,2,0),"")</f>
        <v/>
      </c>
    </row>
    <row r="204" spans="2:9">
      <c r="B204" s="11">
        <f>42839+(365*4)</f>
        <v>44299</v>
      </c>
      <c r="C204" s="19">
        <f>MONTH(Tabela6[[#This Row],[Data]])</f>
        <v>4</v>
      </c>
      <c r="D204" s="19">
        <f>YEAR(Tabela6[[#This Row],[Data]])</f>
        <v>2021</v>
      </c>
      <c r="E204" s="12" t="s">
        <v>78</v>
      </c>
      <c r="F204" t="s">
        <v>97</v>
      </c>
      <c r="G204" s="26">
        <v>8.5</v>
      </c>
      <c r="H204">
        <v>1</v>
      </c>
      <c r="I204" t="str">
        <f>IFERROR(VLOOKUP(Tabela6[[#This Row],[Descrição]],Materiais!B:C,2,0),"")</f>
        <v/>
      </c>
    </row>
    <row r="205" spans="2:9">
      <c r="B205" s="11">
        <f>42839+(365*4)</f>
        <v>44299</v>
      </c>
      <c r="C205" s="19">
        <f>MONTH(Tabela6[[#This Row],[Data]])</f>
        <v>4</v>
      </c>
      <c r="D205" s="19">
        <f>YEAR(Tabela6[[#This Row],[Data]])</f>
        <v>2021</v>
      </c>
      <c r="E205" s="12" t="s">
        <v>78</v>
      </c>
      <c r="F205" t="s">
        <v>97</v>
      </c>
      <c r="G205" s="26">
        <v>9</v>
      </c>
      <c r="H205">
        <v>1</v>
      </c>
      <c r="I205" t="str">
        <f>IFERROR(VLOOKUP(Tabela6[[#This Row],[Descrição]],Materiais!B:C,2,0),"")</f>
        <v/>
      </c>
    </row>
    <row r="206" spans="2:9">
      <c r="B206" s="11">
        <f>42839+(365*4)</f>
        <v>44299</v>
      </c>
      <c r="C206" s="19">
        <f>MONTH(Tabela6[[#This Row],[Data]])</f>
        <v>4</v>
      </c>
      <c r="D206" s="19">
        <f>YEAR(Tabela6[[#This Row],[Data]])</f>
        <v>2021</v>
      </c>
      <c r="E206" s="12" t="s">
        <v>78</v>
      </c>
      <c r="F206" t="s">
        <v>61</v>
      </c>
      <c r="G206" s="26">
        <v>12</v>
      </c>
      <c r="H206">
        <v>6</v>
      </c>
      <c r="I206" t="str">
        <f>IFERROR(VLOOKUP(Tabela6[[#This Row],[Descrição]],Materiais!B:C,2,0),"")</f>
        <v/>
      </c>
    </row>
    <row r="207" spans="2:9">
      <c r="B207" s="11">
        <f>42842+(365*4)</f>
        <v>44302</v>
      </c>
      <c r="C207" s="19">
        <f>MONTH(Tabela6[[#This Row],[Data]])</f>
        <v>4</v>
      </c>
      <c r="D207" s="19">
        <f>YEAR(Tabela6[[#This Row],[Data]])</f>
        <v>2021</v>
      </c>
      <c r="E207" s="12" t="s">
        <v>78</v>
      </c>
      <c r="F207" t="s">
        <v>61</v>
      </c>
      <c r="G207" s="26">
        <v>2</v>
      </c>
      <c r="H207">
        <v>1</v>
      </c>
      <c r="I207" t="str">
        <f>IFERROR(VLOOKUP(Tabela6[[#This Row],[Descrição]],Materiais!B:C,2,0),"")</f>
        <v/>
      </c>
    </row>
    <row r="208" spans="2:9">
      <c r="B208" s="11">
        <f>42842+(365*4)</f>
        <v>44302</v>
      </c>
      <c r="C208" s="19">
        <f>MONTH(Tabela6[[#This Row],[Data]])</f>
        <v>4</v>
      </c>
      <c r="D208" s="19">
        <f>YEAR(Tabela6[[#This Row],[Data]])</f>
        <v>2021</v>
      </c>
      <c r="E208" s="12" t="s">
        <v>75</v>
      </c>
      <c r="F208" t="s">
        <v>107</v>
      </c>
      <c r="G208" s="26">
        <v>-7.68</v>
      </c>
      <c r="H208">
        <v>5000</v>
      </c>
      <c r="I208" t="str">
        <f>IFERROR(VLOOKUP(Tabela6[[#This Row],[Descrição]],Materiais!B:C,2,0),"")</f>
        <v/>
      </c>
    </row>
    <row r="209" spans="2:9">
      <c r="B209" s="11">
        <f>42842+(365*4)</f>
        <v>44302</v>
      </c>
      <c r="C209" s="19">
        <f>MONTH(Tabela6[[#This Row],[Data]])</f>
        <v>4</v>
      </c>
      <c r="D209" s="19">
        <f>YEAR(Tabela6[[#This Row],[Data]])</f>
        <v>2021</v>
      </c>
      <c r="E209" s="12" t="s">
        <v>75</v>
      </c>
      <c r="F209" t="s">
        <v>108</v>
      </c>
      <c r="G209" s="26">
        <v>-4.68</v>
      </c>
      <c r="H209">
        <v>150</v>
      </c>
      <c r="I209" t="str">
        <f>IFERROR(VLOOKUP(Tabela6[[#This Row],[Descrição]],Materiais!B:C,2,0),"")</f>
        <v/>
      </c>
    </row>
    <row r="210" spans="2:9">
      <c r="B210" s="11">
        <f>42843+(365*4)</f>
        <v>44303</v>
      </c>
      <c r="C210" s="19">
        <f>MONTH(Tabela6[[#This Row],[Data]])</f>
        <v>4</v>
      </c>
      <c r="D210" s="19">
        <f>YEAR(Tabela6[[#This Row],[Data]])</f>
        <v>2021</v>
      </c>
      <c r="E210" s="12" t="s">
        <v>78</v>
      </c>
      <c r="F210" t="s">
        <v>56</v>
      </c>
      <c r="G210" s="26">
        <v>8</v>
      </c>
      <c r="H210">
        <v>4</v>
      </c>
      <c r="I210" t="str">
        <f>IFERROR(VLOOKUP(Tabela6[[#This Row],[Descrição]],Materiais!B:C,2,0),"")</f>
        <v/>
      </c>
    </row>
    <row r="211" spans="2:9">
      <c r="B211" s="11">
        <f>42843+(365*4)</f>
        <v>44303</v>
      </c>
      <c r="C211" s="19">
        <f>MONTH(Tabela6[[#This Row],[Data]])</f>
        <v>4</v>
      </c>
      <c r="D211" s="19">
        <f>YEAR(Tabela6[[#This Row],[Data]])</f>
        <v>2021</v>
      </c>
      <c r="E211" s="12" t="s">
        <v>78</v>
      </c>
      <c r="F211" t="s">
        <v>100</v>
      </c>
      <c r="G211" s="26">
        <v>4</v>
      </c>
      <c r="H211">
        <v>2</v>
      </c>
      <c r="I211" t="str">
        <f>IFERROR(VLOOKUP(Tabela6[[#This Row],[Descrição]],Materiais!B:C,2,0),"")</f>
        <v/>
      </c>
    </row>
    <row r="212" spans="2:9">
      <c r="B212" s="11">
        <f>42843+(365*4)</f>
        <v>44303</v>
      </c>
      <c r="C212" s="19">
        <f>MONTH(Tabela6[[#This Row],[Data]])</f>
        <v>4</v>
      </c>
      <c r="D212" s="19">
        <f>YEAR(Tabela6[[#This Row],[Data]])</f>
        <v>2021</v>
      </c>
      <c r="E212" s="12" t="s">
        <v>78</v>
      </c>
      <c r="F212" t="s">
        <v>61</v>
      </c>
      <c r="G212" s="26">
        <v>8</v>
      </c>
      <c r="H212">
        <v>4</v>
      </c>
      <c r="I212" t="str">
        <f>IFERROR(VLOOKUP(Tabela6[[#This Row],[Descrição]],Materiais!B:C,2,0),"")</f>
        <v/>
      </c>
    </row>
    <row r="213" spans="2:9">
      <c r="B213" s="11">
        <f>42843+(365*4)</f>
        <v>44303</v>
      </c>
      <c r="C213" s="19">
        <f>MONTH(Tabela6[[#This Row],[Data]])</f>
        <v>4</v>
      </c>
      <c r="D213" s="19">
        <f>YEAR(Tabela6[[#This Row],[Data]])</f>
        <v>2021</v>
      </c>
      <c r="E213" s="12" t="s">
        <v>78</v>
      </c>
      <c r="F213" t="s">
        <v>109</v>
      </c>
      <c r="G213" s="26">
        <v>8</v>
      </c>
      <c r="H213">
        <v>4</v>
      </c>
      <c r="I213" t="str">
        <f>IFERROR(VLOOKUP(Tabela6[[#This Row],[Descrição]],Materiais!B:C,2,0),"")</f>
        <v/>
      </c>
    </row>
    <row r="214" spans="2:9">
      <c r="B214" s="11">
        <f>42843+(365*4)</f>
        <v>44303</v>
      </c>
      <c r="C214" s="19">
        <f>MONTH(Tabela6[[#This Row],[Data]])</f>
        <v>4</v>
      </c>
      <c r="D214" s="19">
        <f>YEAR(Tabela6[[#This Row],[Data]])</f>
        <v>2021</v>
      </c>
      <c r="E214" s="12" t="s">
        <v>78</v>
      </c>
      <c r="F214" t="s">
        <v>58</v>
      </c>
      <c r="G214" s="26">
        <v>14</v>
      </c>
      <c r="H214">
        <v>7</v>
      </c>
      <c r="I214" t="str">
        <f>IFERROR(VLOOKUP(Tabela6[[#This Row],[Descrição]],Materiais!B:C,2,0),"")</f>
        <v/>
      </c>
    </row>
    <row r="215" spans="2:9">
      <c r="B215" s="11">
        <f t="shared" ref="B215:B221" si="11">42844+(365*4)</f>
        <v>44304</v>
      </c>
      <c r="C215" s="19">
        <f>MONTH(Tabela6[[#This Row],[Data]])</f>
        <v>4</v>
      </c>
      <c r="D215" s="19">
        <f>YEAR(Tabela6[[#This Row],[Data]])</f>
        <v>2021</v>
      </c>
      <c r="E215" s="12" t="s">
        <v>75</v>
      </c>
      <c r="F215" t="s">
        <v>110</v>
      </c>
      <c r="G215" s="26">
        <v>0</v>
      </c>
      <c r="H215">
        <v>10</v>
      </c>
      <c r="I215" t="str">
        <f>IFERROR(VLOOKUP(Tabela6[[#This Row],[Descrição]],Materiais!B:C,2,0),"")</f>
        <v/>
      </c>
    </row>
    <row r="216" spans="2:9">
      <c r="B216" s="11">
        <f t="shared" si="11"/>
        <v>44304</v>
      </c>
      <c r="C216" s="19">
        <f>MONTH(Tabela6[[#This Row],[Data]])</f>
        <v>4</v>
      </c>
      <c r="D216" s="19">
        <f>YEAR(Tabela6[[#This Row],[Data]])</f>
        <v>2021</v>
      </c>
      <c r="E216" s="12" t="s">
        <v>78</v>
      </c>
      <c r="F216" t="s">
        <v>56</v>
      </c>
      <c r="G216" s="26">
        <v>2</v>
      </c>
      <c r="H216">
        <v>1</v>
      </c>
      <c r="I216" t="str">
        <f>IFERROR(VLOOKUP(Tabela6[[#This Row],[Descrição]],Materiais!B:C,2,0),"")</f>
        <v/>
      </c>
    </row>
    <row r="217" spans="2:9">
      <c r="B217" s="11">
        <f t="shared" si="11"/>
        <v>44304</v>
      </c>
      <c r="C217" s="19">
        <f>MONTH(Tabela6[[#This Row],[Data]])</f>
        <v>4</v>
      </c>
      <c r="D217" s="19">
        <f>YEAR(Tabela6[[#This Row],[Data]])</f>
        <v>2021</v>
      </c>
      <c r="E217" s="12" t="s">
        <v>75</v>
      </c>
      <c r="F217" t="s">
        <v>111</v>
      </c>
      <c r="G217" s="26">
        <v>-10.4</v>
      </c>
      <c r="H217">
        <v>10</v>
      </c>
      <c r="I217" t="str">
        <f>IFERROR(VLOOKUP(Tabela6[[#This Row],[Descrição]],Materiais!B:C,2,0),"")</f>
        <v/>
      </c>
    </row>
    <row r="218" spans="2:9">
      <c r="B218" s="11">
        <f t="shared" si="11"/>
        <v>44304</v>
      </c>
      <c r="C218" s="19">
        <f>MONTH(Tabela6[[#This Row],[Data]])</f>
        <v>4</v>
      </c>
      <c r="D218" s="19">
        <f>YEAR(Tabela6[[#This Row],[Data]])</f>
        <v>2021</v>
      </c>
      <c r="E218" s="12" t="s">
        <v>75</v>
      </c>
      <c r="F218" t="s">
        <v>112</v>
      </c>
      <c r="G218" s="26">
        <v>-6.2</v>
      </c>
      <c r="H218">
        <v>10</v>
      </c>
      <c r="I218" t="str">
        <f>IFERROR(VLOOKUP(Tabela6[[#This Row],[Descrição]],Materiais!B:C,2,0),"")</f>
        <v/>
      </c>
    </row>
    <row r="219" spans="2:9">
      <c r="B219" s="11">
        <f t="shared" si="11"/>
        <v>44304</v>
      </c>
      <c r="C219" s="19">
        <f>MONTH(Tabela6[[#This Row],[Data]])</f>
        <v>4</v>
      </c>
      <c r="D219" s="19">
        <f>YEAR(Tabela6[[#This Row],[Data]])</f>
        <v>2021</v>
      </c>
      <c r="E219" s="12" t="s">
        <v>72</v>
      </c>
      <c r="F219" t="s">
        <v>90</v>
      </c>
      <c r="G219" s="26">
        <v>-15.1</v>
      </c>
      <c r="H219">
        <v>1050</v>
      </c>
      <c r="I219" t="str">
        <f>IFERROR(VLOOKUP(Tabela6[[#This Row],[Descrição]],Materiais!B:C,2,0),"")</f>
        <v/>
      </c>
    </row>
    <row r="220" spans="2:9">
      <c r="B220" s="11">
        <f t="shared" si="11"/>
        <v>44304</v>
      </c>
      <c r="C220" s="19">
        <f>MONTH(Tabela6[[#This Row],[Data]])</f>
        <v>4</v>
      </c>
      <c r="D220" s="19">
        <f>YEAR(Tabela6[[#This Row],[Data]])</f>
        <v>2021</v>
      </c>
      <c r="E220" s="12" t="s">
        <v>75</v>
      </c>
      <c r="F220" t="s">
        <v>76</v>
      </c>
      <c r="G220" s="26">
        <v>-13.2</v>
      </c>
      <c r="H220">
        <v>800</v>
      </c>
      <c r="I220" t="str">
        <f>IFERROR(VLOOKUP(Tabela6[[#This Row],[Descrição]],Materiais!B:C,2,0),"")</f>
        <v/>
      </c>
    </row>
    <row r="221" spans="2:9">
      <c r="B221" s="11">
        <f t="shared" si="11"/>
        <v>44304</v>
      </c>
      <c r="C221" s="19">
        <f>MONTH(Tabela6[[#This Row],[Data]])</f>
        <v>4</v>
      </c>
      <c r="D221" s="19">
        <f>YEAR(Tabela6[[#This Row],[Data]])</f>
        <v>2021</v>
      </c>
      <c r="E221" s="12" t="s">
        <v>78</v>
      </c>
      <c r="F221" t="s">
        <v>58</v>
      </c>
      <c r="G221" s="26">
        <v>2</v>
      </c>
      <c r="H221">
        <v>1</v>
      </c>
      <c r="I221" t="str">
        <f>IFERROR(VLOOKUP(Tabela6[[#This Row],[Descrição]],Materiais!B:C,2,0),"")</f>
        <v/>
      </c>
    </row>
    <row r="222" spans="2:9">
      <c r="B222" s="11">
        <f>42845+(365*4)</f>
        <v>44305</v>
      </c>
      <c r="C222" s="19">
        <f>MONTH(Tabela6[[#This Row],[Data]])</f>
        <v>4</v>
      </c>
      <c r="D222" s="19">
        <f>YEAR(Tabela6[[#This Row],[Data]])</f>
        <v>2021</v>
      </c>
      <c r="E222" s="12" t="s">
        <v>78</v>
      </c>
      <c r="F222" t="s">
        <v>56</v>
      </c>
      <c r="G222" s="26">
        <v>2</v>
      </c>
      <c r="H222">
        <v>1</v>
      </c>
      <c r="I222" t="str">
        <f>IFERROR(VLOOKUP(Tabela6[[#This Row],[Descrição]],Materiais!B:C,2,0),"")</f>
        <v/>
      </c>
    </row>
    <row r="223" spans="2:9">
      <c r="B223" s="11">
        <f>42845+(365*4)</f>
        <v>44305</v>
      </c>
      <c r="C223" s="19">
        <f>MONTH(Tabela6[[#This Row],[Data]])</f>
        <v>4</v>
      </c>
      <c r="D223" s="19">
        <f>YEAR(Tabela6[[#This Row],[Data]])</f>
        <v>2021</v>
      </c>
      <c r="E223" s="12" t="s">
        <v>78</v>
      </c>
      <c r="F223" t="s">
        <v>100</v>
      </c>
      <c r="G223" s="26">
        <v>4</v>
      </c>
      <c r="H223">
        <v>2</v>
      </c>
      <c r="I223" t="str">
        <f>IFERROR(VLOOKUP(Tabela6[[#This Row],[Descrição]],Materiais!B:C,2,0),"")</f>
        <v/>
      </c>
    </row>
    <row r="224" spans="2:9">
      <c r="B224" s="11">
        <f>42845+(365*4)</f>
        <v>44305</v>
      </c>
      <c r="C224" s="19">
        <f>MONTH(Tabela6[[#This Row],[Data]])</f>
        <v>4</v>
      </c>
      <c r="D224" s="19">
        <f>YEAR(Tabela6[[#This Row],[Data]])</f>
        <v>2021</v>
      </c>
      <c r="E224" s="12" t="s">
        <v>78</v>
      </c>
      <c r="F224" t="s">
        <v>109</v>
      </c>
      <c r="G224" s="26">
        <v>2</v>
      </c>
      <c r="H224">
        <v>1</v>
      </c>
      <c r="I224" t="str">
        <f>IFERROR(VLOOKUP(Tabela6[[#This Row],[Descrição]],Materiais!B:C,2,0),"")</f>
        <v/>
      </c>
    </row>
    <row r="225" spans="2:9">
      <c r="B225" s="11">
        <f>42845+(365*4)</f>
        <v>44305</v>
      </c>
      <c r="C225" s="19">
        <f>MONTH(Tabela6[[#This Row],[Data]])</f>
        <v>4</v>
      </c>
      <c r="D225" s="19">
        <f>YEAR(Tabela6[[#This Row],[Data]])</f>
        <v>2021</v>
      </c>
      <c r="E225" s="12" t="s">
        <v>78</v>
      </c>
      <c r="F225" t="s">
        <v>58</v>
      </c>
      <c r="G225" s="26">
        <v>2</v>
      </c>
      <c r="H225">
        <v>1</v>
      </c>
      <c r="I225" t="str">
        <f>IFERROR(VLOOKUP(Tabela6[[#This Row],[Descrição]],Materiais!B:C,2,0),"")</f>
        <v/>
      </c>
    </row>
    <row r="226" spans="2:9">
      <c r="B226" s="11">
        <f>42845+(365*4)</f>
        <v>44305</v>
      </c>
      <c r="C226" s="19">
        <f>MONTH(Tabela6[[#This Row],[Data]])</f>
        <v>4</v>
      </c>
      <c r="D226" s="19">
        <f>YEAR(Tabela6[[#This Row],[Data]])</f>
        <v>2021</v>
      </c>
      <c r="E226" s="12" t="s">
        <v>78</v>
      </c>
      <c r="F226" t="s">
        <v>95</v>
      </c>
      <c r="G226" s="26">
        <v>2</v>
      </c>
      <c r="H226">
        <v>1</v>
      </c>
      <c r="I226" t="str">
        <f>IFERROR(VLOOKUP(Tabela6[[#This Row],[Descrição]],Materiais!B:C,2,0),"")</f>
        <v/>
      </c>
    </row>
    <row r="227" spans="2:9">
      <c r="B227" s="11">
        <f>42850+(365*4)</f>
        <v>44310</v>
      </c>
      <c r="C227" s="19">
        <f>MONTH(Tabela6[[#This Row],[Data]])</f>
        <v>4</v>
      </c>
      <c r="D227" s="19">
        <f>YEAR(Tabela6[[#This Row],[Data]])</f>
        <v>2021</v>
      </c>
      <c r="E227" s="12" t="s">
        <v>78</v>
      </c>
      <c r="F227" t="s">
        <v>56</v>
      </c>
      <c r="G227" s="26">
        <v>4</v>
      </c>
      <c r="H227">
        <v>2</v>
      </c>
      <c r="I227" t="str">
        <f>IFERROR(VLOOKUP(Tabela6[[#This Row],[Descrição]],Materiais!B:C,2,0),"")</f>
        <v/>
      </c>
    </row>
    <row r="228" spans="2:9">
      <c r="B228" s="11">
        <f>42850+(365*4)</f>
        <v>44310</v>
      </c>
      <c r="C228" s="19">
        <f>MONTH(Tabela6[[#This Row],[Data]])</f>
        <v>4</v>
      </c>
      <c r="D228" s="19">
        <f>YEAR(Tabela6[[#This Row],[Data]])</f>
        <v>2021</v>
      </c>
      <c r="E228" s="12" t="s">
        <v>78</v>
      </c>
      <c r="F228" t="s">
        <v>100</v>
      </c>
      <c r="G228" s="26">
        <v>6</v>
      </c>
      <c r="H228">
        <v>3</v>
      </c>
      <c r="I228" t="str">
        <f>IFERROR(VLOOKUP(Tabela6[[#This Row],[Descrição]],Materiais!B:C,2,0),"")</f>
        <v/>
      </c>
    </row>
    <row r="229" spans="2:9">
      <c r="B229" s="11">
        <f>42850+(365*4)</f>
        <v>44310</v>
      </c>
      <c r="C229" s="19">
        <f>MONTH(Tabela6[[#This Row],[Data]])</f>
        <v>4</v>
      </c>
      <c r="D229" s="19">
        <f>YEAR(Tabela6[[#This Row],[Data]])</f>
        <v>2021</v>
      </c>
      <c r="E229" s="12" t="s">
        <v>78</v>
      </c>
      <c r="F229" t="s">
        <v>61</v>
      </c>
      <c r="G229" s="26">
        <v>14</v>
      </c>
      <c r="H229">
        <v>7</v>
      </c>
      <c r="I229" t="str">
        <f>IFERROR(VLOOKUP(Tabela6[[#This Row],[Descrição]],Materiais!B:C,2,0),"")</f>
        <v/>
      </c>
    </row>
    <row r="230" spans="2:9">
      <c r="B230" s="11">
        <f>42850+(365*4)</f>
        <v>44310</v>
      </c>
      <c r="C230" s="19">
        <f>MONTH(Tabela6[[#This Row],[Data]])</f>
        <v>4</v>
      </c>
      <c r="D230" s="19">
        <f>YEAR(Tabela6[[#This Row],[Data]])</f>
        <v>2021</v>
      </c>
      <c r="E230" s="12" t="s">
        <v>78</v>
      </c>
      <c r="F230" t="s">
        <v>109</v>
      </c>
      <c r="G230" s="26">
        <v>6</v>
      </c>
      <c r="H230">
        <v>3</v>
      </c>
      <c r="I230" t="str">
        <f>IFERROR(VLOOKUP(Tabela6[[#This Row],[Descrição]],Materiais!B:C,2,0),"")</f>
        <v/>
      </c>
    </row>
    <row r="231" spans="2:9">
      <c r="B231" s="11">
        <f>42850+(365*4)</f>
        <v>44310</v>
      </c>
      <c r="C231" s="19">
        <f>MONTH(Tabela6[[#This Row],[Data]])</f>
        <v>4</v>
      </c>
      <c r="D231" s="19">
        <f>YEAR(Tabela6[[#This Row],[Data]])</f>
        <v>2021</v>
      </c>
      <c r="E231" s="12" t="s">
        <v>78</v>
      </c>
      <c r="F231" t="s">
        <v>58</v>
      </c>
      <c r="G231" s="26">
        <v>6</v>
      </c>
      <c r="H231">
        <v>3</v>
      </c>
      <c r="I231" t="str">
        <f>IFERROR(VLOOKUP(Tabela6[[#This Row],[Descrição]],Materiais!B:C,2,0),"")</f>
        <v/>
      </c>
    </row>
    <row r="232" spans="2:9">
      <c r="B232" s="11">
        <f t="shared" ref="B232:B238" si="12">42851+(365*4)</f>
        <v>44311</v>
      </c>
      <c r="C232" s="19">
        <f>MONTH(Tabela6[[#This Row],[Data]])</f>
        <v>4</v>
      </c>
      <c r="D232" s="19">
        <f>YEAR(Tabela6[[#This Row],[Data]])</f>
        <v>2021</v>
      </c>
      <c r="E232" s="12" t="s">
        <v>75</v>
      </c>
      <c r="F232" t="s">
        <v>113</v>
      </c>
      <c r="G232" s="26">
        <v>-11</v>
      </c>
      <c r="H232">
        <v>10</v>
      </c>
      <c r="I232" t="str">
        <f>IFERROR(VLOOKUP(Tabela6[[#This Row],[Descrição]],Materiais!B:C,2,0),"")</f>
        <v/>
      </c>
    </row>
    <row r="233" spans="2:9">
      <c r="B233" s="11">
        <f t="shared" si="12"/>
        <v>44311</v>
      </c>
      <c r="C233" s="19">
        <f>MONTH(Tabela6[[#This Row],[Data]])</f>
        <v>4</v>
      </c>
      <c r="D233" s="19">
        <f>YEAR(Tabela6[[#This Row],[Data]])</f>
        <v>2021</v>
      </c>
      <c r="E233" s="12" t="s">
        <v>75</v>
      </c>
      <c r="F233" t="s">
        <v>110</v>
      </c>
      <c r="G233" s="26">
        <v>-9.4</v>
      </c>
      <c r="H233">
        <v>10</v>
      </c>
      <c r="I233" t="str">
        <f>IFERROR(VLOOKUP(Tabela6[[#This Row],[Descrição]],Materiais!B:C,2,0),"")</f>
        <v/>
      </c>
    </row>
    <row r="234" spans="2:9">
      <c r="B234" s="11">
        <f t="shared" si="12"/>
        <v>44311</v>
      </c>
      <c r="C234" s="19">
        <f>MONTH(Tabela6[[#This Row],[Data]])</f>
        <v>4</v>
      </c>
      <c r="D234" s="19">
        <f>YEAR(Tabela6[[#This Row],[Data]])</f>
        <v>2021</v>
      </c>
      <c r="E234" s="12" t="s">
        <v>78</v>
      </c>
      <c r="F234" t="s">
        <v>56</v>
      </c>
      <c r="G234" s="26">
        <v>10</v>
      </c>
      <c r="H234">
        <v>5</v>
      </c>
      <c r="I234" t="str">
        <f>IFERROR(VLOOKUP(Tabela6[[#This Row],[Descrição]],Materiais!B:C,2,0),"")</f>
        <v/>
      </c>
    </row>
    <row r="235" spans="2:9">
      <c r="B235" s="11">
        <f t="shared" si="12"/>
        <v>44311</v>
      </c>
      <c r="C235" s="19">
        <f>MONTH(Tabela6[[#This Row],[Data]])</f>
        <v>4</v>
      </c>
      <c r="D235" s="19">
        <f>YEAR(Tabela6[[#This Row],[Data]])</f>
        <v>2021</v>
      </c>
      <c r="E235" s="12" t="s">
        <v>75</v>
      </c>
      <c r="F235" t="s">
        <v>114</v>
      </c>
      <c r="G235" s="26">
        <v>-18.5</v>
      </c>
      <c r="H235">
        <v>10</v>
      </c>
      <c r="I235" t="str">
        <f>IFERROR(VLOOKUP(Tabela6[[#This Row],[Descrição]],Materiais!B:C,2,0),"")</f>
        <v/>
      </c>
    </row>
    <row r="236" spans="2:9">
      <c r="B236" s="11">
        <f t="shared" si="12"/>
        <v>44311</v>
      </c>
      <c r="C236" s="19">
        <f>MONTH(Tabela6[[#This Row],[Data]])</f>
        <v>4</v>
      </c>
      <c r="D236" s="19">
        <f>YEAR(Tabela6[[#This Row],[Data]])</f>
        <v>2021</v>
      </c>
      <c r="E236" s="12" t="s">
        <v>75</v>
      </c>
      <c r="F236" t="s">
        <v>115</v>
      </c>
      <c r="G236" s="26">
        <v>-13.6</v>
      </c>
      <c r="H236">
        <v>10</v>
      </c>
      <c r="I236" t="str">
        <f>IFERROR(VLOOKUP(Tabela6[[#This Row],[Descrição]],Materiais!B:C,2,0),"")</f>
        <v/>
      </c>
    </row>
    <row r="237" spans="2:9">
      <c r="B237" s="11">
        <f t="shared" si="12"/>
        <v>44311</v>
      </c>
      <c r="C237" s="19">
        <f>MONTH(Tabela6[[#This Row],[Data]])</f>
        <v>4</v>
      </c>
      <c r="D237" s="19">
        <f>YEAR(Tabela6[[#This Row],[Data]])</f>
        <v>2021</v>
      </c>
      <c r="E237" s="12" t="s">
        <v>78</v>
      </c>
      <c r="F237" t="s">
        <v>100</v>
      </c>
      <c r="G237" s="26">
        <v>2</v>
      </c>
      <c r="H237">
        <v>1</v>
      </c>
      <c r="I237" t="str">
        <f>IFERROR(VLOOKUP(Tabela6[[#This Row],[Descrição]],Materiais!B:C,2,0),"")</f>
        <v/>
      </c>
    </row>
    <row r="238" spans="2:9">
      <c r="B238" s="11">
        <f t="shared" si="12"/>
        <v>44311</v>
      </c>
      <c r="C238" s="19">
        <f>MONTH(Tabela6[[#This Row],[Data]])</f>
        <v>4</v>
      </c>
      <c r="D238" s="19">
        <f>YEAR(Tabela6[[#This Row],[Data]])</f>
        <v>2021</v>
      </c>
      <c r="E238" s="12" t="s">
        <v>78</v>
      </c>
      <c r="F238" t="s">
        <v>58</v>
      </c>
      <c r="G238" s="26">
        <v>4</v>
      </c>
      <c r="H238">
        <v>2</v>
      </c>
      <c r="I238" t="str">
        <f>IFERROR(VLOOKUP(Tabela6[[#This Row],[Descrição]],Materiais!B:C,2,0),"")</f>
        <v/>
      </c>
    </row>
    <row r="239" spans="2:9">
      <c r="B239" s="11">
        <f>42852+(365*4)</f>
        <v>44312</v>
      </c>
      <c r="C239" s="19">
        <f>MONTH(Tabela6[[#This Row],[Data]])</f>
        <v>4</v>
      </c>
      <c r="D239" s="19">
        <f>YEAR(Tabela6[[#This Row],[Data]])</f>
        <v>2021</v>
      </c>
      <c r="E239" s="12" t="s">
        <v>78</v>
      </c>
      <c r="F239" t="s">
        <v>56</v>
      </c>
      <c r="G239" s="26">
        <v>6</v>
      </c>
      <c r="H239">
        <v>3</v>
      </c>
      <c r="I239" t="str">
        <f>IFERROR(VLOOKUP(Tabela6[[#This Row],[Descrição]],Materiais!B:C,2,0),"")</f>
        <v/>
      </c>
    </row>
    <row r="240" spans="2:9">
      <c r="B240" s="11">
        <f>42852+(365*4)</f>
        <v>44312</v>
      </c>
      <c r="C240" s="19">
        <f>MONTH(Tabela6[[#This Row],[Data]])</f>
        <v>4</v>
      </c>
      <c r="D240" s="19">
        <f>YEAR(Tabela6[[#This Row],[Data]])</f>
        <v>2021</v>
      </c>
      <c r="E240" s="12" t="s">
        <v>78</v>
      </c>
      <c r="F240" t="s">
        <v>61</v>
      </c>
      <c r="G240" s="26">
        <v>12</v>
      </c>
      <c r="H240">
        <v>6</v>
      </c>
      <c r="I240" t="str">
        <f>IFERROR(VLOOKUP(Tabela6[[#This Row],[Descrição]],Materiais!B:C,2,0),"")</f>
        <v/>
      </c>
    </row>
    <row r="241" spans="2:9">
      <c r="B241" s="11">
        <f>42852+(365*4)</f>
        <v>44312</v>
      </c>
      <c r="C241" s="19">
        <f>MONTH(Tabela6[[#This Row],[Data]])</f>
        <v>4</v>
      </c>
      <c r="D241" s="19">
        <f>YEAR(Tabela6[[#This Row],[Data]])</f>
        <v>2021</v>
      </c>
      <c r="E241" s="12" t="s">
        <v>78</v>
      </c>
      <c r="F241" t="s">
        <v>109</v>
      </c>
      <c r="G241" s="26">
        <v>2</v>
      </c>
      <c r="H241">
        <v>1</v>
      </c>
      <c r="I241" t="str">
        <f>IFERROR(VLOOKUP(Tabela6[[#This Row],[Descrição]],Materiais!B:C,2,0),"")</f>
        <v/>
      </c>
    </row>
    <row r="242" spans="2:9">
      <c r="B242" s="11">
        <f>42852+(365*4)</f>
        <v>44312</v>
      </c>
      <c r="C242" s="19">
        <f>MONTH(Tabela6[[#This Row],[Data]])</f>
        <v>4</v>
      </c>
      <c r="D242" s="19">
        <f>YEAR(Tabela6[[#This Row],[Data]])</f>
        <v>2021</v>
      </c>
      <c r="E242" s="12" t="s">
        <v>78</v>
      </c>
      <c r="F242" t="s">
        <v>58</v>
      </c>
      <c r="G242" s="26">
        <v>10</v>
      </c>
      <c r="H242">
        <v>5</v>
      </c>
      <c r="I242" t="str">
        <f>IFERROR(VLOOKUP(Tabela6[[#This Row],[Descrição]],Materiais!B:C,2,0),"")</f>
        <v/>
      </c>
    </row>
    <row r="243" spans="2:9">
      <c r="B243" s="11">
        <f>42856+(365*4)</f>
        <v>44316</v>
      </c>
      <c r="C243" s="19">
        <f>MONTH(Tabela6[[#This Row],[Data]])</f>
        <v>4</v>
      </c>
      <c r="D243" s="19">
        <f>YEAR(Tabela6[[#This Row],[Data]])</f>
        <v>2021</v>
      </c>
      <c r="E243" s="12" t="s">
        <v>78</v>
      </c>
      <c r="F243" t="s">
        <v>116</v>
      </c>
      <c r="G243" s="26">
        <v>70</v>
      </c>
      <c r="H243">
        <v>100</v>
      </c>
      <c r="I243" t="str">
        <f>IFERROR(VLOOKUP(Tabela6[[#This Row],[Descrição]],Materiais!B:C,2,0),"")</f>
        <v/>
      </c>
    </row>
    <row r="244" spans="2:9">
      <c r="B244" s="11">
        <f>42856+(365*4)</f>
        <v>44316</v>
      </c>
      <c r="C244" s="19">
        <f>MONTH(Tabela6[[#This Row],[Data]])</f>
        <v>4</v>
      </c>
      <c r="D244" s="19">
        <f>YEAR(Tabela6[[#This Row],[Data]])</f>
        <v>2021</v>
      </c>
      <c r="E244" s="12" t="s">
        <v>72</v>
      </c>
      <c r="F244" t="s">
        <v>17</v>
      </c>
      <c r="G244" s="26">
        <v>-5.7</v>
      </c>
      <c r="H244">
        <v>400</v>
      </c>
      <c r="I244" t="str">
        <f>IFERROR(VLOOKUP(Tabela6[[#This Row],[Descrição]],Materiais!B:C,2,0),"")</f>
        <v>g</v>
      </c>
    </row>
    <row r="245" spans="2:9">
      <c r="B245" s="11">
        <f>42856+(365*4)</f>
        <v>44316</v>
      </c>
      <c r="C245" s="19">
        <f>MONTH(Tabela6[[#This Row],[Data]])</f>
        <v>4</v>
      </c>
      <c r="D245" s="19">
        <f>YEAR(Tabela6[[#This Row],[Data]])</f>
        <v>2021</v>
      </c>
      <c r="E245" s="12" t="s">
        <v>72</v>
      </c>
      <c r="F245" t="s">
        <v>20</v>
      </c>
      <c r="G245" s="26">
        <v>-143.04</v>
      </c>
      <c r="H245">
        <v>12640</v>
      </c>
      <c r="I245" t="str">
        <f>IFERROR(VLOOKUP(Tabela6[[#This Row],[Descrição]],Materiais!B:C,2,0),"")</f>
        <v>g</v>
      </c>
    </row>
    <row r="246" spans="2:9">
      <c r="B246" s="11">
        <f>42857+(365*4)</f>
        <v>44317</v>
      </c>
      <c r="C246" s="19">
        <f>MONTH(Tabela6[[#This Row],[Data]])</f>
        <v>5</v>
      </c>
      <c r="D246" s="19">
        <f>YEAR(Tabela6[[#This Row],[Data]])</f>
        <v>2021</v>
      </c>
      <c r="E246" s="12" t="s">
        <v>78</v>
      </c>
      <c r="F246" t="s">
        <v>63</v>
      </c>
      <c r="G246" s="26">
        <v>4</v>
      </c>
      <c r="H246">
        <v>2</v>
      </c>
      <c r="I246" t="str">
        <f>IFERROR(VLOOKUP(Tabela6[[#This Row],[Descrição]],Materiais!B:C,2,0),"")</f>
        <v/>
      </c>
    </row>
    <row r="247" spans="2:9">
      <c r="B247" s="11">
        <f>42857+(365*4)</f>
        <v>44317</v>
      </c>
      <c r="C247" s="19">
        <f>MONTH(Tabela6[[#This Row],[Data]])</f>
        <v>5</v>
      </c>
      <c r="D247" s="19">
        <f>YEAR(Tabela6[[#This Row],[Data]])</f>
        <v>2021</v>
      </c>
      <c r="E247" s="12" t="s">
        <v>78</v>
      </c>
      <c r="F247" t="s">
        <v>56</v>
      </c>
      <c r="G247" s="26">
        <v>12</v>
      </c>
      <c r="H247">
        <v>6</v>
      </c>
      <c r="I247" t="str">
        <f>IFERROR(VLOOKUP(Tabela6[[#This Row],[Descrição]],Materiais!B:C,2,0),"")</f>
        <v/>
      </c>
    </row>
    <row r="248" spans="2:9">
      <c r="B248" s="11">
        <f>42857+(365*4)</f>
        <v>44317</v>
      </c>
      <c r="C248" s="19">
        <f>MONTH(Tabela6[[#This Row],[Data]])</f>
        <v>5</v>
      </c>
      <c r="D248" s="19">
        <f>YEAR(Tabela6[[#This Row],[Data]])</f>
        <v>2021</v>
      </c>
      <c r="E248" s="12" t="s">
        <v>78</v>
      </c>
      <c r="F248" t="s">
        <v>100</v>
      </c>
      <c r="G248" s="26">
        <v>6</v>
      </c>
      <c r="H248">
        <v>3</v>
      </c>
      <c r="I248" t="str">
        <f>IFERROR(VLOOKUP(Tabela6[[#This Row],[Descrição]],Materiais!B:C,2,0),"")</f>
        <v/>
      </c>
    </row>
    <row r="249" spans="2:9">
      <c r="B249" s="11">
        <f>42857+(365*4)</f>
        <v>44317</v>
      </c>
      <c r="C249" s="19">
        <f>MONTH(Tabela6[[#This Row],[Data]])</f>
        <v>5</v>
      </c>
      <c r="D249" s="19">
        <f>YEAR(Tabela6[[#This Row],[Data]])</f>
        <v>2021</v>
      </c>
      <c r="E249" s="12" t="s">
        <v>78</v>
      </c>
      <c r="F249" t="s">
        <v>61</v>
      </c>
      <c r="G249" s="26">
        <v>6</v>
      </c>
      <c r="H249">
        <v>3</v>
      </c>
      <c r="I249" t="str">
        <f>IFERROR(VLOOKUP(Tabela6[[#This Row],[Descrição]],Materiais!B:C,2,0),"")</f>
        <v/>
      </c>
    </row>
    <row r="250" spans="2:9">
      <c r="B250" s="11">
        <f>42857+(365*4)</f>
        <v>44317</v>
      </c>
      <c r="C250" s="19">
        <f>MONTH(Tabela6[[#This Row],[Data]])</f>
        <v>5</v>
      </c>
      <c r="D250" s="19">
        <f>YEAR(Tabela6[[#This Row],[Data]])</f>
        <v>2021</v>
      </c>
      <c r="E250" s="12" t="s">
        <v>78</v>
      </c>
      <c r="F250" t="s">
        <v>117</v>
      </c>
      <c r="G250" s="26">
        <v>2</v>
      </c>
      <c r="H250">
        <v>1</v>
      </c>
      <c r="I250" t="str">
        <f>IFERROR(VLOOKUP(Tabela6[[#This Row],[Descrição]],Materiais!B:C,2,0),"")</f>
        <v/>
      </c>
    </row>
    <row r="251" spans="2:9">
      <c r="B251" s="11">
        <f>42858+(365*4)</f>
        <v>44318</v>
      </c>
      <c r="C251" s="19">
        <f>MONTH(Tabela6[[#This Row],[Data]])</f>
        <v>5</v>
      </c>
      <c r="D251" s="19">
        <f>YEAR(Tabela6[[#This Row],[Data]])</f>
        <v>2021</v>
      </c>
      <c r="E251" s="12" t="s">
        <v>78</v>
      </c>
      <c r="F251" t="s">
        <v>109</v>
      </c>
      <c r="G251" s="26">
        <v>6</v>
      </c>
      <c r="H251">
        <v>3</v>
      </c>
      <c r="I251" t="str">
        <f>IFERROR(VLOOKUP(Tabela6[[#This Row],[Descrição]],Materiais!B:C,2,0),"")</f>
        <v/>
      </c>
    </row>
    <row r="252" spans="2:9">
      <c r="B252" s="11">
        <f>42858+(365*4)</f>
        <v>44318</v>
      </c>
      <c r="C252" s="19">
        <f>MONTH(Tabela6[[#This Row],[Data]])</f>
        <v>5</v>
      </c>
      <c r="D252" s="19">
        <f>YEAR(Tabela6[[#This Row],[Data]])</f>
        <v>2021</v>
      </c>
      <c r="E252" s="12" t="s">
        <v>78</v>
      </c>
      <c r="F252" t="s">
        <v>58</v>
      </c>
      <c r="G252" s="26">
        <v>4</v>
      </c>
      <c r="H252">
        <v>2</v>
      </c>
      <c r="I252" t="str">
        <f>IFERROR(VLOOKUP(Tabela6[[#This Row],[Descrição]],Materiais!B:C,2,0),"")</f>
        <v/>
      </c>
    </row>
    <row r="253" spans="2:9">
      <c r="B253" s="11">
        <f t="shared" ref="B253:B262" si="13">42859+(365*4)</f>
        <v>44319</v>
      </c>
      <c r="C253" s="19">
        <f>MONTH(Tabela6[[#This Row],[Data]])</f>
        <v>5</v>
      </c>
      <c r="D253" s="19">
        <f>YEAR(Tabela6[[#This Row],[Data]])</f>
        <v>2021</v>
      </c>
      <c r="E253" s="12" t="s">
        <v>78</v>
      </c>
      <c r="F253" t="s">
        <v>63</v>
      </c>
      <c r="G253" s="26">
        <v>4</v>
      </c>
      <c r="H253">
        <v>2</v>
      </c>
      <c r="I253" t="str">
        <f>IFERROR(VLOOKUP(Tabela6[[#This Row],[Descrição]],Materiais!B:C,2,0),"")</f>
        <v/>
      </c>
    </row>
    <row r="254" spans="2:9">
      <c r="B254" s="11">
        <f t="shared" si="13"/>
        <v>44319</v>
      </c>
      <c r="C254" s="19">
        <f>MONTH(Tabela6[[#This Row],[Data]])</f>
        <v>5</v>
      </c>
      <c r="D254" s="19">
        <f>YEAR(Tabela6[[#This Row],[Data]])</f>
        <v>2021</v>
      </c>
      <c r="E254" s="12" t="s">
        <v>78</v>
      </c>
      <c r="F254" t="s">
        <v>56</v>
      </c>
      <c r="G254" s="26">
        <v>3.5</v>
      </c>
      <c r="H254">
        <v>2</v>
      </c>
      <c r="I254" t="str">
        <f>IFERROR(VLOOKUP(Tabela6[[#This Row],[Descrição]],Materiais!B:C,2,0),"")</f>
        <v/>
      </c>
    </row>
    <row r="255" spans="2:9">
      <c r="B255" s="11">
        <f t="shared" si="13"/>
        <v>44319</v>
      </c>
      <c r="C255" s="19">
        <f>MONTH(Tabela6[[#This Row],[Data]])</f>
        <v>5</v>
      </c>
      <c r="D255" s="19">
        <f>YEAR(Tabela6[[#This Row],[Data]])</f>
        <v>2021</v>
      </c>
      <c r="E255" s="12" t="s">
        <v>78</v>
      </c>
      <c r="F255" t="s">
        <v>100</v>
      </c>
      <c r="G255" s="26">
        <v>4</v>
      </c>
      <c r="H255">
        <v>2</v>
      </c>
      <c r="I255" t="str">
        <f>IFERROR(VLOOKUP(Tabela6[[#This Row],[Descrição]],Materiais!B:C,2,0),"")</f>
        <v/>
      </c>
    </row>
    <row r="256" spans="2:9">
      <c r="B256" s="11">
        <f t="shared" si="13"/>
        <v>44319</v>
      </c>
      <c r="C256" s="19">
        <f>MONTH(Tabela6[[#This Row],[Data]])</f>
        <v>5</v>
      </c>
      <c r="D256" s="19">
        <f>YEAR(Tabela6[[#This Row],[Data]])</f>
        <v>2021</v>
      </c>
      <c r="E256" s="12" t="s">
        <v>78</v>
      </c>
      <c r="F256" t="s">
        <v>100</v>
      </c>
      <c r="G256" s="26">
        <v>1.75</v>
      </c>
      <c r="H256">
        <v>1</v>
      </c>
      <c r="I256" t="str">
        <f>IFERROR(VLOOKUP(Tabela6[[#This Row],[Descrição]],Materiais!B:C,2,0),"")</f>
        <v/>
      </c>
    </row>
    <row r="257" spans="2:9">
      <c r="B257" s="11">
        <f t="shared" si="13"/>
        <v>44319</v>
      </c>
      <c r="C257" s="19">
        <f>MONTH(Tabela6[[#This Row],[Data]])</f>
        <v>5</v>
      </c>
      <c r="D257" s="19">
        <f>YEAR(Tabela6[[#This Row],[Data]])</f>
        <v>2021</v>
      </c>
      <c r="E257" s="12" t="s">
        <v>78</v>
      </c>
      <c r="F257" t="s">
        <v>61</v>
      </c>
      <c r="G257" s="26">
        <v>16</v>
      </c>
      <c r="H257">
        <v>8</v>
      </c>
      <c r="I257" t="str">
        <f>IFERROR(VLOOKUP(Tabela6[[#This Row],[Descrição]],Materiais!B:C,2,0),"")</f>
        <v/>
      </c>
    </row>
    <row r="258" spans="2:9">
      <c r="B258" s="11">
        <f t="shared" si="13"/>
        <v>44319</v>
      </c>
      <c r="C258" s="19">
        <f>MONTH(Tabela6[[#This Row],[Data]])</f>
        <v>5</v>
      </c>
      <c r="D258" s="19">
        <f>YEAR(Tabela6[[#This Row],[Data]])</f>
        <v>2021</v>
      </c>
      <c r="E258" s="12" t="s">
        <v>78</v>
      </c>
      <c r="F258" t="s">
        <v>61</v>
      </c>
      <c r="G258" s="26">
        <v>3.5</v>
      </c>
      <c r="H258">
        <v>2</v>
      </c>
      <c r="I258" t="str">
        <f>IFERROR(VLOOKUP(Tabela6[[#This Row],[Descrição]],Materiais!B:C,2,0),"")</f>
        <v/>
      </c>
    </row>
    <row r="259" spans="2:9">
      <c r="B259" s="11">
        <f t="shared" si="13"/>
        <v>44319</v>
      </c>
      <c r="C259" s="19">
        <f>MONTH(Tabela6[[#This Row],[Data]])</f>
        <v>5</v>
      </c>
      <c r="D259" s="19">
        <f>YEAR(Tabela6[[#This Row],[Data]])</f>
        <v>2021</v>
      </c>
      <c r="E259" s="12" t="s">
        <v>78</v>
      </c>
      <c r="F259" t="s">
        <v>109</v>
      </c>
      <c r="G259" s="26">
        <v>2</v>
      </c>
      <c r="H259">
        <v>1</v>
      </c>
      <c r="I259" t="str">
        <f>IFERROR(VLOOKUP(Tabela6[[#This Row],[Descrição]],Materiais!B:C,2,0),"")</f>
        <v/>
      </c>
    </row>
    <row r="260" spans="2:9">
      <c r="B260" s="11">
        <f t="shared" si="13"/>
        <v>44319</v>
      </c>
      <c r="C260" s="19">
        <f>MONTH(Tabela6[[#This Row],[Data]])</f>
        <v>5</v>
      </c>
      <c r="D260" s="19">
        <f>YEAR(Tabela6[[#This Row],[Data]])</f>
        <v>2021</v>
      </c>
      <c r="E260" s="12" t="s">
        <v>78</v>
      </c>
      <c r="F260" t="s">
        <v>58</v>
      </c>
      <c r="G260" s="26">
        <v>8</v>
      </c>
      <c r="H260">
        <v>4</v>
      </c>
      <c r="I260" t="str">
        <f>IFERROR(VLOOKUP(Tabela6[[#This Row],[Descrição]],Materiais!B:C,2,0),"")</f>
        <v/>
      </c>
    </row>
    <row r="261" spans="2:9">
      <c r="B261" s="11">
        <f t="shared" si="13"/>
        <v>44319</v>
      </c>
      <c r="C261" s="19">
        <f>MONTH(Tabela6[[#This Row],[Data]])</f>
        <v>5</v>
      </c>
      <c r="D261" s="19">
        <f>YEAR(Tabela6[[#This Row],[Data]])</f>
        <v>2021</v>
      </c>
      <c r="E261" s="12" t="s">
        <v>78</v>
      </c>
      <c r="F261" t="s">
        <v>58</v>
      </c>
      <c r="G261" s="26">
        <v>3.5</v>
      </c>
      <c r="H261">
        <v>2</v>
      </c>
      <c r="I261" t="str">
        <f>IFERROR(VLOOKUP(Tabela6[[#This Row],[Descrição]],Materiais!B:C,2,0),"")</f>
        <v/>
      </c>
    </row>
    <row r="262" spans="2:9">
      <c r="B262" s="11">
        <f t="shared" si="13"/>
        <v>44319</v>
      </c>
      <c r="C262" s="19">
        <f>MONTH(Tabela6[[#This Row],[Data]])</f>
        <v>5</v>
      </c>
      <c r="D262" s="19">
        <f>YEAR(Tabela6[[#This Row],[Data]])</f>
        <v>2021</v>
      </c>
      <c r="E262" s="12" t="s">
        <v>78</v>
      </c>
      <c r="F262" t="s">
        <v>117</v>
      </c>
      <c r="G262" s="26">
        <v>1.75</v>
      </c>
      <c r="H262">
        <v>1</v>
      </c>
      <c r="I262" t="str">
        <f>IFERROR(VLOOKUP(Tabela6[[#This Row],[Descrição]],Materiais!B:C,2,0),"")</f>
        <v/>
      </c>
    </row>
    <row r="263" spans="2:9">
      <c r="B263" s="11">
        <f t="shared" ref="B263:B270" si="14">42860+(365*4)</f>
        <v>44320</v>
      </c>
      <c r="C263" s="19">
        <f>MONTH(Tabela6[[#This Row],[Data]])</f>
        <v>5</v>
      </c>
      <c r="D263" s="19">
        <f>YEAR(Tabela6[[#This Row],[Data]])</f>
        <v>2021</v>
      </c>
      <c r="E263" s="12" t="s">
        <v>78</v>
      </c>
      <c r="F263" t="s">
        <v>63</v>
      </c>
      <c r="G263" s="26">
        <v>10</v>
      </c>
      <c r="H263">
        <v>2</v>
      </c>
      <c r="I263" t="str">
        <f>IFERROR(VLOOKUP(Tabela6[[#This Row],[Descrição]],Materiais!B:C,2,0),"")</f>
        <v/>
      </c>
    </row>
    <row r="264" spans="2:9">
      <c r="B264" s="11">
        <f t="shared" si="14"/>
        <v>44320</v>
      </c>
      <c r="C264" s="19">
        <f>MONTH(Tabela6[[#This Row],[Data]])</f>
        <v>5</v>
      </c>
      <c r="D264" s="19">
        <f>YEAR(Tabela6[[#This Row],[Data]])</f>
        <v>2021</v>
      </c>
      <c r="E264" s="12" t="s">
        <v>78</v>
      </c>
      <c r="F264" t="s">
        <v>56</v>
      </c>
      <c r="G264" s="26">
        <v>56</v>
      </c>
      <c r="H264">
        <v>80</v>
      </c>
      <c r="I264" t="str">
        <f>IFERROR(VLOOKUP(Tabela6[[#This Row],[Descrição]],Materiais!B:C,2,0),"")</f>
        <v/>
      </c>
    </row>
    <row r="265" spans="2:9">
      <c r="B265" s="11">
        <f t="shared" si="14"/>
        <v>44320</v>
      </c>
      <c r="C265" s="19">
        <f>MONTH(Tabela6[[#This Row],[Data]])</f>
        <v>5</v>
      </c>
      <c r="D265" s="19">
        <f>YEAR(Tabela6[[#This Row],[Data]])</f>
        <v>2021</v>
      </c>
      <c r="E265" s="12" t="s">
        <v>78</v>
      </c>
      <c r="F265" t="s">
        <v>100</v>
      </c>
      <c r="G265" s="26">
        <v>4</v>
      </c>
      <c r="H265">
        <v>2</v>
      </c>
      <c r="I265" t="str">
        <f>IFERROR(VLOOKUP(Tabela6[[#This Row],[Descrição]],Materiais!B:C,2,0),"")</f>
        <v/>
      </c>
    </row>
    <row r="266" spans="2:9">
      <c r="B266" s="11">
        <f t="shared" si="14"/>
        <v>44320</v>
      </c>
      <c r="C266" s="19">
        <f>MONTH(Tabela6[[#This Row],[Data]])</f>
        <v>5</v>
      </c>
      <c r="D266" s="19">
        <f>YEAR(Tabela6[[#This Row],[Data]])</f>
        <v>2021</v>
      </c>
      <c r="E266" s="12" t="s">
        <v>78</v>
      </c>
      <c r="F266" t="s">
        <v>61</v>
      </c>
      <c r="G266" s="26">
        <v>8</v>
      </c>
      <c r="H266">
        <v>4</v>
      </c>
      <c r="I266" t="str">
        <f>IFERROR(VLOOKUP(Tabela6[[#This Row],[Descrição]],Materiais!B:C,2,0),"")</f>
        <v/>
      </c>
    </row>
    <row r="267" spans="2:9">
      <c r="B267" s="11">
        <f t="shared" si="14"/>
        <v>44320</v>
      </c>
      <c r="C267" s="19">
        <f>MONTH(Tabela6[[#This Row],[Data]])</f>
        <v>5</v>
      </c>
      <c r="D267" s="19">
        <f>YEAR(Tabela6[[#This Row],[Data]])</f>
        <v>2021</v>
      </c>
      <c r="E267" s="12" t="s">
        <v>72</v>
      </c>
      <c r="F267" t="s">
        <v>16</v>
      </c>
      <c r="G267" s="26">
        <v>-5.67</v>
      </c>
      <c r="H267">
        <v>180</v>
      </c>
      <c r="I267" t="str">
        <f>IFERROR(VLOOKUP(Tabela6[[#This Row],[Descrição]],Materiais!B:C,2,0),"")</f>
        <v>g</v>
      </c>
    </row>
    <row r="268" spans="2:9">
      <c r="B268" s="11">
        <f t="shared" si="14"/>
        <v>44320</v>
      </c>
      <c r="C268" s="19">
        <f>MONTH(Tabela6[[#This Row],[Data]])</f>
        <v>5</v>
      </c>
      <c r="D268" s="19">
        <f>YEAR(Tabela6[[#This Row],[Data]])</f>
        <v>2021</v>
      </c>
      <c r="E268" s="12" t="s">
        <v>75</v>
      </c>
      <c r="F268" t="s">
        <v>104</v>
      </c>
      <c r="G268" s="26">
        <v>-3.1900000000000004</v>
      </c>
      <c r="H268">
        <v>300</v>
      </c>
      <c r="I268" t="str">
        <f>IFERROR(VLOOKUP(Tabela6[[#This Row],[Descrição]],Materiais!B:C,2,0),"")</f>
        <v/>
      </c>
    </row>
    <row r="269" spans="2:9">
      <c r="B269" s="11">
        <f t="shared" si="14"/>
        <v>44320</v>
      </c>
      <c r="C269" s="19">
        <f>MONTH(Tabela6[[#This Row],[Data]])</f>
        <v>5</v>
      </c>
      <c r="D269" s="19">
        <f>YEAR(Tabela6[[#This Row],[Data]])</f>
        <v>2021</v>
      </c>
      <c r="E269" s="12" t="s">
        <v>75</v>
      </c>
      <c r="F269" t="s">
        <v>118</v>
      </c>
      <c r="G269" s="26">
        <v>-2</v>
      </c>
      <c r="H269">
        <v>0.5</v>
      </c>
      <c r="I269" t="str">
        <f>IFERROR(VLOOKUP(Tabela6[[#This Row],[Descrição]],Materiais!B:C,2,0),"")</f>
        <v/>
      </c>
    </row>
    <row r="270" spans="2:9">
      <c r="B270" s="11">
        <f t="shared" si="14"/>
        <v>44320</v>
      </c>
      <c r="C270" s="19">
        <f>MONTH(Tabela6[[#This Row],[Data]])</f>
        <v>5</v>
      </c>
      <c r="D270" s="19">
        <f>YEAR(Tabela6[[#This Row],[Data]])</f>
        <v>2021</v>
      </c>
      <c r="E270" s="12" t="s">
        <v>78</v>
      </c>
      <c r="F270" t="s">
        <v>117</v>
      </c>
      <c r="G270" s="26">
        <v>6</v>
      </c>
      <c r="H270">
        <v>3</v>
      </c>
      <c r="I270" t="str">
        <f>IFERROR(VLOOKUP(Tabela6[[#This Row],[Descrição]],Materiais!B:C,2,0),"")</f>
        <v/>
      </c>
    </row>
    <row r="271" spans="2:9">
      <c r="B271" s="11">
        <f>42861+(365*4)</f>
        <v>44321</v>
      </c>
      <c r="C271" s="19">
        <f>MONTH(Tabela6[[#This Row],[Data]])</f>
        <v>5</v>
      </c>
      <c r="D271" s="19">
        <f>YEAR(Tabela6[[#This Row],[Data]])</f>
        <v>2021</v>
      </c>
      <c r="E271" s="12" t="s">
        <v>78</v>
      </c>
      <c r="F271" t="s">
        <v>56</v>
      </c>
      <c r="G271" s="26">
        <v>8.8000000000000007</v>
      </c>
      <c r="H271">
        <v>20</v>
      </c>
      <c r="I271" t="str">
        <f>IFERROR(VLOOKUP(Tabela6[[#This Row],[Descrição]],Materiais!B:C,2,0),"")</f>
        <v/>
      </c>
    </row>
    <row r="272" spans="2:9">
      <c r="B272" s="11">
        <f>42861+(365*4)</f>
        <v>44321</v>
      </c>
      <c r="C272" s="19">
        <f>MONTH(Tabela6[[#This Row],[Data]])</f>
        <v>5</v>
      </c>
      <c r="D272" s="19">
        <f>YEAR(Tabela6[[#This Row],[Data]])</f>
        <v>2021</v>
      </c>
      <c r="E272" s="12" t="s">
        <v>78</v>
      </c>
      <c r="F272" t="s">
        <v>61</v>
      </c>
      <c r="G272" s="26">
        <v>10</v>
      </c>
      <c r="H272">
        <v>18</v>
      </c>
      <c r="I272" t="str">
        <f>IFERROR(VLOOKUP(Tabela6[[#This Row],[Descrição]],Materiais!B:C,2,0),"")</f>
        <v/>
      </c>
    </row>
    <row r="273" spans="2:9">
      <c r="B273" s="11">
        <f>42861+(365*4)</f>
        <v>44321</v>
      </c>
      <c r="C273" s="19">
        <f>MONTH(Tabela6[[#This Row],[Data]])</f>
        <v>5</v>
      </c>
      <c r="D273" s="19">
        <f>YEAR(Tabela6[[#This Row],[Data]])</f>
        <v>2021</v>
      </c>
      <c r="E273" s="12" t="s">
        <v>72</v>
      </c>
      <c r="F273" t="s">
        <v>17</v>
      </c>
      <c r="G273" s="26">
        <v>-4.5</v>
      </c>
      <c r="H273">
        <v>400</v>
      </c>
      <c r="I273" t="str">
        <f>IFERROR(VLOOKUP(Tabela6[[#This Row],[Descrição]],Materiais!B:C,2,0),"")</f>
        <v>g</v>
      </c>
    </row>
    <row r="274" spans="2:9">
      <c r="B274" s="11">
        <f>42861+(365*4)</f>
        <v>44321</v>
      </c>
      <c r="C274" s="19">
        <f>MONTH(Tabela6[[#This Row],[Data]])</f>
        <v>5</v>
      </c>
      <c r="D274" s="19">
        <f>YEAR(Tabela6[[#This Row],[Data]])</f>
        <v>2021</v>
      </c>
      <c r="E274" s="12" t="s">
        <v>72</v>
      </c>
      <c r="F274" t="s">
        <v>18</v>
      </c>
      <c r="G274" s="26">
        <v>-11.98</v>
      </c>
      <c r="H274">
        <v>790</v>
      </c>
      <c r="I274" t="str">
        <f>IFERROR(VLOOKUP(Tabela6[[#This Row],[Descrição]],Materiais!B:C,2,0),"")</f>
        <v>g</v>
      </c>
    </row>
    <row r="275" spans="2:9">
      <c r="B275" s="11">
        <f>42861+(365*4)</f>
        <v>44321</v>
      </c>
      <c r="C275" s="19">
        <f>MONTH(Tabela6[[#This Row],[Data]])</f>
        <v>5</v>
      </c>
      <c r="D275" s="19">
        <f>YEAR(Tabela6[[#This Row],[Data]])</f>
        <v>2021</v>
      </c>
      <c r="E275" s="12" t="s">
        <v>78</v>
      </c>
      <c r="F275" t="s">
        <v>58</v>
      </c>
      <c r="G275" s="26">
        <v>10</v>
      </c>
      <c r="H275">
        <v>18</v>
      </c>
      <c r="I275" t="str">
        <f>IFERROR(VLOOKUP(Tabela6[[#This Row],[Descrição]],Materiais!B:C,2,0),"")</f>
        <v/>
      </c>
    </row>
    <row r="276" spans="2:9">
      <c r="B276" s="11">
        <f>42863+(365*4)</f>
        <v>44323</v>
      </c>
      <c r="C276" s="19">
        <f>MONTH(Tabela6[[#This Row],[Data]])</f>
        <v>5</v>
      </c>
      <c r="D276" s="19">
        <f>YEAR(Tabela6[[#This Row],[Data]])</f>
        <v>2021</v>
      </c>
      <c r="E276" s="12" t="s">
        <v>78</v>
      </c>
      <c r="F276" t="s">
        <v>63</v>
      </c>
      <c r="G276" s="26">
        <v>2</v>
      </c>
      <c r="H276">
        <v>1</v>
      </c>
      <c r="I276" t="str">
        <f>IFERROR(VLOOKUP(Tabela6[[#This Row],[Descrição]],Materiais!B:C,2,0),"")</f>
        <v/>
      </c>
    </row>
    <row r="277" spans="2:9">
      <c r="B277" s="11">
        <f>42863+(365*4)</f>
        <v>44323</v>
      </c>
      <c r="C277" s="19">
        <f>MONTH(Tabela6[[#This Row],[Data]])</f>
        <v>5</v>
      </c>
      <c r="D277" s="19">
        <f>YEAR(Tabela6[[#This Row],[Data]])</f>
        <v>2021</v>
      </c>
      <c r="E277" s="12" t="s">
        <v>78</v>
      </c>
      <c r="F277" t="s">
        <v>56</v>
      </c>
      <c r="G277" s="26">
        <v>4</v>
      </c>
      <c r="H277">
        <v>2</v>
      </c>
      <c r="I277" t="str">
        <f>IFERROR(VLOOKUP(Tabela6[[#This Row],[Descrição]],Materiais!B:C,2,0),"")</f>
        <v/>
      </c>
    </row>
    <row r="278" spans="2:9">
      <c r="B278" s="11">
        <f>42863+(365*4)</f>
        <v>44323</v>
      </c>
      <c r="C278" s="19">
        <f>MONTH(Tabela6[[#This Row],[Data]])</f>
        <v>5</v>
      </c>
      <c r="D278" s="19">
        <f>YEAR(Tabela6[[#This Row],[Data]])</f>
        <v>2021</v>
      </c>
      <c r="E278" s="12" t="s">
        <v>78</v>
      </c>
      <c r="F278" t="s">
        <v>61</v>
      </c>
      <c r="G278" s="26">
        <v>6</v>
      </c>
      <c r="H278">
        <v>3</v>
      </c>
      <c r="I278" t="str">
        <f>IFERROR(VLOOKUP(Tabela6[[#This Row],[Descrição]],Materiais!B:C,2,0),"")</f>
        <v/>
      </c>
    </row>
    <row r="279" spans="2:9">
      <c r="B279" s="11">
        <f>42863+(365*4)</f>
        <v>44323</v>
      </c>
      <c r="C279" s="19">
        <f>MONTH(Tabela6[[#This Row],[Data]])</f>
        <v>5</v>
      </c>
      <c r="D279" s="19">
        <f>YEAR(Tabela6[[#This Row],[Data]])</f>
        <v>2021</v>
      </c>
      <c r="E279" s="12" t="s">
        <v>78</v>
      </c>
      <c r="F279" t="s">
        <v>58</v>
      </c>
      <c r="G279" s="26">
        <v>2</v>
      </c>
      <c r="H279">
        <v>1</v>
      </c>
      <c r="I279" t="str">
        <f>IFERROR(VLOOKUP(Tabela6[[#This Row],[Descrição]],Materiais!B:C,2,0),"")</f>
        <v/>
      </c>
    </row>
    <row r="280" spans="2:9">
      <c r="B280" s="11">
        <f>42863+(365*4)</f>
        <v>44323</v>
      </c>
      <c r="C280" s="19">
        <f>MONTH(Tabela6[[#This Row],[Data]])</f>
        <v>5</v>
      </c>
      <c r="D280" s="19">
        <f>YEAR(Tabela6[[#This Row],[Data]])</f>
        <v>2021</v>
      </c>
      <c r="E280" s="12" t="s">
        <v>78</v>
      </c>
      <c r="F280" t="s">
        <v>117</v>
      </c>
      <c r="G280" s="26">
        <v>2</v>
      </c>
      <c r="H280">
        <v>1</v>
      </c>
      <c r="I280" t="str">
        <f>IFERROR(VLOOKUP(Tabela6[[#This Row],[Descrição]],Materiais!B:C,2,0),"")</f>
        <v/>
      </c>
    </row>
    <row r="281" spans="2:9">
      <c r="B281" s="11">
        <f t="shared" ref="B281:B288" si="15">42864+(365*4)</f>
        <v>44324</v>
      </c>
      <c r="C281" s="19">
        <f>MONTH(Tabela6[[#This Row],[Data]])</f>
        <v>5</v>
      </c>
      <c r="D281" s="19">
        <f>YEAR(Tabela6[[#This Row],[Data]])</f>
        <v>2021</v>
      </c>
      <c r="E281" s="12" t="s">
        <v>78</v>
      </c>
      <c r="F281" t="s">
        <v>63</v>
      </c>
      <c r="G281" s="26">
        <v>4</v>
      </c>
      <c r="H281">
        <v>2</v>
      </c>
      <c r="I281" t="str">
        <f>IFERROR(VLOOKUP(Tabela6[[#This Row],[Descrição]],Materiais!B:C,2,0),"")</f>
        <v/>
      </c>
    </row>
    <row r="282" spans="2:9">
      <c r="B282" s="11">
        <f t="shared" si="15"/>
        <v>44324</v>
      </c>
      <c r="C282" s="19">
        <f>MONTH(Tabela6[[#This Row],[Data]])</f>
        <v>5</v>
      </c>
      <c r="D282" s="19">
        <f>YEAR(Tabela6[[#This Row],[Data]])</f>
        <v>2021</v>
      </c>
      <c r="E282" s="12" t="s">
        <v>78</v>
      </c>
      <c r="F282" t="s">
        <v>56</v>
      </c>
      <c r="G282" s="26">
        <v>18</v>
      </c>
      <c r="H282">
        <v>9</v>
      </c>
      <c r="I282" t="str">
        <f>IFERROR(VLOOKUP(Tabela6[[#This Row],[Descrição]],Materiais!B:C,2,0),"")</f>
        <v/>
      </c>
    </row>
    <row r="283" spans="2:9">
      <c r="B283" s="11">
        <f t="shared" si="15"/>
        <v>44324</v>
      </c>
      <c r="C283" s="19">
        <f>MONTH(Tabela6[[#This Row],[Data]])</f>
        <v>5</v>
      </c>
      <c r="D283" s="19">
        <f>YEAR(Tabela6[[#This Row],[Data]])</f>
        <v>2021</v>
      </c>
      <c r="E283" s="12" t="s">
        <v>78</v>
      </c>
      <c r="F283" t="s">
        <v>100</v>
      </c>
      <c r="G283" s="26">
        <v>4</v>
      </c>
      <c r="H283">
        <v>2</v>
      </c>
      <c r="I283" t="str">
        <f>IFERROR(VLOOKUP(Tabela6[[#This Row],[Descrição]],Materiais!B:C,2,0),"")</f>
        <v/>
      </c>
    </row>
    <row r="284" spans="2:9">
      <c r="B284" s="11">
        <f t="shared" si="15"/>
        <v>44324</v>
      </c>
      <c r="C284" s="19">
        <f>MONTH(Tabela6[[#This Row],[Data]])</f>
        <v>5</v>
      </c>
      <c r="D284" s="19">
        <f>YEAR(Tabela6[[#This Row],[Data]])</f>
        <v>2021</v>
      </c>
      <c r="E284" s="12" t="s">
        <v>78</v>
      </c>
      <c r="F284" t="s">
        <v>61</v>
      </c>
      <c r="G284" s="26">
        <v>8</v>
      </c>
      <c r="H284">
        <v>4</v>
      </c>
      <c r="I284" t="str">
        <f>IFERROR(VLOOKUP(Tabela6[[#This Row],[Descrição]],Materiais!B:C,2,0),"")</f>
        <v/>
      </c>
    </row>
    <row r="285" spans="2:9">
      <c r="B285" s="11">
        <f t="shared" si="15"/>
        <v>44324</v>
      </c>
      <c r="C285" s="19">
        <f>MONTH(Tabela6[[#This Row],[Data]])</f>
        <v>5</v>
      </c>
      <c r="D285" s="19">
        <f>YEAR(Tabela6[[#This Row],[Data]])</f>
        <v>2021</v>
      </c>
      <c r="E285" s="12" t="s">
        <v>75</v>
      </c>
      <c r="F285" t="s">
        <v>104</v>
      </c>
      <c r="G285" s="26">
        <v>-1</v>
      </c>
      <c r="H285">
        <v>60</v>
      </c>
      <c r="I285" t="str">
        <f>IFERROR(VLOOKUP(Tabela6[[#This Row],[Descrição]],Materiais!B:C,2,0),"")</f>
        <v/>
      </c>
    </row>
    <row r="286" spans="2:9">
      <c r="B286" s="11">
        <f t="shared" si="15"/>
        <v>44324</v>
      </c>
      <c r="C286" s="19">
        <f>MONTH(Tabela6[[#This Row],[Data]])</f>
        <v>5</v>
      </c>
      <c r="D286" s="19">
        <f>YEAR(Tabela6[[#This Row],[Data]])</f>
        <v>2021</v>
      </c>
      <c r="E286" s="12" t="s">
        <v>78</v>
      </c>
      <c r="F286" t="s">
        <v>109</v>
      </c>
      <c r="G286" s="26">
        <v>8</v>
      </c>
      <c r="H286">
        <v>4</v>
      </c>
      <c r="I286" t="str">
        <f>IFERROR(VLOOKUP(Tabela6[[#This Row],[Descrição]],Materiais!B:C,2,0),"")</f>
        <v/>
      </c>
    </row>
    <row r="287" spans="2:9">
      <c r="B287" s="11">
        <f t="shared" si="15"/>
        <v>44324</v>
      </c>
      <c r="C287" s="19">
        <f>MONTH(Tabela6[[#This Row],[Data]])</f>
        <v>5</v>
      </c>
      <c r="D287" s="19">
        <f>YEAR(Tabela6[[#This Row],[Data]])</f>
        <v>2021</v>
      </c>
      <c r="E287" s="12" t="s">
        <v>78</v>
      </c>
      <c r="F287" t="s">
        <v>58</v>
      </c>
      <c r="G287" s="26">
        <v>6</v>
      </c>
      <c r="H287">
        <v>3</v>
      </c>
      <c r="I287" t="str">
        <f>IFERROR(VLOOKUP(Tabela6[[#This Row],[Descrição]],Materiais!B:C,2,0),"")</f>
        <v/>
      </c>
    </row>
    <row r="288" spans="2:9">
      <c r="B288" s="11">
        <f t="shared" si="15"/>
        <v>44324</v>
      </c>
      <c r="C288" s="19">
        <f>MONTH(Tabela6[[#This Row],[Data]])</f>
        <v>5</v>
      </c>
      <c r="D288" s="19">
        <f>YEAR(Tabela6[[#This Row],[Data]])</f>
        <v>2021</v>
      </c>
      <c r="E288" s="12" t="s">
        <v>78</v>
      </c>
      <c r="F288" t="s">
        <v>117</v>
      </c>
      <c r="G288" s="26">
        <v>6</v>
      </c>
      <c r="H288">
        <v>3</v>
      </c>
      <c r="I288" t="str">
        <f>IFERROR(VLOOKUP(Tabela6[[#This Row],[Descrição]],Materiais!B:C,2,0),"")</f>
        <v/>
      </c>
    </row>
    <row r="289" spans="2:9">
      <c r="B289" s="11">
        <f>42865+(365*4)</f>
        <v>44325</v>
      </c>
      <c r="C289" s="19">
        <f>MONTH(Tabela6[[#This Row],[Data]])</f>
        <v>5</v>
      </c>
      <c r="D289" s="19">
        <f>YEAR(Tabela6[[#This Row],[Data]])</f>
        <v>2021</v>
      </c>
      <c r="E289" s="12" t="s">
        <v>78</v>
      </c>
      <c r="F289" t="s">
        <v>63</v>
      </c>
      <c r="G289" s="26">
        <v>2</v>
      </c>
      <c r="H289">
        <v>1</v>
      </c>
      <c r="I289" t="str">
        <f>IFERROR(VLOOKUP(Tabela6[[#This Row],[Descrição]],Materiais!B:C,2,0),"")</f>
        <v/>
      </c>
    </row>
    <row r="290" spans="2:9">
      <c r="B290" s="11">
        <f>42865+(365*4)</f>
        <v>44325</v>
      </c>
      <c r="C290" s="19">
        <f>MONTH(Tabela6[[#This Row],[Data]])</f>
        <v>5</v>
      </c>
      <c r="D290" s="19">
        <f>YEAR(Tabela6[[#This Row],[Data]])</f>
        <v>2021</v>
      </c>
      <c r="E290" s="12" t="s">
        <v>78</v>
      </c>
      <c r="F290" t="s">
        <v>100</v>
      </c>
      <c r="G290" s="26">
        <v>2</v>
      </c>
      <c r="H290">
        <v>1</v>
      </c>
      <c r="I290" t="str">
        <f>IFERROR(VLOOKUP(Tabela6[[#This Row],[Descrição]],Materiais!B:C,2,0),"")</f>
        <v/>
      </c>
    </row>
    <row r="291" spans="2:9">
      <c r="B291" s="11">
        <f>42865+(365*4)</f>
        <v>44325</v>
      </c>
      <c r="C291" s="19">
        <f>MONTH(Tabela6[[#This Row],[Data]])</f>
        <v>5</v>
      </c>
      <c r="D291" s="19">
        <f>YEAR(Tabela6[[#This Row],[Data]])</f>
        <v>2021</v>
      </c>
      <c r="E291" s="12" t="s">
        <v>78</v>
      </c>
      <c r="F291" t="s">
        <v>61</v>
      </c>
      <c r="G291" s="26">
        <v>2</v>
      </c>
      <c r="H291">
        <v>1</v>
      </c>
      <c r="I291" t="str">
        <f>IFERROR(VLOOKUP(Tabela6[[#This Row],[Descrição]],Materiais!B:C,2,0),"")</f>
        <v/>
      </c>
    </row>
    <row r="292" spans="2:9">
      <c r="B292" s="11">
        <f>42865+(365*4)</f>
        <v>44325</v>
      </c>
      <c r="C292" s="19">
        <f>MONTH(Tabela6[[#This Row],[Data]])</f>
        <v>5</v>
      </c>
      <c r="D292" s="19">
        <f>YEAR(Tabela6[[#This Row],[Data]])</f>
        <v>2021</v>
      </c>
      <c r="E292" s="12" t="s">
        <v>78</v>
      </c>
      <c r="F292" t="s">
        <v>58</v>
      </c>
      <c r="G292" s="26">
        <v>2</v>
      </c>
      <c r="H292">
        <v>1</v>
      </c>
      <c r="I292" t="str">
        <f>IFERROR(VLOOKUP(Tabela6[[#This Row],[Descrição]],Materiais!B:C,2,0),"")</f>
        <v/>
      </c>
    </row>
    <row r="293" spans="2:9">
      <c r="B293" s="11">
        <f t="shared" ref="B293:B301" si="16">42866+(365*4)</f>
        <v>44326</v>
      </c>
      <c r="C293" s="19">
        <f>MONTH(Tabela6[[#This Row],[Data]])</f>
        <v>5</v>
      </c>
      <c r="D293" s="19">
        <f>YEAR(Tabela6[[#This Row],[Data]])</f>
        <v>2021</v>
      </c>
      <c r="E293" s="12" t="s">
        <v>78</v>
      </c>
      <c r="F293" t="s">
        <v>63</v>
      </c>
      <c r="G293" s="26">
        <v>6</v>
      </c>
      <c r="H293">
        <v>3</v>
      </c>
      <c r="I293" t="str">
        <f>IFERROR(VLOOKUP(Tabela6[[#This Row],[Descrição]],Materiais!B:C,2,0),"")</f>
        <v/>
      </c>
    </row>
    <row r="294" spans="2:9">
      <c r="B294" s="11">
        <f t="shared" si="16"/>
        <v>44326</v>
      </c>
      <c r="C294" s="19">
        <f>MONTH(Tabela6[[#This Row],[Data]])</f>
        <v>5</v>
      </c>
      <c r="D294" s="19">
        <f>YEAR(Tabela6[[#This Row],[Data]])</f>
        <v>2021</v>
      </c>
      <c r="E294" s="12" t="s">
        <v>78</v>
      </c>
      <c r="F294" t="s">
        <v>56</v>
      </c>
      <c r="G294" s="26">
        <v>11.75</v>
      </c>
      <c r="H294">
        <v>6</v>
      </c>
      <c r="I294" t="str">
        <f>IFERROR(VLOOKUP(Tabela6[[#This Row],[Descrição]],Materiais!B:C,2,0),"")</f>
        <v/>
      </c>
    </row>
    <row r="295" spans="2:9">
      <c r="B295" s="11">
        <f t="shared" si="16"/>
        <v>44326</v>
      </c>
      <c r="C295" s="19">
        <f>MONTH(Tabela6[[#This Row],[Data]])</f>
        <v>5</v>
      </c>
      <c r="D295" s="19">
        <f>YEAR(Tabela6[[#This Row],[Data]])</f>
        <v>2021</v>
      </c>
      <c r="E295" s="12" t="s">
        <v>78</v>
      </c>
      <c r="F295" t="s">
        <v>100</v>
      </c>
      <c r="G295" s="26">
        <v>4</v>
      </c>
      <c r="H295">
        <v>2</v>
      </c>
      <c r="I295" t="str">
        <f>IFERROR(VLOOKUP(Tabela6[[#This Row],[Descrição]],Materiais!B:C,2,0),"")</f>
        <v/>
      </c>
    </row>
    <row r="296" spans="2:9">
      <c r="B296" s="11">
        <f t="shared" si="16"/>
        <v>44326</v>
      </c>
      <c r="C296" s="19">
        <f>MONTH(Tabela6[[#This Row],[Data]])</f>
        <v>5</v>
      </c>
      <c r="D296" s="19">
        <f>YEAR(Tabela6[[#This Row],[Data]])</f>
        <v>2021</v>
      </c>
      <c r="E296" s="12" t="s">
        <v>78</v>
      </c>
      <c r="F296" t="s">
        <v>100</v>
      </c>
      <c r="G296" s="26">
        <v>16</v>
      </c>
      <c r="H296">
        <v>20</v>
      </c>
      <c r="I296" t="str">
        <f>IFERROR(VLOOKUP(Tabela6[[#This Row],[Descrição]],Materiais!B:C,2,0),"")</f>
        <v/>
      </c>
    </row>
    <row r="297" spans="2:9">
      <c r="B297" s="11">
        <f t="shared" si="16"/>
        <v>44326</v>
      </c>
      <c r="C297" s="19">
        <f>MONTH(Tabela6[[#This Row],[Data]])</f>
        <v>5</v>
      </c>
      <c r="D297" s="19">
        <f>YEAR(Tabela6[[#This Row],[Data]])</f>
        <v>2021</v>
      </c>
      <c r="E297" s="12" t="s">
        <v>78</v>
      </c>
      <c r="F297" t="s">
        <v>61</v>
      </c>
      <c r="G297" s="26">
        <v>13.75</v>
      </c>
      <c r="H297">
        <v>7</v>
      </c>
      <c r="I297" t="str">
        <f>IFERROR(VLOOKUP(Tabela6[[#This Row],[Descrição]],Materiais!B:C,2,0),"")</f>
        <v/>
      </c>
    </row>
    <row r="298" spans="2:9">
      <c r="B298" s="11">
        <f t="shared" si="16"/>
        <v>44326</v>
      </c>
      <c r="C298" s="19">
        <f>MONTH(Tabela6[[#This Row],[Data]])</f>
        <v>5</v>
      </c>
      <c r="D298" s="19">
        <f>YEAR(Tabela6[[#This Row],[Data]])</f>
        <v>2021</v>
      </c>
      <c r="E298" s="12" t="s">
        <v>78</v>
      </c>
      <c r="F298" t="s">
        <v>116</v>
      </c>
      <c r="G298" s="26">
        <v>16</v>
      </c>
      <c r="H298">
        <v>20</v>
      </c>
      <c r="I298" t="str">
        <f>IFERROR(VLOOKUP(Tabela6[[#This Row],[Descrição]],Materiais!B:C,2,0),"")</f>
        <v/>
      </c>
    </row>
    <row r="299" spans="2:9">
      <c r="B299" s="11">
        <f t="shared" si="16"/>
        <v>44326</v>
      </c>
      <c r="C299" s="19">
        <f>MONTH(Tabela6[[#This Row],[Data]])</f>
        <v>5</v>
      </c>
      <c r="D299" s="19">
        <f>YEAR(Tabela6[[#This Row],[Data]])</f>
        <v>2021</v>
      </c>
      <c r="E299" s="12" t="s">
        <v>78</v>
      </c>
      <c r="F299" t="s">
        <v>109</v>
      </c>
      <c r="G299" s="26">
        <v>2</v>
      </c>
      <c r="H299">
        <v>1</v>
      </c>
      <c r="I299" t="str">
        <f>IFERROR(VLOOKUP(Tabela6[[#This Row],[Descrição]],Materiais!B:C,2,0),"")</f>
        <v/>
      </c>
    </row>
    <row r="300" spans="2:9">
      <c r="B300" s="11">
        <f t="shared" si="16"/>
        <v>44326</v>
      </c>
      <c r="C300" s="19">
        <f>MONTH(Tabela6[[#This Row],[Data]])</f>
        <v>5</v>
      </c>
      <c r="D300" s="19">
        <f>YEAR(Tabela6[[#This Row],[Data]])</f>
        <v>2021</v>
      </c>
      <c r="E300" s="12" t="s">
        <v>78</v>
      </c>
      <c r="F300" t="s">
        <v>109</v>
      </c>
      <c r="G300" s="26">
        <v>14</v>
      </c>
      <c r="H300">
        <v>20</v>
      </c>
      <c r="I300" t="str">
        <f>IFERROR(VLOOKUP(Tabela6[[#This Row],[Descrição]],Materiais!B:C,2,0),"")</f>
        <v/>
      </c>
    </row>
    <row r="301" spans="2:9">
      <c r="B301" s="11">
        <f t="shared" si="16"/>
        <v>44326</v>
      </c>
      <c r="C301" s="19">
        <f>MONTH(Tabela6[[#This Row],[Data]])</f>
        <v>5</v>
      </c>
      <c r="D301" s="19">
        <f>YEAR(Tabela6[[#This Row],[Data]])</f>
        <v>2021</v>
      </c>
      <c r="E301" s="12" t="s">
        <v>78</v>
      </c>
      <c r="F301" t="s">
        <v>117</v>
      </c>
      <c r="G301" s="26">
        <v>4</v>
      </c>
      <c r="H301">
        <v>2</v>
      </c>
      <c r="I301" t="str">
        <f>IFERROR(VLOOKUP(Tabela6[[#This Row],[Descrição]],Materiais!B:C,2,0),"")</f>
        <v/>
      </c>
    </row>
    <row r="302" spans="2:9">
      <c r="B302" s="11">
        <f t="shared" ref="B302:B317" si="17">42867+(365*4)</f>
        <v>44327</v>
      </c>
      <c r="C302" s="19">
        <f>MONTH(Tabela6[[#This Row],[Data]])</f>
        <v>5</v>
      </c>
      <c r="D302" s="19">
        <f>YEAR(Tabela6[[#This Row],[Data]])</f>
        <v>2021</v>
      </c>
      <c r="E302" s="12" t="s">
        <v>78</v>
      </c>
      <c r="F302" t="s">
        <v>63</v>
      </c>
      <c r="G302" s="26">
        <v>4</v>
      </c>
      <c r="H302">
        <v>2</v>
      </c>
      <c r="I302" t="str">
        <f>IFERROR(VLOOKUP(Tabela6[[#This Row],[Descrição]],Materiais!B:C,2,0),"")</f>
        <v/>
      </c>
    </row>
    <row r="303" spans="2:9">
      <c r="B303" s="11">
        <f t="shared" si="17"/>
        <v>44327</v>
      </c>
      <c r="C303" s="19">
        <f>MONTH(Tabela6[[#This Row],[Data]])</f>
        <v>5</v>
      </c>
      <c r="D303" s="19">
        <f>YEAR(Tabela6[[#This Row],[Data]])</f>
        <v>2021</v>
      </c>
      <c r="E303" s="12" t="s">
        <v>78</v>
      </c>
      <c r="F303" t="s">
        <v>56</v>
      </c>
      <c r="G303" s="26">
        <v>2</v>
      </c>
      <c r="H303">
        <v>1</v>
      </c>
      <c r="I303" t="str">
        <f>IFERROR(VLOOKUP(Tabela6[[#This Row],[Descrição]],Materiais!B:C,2,0),"")</f>
        <v/>
      </c>
    </row>
    <row r="304" spans="2:9">
      <c r="B304" s="11">
        <f t="shared" si="17"/>
        <v>44327</v>
      </c>
      <c r="C304" s="19">
        <f>MONTH(Tabela6[[#This Row],[Data]])</f>
        <v>5</v>
      </c>
      <c r="D304" s="19">
        <f>YEAR(Tabela6[[#This Row],[Data]])</f>
        <v>2021</v>
      </c>
      <c r="E304" s="12" t="s">
        <v>78</v>
      </c>
      <c r="F304" t="s">
        <v>56</v>
      </c>
      <c r="G304" s="26">
        <v>8</v>
      </c>
      <c r="H304">
        <v>4</v>
      </c>
      <c r="I304" t="str">
        <f>IFERROR(VLOOKUP(Tabela6[[#This Row],[Descrição]],Materiais!B:C,2,0),"")</f>
        <v/>
      </c>
    </row>
    <row r="305" spans="2:9">
      <c r="B305" s="11">
        <f t="shared" si="17"/>
        <v>44327</v>
      </c>
      <c r="C305" s="19">
        <f>MONTH(Tabela6[[#This Row],[Data]])</f>
        <v>5</v>
      </c>
      <c r="D305" s="19">
        <f>YEAR(Tabela6[[#This Row],[Data]])</f>
        <v>2021</v>
      </c>
      <c r="E305" s="12" t="s">
        <v>78</v>
      </c>
      <c r="F305" t="s">
        <v>56</v>
      </c>
      <c r="G305" s="26">
        <v>10</v>
      </c>
      <c r="H305">
        <v>5</v>
      </c>
      <c r="I305" t="str">
        <f>IFERROR(VLOOKUP(Tabela6[[#This Row],[Descrição]],Materiais!B:C,2,0),"")</f>
        <v/>
      </c>
    </row>
    <row r="306" spans="2:9">
      <c r="B306" s="11">
        <f t="shared" si="17"/>
        <v>44327</v>
      </c>
      <c r="C306" s="19">
        <f>MONTH(Tabela6[[#This Row],[Data]])</f>
        <v>5</v>
      </c>
      <c r="D306" s="19">
        <f>YEAR(Tabela6[[#This Row],[Data]])</f>
        <v>2021</v>
      </c>
      <c r="E306" s="12" t="s">
        <v>78</v>
      </c>
      <c r="F306" t="s">
        <v>100</v>
      </c>
      <c r="G306" s="26">
        <v>8</v>
      </c>
      <c r="H306">
        <v>4</v>
      </c>
      <c r="I306" t="str">
        <f>IFERROR(VLOOKUP(Tabela6[[#This Row],[Descrição]],Materiais!B:C,2,0),"")</f>
        <v/>
      </c>
    </row>
    <row r="307" spans="2:9">
      <c r="B307" s="11">
        <f t="shared" si="17"/>
        <v>44327</v>
      </c>
      <c r="C307" s="19">
        <f>MONTH(Tabela6[[#This Row],[Data]])</f>
        <v>5</v>
      </c>
      <c r="D307" s="19">
        <f>YEAR(Tabela6[[#This Row],[Data]])</f>
        <v>2021</v>
      </c>
      <c r="E307" s="12" t="s">
        <v>78</v>
      </c>
      <c r="F307" t="s">
        <v>100</v>
      </c>
      <c r="G307" s="26">
        <v>2</v>
      </c>
      <c r="H307">
        <v>1</v>
      </c>
      <c r="I307" t="str">
        <f>IFERROR(VLOOKUP(Tabela6[[#This Row],[Descrição]],Materiais!B:C,2,0),"")</f>
        <v/>
      </c>
    </row>
    <row r="308" spans="2:9">
      <c r="B308" s="11">
        <f t="shared" si="17"/>
        <v>44327</v>
      </c>
      <c r="C308" s="19">
        <f>MONTH(Tabela6[[#This Row],[Data]])</f>
        <v>5</v>
      </c>
      <c r="D308" s="19">
        <f>YEAR(Tabela6[[#This Row],[Data]])</f>
        <v>2021</v>
      </c>
      <c r="E308" s="12" t="s">
        <v>78</v>
      </c>
      <c r="F308" t="s">
        <v>61</v>
      </c>
      <c r="G308" s="26">
        <v>2</v>
      </c>
      <c r="H308">
        <v>1</v>
      </c>
      <c r="I308" t="str">
        <f>IFERROR(VLOOKUP(Tabela6[[#This Row],[Descrição]],Materiais!B:C,2,0),"")</f>
        <v/>
      </c>
    </row>
    <row r="309" spans="2:9">
      <c r="B309" s="11">
        <f t="shared" si="17"/>
        <v>44327</v>
      </c>
      <c r="C309" s="19">
        <f>MONTH(Tabela6[[#This Row],[Data]])</f>
        <v>5</v>
      </c>
      <c r="D309" s="19">
        <f>YEAR(Tabela6[[#This Row],[Data]])</f>
        <v>2021</v>
      </c>
      <c r="E309" s="12" t="s">
        <v>78</v>
      </c>
      <c r="F309" t="s">
        <v>61</v>
      </c>
      <c r="G309" s="26">
        <v>12</v>
      </c>
      <c r="H309">
        <v>6</v>
      </c>
      <c r="I309" t="str">
        <f>IFERROR(VLOOKUP(Tabela6[[#This Row],[Descrição]],Materiais!B:C,2,0),"")</f>
        <v/>
      </c>
    </row>
    <row r="310" spans="2:9">
      <c r="B310" s="11">
        <f t="shared" si="17"/>
        <v>44327</v>
      </c>
      <c r="C310" s="19">
        <f>MONTH(Tabela6[[#This Row],[Data]])</f>
        <v>5</v>
      </c>
      <c r="D310" s="19">
        <f>YEAR(Tabela6[[#This Row],[Data]])</f>
        <v>2021</v>
      </c>
      <c r="E310" s="12" t="s">
        <v>78</v>
      </c>
      <c r="F310" t="s">
        <v>62</v>
      </c>
      <c r="G310" s="26">
        <v>2</v>
      </c>
      <c r="H310">
        <v>1</v>
      </c>
      <c r="I310" t="str">
        <f>IFERROR(VLOOKUP(Tabela6[[#This Row],[Descrição]],Materiais!B:C,2,0),"")</f>
        <v/>
      </c>
    </row>
    <row r="311" spans="2:9">
      <c r="B311" s="11">
        <f t="shared" si="17"/>
        <v>44327</v>
      </c>
      <c r="C311" s="19">
        <f>MONTH(Tabela6[[#This Row],[Data]])</f>
        <v>5</v>
      </c>
      <c r="D311" s="19">
        <f>YEAR(Tabela6[[#This Row],[Data]])</f>
        <v>2021</v>
      </c>
      <c r="E311" s="12" t="s">
        <v>78</v>
      </c>
      <c r="F311" t="s">
        <v>62</v>
      </c>
      <c r="G311" s="26">
        <v>4</v>
      </c>
      <c r="H311">
        <v>2</v>
      </c>
      <c r="I311" t="str">
        <f>IFERROR(VLOOKUP(Tabela6[[#This Row],[Descrição]],Materiais!B:C,2,0),"")</f>
        <v/>
      </c>
    </row>
    <row r="312" spans="2:9">
      <c r="B312" s="11">
        <f t="shared" si="17"/>
        <v>44327</v>
      </c>
      <c r="C312" s="19">
        <f>MONTH(Tabela6[[#This Row],[Data]])</f>
        <v>5</v>
      </c>
      <c r="D312" s="19">
        <f>YEAR(Tabela6[[#This Row],[Data]])</f>
        <v>2021</v>
      </c>
      <c r="E312" s="12" t="s">
        <v>78</v>
      </c>
      <c r="F312" t="s">
        <v>109</v>
      </c>
      <c r="G312" s="26">
        <v>8</v>
      </c>
      <c r="H312">
        <v>4</v>
      </c>
      <c r="I312" t="str">
        <f>IFERROR(VLOOKUP(Tabela6[[#This Row],[Descrição]],Materiais!B:C,2,0),"")</f>
        <v/>
      </c>
    </row>
    <row r="313" spans="2:9">
      <c r="B313" s="11">
        <f t="shared" si="17"/>
        <v>44327</v>
      </c>
      <c r="C313" s="19">
        <f>MONTH(Tabela6[[#This Row],[Data]])</f>
        <v>5</v>
      </c>
      <c r="D313" s="19">
        <f>YEAR(Tabela6[[#This Row],[Data]])</f>
        <v>2021</v>
      </c>
      <c r="E313" s="12" t="s">
        <v>78</v>
      </c>
      <c r="F313" t="s">
        <v>109</v>
      </c>
      <c r="G313" s="26">
        <v>4</v>
      </c>
      <c r="H313">
        <v>2</v>
      </c>
      <c r="I313" t="str">
        <f>IFERROR(VLOOKUP(Tabela6[[#This Row],[Descrição]],Materiais!B:C,2,0),"")</f>
        <v/>
      </c>
    </row>
    <row r="314" spans="2:9">
      <c r="B314" s="11">
        <f t="shared" si="17"/>
        <v>44327</v>
      </c>
      <c r="C314" s="19">
        <f>MONTH(Tabela6[[#This Row],[Data]])</f>
        <v>5</v>
      </c>
      <c r="D314" s="19">
        <f>YEAR(Tabela6[[#This Row],[Data]])</f>
        <v>2021</v>
      </c>
      <c r="E314" s="12" t="s">
        <v>78</v>
      </c>
      <c r="F314" t="s">
        <v>58</v>
      </c>
      <c r="G314" s="26">
        <v>4</v>
      </c>
      <c r="H314">
        <v>2</v>
      </c>
      <c r="I314" t="str">
        <f>IFERROR(VLOOKUP(Tabela6[[#This Row],[Descrição]],Materiais!B:C,2,0),"")</f>
        <v/>
      </c>
    </row>
    <row r="315" spans="2:9">
      <c r="B315" s="11">
        <f t="shared" si="17"/>
        <v>44327</v>
      </c>
      <c r="C315" s="19">
        <f>MONTH(Tabela6[[#This Row],[Data]])</f>
        <v>5</v>
      </c>
      <c r="D315" s="19">
        <f>YEAR(Tabela6[[#This Row],[Data]])</f>
        <v>2021</v>
      </c>
      <c r="E315" s="12" t="s">
        <v>78</v>
      </c>
      <c r="F315" t="s">
        <v>58</v>
      </c>
      <c r="G315" s="26">
        <v>4</v>
      </c>
      <c r="H315">
        <v>2</v>
      </c>
      <c r="I315" t="str">
        <f>IFERROR(VLOOKUP(Tabela6[[#This Row],[Descrição]],Materiais!B:C,2,0),"")</f>
        <v/>
      </c>
    </row>
    <row r="316" spans="2:9">
      <c r="B316" s="11">
        <f t="shared" si="17"/>
        <v>44327</v>
      </c>
      <c r="C316" s="19">
        <f>MONTH(Tabela6[[#This Row],[Data]])</f>
        <v>5</v>
      </c>
      <c r="D316" s="19">
        <f>YEAR(Tabela6[[#This Row],[Data]])</f>
        <v>2021</v>
      </c>
      <c r="E316" s="12" t="s">
        <v>78</v>
      </c>
      <c r="F316" t="s">
        <v>95</v>
      </c>
      <c r="G316" s="26">
        <v>2</v>
      </c>
      <c r="H316">
        <v>1</v>
      </c>
      <c r="I316" t="str">
        <f>IFERROR(VLOOKUP(Tabela6[[#This Row],[Descrição]],Materiais!B:C,2,0),"")</f>
        <v/>
      </c>
    </row>
    <row r="317" spans="2:9">
      <c r="B317" s="11">
        <f t="shared" si="17"/>
        <v>44327</v>
      </c>
      <c r="C317" s="19">
        <f>MONTH(Tabela6[[#This Row],[Data]])</f>
        <v>5</v>
      </c>
      <c r="D317" s="19">
        <f>YEAR(Tabela6[[#This Row],[Data]])</f>
        <v>2021</v>
      </c>
      <c r="E317" s="12" t="s">
        <v>78</v>
      </c>
      <c r="F317" t="s">
        <v>117</v>
      </c>
      <c r="G317" s="26">
        <v>2</v>
      </c>
      <c r="H317">
        <v>2</v>
      </c>
      <c r="I317" t="str">
        <f>IFERROR(VLOOKUP(Tabela6[[#This Row],[Descrição]],Materiais!B:C,2,0),"")</f>
        <v/>
      </c>
    </row>
    <row r="318" spans="2:9">
      <c r="B318" s="11">
        <f t="shared" ref="B318:B333" si="18">42870+(365*4)</f>
        <v>44330</v>
      </c>
      <c r="C318" s="19">
        <f>MONTH(Tabela6[[#This Row],[Data]])</f>
        <v>5</v>
      </c>
      <c r="D318" s="19">
        <f>YEAR(Tabela6[[#This Row],[Data]])</f>
        <v>2021</v>
      </c>
      <c r="E318" s="12" t="s">
        <v>72</v>
      </c>
      <c r="F318" t="s">
        <v>7</v>
      </c>
      <c r="G318" s="26">
        <v>-2.59</v>
      </c>
      <c r="H318">
        <v>276</v>
      </c>
      <c r="I318" t="str">
        <f>IFERROR(VLOOKUP(Tabela6[[#This Row],[Descrição]],Materiais!B:C,2,0),"")</f>
        <v>g</v>
      </c>
    </row>
    <row r="319" spans="2:9">
      <c r="B319" s="11">
        <f t="shared" si="18"/>
        <v>44330</v>
      </c>
      <c r="C319" s="19">
        <f>MONTH(Tabela6[[#This Row],[Data]])</f>
        <v>5</v>
      </c>
      <c r="D319" s="19">
        <f>YEAR(Tabela6[[#This Row],[Data]])</f>
        <v>2021</v>
      </c>
      <c r="E319" s="12" t="s">
        <v>72</v>
      </c>
      <c r="F319" t="s">
        <v>8</v>
      </c>
      <c r="G319" s="26">
        <v>-1.79</v>
      </c>
      <c r="H319">
        <v>211</v>
      </c>
      <c r="I319" t="str">
        <f>IFERROR(VLOOKUP(Tabela6[[#This Row],[Descrição]],Materiais!B:C,2,0),"")</f>
        <v>g</v>
      </c>
    </row>
    <row r="320" spans="2:9">
      <c r="B320" s="11">
        <f t="shared" si="18"/>
        <v>44330</v>
      </c>
      <c r="C320" s="19">
        <f>MONTH(Tabela6[[#This Row],[Data]])</f>
        <v>5</v>
      </c>
      <c r="D320" s="19">
        <f>YEAR(Tabela6[[#This Row],[Data]])</f>
        <v>2021</v>
      </c>
      <c r="E320" s="12" t="s">
        <v>78</v>
      </c>
      <c r="F320" t="s">
        <v>63</v>
      </c>
      <c r="G320" s="26">
        <v>8</v>
      </c>
      <c r="H320">
        <v>4</v>
      </c>
      <c r="I320" t="str">
        <f>IFERROR(VLOOKUP(Tabela6[[#This Row],[Descrição]],Materiais!B:C,2,0),"")</f>
        <v/>
      </c>
    </row>
    <row r="321" spans="2:9">
      <c r="B321" s="11">
        <f t="shared" si="18"/>
        <v>44330</v>
      </c>
      <c r="C321" s="19">
        <f>MONTH(Tabela6[[#This Row],[Data]])</f>
        <v>5</v>
      </c>
      <c r="D321" s="19">
        <f>YEAR(Tabela6[[#This Row],[Data]])</f>
        <v>2021</v>
      </c>
      <c r="E321" s="12" t="s">
        <v>72</v>
      </c>
      <c r="F321" t="s">
        <v>74</v>
      </c>
      <c r="G321" s="26">
        <v>-28.7</v>
      </c>
      <c r="H321">
        <v>1000</v>
      </c>
      <c r="I321" t="str">
        <f>IFERROR(VLOOKUP(Tabela6[[#This Row],[Descrição]],Materiais!B:C,2,0),"")</f>
        <v/>
      </c>
    </row>
    <row r="322" spans="2:9">
      <c r="B322" s="11">
        <f t="shared" si="18"/>
        <v>44330</v>
      </c>
      <c r="C322" s="19">
        <f>MONTH(Tabela6[[#This Row],[Data]])</f>
        <v>5</v>
      </c>
      <c r="D322" s="19">
        <f>YEAR(Tabela6[[#This Row],[Data]])</f>
        <v>2021</v>
      </c>
      <c r="E322" s="12" t="s">
        <v>72</v>
      </c>
      <c r="F322" t="s">
        <v>86</v>
      </c>
      <c r="G322" s="26">
        <v>-24.95</v>
      </c>
      <c r="H322">
        <v>1050</v>
      </c>
      <c r="I322" t="str">
        <f>IFERROR(VLOOKUP(Tabela6[[#This Row],[Descrição]],Materiais!B:C,2,0),"")</f>
        <v/>
      </c>
    </row>
    <row r="323" spans="2:9">
      <c r="B323" s="11">
        <f t="shared" si="18"/>
        <v>44330</v>
      </c>
      <c r="C323" s="19">
        <f>MONTH(Tabela6[[#This Row],[Data]])</f>
        <v>5</v>
      </c>
      <c r="D323" s="19">
        <f>YEAR(Tabela6[[#This Row],[Data]])</f>
        <v>2021</v>
      </c>
      <c r="E323" s="12" t="s">
        <v>78</v>
      </c>
      <c r="F323" t="s">
        <v>56</v>
      </c>
      <c r="G323" s="26">
        <v>6</v>
      </c>
      <c r="H323">
        <v>3</v>
      </c>
      <c r="I323" t="str">
        <f>IFERROR(VLOOKUP(Tabela6[[#This Row],[Descrição]],Materiais!B:C,2,0),"")</f>
        <v/>
      </c>
    </row>
    <row r="324" spans="2:9">
      <c r="B324" s="11">
        <f t="shared" si="18"/>
        <v>44330</v>
      </c>
      <c r="C324" s="19">
        <f>MONTH(Tabela6[[#This Row],[Data]])</f>
        <v>5</v>
      </c>
      <c r="D324" s="19">
        <f>YEAR(Tabela6[[#This Row],[Data]])</f>
        <v>2021</v>
      </c>
      <c r="E324" s="12" t="s">
        <v>75</v>
      </c>
      <c r="F324" t="s">
        <v>111</v>
      </c>
      <c r="G324" s="26">
        <v>-10.4</v>
      </c>
      <c r="H324">
        <v>10</v>
      </c>
      <c r="I324" t="str">
        <f>IFERROR(VLOOKUP(Tabela6[[#This Row],[Descrição]],Materiais!B:C,2,0),"")</f>
        <v/>
      </c>
    </row>
    <row r="325" spans="2:9">
      <c r="B325" s="11">
        <f t="shared" si="18"/>
        <v>44330</v>
      </c>
      <c r="C325" s="19">
        <f>MONTH(Tabela6[[#This Row],[Data]])</f>
        <v>5</v>
      </c>
      <c r="D325" s="19">
        <f>YEAR(Tabela6[[#This Row],[Data]])</f>
        <v>2021</v>
      </c>
      <c r="E325" s="12" t="s">
        <v>78</v>
      </c>
      <c r="F325" t="s">
        <v>100</v>
      </c>
      <c r="G325" s="26">
        <v>6</v>
      </c>
      <c r="H325">
        <v>3</v>
      </c>
      <c r="I325" t="str">
        <f>IFERROR(VLOOKUP(Tabela6[[#This Row],[Descrição]],Materiais!B:C,2,0),"")</f>
        <v/>
      </c>
    </row>
    <row r="326" spans="2:9">
      <c r="B326" s="11">
        <f t="shared" si="18"/>
        <v>44330</v>
      </c>
      <c r="C326" s="19">
        <f>MONTH(Tabela6[[#This Row],[Data]])</f>
        <v>5</v>
      </c>
      <c r="D326" s="19">
        <f>YEAR(Tabela6[[#This Row],[Data]])</f>
        <v>2021</v>
      </c>
      <c r="E326" s="12" t="s">
        <v>78</v>
      </c>
      <c r="F326" t="s">
        <v>61</v>
      </c>
      <c r="G326" s="26">
        <v>8</v>
      </c>
      <c r="H326">
        <v>4</v>
      </c>
      <c r="I326" t="str">
        <f>IFERROR(VLOOKUP(Tabela6[[#This Row],[Descrição]],Materiais!B:C,2,0),"")</f>
        <v/>
      </c>
    </row>
    <row r="327" spans="2:9">
      <c r="B327" s="11">
        <f t="shared" si="18"/>
        <v>44330</v>
      </c>
      <c r="C327" s="19">
        <f>MONTH(Tabela6[[#This Row],[Data]])</f>
        <v>5</v>
      </c>
      <c r="D327" s="19">
        <f>YEAR(Tabela6[[#This Row],[Data]])</f>
        <v>2021</v>
      </c>
      <c r="E327" s="12" t="s">
        <v>72</v>
      </c>
      <c r="F327" t="s">
        <v>15</v>
      </c>
      <c r="G327" s="26">
        <v>-4.55</v>
      </c>
      <c r="H327">
        <v>260</v>
      </c>
      <c r="I327" t="str">
        <f>IFERROR(VLOOKUP(Tabela6[[#This Row],[Descrição]],Materiais!B:C,2,0),"")</f>
        <v>g</v>
      </c>
    </row>
    <row r="328" spans="2:9">
      <c r="B328" s="11">
        <f t="shared" si="18"/>
        <v>44330</v>
      </c>
      <c r="C328" s="19">
        <f>MONTH(Tabela6[[#This Row],[Data]])</f>
        <v>5</v>
      </c>
      <c r="D328" s="19">
        <f>YEAR(Tabela6[[#This Row],[Data]])</f>
        <v>2021</v>
      </c>
      <c r="E328" s="12" t="s">
        <v>72</v>
      </c>
      <c r="F328" t="s">
        <v>16</v>
      </c>
      <c r="G328" s="26">
        <v>-7.87</v>
      </c>
      <c r="H328">
        <v>250</v>
      </c>
      <c r="I328" t="str">
        <f>IFERROR(VLOOKUP(Tabela6[[#This Row],[Descrição]],Materiais!B:C,2,0),"")</f>
        <v>g</v>
      </c>
    </row>
    <row r="329" spans="2:9">
      <c r="B329" s="11">
        <f t="shared" si="18"/>
        <v>44330</v>
      </c>
      <c r="C329" s="19">
        <f>MONTH(Tabela6[[#This Row],[Data]])</f>
        <v>5</v>
      </c>
      <c r="D329" s="19">
        <f>YEAR(Tabela6[[#This Row],[Data]])</f>
        <v>2021</v>
      </c>
      <c r="E329" s="12" t="s">
        <v>75</v>
      </c>
      <c r="F329" t="s">
        <v>119</v>
      </c>
      <c r="G329" s="26">
        <v>-3.96</v>
      </c>
      <c r="H329">
        <v>400</v>
      </c>
      <c r="I329" t="str">
        <f>IFERROR(VLOOKUP(Tabela6[[#This Row],[Descrição]],Materiais!B:C,2,0),"")</f>
        <v/>
      </c>
    </row>
    <row r="330" spans="2:9">
      <c r="B330" s="11">
        <f t="shared" si="18"/>
        <v>44330</v>
      </c>
      <c r="C330" s="19">
        <f>MONTH(Tabela6[[#This Row],[Data]])</f>
        <v>5</v>
      </c>
      <c r="D330" s="19">
        <f>YEAR(Tabela6[[#This Row],[Data]])</f>
        <v>2021</v>
      </c>
      <c r="E330" s="12" t="s">
        <v>72</v>
      </c>
      <c r="F330" t="s">
        <v>120</v>
      </c>
      <c r="G330" s="26">
        <v>-13.4</v>
      </c>
      <c r="H330">
        <v>1000</v>
      </c>
      <c r="I330" t="str">
        <f>IFERROR(VLOOKUP(Tabela6[[#This Row],[Descrição]],Materiais!B:C,2,0),"")</f>
        <v/>
      </c>
    </row>
    <row r="331" spans="2:9">
      <c r="B331" s="11">
        <f t="shared" si="18"/>
        <v>44330</v>
      </c>
      <c r="C331" s="19">
        <f>MONTH(Tabela6[[#This Row],[Data]])</f>
        <v>5</v>
      </c>
      <c r="D331" s="19">
        <f>YEAR(Tabela6[[#This Row],[Data]])</f>
        <v>2021</v>
      </c>
      <c r="E331" s="12" t="s">
        <v>78</v>
      </c>
      <c r="F331" t="s">
        <v>109</v>
      </c>
      <c r="G331" s="26">
        <v>10</v>
      </c>
      <c r="H331">
        <v>5</v>
      </c>
      <c r="I331" t="str">
        <f>IFERROR(VLOOKUP(Tabela6[[#This Row],[Descrição]],Materiais!B:C,2,0),"")</f>
        <v/>
      </c>
    </row>
    <row r="332" spans="2:9">
      <c r="B332" s="11">
        <f t="shared" si="18"/>
        <v>44330</v>
      </c>
      <c r="C332" s="19">
        <f>MONTH(Tabela6[[#This Row],[Data]])</f>
        <v>5</v>
      </c>
      <c r="D332" s="19">
        <f>YEAR(Tabela6[[#This Row],[Data]])</f>
        <v>2021</v>
      </c>
      <c r="E332" s="12" t="s">
        <v>78</v>
      </c>
      <c r="F332" t="s">
        <v>58</v>
      </c>
      <c r="G332" s="26">
        <v>2</v>
      </c>
      <c r="H332">
        <v>1</v>
      </c>
      <c r="I332" t="str">
        <f>IFERROR(VLOOKUP(Tabela6[[#This Row],[Descrição]],Materiais!B:C,2,0),"")</f>
        <v/>
      </c>
    </row>
    <row r="333" spans="2:9">
      <c r="B333" s="11">
        <f t="shared" si="18"/>
        <v>44330</v>
      </c>
      <c r="C333" s="19">
        <f>MONTH(Tabela6[[#This Row],[Data]])</f>
        <v>5</v>
      </c>
      <c r="D333" s="19">
        <f>YEAR(Tabela6[[#This Row],[Data]])</f>
        <v>2021</v>
      </c>
      <c r="E333" s="12" t="s">
        <v>78</v>
      </c>
      <c r="F333" t="s">
        <v>117</v>
      </c>
      <c r="G333" s="26">
        <v>4</v>
      </c>
      <c r="H333">
        <v>2</v>
      </c>
      <c r="I333" t="str">
        <f>IFERROR(VLOOKUP(Tabela6[[#This Row],[Descrição]],Materiais!B:C,2,0),"")</f>
        <v/>
      </c>
    </row>
    <row r="334" spans="2:9">
      <c r="B334" s="11">
        <f>42871+(365*4)</f>
        <v>44331</v>
      </c>
      <c r="C334" s="19">
        <f>MONTH(Tabela6[[#This Row],[Data]])</f>
        <v>5</v>
      </c>
      <c r="D334" s="19">
        <f>YEAR(Tabela6[[#This Row],[Data]])</f>
        <v>2021</v>
      </c>
      <c r="E334" s="12" t="s">
        <v>78</v>
      </c>
      <c r="F334" t="s">
        <v>63</v>
      </c>
      <c r="G334" s="26">
        <v>4</v>
      </c>
      <c r="H334">
        <v>2</v>
      </c>
      <c r="I334" t="str">
        <f>IFERROR(VLOOKUP(Tabela6[[#This Row],[Descrição]],Materiais!B:C,2,0),"")</f>
        <v/>
      </c>
    </row>
    <row r="335" spans="2:9">
      <c r="B335" s="11">
        <f>42871+(365*4)</f>
        <v>44331</v>
      </c>
      <c r="C335" s="19">
        <f>MONTH(Tabela6[[#This Row],[Data]])</f>
        <v>5</v>
      </c>
      <c r="D335" s="19">
        <f>YEAR(Tabela6[[#This Row],[Data]])</f>
        <v>2021</v>
      </c>
      <c r="E335" s="12" t="s">
        <v>78</v>
      </c>
      <c r="F335" t="s">
        <v>56</v>
      </c>
      <c r="G335" s="26">
        <v>6</v>
      </c>
      <c r="H335">
        <v>3</v>
      </c>
      <c r="I335" t="str">
        <f>IFERROR(VLOOKUP(Tabela6[[#This Row],[Descrição]],Materiais!B:C,2,0),"")</f>
        <v/>
      </c>
    </row>
    <row r="336" spans="2:9">
      <c r="B336" s="11">
        <f>42871+(365*4)</f>
        <v>44331</v>
      </c>
      <c r="C336" s="19">
        <f>MONTH(Tabela6[[#This Row],[Data]])</f>
        <v>5</v>
      </c>
      <c r="D336" s="19">
        <f>YEAR(Tabela6[[#This Row],[Data]])</f>
        <v>2021</v>
      </c>
      <c r="E336" s="12" t="s">
        <v>78</v>
      </c>
      <c r="F336" t="s">
        <v>100</v>
      </c>
      <c r="G336" s="26">
        <v>2</v>
      </c>
      <c r="H336">
        <v>1</v>
      </c>
      <c r="I336" t="str">
        <f>IFERROR(VLOOKUP(Tabela6[[#This Row],[Descrição]],Materiais!B:C,2,0),"")</f>
        <v/>
      </c>
    </row>
    <row r="337" spans="2:9">
      <c r="B337" s="11">
        <f>42871+(365*4)</f>
        <v>44331</v>
      </c>
      <c r="C337" s="19">
        <f>MONTH(Tabela6[[#This Row],[Data]])</f>
        <v>5</v>
      </c>
      <c r="D337" s="19">
        <f>YEAR(Tabela6[[#This Row],[Data]])</f>
        <v>2021</v>
      </c>
      <c r="E337" s="12" t="s">
        <v>78</v>
      </c>
      <c r="F337" t="s">
        <v>61</v>
      </c>
      <c r="G337" s="26">
        <v>8</v>
      </c>
      <c r="H337">
        <v>4</v>
      </c>
      <c r="I337" t="str">
        <f>IFERROR(VLOOKUP(Tabela6[[#This Row],[Descrição]],Materiais!B:C,2,0),"")</f>
        <v/>
      </c>
    </row>
    <row r="338" spans="2:9">
      <c r="B338" s="11">
        <f>42871+(365*4)</f>
        <v>44331</v>
      </c>
      <c r="C338" s="19">
        <f>MONTH(Tabela6[[#This Row],[Data]])</f>
        <v>5</v>
      </c>
      <c r="D338" s="19">
        <f>YEAR(Tabela6[[#This Row],[Data]])</f>
        <v>2021</v>
      </c>
      <c r="E338" s="12" t="s">
        <v>78</v>
      </c>
      <c r="F338" t="s">
        <v>58</v>
      </c>
      <c r="G338" s="26">
        <v>10</v>
      </c>
      <c r="H338">
        <v>5</v>
      </c>
      <c r="I338" t="str">
        <f>IFERROR(VLOOKUP(Tabela6[[#This Row],[Descrição]],Materiais!B:C,2,0),"")</f>
        <v/>
      </c>
    </row>
    <row r="339" spans="2:9">
      <c r="B339" s="11">
        <f t="shared" ref="B339:B345" si="19">42872+(365*4)</f>
        <v>44332</v>
      </c>
      <c r="C339" s="19">
        <f>MONTH(Tabela6[[#This Row],[Data]])</f>
        <v>5</v>
      </c>
      <c r="D339" s="19">
        <f>YEAR(Tabela6[[#This Row],[Data]])</f>
        <v>2021</v>
      </c>
      <c r="E339" s="12" t="s">
        <v>78</v>
      </c>
      <c r="F339" t="s">
        <v>63</v>
      </c>
      <c r="G339" s="26">
        <v>2</v>
      </c>
      <c r="H339">
        <v>1</v>
      </c>
      <c r="I339" t="str">
        <f>IFERROR(VLOOKUP(Tabela6[[#This Row],[Descrição]],Materiais!B:C,2,0),"")</f>
        <v/>
      </c>
    </row>
    <row r="340" spans="2:9">
      <c r="B340" s="11">
        <f t="shared" si="19"/>
        <v>44332</v>
      </c>
      <c r="C340" s="19">
        <f>MONTH(Tabela6[[#This Row],[Data]])</f>
        <v>5</v>
      </c>
      <c r="D340" s="19">
        <f>YEAR(Tabela6[[#This Row],[Data]])</f>
        <v>2021</v>
      </c>
      <c r="E340" s="12" t="s">
        <v>78</v>
      </c>
      <c r="F340" t="s">
        <v>56</v>
      </c>
      <c r="G340" s="26">
        <v>8</v>
      </c>
      <c r="H340">
        <v>4</v>
      </c>
      <c r="I340" t="str">
        <f>IFERROR(VLOOKUP(Tabela6[[#This Row],[Descrição]],Materiais!B:C,2,0),"")</f>
        <v/>
      </c>
    </row>
    <row r="341" spans="2:9">
      <c r="B341" s="11">
        <f t="shared" si="19"/>
        <v>44332</v>
      </c>
      <c r="C341" s="19">
        <f>MONTH(Tabela6[[#This Row],[Data]])</f>
        <v>5</v>
      </c>
      <c r="D341" s="19">
        <f>YEAR(Tabela6[[#This Row],[Data]])</f>
        <v>2021</v>
      </c>
      <c r="E341" s="12" t="s">
        <v>78</v>
      </c>
      <c r="F341" t="s">
        <v>100</v>
      </c>
      <c r="G341" s="26">
        <v>2</v>
      </c>
      <c r="H341">
        <v>1</v>
      </c>
      <c r="I341" t="str">
        <f>IFERROR(VLOOKUP(Tabela6[[#This Row],[Descrição]],Materiais!B:C,2,0),"")</f>
        <v/>
      </c>
    </row>
    <row r="342" spans="2:9">
      <c r="B342" s="11">
        <f t="shared" si="19"/>
        <v>44332</v>
      </c>
      <c r="C342" s="19">
        <f>MONTH(Tabela6[[#This Row],[Data]])</f>
        <v>5</v>
      </c>
      <c r="D342" s="19">
        <f>YEAR(Tabela6[[#This Row],[Data]])</f>
        <v>2021</v>
      </c>
      <c r="E342" s="12" t="s">
        <v>78</v>
      </c>
      <c r="F342" t="s">
        <v>61</v>
      </c>
      <c r="G342" s="26">
        <v>8</v>
      </c>
      <c r="H342">
        <v>4</v>
      </c>
      <c r="I342" t="str">
        <f>IFERROR(VLOOKUP(Tabela6[[#This Row],[Descrição]],Materiais!B:C,2,0),"")</f>
        <v/>
      </c>
    </row>
    <row r="343" spans="2:9">
      <c r="B343" s="11">
        <f t="shared" si="19"/>
        <v>44332</v>
      </c>
      <c r="C343" s="19">
        <f>MONTH(Tabela6[[#This Row],[Data]])</f>
        <v>5</v>
      </c>
      <c r="D343" s="19">
        <f>YEAR(Tabela6[[#This Row],[Data]])</f>
        <v>2021</v>
      </c>
      <c r="E343" s="12" t="s">
        <v>72</v>
      </c>
      <c r="F343" t="s">
        <v>22</v>
      </c>
      <c r="G343" s="26">
        <v>-24</v>
      </c>
      <c r="H343">
        <v>600</v>
      </c>
      <c r="I343" t="str">
        <f>IFERROR(VLOOKUP(Tabela6[[#This Row],[Descrição]],Materiais!B:C,2,0),"")</f>
        <v>g</v>
      </c>
    </row>
    <row r="344" spans="2:9">
      <c r="B344" s="11">
        <f t="shared" si="19"/>
        <v>44332</v>
      </c>
      <c r="C344" s="19">
        <f>MONTH(Tabela6[[#This Row],[Data]])</f>
        <v>5</v>
      </c>
      <c r="D344" s="19">
        <f>YEAR(Tabela6[[#This Row],[Data]])</f>
        <v>2021</v>
      </c>
      <c r="E344" s="12" t="s">
        <v>78</v>
      </c>
      <c r="F344" t="s">
        <v>58</v>
      </c>
      <c r="G344" s="26">
        <v>6</v>
      </c>
      <c r="H344">
        <v>3</v>
      </c>
      <c r="I344" t="str">
        <f>IFERROR(VLOOKUP(Tabela6[[#This Row],[Descrição]],Materiais!B:C,2,0),"")</f>
        <v/>
      </c>
    </row>
    <row r="345" spans="2:9">
      <c r="B345" s="11">
        <f t="shared" si="19"/>
        <v>44332</v>
      </c>
      <c r="C345" s="19">
        <f>MONTH(Tabela6[[#This Row],[Data]])</f>
        <v>5</v>
      </c>
      <c r="D345" s="19">
        <f>YEAR(Tabela6[[#This Row],[Data]])</f>
        <v>2021</v>
      </c>
      <c r="E345" s="12" t="s">
        <v>78</v>
      </c>
      <c r="F345" t="s">
        <v>117</v>
      </c>
      <c r="G345" s="26">
        <v>4</v>
      </c>
      <c r="H345">
        <v>2</v>
      </c>
      <c r="I345" t="str">
        <f>IFERROR(VLOOKUP(Tabela6[[#This Row],[Descrição]],Materiais!B:C,2,0),"")</f>
        <v/>
      </c>
    </row>
    <row r="346" spans="2:9">
      <c r="B346" s="11">
        <f>42873+(365*4)</f>
        <v>44333</v>
      </c>
      <c r="C346" s="19">
        <f>MONTH(Tabela6[[#This Row],[Data]])</f>
        <v>5</v>
      </c>
      <c r="D346" s="19">
        <f>YEAR(Tabela6[[#This Row],[Data]])</f>
        <v>2021</v>
      </c>
      <c r="E346" s="12" t="s">
        <v>78</v>
      </c>
      <c r="F346" t="s">
        <v>63</v>
      </c>
      <c r="G346" s="26">
        <v>8</v>
      </c>
      <c r="H346">
        <v>4</v>
      </c>
      <c r="I346" t="str">
        <f>IFERROR(VLOOKUP(Tabela6[[#This Row],[Descrição]],Materiais!B:C,2,0),"")</f>
        <v/>
      </c>
    </row>
    <row r="347" spans="2:9">
      <c r="B347" s="11">
        <f>42873+(365*4)</f>
        <v>44333</v>
      </c>
      <c r="C347" s="19">
        <f>MONTH(Tabela6[[#This Row],[Data]])</f>
        <v>5</v>
      </c>
      <c r="D347" s="19">
        <f>YEAR(Tabela6[[#This Row],[Data]])</f>
        <v>2021</v>
      </c>
      <c r="E347" s="12" t="s">
        <v>78</v>
      </c>
      <c r="F347" t="s">
        <v>56</v>
      </c>
      <c r="G347" s="26">
        <v>12</v>
      </c>
      <c r="H347">
        <v>6</v>
      </c>
      <c r="I347" t="str">
        <f>IFERROR(VLOOKUP(Tabela6[[#This Row],[Descrição]],Materiais!B:C,2,0),"")</f>
        <v/>
      </c>
    </row>
    <row r="348" spans="2:9">
      <c r="B348" s="11">
        <f>42873+(365*4)</f>
        <v>44333</v>
      </c>
      <c r="C348" s="19">
        <f>MONTH(Tabela6[[#This Row],[Data]])</f>
        <v>5</v>
      </c>
      <c r="D348" s="19">
        <f>YEAR(Tabela6[[#This Row],[Data]])</f>
        <v>2021</v>
      </c>
      <c r="E348" s="12" t="s">
        <v>78</v>
      </c>
      <c r="F348" t="s">
        <v>100</v>
      </c>
      <c r="G348" s="26">
        <v>2</v>
      </c>
      <c r="H348">
        <v>1</v>
      </c>
      <c r="I348" t="str">
        <f>IFERROR(VLOOKUP(Tabela6[[#This Row],[Descrição]],Materiais!B:C,2,0),"")</f>
        <v/>
      </c>
    </row>
    <row r="349" spans="2:9">
      <c r="B349" s="11">
        <f>42873+(365*4)</f>
        <v>44333</v>
      </c>
      <c r="C349" s="19">
        <f>MONTH(Tabela6[[#This Row],[Data]])</f>
        <v>5</v>
      </c>
      <c r="D349" s="19">
        <f>YEAR(Tabela6[[#This Row],[Data]])</f>
        <v>2021</v>
      </c>
      <c r="E349" s="12" t="s">
        <v>78</v>
      </c>
      <c r="F349" t="s">
        <v>61</v>
      </c>
      <c r="G349" s="26">
        <v>10</v>
      </c>
      <c r="H349">
        <v>5</v>
      </c>
      <c r="I349" t="str">
        <f>IFERROR(VLOOKUP(Tabela6[[#This Row],[Descrição]],Materiais!B:C,2,0),"")</f>
        <v/>
      </c>
    </row>
    <row r="350" spans="2:9">
      <c r="B350" s="11">
        <f>42873+(365*4)</f>
        <v>44333</v>
      </c>
      <c r="C350" s="19">
        <f>MONTH(Tabela6[[#This Row],[Data]])</f>
        <v>5</v>
      </c>
      <c r="D350" s="19">
        <f>YEAR(Tabela6[[#This Row],[Data]])</f>
        <v>2021</v>
      </c>
      <c r="E350" s="12" t="s">
        <v>78</v>
      </c>
      <c r="F350" t="s">
        <v>58</v>
      </c>
      <c r="G350" s="26">
        <v>2</v>
      </c>
      <c r="H350">
        <v>1</v>
      </c>
      <c r="I350" t="str">
        <f>IFERROR(VLOOKUP(Tabela6[[#This Row],[Descrição]],Materiais!B:C,2,0),"")</f>
        <v/>
      </c>
    </row>
    <row r="351" spans="2:9">
      <c r="B351" s="11">
        <f>42874+(365*4)</f>
        <v>44334</v>
      </c>
      <c r="C351" s="19">
        <f>MONTH(Tabela6[[#This Row],[Data]])</f>
        <v>5</v>
      </c>
      <c r="D351" s="19">
        <f>YEAR(Tabela6[[#This Row],[Data]])</f>
        <v>2021</v>
      </c>
      <c r="E351" s="12" t="s">
        <v>78</v>
      </c>
      <c r="F351" t="s">
        <v>56</v>
      </c>
      <c r="G351" s="26">
        <v>2</v>
      </c>
      <c r="H351">
        <v>1</v>
      </c>
      <c r="I351" t="str">
        <f>IFERROR(VLOOKUP(Tabela6[[#This Row],[Descrição]],Materiais!B:C,2,0),"")</f>
        <v/>
      </c>
    </row>
    <row r="352" spans="2:9">
      <c r="B352" s="11">
        <f>42874+(365*4)</f>
        <v>44334</v>
      </c>
      <c r="C352" s="19">
        <f>MONTH(Tabela6[[#This Row],[Data]])</f>
        <v>5</v>
      </c>
      <c r="D352" s="19">
        <f>YEAR(Tabela6[[#This Row],[Data]])</f>
        <v>2021</v>
      </c>
      <c r="E352" s="12" t="s">
        <v>78</v>
      </c>
      <c r="F352" t="s">
        <v>61</v>
      </c>
      <c r="G352" s="26">
        <v>8</v>
      </c>
      <c r="H352">
        <v>4</v>
      </c>
      <c r="I352" t="str">
        <f>IFERROR(VLOOKUP(Tabela6[[#This Row],[Descrição]],Materiais!B:C,2,0),"")</f>
        <v/>
      </c>
    </row>
    <row r="353" spans="2:9">
      <c r="B353" s="11">
        <f>42874+(365*4)</f>
        <v>44334</v>
      </c>
      <c r="C353" s="19">
        <f>MONTH(Tabela6[[#This Row],[Data]])</f>
        <v>5</v>
      </c>
      <c r="D353" s="19">
        <f>YEAR(Tabela6[[#This Row],[Data]])</f>
        <v>2021</v>
      </c>
      <c r="E353" s="12" t="s">
        <v>78</v>
      </c>
      <c r="F353" t="s">
        <v>58</v>
      </c>
      <c r="G353" s="26">
        <v>2</v>
      </c>
      <c r="H353">
        <v>1</v>
      </c>
      <c r="I353" t="str">
        <f>IFERROR(VLOOKUP(Tabela6[[#This Row],[Descrição]],Materiais!B:C,2,0),"")</f>
        <v/>
      </c>
    </row>
    <row r="354" spans="2:9">
      <c r="B354" s="11">
        <f>42874+(365*4)</f>
        <v>44334</v>
      </c>
      <c r="C354" s="19">
        <f>MONTH(Tabela6[[#This Row],[Data]])</f>
        <v>5</v>
      </c>
      <c r="D354" s="19">
        <f>YEAR(Tabela6[[#This Row],[Data]])</f>
        <v>2021</v>
      </c>
      <c r="E354" s="12" t="s">
        <v>78</v>
      </c>
      <c r="F354" t="s">
        <v>117</v>
      </c>
      <c r="G354" s="26">
        <v>2</v>
      </c>
      <c r="H354">
        <v>1</v>
      </c>
      <c r="I354" t="str">
        <f>IFERROR(VLOOKUP(Tabela6[[#This Row],[Descrição]],Materiais!B:C,2,0),"")</f>
        <v/>
      </c>
    </row>
    <row r="355" spans="2:9">
      <c r="B355" s="11">
        <f>42875+(365*4)</f>
        <v>44335</v>
      </c>
      <c r="C355" s="19">
        <f>MONTH(Tabela6[[#This Row],[Data]])</f>
        <v>5</v>
      </c>
      <c r="D355" s="19">
        <f>YEAR(Tabela6[[#This Row],[Data]])</f>
        <v>2021</v>
      </c>
      <c r="E355" s="12" t="s">
        <v>78</v>
      </c>
      <c r="F355" t="s">
        <v>56</v>
      </c>
      <c r="G355" s="26">
        <v>10</v>
      </c>
      <c r="H355">
        <v>35</v>
      </c>
      <c r="I355" t="str">
        <f>IFERROR(VLOOKUP(Tabela6[[#This Row],[Descrição]],Materiais!B:C,2,0),"")</f>
        <v/>
      </c>
    </row>
    <row r="356" spans="2:9">
      <c r="B356" s="11">
        <f>42875+(365*4)</f>
        <v>44335</v>
      </c>
      <c r="C356" s="19">
        <f>MONTH(Tabela6[[#This Row],[Data]])</f>
        <v>5</v>
      </c>
      <c r="D356" s="19">
        <f>YEAR(Tabela6[[#This Row],[Data]])</f>
        <v>2021</v>
      </c>
      <c r="E356" s="12" t="s">
        <v>78</v>
      </c>
      <c r="F356" t="s">
        <v>100</v>
      </c>
      <c r="G356" s="26">
        <v>35</v>
      </c>
      <c r="H356">
        <v>50</v>
      </c>
      <c r="I356" t="str">
        <f>IFERROR(VLOOKUP(Tabela6[[#This Row],[Descrição]],Materiais!B:C,2,0),"")</f>
        <v/>
      </c>
    </row>
    <row r="357" spans="2:9">
      <c r="B357" s="11">
        <f>42875+(365*4)</f>
        <v>44335</v>
      </c>
      <c r="C357" s="19">
        <f>MONTH(Tabela6[[#This Row],[Data]])</f>
        <v>5</v>
      </c>
      <c r="D357" s="19">
        <f>YEAR(Tabela6[[#This Row],[Data]])</f>
        <v>2021</v>
      </c>
      <c r="E357" s="12" t="s">
        <v>78</v>
      </c>
      <c r="F357" t="s">
        <v>116</v>
      </c>
      <c r="G357" s="26">
        <v>56</v>
      </c>
      <c r="H357">
        <v>80</v>
      </c>
      <c r="I357" t="str">
        <f>IFERROR(VLOOKUP(Tabela6[[#This Row],[Descrição]],Materiais!B:C,2,0),"")</f>
        <v/>
      </c>
    </row>
    <row r="358" spans="2:9">
      <c r="B358" s="11">
        <f>42875+(365*4)</f>
        <v>44335</v>
      </c>
      <c r="C358" s="19">
        <f>MONTH(Tabela6[[#This Row],[Data]])</f>
        <v>5</v>
      </c>
      <c r="D358" s="19">
        <f>YEAR(Tabela6[[#This Row],[Data]])</f>
        <v>2021</v>
      </c>
      <c r="E358" s="12" t="s">
        <v>78</v>
      </c>
      <c r="F358" t="s">
        <v>121</v>
      </c>
      <c r="G358" s="26">
        <v>35</v>
      </c>
      <c r="H358">
        <v>50</v>
      </c>
      <c r="I358" t="str">
        <f>IFERROR(VLOOKUP(Tabela6[[#This Row],[Descrição]],Materiais!B:C,2,0),"")</f>
        <v/>
      </c>
    </row>
    <row r="359" spans="2:9">
      <c r="B359" s="11">
        <f>42875+(365*4)</f>
        <v>44335</v>
      </c>
      <c r="C359" s="19">
        <f>MONTH(Tabela6[[#This Row],[Data]])</f>
        <v>5</v>
      </c>
      <c r="D359" s="19">
        <f>YEAR(Tabela6[[#This Row],[Data]])</f>
        <v>2021</v>
      </c>
      <c r="E359" s="12" t="s">
        <v>78</v>
      </c>
      <c r="F359" t="s">
        <v>122</v>
      </c>
      <c r="G359" s="26">
        <v>28</v>
      </c>
      <c r="H359">
        <v>40</v>
      </c>
      <c r="I359" t="str">
        <f>IFERROR(VLOOKUP(Tabela6[[#This Row],[Descrição]],Materiais!B:C,2,0),"")</f>
        <v/>
      </c>
    </row>
    <row r="360" spans="2:9">
      <c r="B360" s="11">
        <f t="shared" ref="B360:B378" si="20">42877+(365*4)</f>
        <v>44337</v>
      </c>
      <c r="C360" s="19">
        <f>MONTH(Tabela6[[#This Row],[Data]])</f>
        <v>5</v>
      </c>
      <c r="D360" s="19">
        <f>YEAR(Tabela6[[#This Row],[Data]])</f>
        <v>2021</v>
      </c>
      <c r="E360" s="12" t="s">
        <v>72</v>
      </c>
      <c r="F360" t="s">
        <v>7</v>
      </c>
      <c r="G360" s="26">
        <v>-2.5299999999999998</v>
      </c>
      <c r="H360">
        <v>270</v>
      </c>
      <c r="I360" t="str">
        <f>IFERROR(VLOOKUP(Tabela6[[#This Row],[Descrição]],Materiais!B:C,2,0),"")</f>
        <v>g</v>
      </c>
    </row>
    <row r="361" spans="2:9">
      <c r="B361" s="11">
        <f t="shared" si="20"/>
        <v>44337</v>
      </c>
      <c r="C361" s="19">
        <f>MONTH(Tabela6[[#This Row],[Data]])</f>
        <v>5</v>
      </c>
      <c r="D361" s="19">
        <f>YEAR(Tabela6[[#This Row],[Data]])</f>
        <v>2021</v>
      </c>
      <c r="E361" s="12" t="s">
        <v>78</v>
      </c>
      <c r="F361" t="s">
        <v>63</v>
      </c>
      <c r="G361" s="26">
        <v>2</v>
      </c>
      <c r="H361">
        <v>1</v>
      </c>
      <c r="I361" t="str">
        <f>IFERROR(VLOOKUP(Tabela6[[#This Row],[Descrição]],Materiais!B:C,2,0),"")</f>
        <v/>
      </c>
    </row>
    <row r="362" spans="2:9">
      <c r="B362" s="11">
        <f t="shared" si="20"/>
        <v>44337</v>
      </c>
      <c r="C362" s="19">
        <f>MONTH(Tabela6[[#This Row],[Data]])</f>
        <v>5</v>
      </c>
      <c r="D362" s="19">
        <f>YEAR(Tabela6[[#This Row],[Data]])</f>
        <v>2021</v>
      </c>
      <c r="E362" s="12" t="s">
        <v>78</v>
      </c>
      <c r="F362" t="s">
        <v>63</v>
      </c>
      <c r="G362" s="26">
        <v>8</v>
      </c>
      <c r="H362">
        <v>4</v>
      </c>
      <c r="I362" t="str">
        <f>IFERROR(VLOOKUP(Tabela6[[#This Row],[Descrição]],Materiais!B:C,2,0),"")</f>
        <v/>
      </c>
    </row>
    <row r="363" spans="2:9">
      <c r="B363" s="11">
        <f t="shared" si="20"/>
        <v>44337</v>
      </c>
      <c r="C363" s="19">
        <f>MONTH(Tabela6[[#This Row],[Data]])</f>
        <v>5</v>
      </c>
      <c r="D363" s="19">
        <f>YEAR(Tabela6[[#This Row],[Data]])</f>
        <v>2021</v>
      </c>
      <c r="E363" s="12" t="s">
        <v>78</v>
      </c>
      <c r="F363" t="s">
        <v>56</v>
      </c>
      <c r="G363" s="26">
        <v>6</v>
      </c>
      <c r="H363">
        <v>3</v>
      </c>
      <c r="I363" t="str">
        <f>IFERROR(VLOOKUP(Tabela6[[#This Row],[Descrição]],Materiais!B:C,2,0),"")</f>
        <v/>
      </c>
    </row>
    <row r="364" spans="2:9">
      <c r="B364" s="11">
        <f t="shared" si="20"/>
        <v>44337</v>
      </c>
      <c r="C364" s="19">
        <f>MONTH(Tabela6[[#This Row],[Data]])</f>
        <v>5</v>
      </c>
      <c r="D364" s="19">
        <f>YEAR(Tabela6[[#This Row],[Data]])</f>
        <v>2021</v>
      </c>
      <c r="E364" s="12" t="s">
        <v>78</v>
      </c>
      <c r="F364" t="s">
        <v>56</v>
      </c>
      <c r="G364" s="26">
        <v>8</v>
      </c>
      <c r="H364">
        <v>4</v>
      </c>
      <c r="I364" t="str">
        <f>IFERROR(VLOOKUP(Tabela6[[#This Row],[Descrição]],Materiais!B:C,2,0),"")</f>
        <v/>
      </c>
    </row>
    <row r="365" spans="2:9">
      <c r="B365" s="11">
        <f t="shared" si="20"/>
        <v>44337</v>
      </c>
      <c r="C365" s="19">
        <f>MONTH(Tabela6[[#This Row],[Data]])</f>
        <v>5</v>
      </c>
      <c r="D365" s="19">
        <f>YEAR(Tabela6[[#This Row],[Data]])</f>
        <v>2021</v>
      </c>
      <c r="E365" s="12" t="s">
        <v>78</v>
      </c>
      <c r="F365" t="s">
        <v>100</v>
      </c>
      <c r="G365" s="26">
        <v>2</v>
      </c>
      <c r="H365">
        <v>1</v>
      </c>
      <c r="I365" t="str">
        <f>IFERROR(VLOOKUP(Tabela6[[#This Row],[Descrição]],Materiais!B:C,2,0),"")</f>
        <v/>
      </c>
    </row>
    <row r="366" spans="2:9">
      <c r="B366" s="11">
        <f t="shared" si="20"/>
        <v>44337</v>
      </c>
      <c r="C366" s="19">
        <f>MONTH(Tabela6[[#This Row],[Data]])</f>
        <v>5</v>
      </c>
      <c r="D366" s="19">
        <f>YEAR(Tabela6[[#This Row],[Data]])</f>
        <v>2021</v>
      </c>
      <c r="E366" s="12" t="s">
        <v>78</v>
      </c>
      <c r="F366" t="s">
        <v>61</v>
      </c>
      <c r="G366" s="26">
        <v>4</v>
      </c>
      <c r="H366">
        <v>2</v>
      </c>
      <c r="I366" t="str">
        <f>IFERROR(VLOOKUP(Tabela6[[#This Row],[Descrição]],Materiais!B:C,2,0),"")</f>
        <v/>
      </c>
    </row>
    <row r="367" spans="2:9">
      <c r="B367" s="11">
        <f t="shared" si="20"/>
        <v>44337</v>
      </c>
      <c r="C367" s="19">
        <f>MONTH(Tabela6[[#This Row],[Data]])</f>
        <v>5</v>
      </c>
      <c r="D367" s="19">
        <f>YEAR(Tabela6[[#This Row],[Data]])</f>
        <v>2021</v>
      </c>
      <c r="E367" s="12" t="s">
        <v>78</v>
      </c>
      <c r="F367" t="s">
        <v>61</v>
      </c>
      <c r="G367" s="26">
        <v>12</v>
      </c>
      <c r="H367">
        <v>6</v>
      </c>
      <c r="I367" t="str">
        <f>IFERROR(VLOOKUP(Tabela6[[#This Row],[Descrição]],Materiais!B:C,2,0),"")</f>
        <v/>
      </c>
    </row>
    <row r="368" spans="2:9">
      <c r="B368" s="11">
        <f t="shared" si="20"/>
        <v>44337</v>
      </c>
      <c r="C368" s="19">
        <f>MONTH(Tabela6[[#This Row],[Data]])</f>
        <v>5</v>
      </c>
      <c r="D368" s="19">
        <f>YEAR(Tabela6[[#This Row],[Data]])</f>
        <v>2021</v>
      </c>
      <c r="E368" s="12" t="s">
        <v>72</v>
      </c>
      <c r="F368" t="s">
        <v>16</v>
      </c>
      <c r="G368" s="26">
        <v>-26.5</v>
      </c>
      <c r="H368">
        <v>1000</v>
      </c>
      <c r="I368" t="str">
        <f>IFERROR(VLOOKUP(Tabela6[[#This Row],[Descrição]],Materiais!B:C,2,0),"")</f>
        <v>g</v>
      </c>
    </row>
    <row r="369" spans="2:9">
      <c r="B369" s="11">
        <f t="shared" si="20"/>
        <v>44337</v>
      </c>
      <c r="C369" s="19">
        <f>MONTH(Tabela6[[#This Row],[Data]])</f>
        <v>5</v>
      </c>
      <c r="D369" s="19">
        <f>YEAR(Tabela6[[#This Row],[Data]])</f>
        <v>2021</v>
      </c>
      <c r="E369" s="12" t="s">
        <v>72</v>
      </c>
      <c r="F369" t="s">
        <v>105</v>
      </c>
      <c r="G369" s="26">
        <v>-13.95</v>
      </c>
      <c r="H369">
        <v>500</v>
      </c>
      <c r="I369" t="str">
        <f>IFERROR(VLOOKUP(Tabela6[[#This Row],[Descrição]],Materiais!B:C,2,0),"")</f>
        <v/>
      </c>
    </row>
    <row r="370" spans="2:9">
      <c r="B370" s="11">
        <f t="shared" si="20"/>
        <v>44337</v>
      </c>
      <c r="C370" s="19">
        <f>MONTH(Tabela6[[#This Row],[Data]])</f>
        <v>5</v>
      </c>
      <c r="D370" s="19">
        <f>YEAR(Tabela6[[#This Row],[Data]])</f>
        <v>2021</v>
      </c>
      <c r="E370" s="12" t="s">
        <v>75</v>
      </c>
      <c r="F370" t="s">
        <v>119</v>
      </c>
      <c r="G370" s="26">
        <v>-2.9699999999999998</v>
      </c>
      <c r="H370">
        <v>300</v>
      </c>
      <c r="I370" t="str">
        <f>IFERROR(VLOOKUP(Tabela6[[#This Row],[Descrição]],Materiais!B:C,2,0),"")</f>
        <v/>
      </c>
    </row>
    <row r="371" spans="2:9">
      <c r="B371" s="11">
        <f t="shared" si="20"/>
        <v>44337</v>
      </c>
      <c r="C371" s="19">
        <f>MONTH(Tabela6[[#This Row],[Data]])</f>
        <v>5</v>
      </c>
      <c r="D371" s="19">
        <f>YEAR(Tabela6[[#This Row],[Data]])</f>
        <v>2021</v>
      </c>
      <c r="E371" s="12" t="s">
        <v>72</v>
      </c>
      <c r="F371" t="s">
        <v>77</v>
      </c>
      <c r="G371" s="26">
        <v>-17.2</v>
      </c>
      <c r="H371">
        <v>1000</v>
      </c>
      <c r="I371" t="str">
        <f>IFERROR(VLOOKUP(Tabela6[[#This Row],[Descrição]],Materiais!B:C,2,0),"")</f>
        <v/>
      </c>
    </row>
    <row r="372" spans="2:9">
      <c r="B372" s="11">
        <f t="shared" si="20"/>
        <v>44337</v>
      </c>
      <c r="C372" s="19">
        <f>MONTH(Tabela6[[#This Row],[Data]])</f>
        <v>5</v>
      </c>
      <c r="D372" s="19">
        <f>YEAR(Tabela6[[#This Row],[Data]])</f>
        <v>2021</v>
      </c>
      <c r="E372" s="12" t="s">
        <v>72</v>
      </c>
      <c r="F372" t="s">
        <v>20</v>
      </c>
      <c r="G372" s="26">
        <v>-89.399999999999991</v>
      </c>
      <c r="H372">
        <v>7900</v>
      </c>
      <c r="I372" t="str">
        <f>IFERROR(VLOOKUP(Tabela6[[#This Row],[Descrição]],Materiais!B:C,2,0),"")</f>
        <v>g</v>
      </c>
    </row>
    <row r="373" spans="2:9">
      <c r="B373" s="11">
        <f t="shared" si="20"/>
        <v>44337</v>
      </c>
      <c r="C373" s="19">
        <f>MONTH(Tabela6[[#This Row],[Data]])</f>
        <v>5</v>
      </c>
      <c r="D373" s="19">
        <f>YEAR(Tabela6[[#This Row],[Data]])</f>
        <v>2021</v>
      </c>
      <c r="E373" s="12" t="s">
        <v>78</v>
      </c>
      <c r="F373" t="s">
        <v>62</v>
      </c>
      <c r="G373" s="26">
        <v>4</v>
      </c>
      <c r="H373">
        <v>2</v>
      </c>
      <c r="I373" t="str">
        <f>IFERROR(VLOOKUP(Tabela6[[#This Row],[Descrição]],Materiais!B:C,2,0),"")</f>
        <v/>
      </c>
    </row>
    <row r="374" spans="2:9">
      <c r="B374" s="11">
        <f t="shared" si="20"/>
        <v>44337</v>
      </c>
      <c r="C374" s="19">
        <f>MONTH(Tabela6[[#This Row],[Data]])</f>
        <v>5</v>
      </c>
      <c r="D374" s="19">
        <f>YEAR(Tabela6[[#This Row],[Data]])</f>
        <v>2021</v>
      </c>
      <c r="E374" s="12" t="s">
        <v>78</v>
      </c>
      <c r="F374" t="s">
        <v>109</v>
      </c>
      <c r="G374" s="26">
        <v>8</v>
      </c>
      <c r="H374">
        <v>4</v>
      </c>
      <c r="I374" t="str">
        <f>IFERROR(VLOOKUP(Tabela6[[#This Row],[Descrição]],Materiais!B:C,2,0),"")</f>
        <v/>
      </c>
    </row>
    <row r="375" spans="2:9">
      <c r="B375" s="11">
        <f t="shared" si="20"/>
        <v>44337</v>
      </c>
      <c r="C375" s="19">
        <f>MONTH(Tabela6[[#This Row],[Data]])</f>
        <v>5</v>
      </c>
      <c r="D375" s="19">
        <f>YEAR(Tabela6[[#This Row],[Data]])</f>
        <v>2021</v>
      </c>
      <c r="E375" s="12" t="s">
        <v>78</v>
      </c>
      <c r="F375" t="s">
        <v>58</v>
      </c>
      <c r="G375" s="26">
        <v>2</v>
      </c>
      <c r="H375">
        <v>1</v>
      </c>
      <c r="I375" t="str">
        <f>IFERROR(VLOOKUP(Tabela6[[#This Row],[Descrição]],Materiais!B:C,2,0),"")</f>
        <v/>
      </c>
    </row>
    <row r="376" spans="2:9">
      <c r="B376" s="11">
        <f t="shared" si="20"/>
        <v>44337</v>
      </c>
      <c r="C376" s="19">
        <f>MONTH(Tabela6[[#This Row],[Data]])</f>
        <v>5</v>
      </c>
      <c r="D376" s="19">
        <f>YEAR(Tabela6[[#This Row],[Data]])</f>
        <v>2021</v>
      </c>
      <c r="E376" s="12" t="s">
        <v>78</v>
      </c>
      <c r="F376" t="s">
        <v>58</v>
      </c>
      <c r="G376" s="26">
        <v>4</v>
      </c>
      <c r="H376">
        <v>2</v>
      </c>
      <c r="I376" t="str">
        <f>IFERROR(VLOOKUP(Tabela6[[#This Row],[Descrição]],Materiais!B:C,2,0),"")</f>
        <v/>
      </c>
    </row>
    <row r="377" spans="2:9">
      <c r="B377" s="11">
        <f t="shared" si="20"/>
        <v>44337</v>
      </c>
      <c r="C377" s="19">
        <f>MONTH(Tabela6[[#This Row],[Data]])</f>
        <v>5</v>
      </c>
      <c r="D377" s="19">
        <f>YEAR(Tabela6[[#This Row],[Data]])</f>
        <v>2021</v>
      </c>
      <c r="E377" s="12" t="s">
        <v>78</v>
      </c>
      <c r="F377" t="s">
        <v>95</v>
      </c>
      <c r="G377" s="26">
        <v>4</v>
      </c>
      <c r="H377">
        <v>2</v>
      </c>
      <c r="I377" t="str">
        <f>IFERROR(VLOOKUP(Tabela6[[#This Row],[Descrição]],Materiais!B:C,2,0),"")</f>
        <v/>
      </c>
    </row>
    <row r="378" spans="2:9">
      <c r="B378" s="11">
        <f t="shared" si="20"/>
        <v>44337</v>
      </c>
      <c r="C378" s="19">
        <f>MONTH(Tabela6[[#This Row],[Data]])</f>
        <v>5</v>
      </c>
      <c r="D378" s="19">
        <f>YEAR(Tabela6[[#This Row],[Data]])</f>
        <v>2021</v>
      </c>
      <c r="E378" s="12" t="s">
        <v>78</v>
      </c>
      <c r="F378" t="s">
        <v>117</v>
      </c>
      <c r="G378" s="26">
        <v>2</v>
      </c>
      <c r="H378">
        <v>1</v>
      </c>
      <c r="I378" t="str">
        <f>IFERROR(VLOOKUP(Tabela6[[#This Row],[Descrição]],Materiais!B:C,2,0),"")</f>
        <v/>
      </c>
    </row>
    <row r="379" spans="2:9">
      <c r="B379" s="11">
        <f t="shared" ref="B379:B395" si="21">42878+(365*4)</f>
        <v>44338</v>
      </c>
      <c r="C379" s="19">
        <f>MONTH(Tabela6[[#This Row],[Data]])</f>
        <v>5</v>
      </c>
      <c r="D379" s="19">
        <f>YEAR(Tabela6[[#This Row],[Data]])</f>
        <v>2021</v>
      </c>
      <c r="E379" s="12" t="s">
        <v>78</v>
      </c>
      <c r="F379" t="s">
        <v>63</v>
      </c>
      <c r="G379" s="26">
        <v>2</v>
      </c>
      <c r="H379">
        <v>1</v>
      </c>
      <c r="I379" t="str">
        <f>IFERROR(VLOOKUP(Tabela6[[#This Row],[Descrição]],Materiais!B:C,2,0),"")</f>
        <v/>
      </c>
    </row>
    <row r="380" spans="2:9">
      <c r="B380" s="11">
        <f t="shared" si="21"/>
        <v>44338</v>
      </c>
      <c r="C380" s="19">
        <f>MONTH(Tabela6[[#This Row],[Data]])</f>
        <v>5</v>
      </c>
      <c r="D380" s="19">
        <f>YEAR(Tabela6[[#This Row],[Data]])</f>
        <v>2021</v>
      </c>
      <c r="E380" s="12" t="s">
        <v>78</v>
      </c>
      <c r="F380" t="s">
        <v>63</v>
      </c>
      <c r="G380" s="26">
        <v>12</v>
      </c>
      <c r="H380">
        <v>6</v>
      </c>
      <c r="I380" t="str">
        <f>IFERROR(VLOOKUP(Tabela6[[#This Row],[Descrição]],Materiais!B:C,2,0),"")</f>
        <v/>
      </c>
    </row>
    <row r="381" spans="2:9">
      <c r="B381" s="11">
        <f t="shared" si="21"/>
        <v>44338</v>
      </c>
      <c r="C381" s="19">
        <f>MONTH(Tabela6[[#This Row],[Data]])</f>
        <v>5</v>
      </c>
      <c r="D381" s="19">
        <f>YEAR(Tabela6[[#This Row],[Data]])</f>
        <v>2021</v>
      </c>
      <c r="E381" s="12" t="s">
        <v>78</v>
      </c>
      <c r="F381" t="s">
        <v>56</v>
      </c>
      <c r="G381" s="26">
        <v>10</v>
      </c>
      <c r="H381">
        <v>5</v>
      </c>
      <c r="I381" t="str">
        <f>IFERROR(VLOOKUP(Tabela6[[#This Row],[Descrição]],Materiais!B:C,2,0),"")</f>
        <v/>
      </c>
    </row>
    <row r="382" spans="2:9">
      <c r="B382" s="11">
        <f t="shared" si="21"/>
        <v>44338</v>
      </c>
      <c r="C382" s="19">
        <f>MONTH(Tabela6[[#This Row],[Data]])</f>
        <v>5</v>
      </c>
      <c r="D382" s="19">
        <f>YEAR(Tabela6[[#This Row],[Data]])</f>
        <v>2021</v>
      </c>
      <c r="E382" s="12" t="s">
        <v>78</v>
      </c>
      <c r="F382" t="s">
        <v>56</v>
      </c>
      <c r="G382" s="26">
        <v>28</v>
      </c>
      <c r="H382">
        <v>14</v>
      </c>
      <c r="I382" t="str">
        <f>IFERROR(VLOOKUP(Tabela6[[#This Row],[Descrição]],Materiais!B:C,2,0),"")</f>
        <v/>
      </c>
    </row>
    <row r="383" spans="2:9">
      <c r="B383" s="11">
        <f t="shared" si="21"/>
        <v>44338</v>
      </c>
      <c r="C383" s="19">
        <f>MONTH(Tabela6[[#This Row],[Data]])</f>
        <v>5</v>
      </c>
      <c r="D383" s="19">
        <f>YEAR(Tabela6[[#This Row],[Data]])</f>
        <v>2021</v>
      </c>
      <c r="E383" s="12" t="s">
        <v>78</v>
      </c>
      <c r="F383" t="s">
        <v>100</v>
      </c>
      <c r="G383" s="26">
        <v>6</v>
      </c>
      <c r="H383">
        <v>3</v>
      </c>
      <c r="I383" t="str">
        <f>IFERROR(VLOOKUP(Tabela6[[#This Row],[Descrição]],Materiais!B:C,2,0),"")</f>
        <v/>
      </c>
    </row>
    <row r="384" spans="2:9">
      <c r="B384" s="11">
        <f t="shared" si="21"/>
        <v>44338</v>
      </c>
      <c r="C384" s="19">
        <f>MONTH(Tabela6[[#This Row],[Data]])</f>
        <v>5</v>
      </c>
      <c r="D384" s="19">
        <f>YEAR(Tabela6[[#This Row],[Data]])</f>
        <v>2021</v>
      </c>
      <c r="E384" s="12" t="s">
        <v>78</v>
      </c>
      <c r="F384" t="s">
        <v>100</v>
      </c>
      <c r="G384" s="26">
        <v>12</v>
      </c>
      <c r="H384">
        <v>6</v>
      </c>
      <c r="I384" t="str">
        <f>IFERROR(VLOOKUP(Tabela6[[#This Row],[Descrição]],Materiais!B:C,2,0),"")</f>
        <v/>
      </c>
    </row>
    <row r="385" spans="2:9">
      <c r="B385" s="11">
        <f t="shared" si="21"/>
        <v>44338</v>
      </c>
      <c r="C385" s="19">
        <f>MONTH(Tabela6[[#This Row],[Data]])</f>
        <v>5</v>
      </c>
      <c r="D385" s="19">
        <f>YEAR(Tabela6[[#This Row],[Data]])</f>
        <v>2021</v>
      </c>
      <c r="E385" s="12" t="s">
        <v>78</v>
      </c>
      <c r="F385" t="s">
        <v>61</v>
      </c>
      <c r="G385" s="26">
        <v>4</v>
      </c>
      <c r="H385">
        <v>2</v>
      </c>
      <c r="I385" t="str">
        <f>IFERROR(VLOOKUP(Tabela6[[#This Row],[Descrição]],Materiais!B:C,2,0),"")</f>
        <v/>
      </c>
    </row>
    <row r="386" spans="2:9">
      <c r="B386" s="11">
        <f t="shared" si="21"/>
        <v>44338</v>
      </c>
      <c r="C386" s="19">
        <f>MONTH(Tabela6[[#This Row],[Data]])</f>
        <v>5</v>
      </c>
      <c r="D386" s="19">
        <f>YEAR(Tabela6[[#This Row],[Data]])</f>
        <v>2021</v>
      </c>
      <c r="E386" s="12" t="s">
        <v>78</v>
      </c>
      <c r="F386" t="s">
        <v>61</v>
      </c>
      <c r="G386" s="26">
        <v>20</v>
      </c>
      <c r="H386">
        <v>10</v>
      </c>
      <c r="I386" t="str">
        <f>IFERROR(VLOOKUP(Tabela6[[#This Row],[Descrição]],Materiais!B:C,2,0),"")</f>
        <v/>
      </c>
    </row>
    <row r="387" spans="2:9">
      <c r="B387" s="11">
        <f t="shared" si="21"/>
        <v>44338</v>
      </c>
      <c r="C387" s="19">
        <f>MONTH(Tabela6[[#This Row],[Data]])</f>
        <v>5</v>
      </c>
      <c r="D387" s="19">
        <f>YEAR(Tabela6[[#This Row],[Data]])</f>
        <v>2021</v>
      </c>
      <c r="E387" s="12" t="s">
        <v>78</v>
      </c>
      <c r="F387" t="s">
        <v>62</v>
      </c>
      <c r="G387" s="26">
        <v>8</v>
      </c>
      <c r="H387">
        <v>4</v>
      </c>
      <c r="I387" t="str">
        <f>IFERROR(VLOOKUP(Tabela6[[#This Row],[Descrição]],Materiais!B:C,2,0),"")</f>
        <v/>
      </c>
    </row>
    <row r="388" spans="2:9">
      <c r="B388" s="11">
        <f t="shared" si="21"/>
        <v>44338</v>
      </c>
      <c r="C388" s="19">
        <f>MONTH(Tabela6[[#This Row],[Data]])</f>
        <v>5</v>
      </c>
      <c r="D388" s="19">
        <f>YEAR(Tabela6[[#This Row],[Data]])</f>
        <v>2021</v>
      </c>
      <c r="E388" s="12" t="s">
        <v>78</v>
      </c>
      <c r="F388" t="s">
        <v>109</v>
      </c>
      <c r="G388" s="26">
        <v>2</v>
      </c>
      <c r="H388">
        <v>1</v>
      </c>
      <c r="I388" t="str">
        <f>IFERROR(VLOOKUP(Tabela6[[#This Row],[Descrição]],Materiais!B:C,2,0),"")</f>
        <v/>
      </c>
    </row>
    <row r="389" spans="2:9">
      <c r="B389" s="11">
        <f t="shared" si="21"/>
        <v>44338</v>
      </c>
      <c r="C389" s="19">
        <f>MONTH(Tabela6[[#This Row],[Data]])</f>
        <v>5</v>
      </c>
      <c r="D389" s="19">
        <f>YEAR(Tabela6[[#This Row],[Data]])</f>
        <v>2021</v>
      </c>
      <c r="E389" s="12" t="s">
        <v>78</v>
      </c>
      <c r="F389" t="s">
        <v>109</v>
      </c>
      <c r="G389" s="26">
        <v>16</v>
      </c>
      <c r="H389">
        <v>8</v>
      </c>
      <c r="I389" t="str">
        <f>IFERROR(VLOOKUP(Tabela6[[#This Row],[Descrição]],Materiais!B:C,2,0),"")</f>
        <v/>
      </c>
    </row>
    <row r="390" spans="2:9">
      <c r="B390" s="11">
        <f t="shared" si="21"/>
        <v>44338</v>
      </c>
      <c r="C390" s="19">
        <f>MONTH(Tabela6[[#This Row],[Data]])</f>
        <v>5</v>
      </c>
      <c r="D390" s="19">
        <f>YEAR(Tabela6[[#This Row],[Data]])</f>
        <v>2021</v>
      </c>
      <c r="E390" s="12" t="s">
        <v>78</v>
      </c>
      <c r="F390" t="s">
        <v>58</v>
      </c>
      <c r="G390" s="26">
        <v>4</v>
      </c>
      <c r="H390">
        <v>2</v>
      </c>
      <c r="I390" t="str">
        <f>IFERROR(VLOOKUP(Tabela6[[#This Row],[Descrição]],Materiais!B:C,2,0),"")</f>
        <v/>
      </c>
    </row>
    <row r="391" spans="2:9">
      <c r="B391" s="11">
        <f t="shared" si="21"/>
        <v>44338</v>
      </c>
      <c r="C391" s="19">
        <f>MONTH(Tabela6[[#This Row],[Data]])</f>
        <v>5</v>
      </c>
      <c r="D391" s="19">
        <f>YEAR(Tabela6[[#This Row],[Data]])</f>
        <v>2021</v>
      </c>
      <c r="E391" s="12" t="s">
        <v>78</v>
      </c>
      <c r="F391" t="s">
        <v>58</v>
      </c>
      <c r="G391" s="26">
        <v>16</v>
      </c>
      <c r="H391">
        <v>8</v>
      </c>
      <c r="I391" t="str">
        <f>IFERROR(VLOOKUP(Tabela6[[#This Row],[Descrição]],Materiais!B:C,2,0),"")</f>
        <v/>
      </c>
    </row>
    <row r="392" spans="2:9">
      <c r="B392" s="11">
        <f t="shared" si="21"/>
        <v>44338</v>
      </c>
      <c r="C392" s="19">
        <f>MONTH(Tabela6[[#This Row],[Data]])</f>
        <v>5</v>
      </c>
      <c r="D392" s="19">
        <f>YEAR(Tabela6[[#This Row],[Data]])</f>
        <v>2021</v>
      </c>
      <c r="E392" s="12" t="s">
        <v>78</v>
      </c>
      <c r="F392" t="s">
        <v>95</v>
      </c>
      <c r="G392" s="26">
        <v>4</v>
      </c>
      <c r="H392">
        <v>2</v>
      </c>
      <c r="I392" t="str">
        <f>IFERROR(VLOOKUP(Tabela6[[#This Row],[Descrição]],Materiais!B:C,2,0),"")</f>
        <v/>
      </c>
    </row>
    <row r="393" spans="2:9">
      <c r="B393" s="11">
        <f t="shared" si="21"/>
        <v>44338</v>
      </c>
      <c r="C393" s="19">
        <f>MONTH(Tabela6[[#This Row],[Data]])</f>
        <v>5</v>
      </c>
      <c r="D393" s="19">
        <f>YEAR(Tabela6[[#This Row],[Data]])</f>
        <v>2021</v>
      </c>
      <c r="E393" s="12" t="s">
        <v>78</v>
      </c>
      <c r="F393" t="s">
        <v>95</v>
      </c>
      <c r="G393" s="26">
        <v>22</v>
      </c>
      <c r="H393">
        <v>11</v>
      </c>
      <c r="I393" t="str">
        <f>IFERROR(VLOOKUP(Tabela6[[#This Row],[Descrição]],Materiais!B:C,2,0),"")</f>
        <v/>
      </c>
    </row>
    <row r="394" spans="2:9">
      <c r="B394" s="11">
        <f t="shared" si="21"/>
        <v>44338</v>
      </c>
      <c r="C394" s="19">
        <f>MONTH(Tabela6[[#This Row],[Data]])</f>
        <v>5</v>
      </c>
      <c r="D394" s="19">
        <f>YEAR(Tabela6[[#This Row],[Data]])</f>
        <v>2021</v>
      </c>
      <c r="E394" s="12" t="s">
        <v>78</v>
      </c>
      <c r="F394" t="s">
        <v>117</v>
      </c>
      <c r="G394" s="26">
        <v>4</v>
      </c>
      <c r="H394">
        <v>2</v>
      </c>
      <c r="I394" t="str">
        <f>IFERROR(VLOOKUP(Tabela6[[#This Row],[Descrição]],Materiais!B:C,2,0),"")</f>
        <v/>
      </c>
    </row>
    <row r="395" spans="2:9">
      <c r="B395" s="11">
        <f t="shared" si="21"/>
        <v>44338</v>
      </c>
      <c r="C395" s="19">
        <f>MONTH(Tabela6[[#This Row],[Data]])</f>
        <v>5</v>
      </c>
      <c r="D395" s="19">
        <f>YEAR(Tabela6[[#This Row],[Data]])</f>
        <v>2021</v>
      </c>
      <c r="E395" s="12" t="s">
        <v>78</v>
      </c>
      <c r="F395" t="s">
        <v>117</v>
      </c>
      <c r="G395" s="26">
        <v>8</v>
      </c>
      <c r="H395">
        <v>4</v>
      </c>
      <c r="I395" t="str">
        <f>IFERROR(VLOOKUP(Tabela6[[#This Row],[Descrição]],Materiais!B:C,2,0),"")</f>
        <v/>
      </c>
    </row>
    <row r="396" spans="2:9">
      <c r="B396" s="11">
        <f t="shared" ref="B396:B412" si="22">42879+(365*4)</f>
        <v>44339</v>
      </c>
      <c r="C396" s="19">
        <f>MONTH(Tabela6[[#This Row],[Data]])</f>
        <v>5</v>
      </c>
      <c r="D396" s="19">
        <f>YEAR(Tabela6[[#This Row],[Data]])</f>
        <v>2021</v>
      </c>
      <c r="E396" s="12" t="s">
        <v>78</v>
      </c>
      <c r="F396" t="s">
        <v>63</v>
      </c>
      <c r="G396" s="26">
        <v>4</v>
      </c>
      <c r="H396">
        <v>2</v>
      </c>
      <c r="I396" t="str">
        <f>IFERROR(VLOOKUP(Tabela6[[#This Row],[Descrição]],Materiais!B:C,2,0),"")</f>
        <v/>
      </c>
    </row>
    <row r="397" spans="2:9">
      <c r="B397" s="11">
        <f t="shared" si="22"/>
        <v>44339</v>
      </c>
      <c r="C397" s="19">
        <f>MONTH(Tabela6[[#This Row],[Data]])</f>
        <v>5</v>
      </c>
      <c r="D397" s="19">
        <f>YEAR(Tabela6[[#This Row],[Data]])</f>
        <v>2021</v>
      </c>
      <c r="E397" s="12" t="s">
        <v>78</v>
      </c>
      <c r="F397" t="s">
        <v>63</v>
      </c>
      <c r="G397" s="26">
        <v>8</v>
      </c>
      <c r="H397">
        <v>4</v>
      </c>
      <c r="I397" t="str">
        <f>IFERROR(VLOOKUP(Tabela6[[#This Row],[Descrição]],Materiais!B:C,2,0),"")</f>
        <v/>
      </c>
    </row>
    <row r="398" spans="2:9">
      <c r="B398" s="11">
        <f t="shared" si="22"/>
        <v>44339</v>
      </c>
      <c r="C398" s="19">
        <f>MONTH(Tabela6[[#This Row],[Data]])</f>
        <v>5</v>
      </c>
      <c r="D398" s="19">
        <f>YEAR(Tabela6[[#This Row],[Data]])</f>
        <v>2021</v>
      </c>
      <c r="E398" s="12" t="s">
        <v>78</v>
      </c>
      <c r="F398" t="s">
        <v>56</v>
      </c>
      <c r="G398" s="26">
        <v>28</v>
      </c>
      <c r="H398">
        <v>40</v>
      </c>
      <c r="I398" t="str">
        <f>IFERROR(VLOOKUP(Tabela6[[#This Row],[Descrição]],Materiais!B:C,2,0),"")</f>
        <v/>
      </c>
    </row>
    <row r="399" spans="2:9">
      <c r="B399" s="11">
        <f t="shared" si="22"/>
        <v>44339</v>
      </c>
      <c r="C399" s="19">
        <f>MONTH(Tabela6[[#This Row],[Data]])</f>
        <v>5</v>
      </c>
      <c r="D399" s="19">
        <f>YEAR(Tabela6[[#This Row],[Data]])</f>
        <v>2021</v>
      </c>
      <c r="E399" s="12" t="s">
        <v>78</v>
      </c>
      <c r="F399" t="s">
        <v>56</v>
      </c>
      <c r="G399" s="26">
        <v>6</v>
      </c>
      <c r="H399">
        <v>3</v>
      </c>
      <c r="I399" t="str">
        <f>IFERROR(VLOOKUP(Tabela6[[#This Row],[Descrição]],Materiais!B:C,2,0),"")</f>
        <v/>
      </c>
    </row>
    <row r="400" spans="2:9">
      <c r="B400" s="11">
        <f t="shared" si="22"/>
        <v>44339</v>
      </c>
      <c r="C400" s="19">
        <f>MONTH(Tabela6[[#This Row],[Data]])</f>
        <v>5</v>
      </c>
      <c r="D400" s="19">
        <f>YEAR(Tabela6[[#This Row],[Data]])</f>
        <v>2021</v>
      </c>
      <c r="E400" s="12" t="s">
        <v>78</v>
      </c>
      <c r="F400" t="s">
        <v>56</v>
      </c>
      <c r="G400" s="26">
        <v>6</v>
      </c>
      <c r="H400">
        <v>3</v>
      </c>
      <c r="I400" t="str">
        <f>IFERROR(VLOOKUP(Tabela6[[#This Row],[Descrição]],Materiais!B:C,2,0),"")</f>
        <v/>
      </c>
    </row>
    <row r="401" spans="2:9">
      <c r="B401" s="11">
        <f t="shared" si="22"/>
        <v>44339</v>
      </c>
      <c r="C401" s="19">
        <f>MONTH(Tabela6[[#This Row],[Data]])</f>
        <v>5</v>
      </c>
      <c r="D401" s="19">
        <f>YEAR(Tabela6[[#This Row],[Data]])</f>
        <v>2021</v>
      </c>
      <c r="E401" s="12" t="s">
        <v>78</v>
      </c>
      <c r="F401" t="s">
        <v>100</v>
      </c>
      <c r="G401" s="26">
        <v>2</v>
      </c>
      <c r="H401">
        <v>1</v>
      </c>
      <c r="I401" t="str">
        <f>IFERROR(VLOOKUP(Tabela6[[#This Row],[Descrição]],Materiais!B:C,2,0),"")</f>
        <v/>
      </c>
    </row>
    <row r="402" spans="2:9">
      <c r="B402" s="11">
        <f t="shared" si="22"/>
        <v>44339</v>
      </c>
      <c r="C402" s="19">
        <f>MONTH(Tabela6[[#This Row],[Data]])</f>
        <v>5</v>
      </c>
      <c r="D402" s="19">
        <f>YEAR(Tabela6[[#This Row],[Data]])</f>
        <v>2021</v>
      </c>
      <c r="E402" s="12" t="s">
        <v>78</v>
      </c>
      <c r="F402" t="s">
        <v>100</v>
      </c>
      <c r="G402" s="26">
        <v>8</v>
      </c>
      <c r="H402">
        <v>4</v>
      </c>
      <c r="I402" t="str">
        <f>IFERROR(VLOOKUP(Tabela6[[#This Row],[Descrição]],Materiais!B:C,2,0),"")</f>
        <v/>
      </c>
    </row>
    <row r="403" spans="2:9">
      <c r="B403" s="11">
        <f t="shared" si="22"/>
        <v>44339</v>
      </c>
      <c r="C403" s="19">
        <f>MONTH(Tabela6[[#This Row],[Data]])</f>
        <v>5</v>
      </c>
      <c r="D403" s="19">
        <f>YEAR(Tabela6[[#This Row],[Data]])</f>
        <v>2021</v>
      </c>
      <c r="E403" s="12" t="s">
        <v>78</v>
      </c>
      <c r="F403" t="s">
        <v>61</v>
      </c>
      <c r="G403" s="26">
        <v>4</v>
      </c>
      <c r="H403">
        <v>2</v>
      </c>
      <c r="I403" t="str">
        <f>IFERROR(VLOOKUP(Tabela6[[#This Row],[Descrição]],Materiais!B:C,2,0),"")</f>
        <v/>
      </c>
    </row>
    <row r="404" spans="2:9">
      <c r="B404" s="11">
        <f t="shared" si="22"/>
        <v>44339</v>
      </c>
      <c r="C404" s="19">
        <f>MONTH(Tabela6[[#This Row],[Data]])</f>
        <v>5</v>
      </c>
      <c r="D404" s="19">
        <f>YEAR(Tabela6[[#This Row],[Data]])</f>
        <v>2021</v>
      </c>
      <c r="E404" s="12" t="s">
        <v>78</v>
      </c>
      <c r="F404" t="s">
        <v>61</v>
      </c>
      <c r="G404" s="26">
        <v>4</v>
      </c>
      <c r="H404">
        <v>2</v>
      </c>
      <c r="I404" t="str">
        <f>IFERROR(VLOOKUP(Tabela6[[#This Row],[Descrição]],Materiais!B:C,2,0),"")</f>
        <v/>
      </c>
    </row>
    <row r="405" spans="2:9">
      <c r="B405" s="11">
        <f t="shared" si="22"/>
        <v>44339</v>
      </c>
      <c r="C405" s="19">
        <f>MONTH(Tabela6[[#This Row],[Data]])</f>
        <v>5</v>
      </c>
      <c r="D405" s="19">
        <f>YEAR(Tabela6[[#This Row],[Data]])</f>
        <v>2021</v>
      </c>
      <c r="E405" s="12" t="s">
        <v>78</v>
      </c>
      <c r="F405" t="s">
        <v>116</v>
      </c>
      <c r="G405" s="26">
        <v>21</v>
      </c>
      <c r="H405">
        <v>30</v>
      </c>
      <c r="I405" t="str">
        <f>IFERROR(VLOOKUP(Tabela6[[#This Row],[Descrição]],Materiais!B:C,2,0),"")</f>
        <v/>
      </c>
    </row>
    <row r="406" spans="2:9">
      <c r="B406" s="11">
        <f t="shared" si="22"/>
        <v>44339</v>
      </c>
      <c r="C406" s="19">
        <f>MONTH(Tabela6[[#This Row],[Data]])</f>
        <v>5</v>
      </c>
      <c r="D406" s="19">
        <f>YEAR(Tabela6[[#This Row],[Data]])</f>
        <v>2021</v>
      </c>
      <c r="E406" s="12" t="s">
        <v>78</v>
      </c>
      <c r="F406" t="s">
        <v>121</v>
      </c>
      <c r="G406" s="26">
        <v>21</v>
      </c>
      <c r="H406">
        <v>30</v>
      </c>
      <c r="I406" t="str">
        <f>IFERROR(VLOOKUP(Tabela6[[#This Row],[Descrição]],Materiais!B:C,2,0),"")</f>
        <v/>
      </c>
    </row>
    <row r="407" spans="2:9">
      <c r="B407" s="11">
        <f t="shared" si="22"/>
        <v>44339</v>
      </c>
      <c r="C407" s="19">
        <f>MONTH(Tabela6[[#This Row],[Data]])</f>
        <v>5</v>
      </c>
      <c r="D407" s="19">
        <f>YEAR(Tabela6[[#This Row],[Data]])</f>
        <v>2021</v>
      </c>
      <c r="E407" s="12" t="s">
        <v>78</v>
      </c>
      <c r="F407" t="s">
        <v>62</v>
      </c>
      <c r="G407" s="26">
        <v>4</v>
      </c>
      <c r="H407">
        <v>2</v>
      </c>
      <c r="I407" t="str">
        <f>IFERROR(VLOOKUP(Tabela6[[#This Row],[Descrição]],Materiais!B:C,2,0),"")</f>
        <v/>
      </c>
    </row>
    <row r="408" spans="2:9">
      <c r="B408" s="11">
        <f t="shared" si="22"/>
        <v>44339</v>
      </c>
      <c r="C408" s="19">
        <f>MONTH(Tabela6[[#This Row],[Data]])</f>
        <v>5</v>
      </c>
      <c r="D408" s="19">
        <f>YEAR(Tabela6[[#This Row],[Data]])</f>
        <v>2021</v>
      </c>
      <c r="E408" s="12" t="s">
        <v>78</v>
      </c>
      <c r="F408" t="s">
        <v>109</v>
      </c>
      <c r="G408" s="26">
        <v>6</v>
      </c>
      <c r="H408">
        <v>3</v>
      </c>
      <c r="I408" t="str">
        <f>IFERROR(VLOOKUP(Tabela6[[#This Row],[Descrição]],Materiais!B:C,2,0),"")</f>
        <v/>
      </c>
    </row>
    <row r="409" spans="2:9">
      <c r="B409" s="11">
        <f t="shared" si="22"/>
        <v>44339</v>
      </c>
      <c r="C409" s="19">
        <f>MONTH(Tabela6[[#This Row],[Data]])</f>
        <v>5</v>
      </c>
      <c r="D409" s="19">
        <f>YEAR(Tabela6[[#This Row],[Data]])</f>
        <v>2021</v>
      </c>
      <c r="E409" s="12" t="s">
        <v>78</v>
      </c>
      <c r="F409" t="s">
        <v>58</v>
      </c>
      <c r="G409" s="26">
        <v>6</v>
      </c>
      <c r="H409">
        <v>3</v>
      </c>
      <c r="I409" t="str">
        <f>IFERROR(VLOOKUP(Tabela6[[#This Row],[Descrição]],Materiais!B:C,2,0),"")</f>
        <v/>
      </c>
    </row>
    <row r="410" spans="2:9">
      <c r="B410" s="11">
        <f t="shared" si="22"/>
        <v>44339</v>
      </c>
      <c r="C410" s="19">
        <f>MONTH(Tabela6[[#This Row],[Data]])</f>
        <v>5</v>
      </c>
      <c r="D410" s="19">
        <f>YEAR(Tabela6[[#This Row],[Data]])</f>
        <v>2021</v>
      </c>
      <c r="E410" s="12" t="s">
        <v>78</v>
      </c>
      <c r="F410" t="s">
        <v>58</v>
      </c>
      <c r="G410" s="26">
        <v>6</v>
      </c>
      <c r="H410">
        <v>3</v>
      </c>
      <c r="I410" t="str">
        <f>IFERROR(VLOOKUP(Tabela6[[#This Row],[Descrição]],Materiais!B:C,2,0),"")</f>
        <v/>
      </c>
    </row>
    <row r="411" spans="2:9">
      <c r="B411" s="11">
        <f t="shared" si="22"/>
        <v>44339</v>
      </c>
      <c r="C411" s="19">
        <f>MONTH(Tabela6[[#This Row],[Data]])</f>
        <v>5</v>
      </c>
      <c r="D411" s="19">
        <f>YEAR(Tabela6[[#This Row],[Data]])</f>
        <v>2021</v>
      </c>
      <c r="E411" s="12" t="s">
        <v>78</v>
      </c>
      <c r="F411" t="s">
        <v>95</v>
      </c>
      <c r="G411" s="26">
        <v>2</v>
      </c>
      <c r="H411">
        <v>1</v>
      </c>
      <c r="I411" t="str">
        <f>IFERROR(VLOOKUP(Tabela6[[#This Row],[Descrição]],Materiais!B:C,2,0),"")</f>
        <v/>
      </c>
    </row>
    <row r="412" spans="2:9">
      <c r="B412" s="11">
        <f t="shared" si="22"/>
        <v>44339</v>
      </c>
      <c r="C412" s="19">
        <f>MONTH(Tabela6[[#This Row],[Data]])</f>
        <v>5</v>
      </c>
      <c r="D412" s="19">
        <f>YEAR(Tabela6[[#This Row],[Data]])</f>
        <v>2021</v>
      </c>
      <c r="E412" s="12" t="s">
        <v>78</v>
      </c>
      <c r="F412" t="s">
        <v>117</v>
      </c>
      <c r="G412" s="26">
        <v>4</v>
      </c>
      <c r="H412">
        <v>2</v>
      </c>
      <c r="I412" t="str">
        <f>IFERROR(VLOOKUP(Tabela6[[#This Row],[Descrição]],Materiais!B:C,2,0),"")</f>
        <v/>
      </c>
    </row>
    <row r="413" spans="2:9">
      <c r="B413" s="11">
        <f t="shared" ref="B413:B425" si="23">42880+(365*4)</f>
        <v>44340</v>
      </c>
      <c r="C413" s="19">
        <f>MONTH(Tabela6[[#This Row],[Data]])</f>
        <v>5</v>
      </c>
      <c r="D413" s="19">
        <f>YEAR(Tabela6[[#This Row],[Data]])</f>
        <v>2021</v>
      </c>
      <c r="E413" s="12" t="s">
        <v>78</v>
      </c>
      <c r="F413" t="s">
        <v>63</v>
      </c>
      <c r="G413" s="26">
        <v>8</v>
      </c>
      <c r="H413">
        <v>4</v>
      </c>
      <c r="I413" t="str">
        <f>IFERROR(VLOOKUP(Tabela6[[#This Row],[Descrição]],Materiais!B:C,2,0),"")</f>
        <v/>
      </c>
    </row>
    <row r="414" spans="2:9">
      <c r="B414" s="11">
        <f t="shared" si="23"/>
        <v>44340</v>
      </c>
      <c r="C414" s="19">
        <f>MONTH(Tabela6[[#This Row],[Data]])</f>
        <v>5</v>
      </c>
      <c r="D414" s="19">
        <f>YEAR(Tabela6[[#This Row],[Data]])</f>
        <v>2021</v>
      </c>
      <c r="E414" s="12" t="s">
        <v>78</v>
      </c>
      <c r="F414" t="s">
        <v>63</v>
      </c>
      <c r="G414" s="26">
        <v>10</v>
      </c>
      <c r="H414">
        <v>5</v>
      </c>
      <c r="I414" t="str">
        <f>IFERROR(VLOOKUP(Tabela6[[#This Row],[Descrição]],Materiais!B:C,2,0),"")</f>
        <v/>
      </c>
    </row>
    <row r="415" spans="2:9">
      <c r="B415" s="11">
        <f t="shared" si="23"/>
        <v>44340</v>
      </c>
      <c r="C415" s="19">
        <f>MONTH(Tabela6[[#This Row],[Data]])</f>
        <v>5</v>
      </c>
      <c r="D415" s="19">
        <f>YEAR(Tabela6[[#This Row],[Data]])</f>
        <v>2021</v>
      </c>
      <c r="E415" s="12" t="s">
        <v>78</v>
      </c>
      <c r="F415" t="s">
        <v>56</v>
      </c>
      <c r="G415" s="26">
        <v>12</v>
      </c>
      <c r="H415">
        <v>6</v>
      </c>
      <c r="I415" t="str">
        <f>IFERROR(VLOOKUP(Tabela6[[#This Row],[Descrição]],Materiais!B:C,2,0),"")</f>
        <v/>
      </c>
    </row>
    <row r="416" spans="2:9">
      <c r="B416" s="11">
        <f t="shared" si="23"/>
        <v>44340</v>
      </c>
      <c r="C416" s="19">
        <f>MONTH(Tabela6[[#This Row],[Data]])</f>
        <v>5</v>
      </c>
      <c r="D416" s="19">
        <f>YEAR(Tabela6[[#This Row],[Data]])</f>
        <v>2021</v>
      </c>
      <c r="E416" s="12" t="s">
        <v>78</v>
      </c>
      <c r="F416" t="s">
        <v>56</v>
      </c>
      <c r="G416" s="26">
        <v>12</v>
      </c>
      <c r="H416">
        <v>6</v>
      </c>
      <c r="I416" t="str">
        <f>IFERROR(VLOOKUP(Tabela6[[#This Row],[Descrição]],Materiais!B:C,2,0),"")</f>
        <v/>
      </c>
    </row>
    <row r="417" spans="2:9">
      <c r="B417" s="11">
        <f t="shared" si="23"/>
        <v>44340</v>
      </c>
      <c r="C417" s="19">
        <f>MONTH(Tabela6[[#This Row],[Data]])</f>
        <v>5</v>
      </c>
      <c r="D417" s="19">
        <f>YEAR(Tabela6[[#This Row],[Data]])</f>
        <v>2021</v>
      </c>
      <c r="E417" s="12" t="s">
        <v>78</v>
      </c>
      <c r="F417" t="s">
        <v>61</v>
      </c>
      <c r="G417" s="26">
        <v>10</v>
      </c>
      <c r="H417">
        <v>5</v>
      </c>
      <c r="I417" t="str">
        <f>IFERROR(VLOOKUP(Tabela6[[#This Row],[Descrição]],Materiais!B:C,2,0),"")</f>
        <v/>
      </c>
    </row>
    <row r="418" spans="2:9">
      <c r="B418" s="11">
        <f t="shared" si="23"/>
        <v>44340</v>
      </c>
      <c r="C418" s="19">
        <f>MONTH(Tabela6[[#This Row],[Data]])</f>
        <v>5</v>
      </c>
      <c r="D418" s="19">
        <f>YEAR(Tabela6[[#This Row],[Data]])</f>
        <v>2021</v>
      </c>
      <c r="E418" s="12" t="s">
        <v>78</v>
      </c>
      <c r="F418" t="s">
        <v>61</v>
      </c>
      <c r="G418" s="26">
        <v>14</v>
      </c>
      <c r="H418">
        <v>7</v>
      </c>
      <c r="I418" t="str">
        <f>IFERROR(VLOOKUP(Tabela6[[#This Row],[Descrição]],Materiais!B:C,2,0),"")</f>
        <v/>
      </c>
    </row>
    <row r="419" spans="2:9">
      <c r="B419" s="11">
        <f t="shared" si="23"/>
        <v>44340</v>
      </c>
      <c r="C419" s="19">
        <f>MONTH(Tabela6[[#This Row],[Data]])</f>
        <v>5</v>
      </c>
      <c r="D419" s="19">
        <f>YEAR(Tabela6[[#This Row],[Data]])</f>
        <v>2021</v>
      </c>
      <c r="E419" s="12" t="s">
        <v>78</v>
      </c>
      <c r="F419" t="s">
        <v>109</v>
      </c>
      <c r="G419" s="26">
        <v>4</v>
      </c>
      <c r="H419">
        <v>2</v>
      </c>
      <c r="I419" t="str">
        <f>IFERROR(VLOOKUP(Tabela6[[#This Row],[Descrição]],Materiais!B:C,2,0),"")</f>
        <v/>
      </c>
    </row>
    <row r="420" spans="2:9">
      <c r="B420" s="11">
        <f t="shared" si="23"/>
        <v>44340</v>
      </c>
      <c r="C420" s="19">
        <f>MONTH(Tabela6[[#This Row],[Data]])</f>
        <v>5</v>
      </c>
      <c r="D420" s="19">
        <f>YEAR(Tabela6[[#This Row],[Data]])</f>
        <v>2021</v>
      </c>
      <c r="E420" s="12" t="s">
        <v>78</v>
      </c>
      <c r="F420" t="s">
        <v>109</v>
      </c>
      <c r="G420" s="26">
        <v>8</v>
      </c>
      <c r="H420">
        <v>4</v>
      </c>
      <c r="I420" t="str">
        <f>IFERROR(VLOOKUP(Tabela6[[#This Row],[Descrição]],Materiais!B:C,2,0),"")</f>
        <v/>
      </c>
    </row>
    <row r="421" spans="2:9">
      <c r="B421" s="11">
        <f t="shared" si="23"/>
        <v>44340</v>
      </c>
      <c r="C421" s="19">
        <f>MONTH(Tabela6[[#This Row],[Data]])</f>
        <v>5</v>
      </c>
      <c r="D421" s="19">
        <f>YEAR(Tabela6[[#This Row],[Data]])</f>
        <v>2021</v>
      </c>
      <c r="E421" s="12" t="s">
        <v>78</v>
      </c>
      <c r="F421" t="s">
        <v>58</v>
      </c>
      <c r="G421" s="26">
        <v>4</v>
      </c>
      <c r="H421">
        <v>2</v>
      </c>
      <c r="I421" t="str">
        <f>IFERROR(VLOOKUP(Tabela6[[#This Row],[Descrição]],Materiais!B:C,2,0),"")</f>
        <v/>
      </c>
    </row>
    <row r="422" spans="2:9">
      <c r="B422" s="11">
        <f t="shared" si="23"/>
        <v>44340</v>
      </c>
      <c r="C422" s="19">
        <f>MONTH(Tabela6[[#This Row],[Data]])</f>
        <v>5</v>
      </c>
      <c r="D422" s="19">
        <f>YEAR(Tabela6[[#This Row],[Data]])</f>
        <v>2021</v>
      </c>
      <c r="E422" s="12" t="s">
        <v>78</v>
      </c>
      <c r="F422" t="s">
        <v>58</v>
      </c>
      <c r="G422" s="26">
        <v>8</v>
      </c>
      <c r="H422">
        <v>4</v>
      </c>
      <c r="I422" t="str">
        <f>IFERROR(VLOOKUP(Tabela6[[#This Row],[Descrição]],Materiais!B:C,2,0),"")</f>
        <v/>
      </c>
    </row>
    <row r="423" spans="2:9">
      <c r="B423" s="11">
        <f t="shared" si="23"/>
        <v>44340</v>
      </c>
      <c r="C423" s="19">
        <f>MONTH(Tabela6[[#This Row],[Data]])</f>
        <v>5</v>
      </c>
      <c r="D423" s="19">
        <f>YEAR(Tabela6[[#This Row],[Data]])</f>
        <v>2021</v>
      </c>
      <c r="E423" s="12" t="s">
        <v>78</v>
      </c>
      <c r="F423" t="s">
        <v>95</v>
      </c>
      <c r="G423" s="26">
        <v>2</v>
      </c>
      <c r="H423">
        <v>1</v>
      </c>
      <c r="I423" t="str">
        <f>IFERROR(VLOOKUP(Tabela6[[#This Row],[Descrição]],Materiais!B:C,2,0),"")</f>
        <v/>
      </c>
    </row>
    <row r="424" spans="2:9">
      <c r="B424" s="11">
        <f t="shared" si="23"/>
        <v>44340</v>
      </c>
      <c r="C424" s="19">
        <f>MONTH(Tabela6[[#This Row],[Data]])</f>
        <v>5</v>
      </c>
      <c r="D424" s="19">
        <f>YEAR(Tabela6[[#This Row],[Data]])</f>
        <v>2021</v>
      </c>
      <c r="E424" s="12" t="s">
        <v>78</v>
      </c>
      <c r="F424" t="s">
        <v>95</v>
      </c>
      <c r="G424" s="26">
        <v>8</v>
      </c>
      <c r="H424">
        <v>4</v>
      </c>
      <c r="I424" t="str">
        <f>IFERROR(VLOOKUP(Tabela6[[#This Row],[Descrição]],Materiais!B:C,2,0),"")</f>
        <v/>
      </c>
    </row>
    <row r="425" spans="2:9">
      <c r="B425" s="11">
        <f t="shared" si="23"/>
        <v>44340</v>
      </c>
      <c r="C425" s="19">
        <f>MONTH(Tabela6[[#This Row],[Data]])</f>
        <v>5</v>
      </c>
      <c r="D425" s="19">
        <f>YEAR(Tabela6[[#This Row],[Data]])</f>
        <v>2021</v>
      </c>
      <c r="E425" s="12" t="s">
        <v>78</v>
      </c>
      <c r="F425" t="s">
        <v>117</v>
      </c>
      <c r="G425" s="26">
        <v>2</v>
      </c>
      <c r="H425">
        <v>1</v>
      </c>
      <c r="I425" t="str">
        <f>IFERROR(VLOOKUP(Tabela6[[#This Row],[Descrição]],Materiais!B:C,2,0),"")</f>
        <v/>
      </c>
    </row>
    <row r="426" spans="2:9">
      <c r="B426" s="11">
        <f t="shared" ref="B426:B433" si="24">42881+(365*4)</f>
        <v>44341</v>
      </c>
      <c r="C426" s="19">
        <f>MONTH(Tabela6[[#This Row],[Data]])</f>
        <v>5</v>
      </c>
      <c r="D426" s="19">
        <f>YEAR(Tabela6[[#This Row],[Data]])</f>
        <v>2021</v>
      </c>
      <c r="E426" s="12" t="s">
        <v>78</v>
      </c>
      <c r="F426" t="s">
        <v>56</v>
      </c>
      <c r="G426" s="26">
        <v>2</v>
      </c>
      <c r="H426">
        <v>1</v>
      </c>
      <c r="I426" t="str">
        <f>IFERROR(VLOOKUP(Tabela6[[#This Row],[Descrição]],Materiais!B:C,2,0),"")</f>
        <v/>
      </c>
    </row>
    <row r="427" spans="2:9">
      <c r="B427" s="11">
        <f t="shared" si="24"/>
        <v>44341</v>
      </c>
      <c r="C427" s="19">
        <f>MONTH(Tabela6[[#This Row],[Data]])</f>
        <v>5</v>
      </c>
      <c r="D427" s="19">
        <f>YEAR(Tabela6[[#This Row],[Data]])</f>
        <v>2021</v>
      </c>
      <c r="E427" s="12" t="s">
        <v>75</v>
      </c>
      <c r="F427" t="s">
        <v>123</v>
      </c>
      <c r="G427" s="26">
        <v>-4.5</v>
      </c>
      <c r="H427">
        <v>1</v>
      </c>
      <c r="I427" t="str">
        <f>IFERROR(VLOOKUP(Tabela6[[#This Row],[Descrição]],Materiais!B:C,2,0),"")</f>
        <v/>
      </c>
    </row>
    <row r="428" spans="2:9">
      <c r="B428" s="11">
        <f t="shared" si="24"/>
        <v>44341</v>
      </c>
      <c r="C428" s="19">
        <f>MONTH(Tabela6[[#This Row],[Data]])</f>
        <v>5</v>
      </c>
      <c r="D428" s="19">
        <f>YEAR(Tabela6[[#This Row],[Data]])</f>
        <v>2021</v>
      </c>
      <c r="E428" s="12" t="s">
        <v>72</v>
      </c>
      <c r="F428" t="s">
        <v>15</v>
      </c>
      <c r="G428" s="26">
        <v>-4.37</v>
      </c>
      <c r="H428">
        <v>250</v>
      </c>
      <c r="I428" t="str">
        <f>IFERROR(VLOOKUP(Tabela6[[#This Row],[Descrição]],Materiais!B:C,2,0),"")</f>
        <v>g</v>
      </c>
    </row>
    <row r="429" spans="2:9">
      <c r="B429" s="11">
        <f t="shared" si="24"/>
        <v>44341</v>
      </c>
      <c r="C429" s="19">
        <f>MONTH(Tabela6[[#This Row],[Data]])</f>
        <v>5</v>
      </c>
      <c r="D429" s="19">
        <f>YEAR(Tabela6[[#This Row],[Data]])</f>
        <v>2021</v>
      </c>
      <c r="E429" s="12" t="s">
        <v>75</v>
      </c>
      <c r="F429" t="s">
        <v>124</v>
      </c>
      <c r="G429" s="26">
        <v>-9.5</v>
      </c>
      <c r="H429">
        <v>40</v>
      </c>
      <c r="I429" t="str">
        <f>IFERROR(VLOOKUP(Tabela6[[#This Row],[Descrição]],Materiais!B:C,2,0),"")</f>
        <v/>
      </c>
    </row>
    <row r="430" spans="2:9">
      <c r="B430" s="11">
        <f t="shared" si="24"/>
        <v>44341</v>
      </c>
      <c r="C430" s="19">
        <f>MONTH(Tabela6[[#This Row],[Data]])</f>
        <v>5</v>
      </c>
      <c r="D430" s="19">
        <f>YEAR(Tabela6[[#This Row],[Data]])</f>
        <v>2021</v>
      </c>
      <c r="E430" s="12" t="s">
        <v>75</v>
      </c>
      <c r="F430" t="s">
        <v>104</v>
      </c>
      <c r="G430" s="26">
        <v>-6.95</v>
      </c>
      <c r="H430">
        <v>1000</v>
      </c>
      <c r="I430" t="str">
        <f>IFERROR(VLOOKUP(Tabela6[[#This Row],[Descrição]],Materiais!B:C,2,0),"")</f>
        <v/>
      </c>
    </row>
    <row r="431" spans="2:9">
      <c r="B431" s="11">
        <f t="shared" si="24"/>
        <v>44341</v>
      </c>
      <c r="C431" s="19">
        <f>MONTH(Tabela6[[#This Row],[Data]])</f>
        <v>5</v>
      </c>
      <c r="D431" s="19">
        <f>YEAR(Tabela6[[#This Row],[Data]])</f>
        <v>2021</v>
      </c>
      <c r="E431" s="12" t="s">
        <v>78</v>
      </c>
      <c r="F431" t="s">
        <v>62</v>
      </c>
      <c r="G431" s="26">
        <v>1.5</v>
      </c>
      <c r="H431">
        <v>1</v>
      </c>
      <c r="I431" t="str">
        <f>IFERROR(VLOOKUP(Tabela6[[#This Row],[Descrição]],Materiais!B:C,2,0),"")</f>
        <v/>
      </c>
    </row>
    <row r="432" spans="2:9">
      <c r="B432" s="11">
        <f t="shared" si="24"/>
        <v>44341</v>
      </c>
      <c r="C432" s="19">
        <f>MONTH(Tabela6[[#This Row],[Data]])</f>
        <v>5</v>
      </c>
      <c r="D432" s="19">
        <f>YEAR(Tabela6[[#This Row],[Data]])</f>
        <v>2021</v>
      </c>
      <c r="E432" s="12" t="s">
        <v>78</v>
      </c>
      <c r="F432" t="s">
        <v>58</v>
      </c>
      <c r="G432" s="26">
        <v>3.5</v>
      </c>
      <c r="H432">
        <v>2</v>
      </c>
      <c r="I432" t="str">
        <f>IFERROR(VLOOKUP(Tabela6[[#This Row],[Descrição]],Materiais!B:C,2,0),"")</f>
        <v/>
      </c>
    </row>
    <row r="433" spans="2:9">
      <c r="B433" s="11">
        <f t="shared" si="24"/>
        <v>44341</v>
      </c>
      <c r="C433" s="19">
        <f>MONTH(Tabela6[[#This Row],[Data]])</f>
        <v>5</v>
      </c>
      <c r="D433" s="19">
        <f>YEAR(Tabela6[[#This Row],[Data]])</f>
        <v>2021</v>
      </c>
      <c r="E433" s="12" t="s">
        <v>78</v>
      </c>
      <c r="F433" t="s">
        <v>95</v>
      </c>
      <c r="G433" s="26">
        <v>2</v>
      </c>
      <c r="H433">
        <v>1</v>
      </c>
      <c r="I433" t="str">
        <f>IFERROR(VLOOKUP(Tabela6[[#This Row],[Descrição]],Materiais!B:C,2,0),"")</f>
        <v/>
      </c>
    </row>
    <row r="434" spans="2:9">
      <c r="B434" s="11">
        <f>42882+(365*4)</f>
        <v>44342</v>
      </c>
      <c r="C434" s="19">
        <f>MONTH(Tabela6[[#This Row],[Data]])</f>
        <v>5</v>
      </c>
      <c r="D434" s="19">
        <f>YEAR(Tabela6[[#This Row],[Data]])</f>
        <v>2021</v>
      </c>
      <c r="E434" s="12" t="s">
        <v>72</v>
      </c>
      <c r="F434" t="s">
        <v>5</v>
      </c>
      <c r="G434" s="26">
        <v>-3.89</v>
      </c>
      <c r="H434">
        <v>1000</v>
      </c>
      <c r="I434" t="str">
        <f>IFERROR(VLOOKUP(Tabela6[[#This Row],[Descrição]],Materiais!B:C,2,0),"")</f>
        <v>g</v>
      </c>
    </row>
    <row r="435" spans="2:9">
      <c r="B435" s="11">
        <f>42882+(365*4)</f>
        <v>44342</v>
      </c>
      <c r="C435" s="19">
        <f>MONTH(Tabela6[[#This Row],[Data]])</f>
        <v>5</v>
      </c>
      <c r="D435" s="19">
        <f>YEAR(Tabela6[[#This Row],[Data]])</f>
        <v>2021</v>
      </c>
      <c r="E435" s="12" t="s">
        <v>72</v>
      </c>
      <c r="F435" t="s">
        <v>20</v>
      </c>
      <c r="G435" s="26">
        <v>-199.5</v>
      </c>
      <c r="H435">
        <v>19750</v>
      </c>
      <c r="I435" t="str">
        <f>IFERROR(VLOOKUP(Tabela6[[#This Row],[Descrição]],Materiais!B:C,2,0),"")</f>
        <v>g</v>
      </c>
    </row>
    <row r="436" spans="2:9">
      <c r="B436" s="11">
        <f>42882+(365*4)</f>
        <v>44342</v>
      </c>
      <c r="C436" s="19">
        <f>MONTH(Tabela6[[#This Row],[Data]])</f>
        <v>5</v>
      </c>
      <c r="D436" s="19">
        <f>YEAR(Tabela6[[#This Row],[Data]])</f>
        <v>2021</v>
      </c>
      <c r="E436" s="12" t="s">
        <v>72</v>
      </c>
      <c r="F436" t="s">
        <v>22</v>
      </c>
      <c r="G436" s="26">
        <v>-7.65</v>
      </c>
      <c r="H436">
        <v>200</v>
      </c>
      <c r="I436" t="str">
        <f>IFERROR(VLOOKUP(Tabela6[[#This Row],[Descrição]],Materiais!B:C,2,0),"")</f>
        <v>g</v>
      </c>
    </row>
    <row r="437" spans="2:9">
      <c r="B437" s="11">
        <f>42882+(365*4)</f>
        <v>44342</v>
      </c>
      <c r="C437" s="19">
        <f>MONTH(Tabela6[[#This Row],[Data]])</f>
        <v>5</v>
      </c>
      <c r="D437" s="19">
        <f>YEAR(Tabela6[[#This Row],[Data]])</f>
        <v>2021</v>
      </c>
      <c r="E437" s="12" t="s">
        <v>72</v>
      </c>
      <c r="F437" t="s">
        <v>82</v>
      </c>
      <c r="G437" s="26">
        <v>-12.2</v>
      </c>
      <c r="H437">
        <v>380</v>
      </c>
      <c r="I437" t="str">
        <f>IFERROR(VLOOKUP(Tabela6[[#This Row],[Descrição]],Materiais!B:C,2,0),"")</f>
        <v/>
      </c>
    </row>
    <row r="438" spans="2:9">
      <c r="B438" s="11">
        <f>42882+(365*4)</f>
        <v>44342</v>
      </c>
      <c r="C438" s="19">
        <f>MONTH(Tabela6[[#This Row],[Data]])</f>
        <v>5</v>
      </c>
      <c r="D438" s="19">
        <f>YEAR(Tabela6[[#This Row],[Data]])</f>
        <v>2021</v>
      </c>
      <c r="E438" s="12" t="s">
        <v>75</v>
      </c>
      <c r="F438" t="s">
        <v>125</v>
      </c>
      <c r="G438" s="26">
        <v>-3.04</v>
      </c>
      <c r="H438">
        <v>1</v>
      </c>
      <c r="I438" t="str">
        <f>IFERROR(VLOOKUP(Tabela6[[#This Row],[Descrição]],Materiais!B:C,2,0),"")</f>
        <v/>
      </c>
    </row>
    <row r="439" spans="2:9">
      <c r="B439" s="11">
        <f>42884+(365*4)</f>
        <v>44344</v>
      </c>
      <c r="C439" s="19">
        <f>MONTH(Tabela6[[#This Row],[Data]])</f>
        <v>5</v>
      </c>
      <c r="D439" s="19">
        <f>YEAR(Tabela6[[#This Row],[Data]])</f>
        <v>2021</v>
      </c>
      <c r="E439" s="12" t="s">
        <v>78</v>
      </c>
      <c r="F439" t="s">
        <v>63</v>
      </c>
      <c r="G439" s="26">
        <v>4</v>
      </c>
      <c r="H439">
        <v>2</v>
      </c>
      <c r="I439" t="str">
        <f>IFERROR(VLOOKUP(Tabela6[[#This Row],[Descrição]],Materiais!B:C,2,0),"")</f>
        <v/>
      </c>
    </row>
    <row r="440" spans="2:9">
      <c r="B440" s="11">
        <f>42884+(365*4)</f>
        <v>44344</v>
      </c>
      <c r="C440" s="19">
        <f>MONTH(Tabela6[[#This Row],[Data]])</f>
        <v>5</v>
      </c>
      <c r="D440" s="19">
        <f>YEAR(Tabela6[[#This Row],[Data]])</f>
        <v>2021</v>
      </c>
      <c r="E440" s="12" t="s">
        <v>78</v>
      </c>
      <c r="F440" t="s">
        <v>56</v>
      </c>
      <c r="G440" s="26">
        <v>6</v>
      </c>
      <c r="H440">
        <v>3</v>
      </c>
      <c r="I440" t="str">
        <f>IFERROR(VLOOKUP(Tabela6[[#This Row],[Descrição]],Materiais!B:C,2,0),"")</f>
        <v/>
      </c>
    </row>
    <row r="441" spans="2:9">
      <c r="B441" s="11">
        <f>42884+(365*4)</f>
        <v>44344</v>
      </c>
      <c r="C441" s="19">
        <f>MONTH(Tabela6[[#This Row],[Data]])</f>
        <v>5</v>
      </c>
      <c r="D441" s="19">
        <f>YEAR(Tabela6[[#This Row],[Data]])</f>
        <v>2021</v>
      </c>
      <c r="E441" s="12" t="s">
        <v>78</v>
      </c>
      <c r="F441" t="s">
        <v>61</v>
      </c>
      <c r="G441" s="26">
        <v>4</v>
      </c>
      <c r="H441">
        <v>2</v>
      </c>
      <c r="I441" t="str">
        <f>IFERROR(VLOOKUP(Tabela6[[#This Row],[Descrição]],Materiais!B:C,2,0),"")</f>
        <v/>
      </c>
    </row>
    <row r="442" spans="2:9">
      <c r="B442" s="11">
        <f>42884+(365*4)</f>
        <v>44344</v>
      </c>
      <c r="C442" s="19">
        <f>MONTH(Tabela6[[#This Row],[Data]])</f>
        <v>5</v>
      </c>
      <c r="D442" s="19">
        <f>YEAR(Tabela6[[#This Row],[Data]])</f>
        <v>2021</v>
      </c>
      <c r="E442" s="12" t="s">
        <v>78</v>
      </c>
      <c r="F442" t="s">
        <v>58</v>
      </c>
      <c r="G442" s="26">
        <v>2</v>
      </c>
      <c r="H442">
        <v>1</v>
      </c>
      <c r="I442" t="str">
        <f>IFERROR(VLOOKUP(Tabela6[[#This Row],[Descrição]],Materiais!B:C,2,0),"")</f>
        <v/>
      </c>
    </row>
    <row r="443" spans="2:9">
      <c r="B443" s="11">
        <f t="shared" ref="B443:B450" si="25">42885+(365*4)</f>
        <v>44345</v>
      </c>
      <c r="C443" s="19">
        <f>MONTH(Tabela6[[#This Row],[Data]])</f>
        <v>5</v>
      </c>
      <c r="D443" s="19">
        <f>YEAR(Tabela6[[#This Row],[Data]])</f>
        <v>2021</v>
      </c>
      <c r="E443" s="12" t="s">
        <v>78</v>
      </c>
      <c r="F443" t="s">
        <v>56</v>
      </c>
      <c r="G443" s="26">
        <v>12</v>
      </c>
      <c r="H443">
        <v>6</v>
      </c>
      <c r="I443" t="str">
        <f>IFERROR(VLOOKUP(Tabela6[[#This Row],[Descrição]],Materiais!B:C,2,0),"")</f>
        <v/>
      </c>
    </row>
    <row r="444" spans="2:9">
      <c r="B444" s="11">
        <f t="shared" si="25"/>
        <v>44345</v>
      </c>
      <c r="C444" s="19">
        <f>MONTH(Tabela6[[#This Row],[Data]])</f>
        <v>5</v>
      </c>
      <c r="D444" s="19">
        <f>YEAR(Tabela6[[#This Row],[Data]])</f>
        <v>2021</v>
      </c>
      <c r="E444" s="12" t="s">
        <v>78</v>
      </c>
      <c r="F444" t="s">
        <v>100</v>
      </c>
      <c r="G444" s="26">
        <v>4</v>
      </c>
      <c r="H444">
        <v>2</v>
      </c>
      <c r="I444" t="str">
        <f>IFERROR(VLOOKUP(Tabela6[[#This Row],[Descrição]],Materiais!B:C,2,0),"")</f>
        <v/>
      </c>
    </row>
    <row r="445" spans="2:9">
      <c r="B445" s="11">
        <f t="shared" si="25"/>
        <v>44345</v>
      </c>
      <c r="C445" s="19">
        <f>MONTH(Tabela6[[#This Row],[Data]])</f>
        <v>5</v>
      </c>
      <c r="D445" s="19">
        <f>YEAR(Tabela6[[#This Row],[Data]])</f>
        <v>2021</v>
      </c>
      <c r="E445" s="12" t="s">
        <v>78</v>
      </c>
      <c r="F445" t="s">
        <v>61</v>
      </c>
      <c r="G445" s="26">
        <v>6</v>
      </c>
      <c r="H445">
        <v>3</v>
      </c>
      <c r="I445" t="str">
        <f>IFERROR(VLOOKUP(Tabela6[[#This Row],[Descrição]],Materiais!B:C,2,0),"")</f>
        <v/>
      </c>
    </row>
    <row r="446" spans="2:9">
      <c r="B446" s="11">
        <f t="shared" si="25"/>
        <v>44345</v>
      </c>
      <c r="C446" s="19">
        <f>MONTH(Tabela6[[#This Row],[Data]])</f>
        <v>5</v>
      </c>
      <c r="D446" s="19">
        <f>YEAR(Tabela6[[#This Row],[Data]])</f>
        <v>2021</v>
      </c>
      <c r="E446" s="12" t="s">
        <v>78</v>
      </c>
      <c r="F446" t="s">
        <v>62</v>
      </c>
      <c r="G446" s="26">
        <v>2</v>
      </c>
      <c r="H446">
        <v>1</v>
      </c>
      <c r="I446" t="str">
        <f>IFERROR(VLOOKUP(Tabela6[[#This Row],[Descrição]],Materiais!B:C,2,0),"")</f>
        <v/>
      </c>
    </row>
    <row r="447" spans="2:9">
      <c r="B447" s="11">
        <f t="shared" si="25"/>
        <v>44345</v>
      </c>
      <c r="C447" s="19">
        <f>MONTH(Tabela6[[#This Row],[Data]])</f>
        <v>5</v>
      </c>
      <c r="D447" s="19">
        <f>YEAR(Tabela6[[#This Row],[Data]])</f>
        <v>2021</v>
      </c>
      <c r="E447" s="12" t="s">
        <v>78</v>
      </c>
      <c r="F447" t="s">
        <v>109</v>
      </c>
      <c r="G447" s="26">
        <v>6</v>
      </c>
      <c r="H447">
        <v>3</v>
      </c>
      <c r="I447" t="str">
        <f>IFERROR(VLOOKUP(Tabela6[[#This Row],[Descrição]],Materiais!B:C,2,0),"")</f>
        <v/>
      </c>
    </row>
    <row r="448" spans="2:9">
      <c r="B448" s="11">
        <f t="shared" si="25"/>
        <v>44345</v>
      </c>
      <c r="C448" s="19">
        <f>MONTH(Tabela6[[#This Row],[Data]])</f>
        <v>5</v>
      </c>
      <c r="D448" s="19">
        <f>YEAR(Tabela6[[#This Row],[Data]])</f>
        <v>2021</v>
      </c>
      <c r="E448" s="12" t="s">
        <v>78</v>
      </c>
      <c r="F448" t="s">
        <v>58</v>
      </c>
      <c r="G448" s="26">
        <v>8</v>
      </c>
      <c r="H448">
        <v>4</v>
      </c>
      <c r="I448" t="str">
        <f>IFERROR(VLOOKUP(Tabela6[[#This Row],[Descrição]],Materiais!B:C,2,0),"")</f>
        <v/>
      </c>
    </row>
    <row r="449" spans="2:9">
      <c r="B449" s="11">
        <f t="shared" si="25"/>
        <v>44345</v>
      </c>
      <c r="C449" s="19">
        <f>MONTH(Tabela6[[#This Row],[Data]])</f>
        <v>5</v>
      </c>
      <c r="D449" s="19">
        <f>YEAR(Tabela6[[#This Row],[Data]])</f>
        <v>2021</v>
      </c>
      <c r="E449" s="12" t="s">
        <v>78</v>
      </c>
      <c r="F449" t="s">
        <v>95</v>
      </c>
      <c r="G449" s="26">
        <v>4</v>
      </c>
      <c r="H449">
        <v>2</v>
      </c>
      <c r="I449" t="str">
        <f>IFERROR(VLOOKUP(Tabela6[[#This Row],[Descrição]],Materiais!B:C,2,0),"")</f>
        <v/>
      </c>
    </row>
    <row r="450" spans="2:9">
      <c r="B450" s="11">
        <f t="shared" si="25"/>
        <v>44345</v>
      </c>
      <c r="C450" s="19">
        <f>MONTH(Tabela6[[#This Row],[Data]])</f>
        <v>5</v>
      </c>
      <c r="D450" s="19">
        <f>YEAR(Tabela6[[#This Row],[Data]])</f>
        <v>2021</v>
      </c>
      <c r="E450" s="12" t="s">
        <v>78</v>
      </c>
      <c r="F450" t="s">
        <v>117</v>
      </c>
      <c r="G450" s="26">
        <v>6</v>
      </c>
      <c r="H450">
        <v>3</v>
      </c>
      <c r="I450" t="str">
        <f>IFERROR(VLOOKUP(Tabela6[[#This Row],[Descrição]],Materiais!B:C,2,0),"")</f>
        <v/>
      </c>
    </row>
    <row r="451" spans="2:9">
      <c r="B451" s="11">
        <f t="shared" ref="B451:B457" si="26">42886+(365*4)</f>
        <v>44346</v>
      </c>
      <c r="C451" s="19">
        <f>MONTH(Tabela6[[#This Row],[Data]])</f>
        <v>5</v>
      </c>
      <c r="D451" s="19">
        <f>YEAR(Tabela6[[#This Row],[Data]])</f>
        <v>2021</v>
      </c>
      <c r="E451" s="12" t="s">
        <v>78</v>
      </c>
      <c r="F451" t="s">
        <v>63</v>
      </c>
      <c r="G451" s="26">
        <v>2</v>
      </c>
      <c r="H451">
        <v>1</v>
      </c>
      <c r="I451" t="str">
        <f>IFERROR(VLOOKUP(Tabela6[[#This Row],[Descrição]],Materiais!B:C,2,0),"")</f>
        <v/>
      </c>
    </row>
    <row r="452" spans="2:9">
      <c r="B452" s="11">
        <f t="shared" si="26"/>
        <v>44346</v>
      </c>
      <c r="C452" s="19">
        <f>MONTH(Tabela6[[#This Row],[Data]])</f>
        <v>5</v>
      </c>
      <c r="D452" s="19">
        <f>YEAR(Tabela6[[#This Row],[Data]])</f>
        <v>2021</v>
      </c>
      <c r="E452" s="12" t="s">
        <v>78</v>
      </c>
      <c r="F452" t="s">
        <v>56</v>
      </c>
      <c r="G452" s="26">
        <v>2</v>
      </c>
      <c r="H452">
        <v>1</v>
      </c>
      <c r="I452" t="str">
        <f>IFERROR(VLOOKUP(Tabela6[[#This Row],[Descrição]],Materiais!B:C,2,0),"")</f>
        <v/>
      </c>
    </row>
    <row r="453" spans="2:9">
      <c r="B453" s="11">
        <f t="shared" si="26"/>
        <v>44346</v>
      </c>
      <c r="C453" s="19">
        <f>MONTH(Tabela6[[#This Row],[Data]])</f>
        <v>5</v>
      </c>
      <c r="D453" s="19">
        <f>YEAR(Tabela6[[#This Row],[Data]])</f>
        <v>2021</v>
      </c>
      <c r="E453" s="12" t="s">
        <v>78</v>
      </c>
      <c r="F453" t="s">
        <v>100</v>
      </c>
      <c r="G453" s="26">
        <v>8</v>
      </c>
      <c r="H453">
        <v>4</v>
      </c>
      <c r="I453" t="str">
        <f>IFERROR(VLOOKUP(Tabela6[[#This Row],[Descrição]],Materiais!B:C,2,0),"")</f>
        <v/>
      </c>
    </row>
    <row r="454" spans="2:9">
      <c r="B454" s="11">
        <f t="shared" si="26"/>
        <v>44346</v>
      </c>
      <c r="C454" s="19">
        <f>MONTH(Tabela6[[#This Row],[Data]])</f>
        <v>5</v>
      </c>
      <c r="D454" s="19">
        <f>YEAR(Tabela6[[#This Row],[Data]])</f>
        <v>2021</v>
      </c>
      <c r="E454" s="12" t="s">
        <v>78</v>
      </c>
      <c r="F454" t="s">
        <v>61</v>
      </c>
      <c r="G454" s="26">
        <v>14</v>
      </c>
      <c r="H454">
        <v>7</v>
      </c>
      <c r="I454" t="str">
        <f>IFERROR(VLOOKUP(Tabela6[[#This Row],[Descrição]],Materiais!B:C,2,0),"")</f>
        <v/>
      </c>
    </row>
    <row r="455" spans="2:9">
      <c r="B455" s="11">
        <f t="shared" si="26"/>
        <v>44346</v>
      </c>
      <c r="C455" s="19">
        <f>MONTH(Tabela6[[#This Row],[Data]])</f>
        <v>5</v>
      </c>
      <c r="D455" s="19">
        <f>YEAR(Tabela6[[#This Row],[Data]])</f>
        <v>2021</v>
      </c>
      <c r="E455" s="12" t="s">
        <v>78</v>
      </c>
      <c r="F455" t="s">
        <v>62</v>
      </c>
      <c r="G455" s="26">
        <v>2</v>
      </c>
      <c r="H455">
        <v>1</v>
      </c>
      <c r="I455" t="str">
        <f>IFERROR(VLOOKUP(Tabela6[[#This Row],[Descrição]],Materiais!B:C,2,0),"")</f>
        <v/>
      </c>
    </row>
    <row r="456" spans="2:9">
      <c r="B456" s="11">
        <f t="shared" si="26"/>
        <v>44346</v>
      </c>
      <c r="C456" s="19">
        <f>MONTH(Tabela6[[#This Row],[Data]])</f>
        <v>5</v>
      </c>
      <c r="D456" s="19">
        <f>YEAR(Tabela6[[#This Row],[Data]])</f>
        <v>2021</v>
      </c>
      <c r="E456" s="12" t="s">
        <v>78</v>
      </c>
      <c r="F456" t="s">
        <v>109</v>
      </c>
      <c r="G456" s="26">
        <v>2</v>
      </c>
      <c r="H456">
        <v>1</v>
      </c>
      <c r="I456" t="str">
        <f>IFERROR(VLOOKUP(Tabela6[[#This Row],[Descrição]],Materiais!B:C,2,0),"")</f>
        <v/>
      </c>
    </row>
    <row r="457" spans="2:9">
      <c r="B457" s="11">
        <f t="shared" si="26"/>
        <v>44346</v>
      </c>
      <c r="C457" s="19">
        <f>MONTH(Tabela6[[#This Row],[Data]])</f>
        <v>5</v>
      </c>
      <c r="D457" s="19">
        <f>YEAR(Tabela6[[#This Row],[Data]])</f>
        <v>2021</v>
      </c>
      <c r="E457" s="12" t="s">
        <v>78</v>
      </c>
      <c r="F457" t="s">
        <v>58</v>
      </c>
      <c r="G457" s="26">
        <v>2</v>
      </c>
      <c r="H457">
        <v>1</v>
      </c>
      <c r="I457" t="str">
        <f>IFERROR(VLOOKUP(Tabela6[[#This Row],[Descrição]],Materiais!B:C,2,0),"")</f>
        <v/>
      </c>
    </row>
    <row r="458" spans="2:9">
      <c r="B458" s="11">
        <f t="shared" ref="B458:B465" si="27">42887+(365*4)</f>
        <v>44347</v>
      </c>
      <c r="C458" s="19">
        <f>MONTH(Tabela6[[#This Row],[Data]])</f>
        <v>5</v>
      </c>
      <c r="D458" s="19">
        <f>YEAR(Tabela6[[#This Row],[Data]])</f>
        <v>2021</v>
      </c>
      <c r="E458" s="12" t="s">
        <v>78</v>
      </c>
      <c r="F458" t="s">
        <v>63</v>
      </c>
      <c r="G458" s="26">
        <v>10</v>
      </c>
      <c r="H458">
        <v>5</v>
      </c>
      <c r="I458" t="str">
        <f>IFERROR(VLOOKUP(Tabela6[[#This Row],[Descrição]],Materiais!B:C,2,0),"")</f>
        <v/>
      </c>
    </row>
    <row r="459" spans="2:9">
      <c r="B459" s="11">
        <f t="shared" si="27"/>
        <v>44347</v>
      </c>
      <c r="C459" s="19">
        <f>MONTH(Tabela6[[#This Row],[Data]])</f>
        <v>5</v>
      </c>
      <c r="D459" s="19">
        <f>YEAR(Tabela6[[#This Row],[Data]])</f>
        <v>2021</v>
      </c>
      <c r="E459" s="12" t="s">
        <v>78</v>
      </c>
      <c r="F459" t="s">
        <v>56</v>
      </c>
      <c r="G459" s="26">
        <v>4</v>
      </c>
      <c r="H459">
        <v>2</v>
      </c>
      <c r="I459" t="str">
        <f>IFERROR(VLOOKUP(Tabela6[[#This Row],[Descrição]],Materiais!B:C,2,0),"")</f>
        <v/>
      </c>
    </row>
    <row r="460" spans="2:9">
      <c r="B460" s="11">
        <f t="shared" si="27"/>
        <v>44347</v>
      </c>
      <c r="C460" s="19">
        <f>MONTH(Tabela6[[#This Row],[Data]])</f>
        <v>5</v>
      </c>
      <c r="D460" s="19">
        <f>YEAR(Tabela6[[#This Row],[Data]])</f>
        <v>2021</v>
      </c>
      <c r="E460" s="12" t="s">
        <v>78</v>
      </c>
      <c r="F460" t="s">
        <v>100</v>
      </c>
      <c r="G460" s="26">
        <v>2</v>
      </c>
      <c r="H460">
        <v>1</v>
      </c>
      <c r="I460" t="str">
        <f>IFERROR(VLOOKUP(Tabela6[[#This Row],[Descrição]],Materiais!B:C,2,0),"")</f>
        <v/>
      </c>
    </row>
    <row r="461" spans="2:9">
      <c r="B461" s="11">
        <f t="shared" si="27"/>
        <v>44347</v>
      </c>
      <c r="C461" s="19">
        <f>MONTH(Tabela6[[#This Row],[Data]])</f>
        <v>5</v>
      </c>
      <c r="D461" s="19">
        <f>YEAR(Tabela6[[#This Row],[Data]])</f>
        <v>2021</v>
      </c>
      <c r="E461" s="12" t="s">
        <v>78</v>
      </c>
      <c r="F461" t="s">
        <v>61</v>
      </c>
      <c r="G461" s="26">
        <v>12</v>
      </c>
      <c r="H461">
        <v>6</v>
      </c>
      <c r="I461" t="str">
        <f>IFERROR(VLOOKUP(Tabela6[[#This Row],[Descrição]],Materiais!B:C,2,0),"")</f>
        <v/>
      </c>
    </row>
    <row r="462" spans="2:9">
      <c r="B462" s="11">
        <f t="shared" si="27"/>
        <v>44347</v>
      </c>
      <c r="C462" s="19">
        <f>MONTH(Tabela6[[#This Row],[Data]])</f>
        <v>5</v>
      </c>
      <c r="D462" s="19">
        <f>YEAR(Tabela6[[#This Row],[Data]])</f>
        <v>2021</v>
      </c>
      <c r="E462" s="12" t="s">
        <v>78</v>
      </c>
      <c r="F462" t="s">
        <v>62</v>
      </c>
      <c r="G462" s="26">
        <v>2</v>
      </c>
      <c r="H462">
        <v>1</v>
      </c>
      <c r="I462" t="str">
        <f>IFERROR(VLOOKUP(Tabela6[[#This Row],[Descrição]],Materiais!B:C,2,0),"")</f>
        <v/>
      </c>
    </row>
    <row r="463" spans="2:9">
      <c r="B463" s="11">
        <f t="shared" si="27"/>
        <v>44347</v>
      </c>
      <c r="C463" s="19">
        <f>MONTH(Tabela6[[#This Row],[Data]])</f>
        <v>5</v>
      </c>
      <c r="D463" s="19">
        <f>YEAR(Tabela6[[#This Row],[Data]])</f>
        <v>2021</v>
      </c>
      <c r="E463" s="12" t="s">
        <v>78</v>
      </c>
      <c r="F463" t="s">
        <v>58</v>
      </c>
      <c r="G463" s="26">
        <v>6</v>
      </c>
      <c r="H463">
        <v>3</v>
      </c>
      <c r="I463" t="str">
        <f>IFERROR(VLOOKUP(Tabela6[[#This Row],[Descrição]],Materiais!B:C,2,0),"")</f>
        <v/>
      </c>
    </row>
    <row r="464" spans="2:9">
      <c r="B464" s="11">
        <f t="shared" si="27"/>
        <v>44347</v>
      </c>
      <c r="C464" s="19">
        <f>MONTH(Tabela6[[#This Row],[Data]])</f>
        <v>5</v>
      </c>
      <c r="D464" s="19">
        <f>YEAR(Tabela6[[#This Row],[Data]])</f>
        <v>2021</v>
      </c>
      <c r="E464" s="12" t="s">
        <v>78</v>
      </c>
      <c r="F464" t="s">
        <v>95</v>
      </c>
      <c r="G464" s="26">
        <v>4</v>
      </c>
      <c r="H464">
        <v>2</v>
      </c>
      <c r="I464" t="str">
        <f>IFERROR(VLOOKUP(Tabela6[[#This Row],[Descrição]],Materiais!B:C,2,0),"")</f>
        <v/>
      </c>
    </row>
    <row r="465" spans="2:9">
      <c r="B465" s="11">
        <f t="shared" si="27"/>
        <v>44347</v>
      </c>
      <c r="C465" s="19">
        <f>MONTH(Tabela6[[#This Row],[Data]])</f>
        <v>5</v>
      </c>
      <c r="D465" s="19">
        <f>YEAR(Tabela6[[#This Row],[Data]])</f>
        <v>2021</v>
      </c>
      <c r="E465" s="12" t="s">
        <v>78</v>
      </c>
      <c r="F465" t="s">
        <v>117</v>
      </c>
      <c r="G465" s="26">
        <v>2</v>
      </c>
      <c r="H465">
        <v>1</v>
      </c>
      <c r="I465" t="str">
        <f>IFERROR(VLOOKUP(Tabela6[[#This Row],[Descrição]],Materiais!B:C,2,0),"")</f>
        <v/>
      </c>
    </row>
    <row r="466" spans="2:9">
      <c r="B466" s="11">
        <f t="shared" ref="B466:B472" si="28">42888+(365*4)</f>
        <v>44348</v>
      </c>
      <c r="C466" s="19">
        <f>MONTH(Tabela6[[#This Row],[Data]])</f>
        <v>6</v>
      </c>
      <c r="D466" s="19">
        <f>YEAR(Tabela6[[#This Row],[Data]])</f>
        <v>2021</v>
      </c>
      <c r="E466" s="12" t="s">
        <v>78</v>
      </c>
      <c r="F466" t="s">
        <v>63</v>
      </c>
      <c r="G466" s="26">
        <v>1.5</v>
      </c>
      <c r="H466">
        <v>1</v>
      </c>
      <c r="I466" t="str">
        <f>IFERROR(VLOOKUP(Tabela6[[#This Row],[Descrição]],Materiais!B:C,2,0),"")</f>
        <v/>
      </c>
    </row>
    <row r="467" spans="2:9">
      <c r="B467" s="11">
        <f t="shared" si="28"/>
        <v>44348</v>
      </c>
      <c r="C467" s="19">
        <f>MONTH(Tabela6[[#This Row],[Data]])</f>
        <v>6</v>
      </c>
      <c r="D467" s="19">
        <f>YEAR(Tabela6[[#This Row],[Data]])</f>
        <v>2021</v>
      </c>
      <c r="E467" s="12" t="s">
        <v>78</v>
      </c>
      <c r="F467" t="s">
        <v>56</v>
      </c>
      <c r="G467" s="26">
        <v>9.5</v>
      </c>
      <c r="H467">
        <v>5</v>
      </c>
      <c r="I467" t="str">
        <f>IFERROR(VLOOKUP(Tabela6[[#This Row],[Descrição]],Materiais!B:C,2,0),"")</f>
        <v/>
      </c>
    </row>
    <row r="468" spans="2:9">
      <c r="B468" s="11">
        <f t="shared" si="28"/>
        <v>44348</v>
      </c>
      <c r="C468" s="19">
        <f>MONTH(Tabela6[[#This Row],[Data]])</f>
        <v>6</v>
      </c>
      <c r="D468" s="19">
        <f>YEAR(Tabela6[[#This Row],[Data]])</f>
        <v>2021</v>
      </c>
      <c r="E468" s="12" t="s">
        <v>78</v>
      </c>
      <c r="F468" t="s">
        <v>100</v>
      </c>
      <c r="G468" s="26">
        <v>2</v>
      </c>
      <c r="H468">
        <v>1</v>
      </c>
      <c r="I468" t="str">
        <f>IFERROR(VLOOKUP(Tabela6[[#This Row],[Descrição]],Materiais!B:C,2,0),"")</f>
        <v/>
      </c>
    </row>
    <row r="469" spans="2:9">
      <c r="B469" s="11">
        <f t="shared" si="28"/>
        <v>44348</v>
      </c>
      <c r="C469" s="19">
        <f>MONTH(Tabela6[[#This Row],[Data]])</f>
        <v>6</v>
      </c>
      <c r="D469" s="19">
        <f>YEAR(Tabela6[[#This Row],[Data]])</f>
        <v>2021</v>
      </c>
      <c r="E469" s="12" t="s">
        <v>78</v>
      </c>
      <c r="F469" t="s">
        <v>61</v>
      </c>
      <c r="G469" s="26">
        <v>5.5</v>
      </c>
      <c r="H469">
        <v>3</v>
      </c>
      <c r="I469" t="str">
        <f>IFERROR(VLOOKUP(Tabela6[[#This Row],[Descrição]],Materiais!B:C,2,0),"")</f>
        <v/>
      </c>
    </row>
    <row r="470" spans="2:9">
      <c r="B470" s="11">
        <f t="shared" si="28"/>
        <v>44348</v>
      </c>
      <c r="C470" s="19">
        <f>MONTH(Tabela6[[#This Row],[Data]])</f>
        <v>6</v>
      </c>
      <c r="D470" s="19">
        <f>YEAR(Tabela6[[#This Row],[Data]])</f>
        <v>2021</v>
      </c>
      <c r="E470" s="12" t="s">
        <v>72</v>
      </c>
      <c r="F470" t="s">
        <v>17</v>
      </c>
      <c r="G470" s="26">
        <v>-19.95</v>
      </c>
      <c r="H470">
        <v>1400</v>
      </c>
      <c r="I470" t="str">
        <f>IFERROR(VLOOKUP(Tabela6[[#This Row],[Descrição]],Materiais!B:C,2,0),"")</f>
        <v>g</v>
      </c>
    </row>
    <row r="471" spans="2:9">
      <c r="B471" s="11">
        <f t="shared" si="28"/>
        <v>44348</v>
      </c>
      <c r="C471" s="19">
        <f>MONTH(Tabela6[[#This Row],[Data]])</f>
        <v>6</v>
      </c>
      <c r="D471" s="19">
        <f>YEAR(Tabela6[[#This Row],[Data]])</f>
        <v>2021</v>
      </c>
      <c r="E471" s="12" t="s">
        <v>78</v>
      </c>
      <c r="F471" t="s">
        <v>95</v>
      </c>
      <c r="G471" s="26">
        <v>1.5</v>
      </c>
      <c r="H471">
        <v>1</v>
      </c>
      <c r="I471" t="str">
        <f>IFERROR(VLOOKUP(Tabela6[[#This Row],[Descrição]],Materiais!B:C,2,0),"")</f>
        <v/>
      </c>
    </row>
    <row r="472" spans="2:9">
      <c r="B472" s="11">
        <f t="shared" si="28"/>
        <v>44348</v>
      </c>
      <c r="C472" s="19">
        <f>MONTH(Tabela6[[#This Row],[Data]])</f>
        <v>6</v>
      </c>
      <c r="D472" s="19">
        <f>YEAR(Tabela6[[#This Row],[Data]])</f>
        <v>2021</v>
      </c>
      <c r="E472" s="12" t="s">
        <v>78</v>
      </c>
      <c r="F472" t="s">
        <v>117</v>
      </c>
      <c r="G472" s="26">
        <v>2</v>
      </c>
      <c r="H472">
        <v>1</v>
      </c>
      <c r="I472" t="str">
        <f>IFERROR(VLOOKUP(Tabela6[[#This Row],[Descrição]],Materiais!B:C,2,0),"")</f>
        <v/>
      </c>
    </row>
    <row r="473" spans="2:9">
      <c r="B473" s="11">
        <f t="shared" ref="B473:B483" si="29">42891+(365*4)</f>
        <v>44351</v>
      </c>
      <c r="C473" s="19">
        <f>MONTH(Tabela6[[#This Row],[Data]])</f>
        <v>6</v>
      </c>
      <c r="D473" s="19">
        <f>YEAR(Tabela6[[#This Row],[Data]])</f>
        <v>2021</v>
      </c>
      <c r="E473" s="12" t="s">
        <v>72</v>
      </c>
      <c r="F473" t="s">
        <v>9</v>
      </c>
      <c r="G473" s="26">
        <v>-28.5</v>
      </c>
      <c r="H473">
        <v>1000</v>
      </c>
      <c r="I473" t="str">
        <f>IFERROR(VLOOKUP(Tabela6[[#This Row],[Descrição]],Materiais!B:C,2,0),"")</f>
        <v>g</v>
      </c>
    </row>
    <row r="474" spans="2:9">
      <c r="B474" s="11">
        <f t="shared" si="29"/>
        <v>44351</v>
      </c>
      <c r="C474" s="19">
        <f>MONTH(Tabela6[[#This Row],[Data]])</f>
        <v>6</v>
      </c>
      <c r="D474" s="19">
        <f>YEAR(Tabela6[[#This Row],[Data]])</f>
        <v>2021</v>
      </c>
      <c r="E474" s="12" t="s">
        <v>78</v>
      </c>
      <c r="F474" t="s">
        <v>56</v>
      </c>
      <c r="G474" s="26">
        <v>2</v>
      </c>
      <c r="H474">
        <v>1</v>
      </c>
      <c r="I474" t="str">
        <f>IFERROR(VLOOKUP(Tabela6[[#This Row],[Descrição]],Materiais!B:C,2,0),"")</f>
        <v/>
      </c>
    </row>
    <row r="475" spans="2:9">
      <c r="B475" s="11">
        <f t="shared" si="29"/>
        <v>44351</v>
      </c>
      <c r="C475" s="19">
        <f>MONTH(Tabela6[[#This Row],[Data]])</f>
        <v>6</v>
      </c>
      <c r="D475" s="19">
        <f>YEAR(Tabela6[[#This Row],[Data]])</f>
        <v>2021</v>
      </c>
      <c r="E475" s="12" t="s">
        <v>78</v>
      </c>
      <c r="F475" t="s">
        <v>56</v>
      </c>
      <c r="G475" s="26">
        <v>4</v>
      </c>
      <c r="H475">
        <v>2</v>
      </c>
      <c r="I475" t="str">
        <f>IFERROR(VLOOKUP(Tabela6[[#This Row],[Descrição]],Materiais!B:C,2,0),"")</f>
        <v/>
      </c>
    </row>
    <row r="476" spans="2:9">
      <c r="B476" s="11">
        <f t="shared" si="29"/>
        <v>44351</v>
      </c>
      <c r="C476" s="19">
        <f>MONTH(Tabela6[[#This Row],[Data]])</f>
        <v>6</v>
      </c>
      <c r="D476" s="19">
        <f>YEAR(Tabela6[[#This Row],[Data]])</f>
        <v>2021</v>
      </c>
      <c r="E476" s="12" t="s">
        <v>75</v>
      </c>
      <c r="F476" t="s">
        <v>123</v>
      </c>
      <c r="G476" s="26">
        <v>-39.5</v>
      </c>
      <c r="H476">
        <v>10</v>
      </c>
      <c r="I476" t="str">
        <f>IFERROR(VLOOKUP(Tabela6[[#This Row],[Descrição]],Materiais!B:C,2,0),"")</f>
        <v/>
      </c>
    </row>
    <row r="477" spans="2:9">
      <c r="B477" s="11">
        <f t="shared" si="29"/>
        <v>44351</v>
      </c>
      <c r="C477" s="19">
        <f>MONTH(Tabela6[[#This Row],[Data]])</f>
        <v>6</v>
      </c>
      <c r="D477" s="19">
        <f>YEAR(Tabela6[[#This Row],[Data]])</f>
        <v>2021</v>
      </c>
      <c r="E477" s="12" t="s">
        <v>78</v>
      </c>
      <c r="F477" t="s">
        <v>61</v>
      </c>
      <c r="G477" s="26">
        <v>2</v>
      </c>
      <c r="H477">
        <v>1</v>
      </c>
      <c r="I477" t="str">
        <f>IFERROR(VLOOKUP(Tabela6[[#This Row],[Descrição]],Materiais!B:C,2,0),"")</f>
        <v/>
      </c>
    </row>
    <row r="478" spans="2:9">
      <c r="B478" s="11">
        <f t="shared" si="29"/>
        <v>44351</v>
      </c>
      <c r="C478" s="19">
        <f>MONTH(Tabela6[[#This Row],[Data]])</f>
        <v>6</v>
      </c>
      <c r="D478" s="19">
        <f>YEAR(Tabela6[[#This Row],[Data]])</f>
        <v>2021</v>
      </c>
      <c r="E478" s="12" t="s">
        <v>78</v>
      </c>
      <c r="F478" t="s">
        <v>61</v>
      </c>
      <c r="G478" s="26">
        <v>2</v>
      </c>
      <c r="H478">
        <v>1</v>
      </c>
      <c r="I478" t="str">
        <f>IFERROR(VLOOKUP(Tabela6[[#This Row],[Descrição]],Materiais!B:C,2,0),"")</f>
        <v/>
      </c>
    </row>
    <row r="479" spans="2:9">
      <c r="B479" s="11">
        <f t="shared" si="29"/>
        <v>44351</v>
      </c>
      <c r="C479" s="19">
        <f>MONTH(Tabela6[[#This Row],[Data]])</f>
        <v>6</v>
      </c>
      <c r="D479" s="19">
        <f>YEAR(Tabela6[[#This Row],[Data]])</f>
        <v>2021</v>
      </c>
      <c r="E479" s="12" t="s">
        <v>72</v>
      </c>
      <c r="F479" t="s">
        <v>90</v>
      </c>
      <c r="G479" s="26">
        <v>-15.1</v>
      </c>
      <c r="H479">
        <v>1000</v>
      </c>
      <c r="I479" t="str">
        <f>IFERROR(VLOOKUP(Tabela6[[#This Row],[Descrição]],Materiais!B:C,2,0),"")</f>
        <v/>
      </c>
    </row>
    <row r="480" spans="2:9">
      <c r="B480" s="11">
        <f t="shared" si="29"/>
        <v>44351</v>
      </c>
      <c r="C480" s="19">
        <f>MONTH(Tabela6[[#This Row],[Data]])</f>
        <v>6</v>
      </c>
      <c r="D480" s="19">
        <f>YEAR(Tabela6[[#This Row],[Data]])</f>
        <v>2021</v>
      </c>
      <c r="E480" s="12" t="s">
        <v>75</v>
      </c>
      <c r="F480" t="s">
        <v>119</v>
      </c>
      <c r="G480" s="26">
        <v>-3</v>
      </c>
      <c r="H480">
        <v>300</v>
      </c>
      <c r="I480" t="str">
        <f>IFERROR(VLOOKUP(Tabela6[[#This Row],[Descrição]],Materiais!B:C,2,0),"")</f>
        <v/>
      </c>
    </row>
    <row r="481" spans="2:9">
      <c r="B481" s="11">
        <f t="shared" si="29"/>
        <v>44351</v>
      </c>
      <c r="C481" s="19">
        <f>MONTH(Tabela6[[#This Row],[Data]])</f>
        <v>6</v>
      </c>
      <c r="D481" s="19">
        <f>YEAR(Tabela6[[#This Row],[Data]])</f>
        <v>2021</v>
      </c>
      <c r="E481" s="12" t="s">
        <v>78</v>
      </c>
      <c r="F481" t="s">
        <v>126</v>
      </c>
      <c r="G481" s="26">
        <v>2</v>
      </c>
      <c r="H481">
        <v>1</v>
      </c>
      <c r="I481" t="str">
        <f>IFERROR(VLOOKUP(Tabela6[[#This Row],[Descrição]],Materiais!B:C,2,0),"")</f>
        <v/>
      </c>
    </row>
    <row r="482" spans="2:9">
      <c r="B482" s="11">
        <f t="shared" si="29"/>
        <v>44351</v>
      </c>
      <c r="C482" s="19">
        <f>MONTH(Tabela6[[#This Row],[Data]])</f>
        <v>6</v>
      </c>
      <c r="D482" s="19">
        <f>YEAR(Tabela6[[#This Row],[Data]])</f>
        <v>2021</v>
      </c>
      <c r="E482" s="12" t="s">
        <v>78</v>
      </c>
      <c r="F482" t="s">
        <v>95</v>
      </c>
      <c r="G482" s="26">
        <v>2</v>
      </c>
      <c r="H482">
        <v>1</v>
      </c>
      <c r="I482" t="str">
        <f>IFERROR(VLOOKUP(Tabela6[[#This Row],[Descrição]],Materiais!B:C,2,0),"")</f>
        <v/>
      </c>
    </row>
    <row r="483" spans="2:9">
      <c r="B483" s="11">
        <f t="shared" si="29"/>
        <v>44351</v>
      </c>
      <c r="C483" s="19">
        <f>MONTH(Tabela6[[#This Row],[Data]])</f>
        <v>6</v>
      </c>
      <c r="D483" s="19">
        <f>YEAR(Tabela6[[#This Row],[Data]])</f>
        <v>2021</v>
      </c>
      <c r="E483" s="12" t="s">
        <v>75</v>
      </c>
      <c r="F483" t="s">
        <v>125</v>
      </c>
      <c r="G483" s="26">
        <v>-9.120000000000001</v>
      </c>
      <c r="H483">
        <v>3</v>
      </c>
      <c r="I483" t="str">
        <f>IFERROR(VLOOKUP(Tabela6[[#This Row],[Descrição]],Materiais!B:C,2,0),"")</f>
        <v/>
      </c>
    </row>
    <row r="484" spans="2:9">
      <c r="B484" s="11">
        <f t="shared" ref="B484:B493" si="30">42892+(365*4)</f>
        <v>44352</v>
      </c>
      <c r="C484" s="19">
        <f>MONTH(Tabela6[[#This Row],[Data]])</f>
        <v>6</v>
      </c>
      <c r="D484" s="19">
        <f>YEAR(Tabela6[[#This Row],[Data]])</f>
        <v>2021</v>
      </c>
      <c r="E484" s="12" t="s">
        <v>78</v>
      </c>
      <c r="F484" t="s">
        <v>63</v>
      </c>
      <c r="G484" s="26">
        <v>4</v>
      </c>
      <c r="H484">
        <v>2</v>
      </c>
      <c r="I484" t="str">
        <f>IFERROR(VLOOKUP(Tabela6[[#This Row],[Descrição]],Materiais!B:C,2,0),"")</f>
        <v/>
      </c>
    </row>
    <row r="485" spans="2:9">
      <c r="B485" s="11">
        <f t="shared" si="30"/>
        <v>44352</v>
      </c>
      <c r="C485" s="19">
        <f>MONTH(Tabela6[[#This Row],[Data]])</f>
        <v>6</v>
      </c>
      <c r="D485" s="19">
        <f>YEAR(Tabela6[[#This Row],[Data]])</f>
        <v>2021</v>
      </c>
      <c r="E485" s="12" t="s">
        <v>78</v>
      </c>
      <c r="F485" t="s">
        <v>56</v>
      </c>
      <c r="G485" s="26">
        <v>10</v>
      </c>
      <c r="H485">
        <v>5</v>
      </c>
      <c r="I485" t="str">
        <f>IFERROR(VLOOKUP(Tabela6[[#This Row],[Descrição]],Materiais!B:C,2,0),"")</f>
        <v/>
      </c>
    </row>
    <row r="486" spans="2:9">
      <c r="B486" s="11">
        <f t="shared" si="30"/>
        <v>44352</v>
      </c>
      <c r="C486" s="19">
        <f>MONTH(Tabela6[[#This Row],[Data]])</f>
        <v>6</v>
      </c>
      <c r="D486" s="19">
        <f>YEAR(Tabela6[[#This Row],[Data]])</f>
        <v>2021</v>
      </c>
      <c r="E486" s="12" t="s">
        <v>78</v>
      </c>
      <c r="F486" t="s">
        <v>100</v>
      </c>
      <c r="G486" s="26">
        <v>4</v>
      </c>
      <c r="H486">
        <v>2</v>
      </c>
      <c r="I486" t="str">
        <f>IFERROR(VLOOKUP(Tabela6[[#This Row],[Descrição]],Materiais!B:C,2,0),"")</f>
        <v/>
      </c>
    </row>
    <row r="487" spans="2:9">
      <c r="B487" s="11">
        <f t="shared" si="30"/>
        <v>44352</v>
      </c>
      <c r="C487" s="19">
        <f>MONTH(Tabela6[[#This Row],[Data]])</f>
        <v>6</v>
      </c>
      <c r="D487" s="19">
        <f>YEAR(Tabela6[[#This Row],[Data]])</f>
        <v>2021</v>
      </c>
      <c r="E487" s="12" t="s">
        <v>78</v>
      </c>
      <c r="F487" t="s">
        <v>61</v>
      </c>
      <c r="G487" s="26">
        <v>10</v>
      </c>
      <c r="H487">
        <v>5</v>
      </c>
      <c r="I487" t="str">
        <f>IFERROR(VLOOKUP(Tabela6[[#This Row],[Descrição]],Materiais!B:C,2,0),"")</f>
        <v/>
      </c>
    </row>
    <row r="488" spans="2:9">
      <c r="B488" s="11">
        <f t="shared" si="30"/>
        <v>44352</v>
      </c>
      <c r="C488" s="19">
        <f>MONTH(Tabela6[[#This Row],[Data]])</f>
        <v>6</v>
      </c>
      <c r="D488" s="19">
        <f>YEAR(Tabela6[[#This Row],[Data]])</f>
        <v>2021</v>
      </c>
      <c r="E488" s="12" t="s">
        <v>78</v>
      </c>
      <c r="F488" t="s">
        <v>126</v>
      </c>
      <c r="G488" s="26">
        <v>10</v>
      </c>
      <c r="H488">
        <v>5</v>
      </c>
      <c r="I488" t="str">
        <f>IFERROR(VLOOKUP(Tabela6[[#This Row],[Descrição]],Materiais!B:C,2,0),"")</f>
        <v/>
      </c>
    </row>
    <row r="489" spans="2:9">
      <c r="B489" s="11">
        <f t="shared" si="30"/>
        <v>44352</v>
      </c>
      <c r="C489" s="19">
        <f>MONTH(Tabela6[[#This Row],[Data]])</f>
        <v>6</v>
      </c>
      <c r="D489" s="19">
        <f>YEAR(Tabela6[[#This Row],[Data]])</f>
        <v>2021</v>
      </c>
      <c r="E489" s="12" t="s">
        <v>78</v>
      </c>
      <c r="F489" t="s">
        <v>62</v>
      </c>
      <c r="G489" s="26">
        <v>2</v>
      </c>
      <c r="H489">
        <v>1</v>
      </c>
      <c r="I489" t="str">
        <f>IFERROR(VLOOKUP(Tabela6[[#This Row],[Descrição]],Materiais!B:C,2,0),"")</f>
        <v/>
      </c>
    </row>
    <row r="490" spans="2:9">
      <c r="B490" s="11">
        <f t="shared" si="30"/>
        <v>44352</v>
      </c>
      <c r="C490" s="19">
        <f>MONTH(Tabela6[[#This Row],[Data]])</f>
        <v>6</v>
      </c>
      <c r="D490" s="19">
        <f>YEAR(Tabela6[[#This Row],[Data]])</f>
        <v>2021</v>
      </c>
      <c r="E490" s="12" t="s">
        <v>78</v>
      </c>
      <c r="F490" t="s">
        <v>109</v>
      </c>
      <c r="G490" s="26">
        <v>2</v>
      </c>
      <c r="H490">
        <v>1</v>
      </c>
      <c r="I490" t="str">
        <f>IFERROR(VLOOKUP(Tabela6[[#This Row],[Descrição]],Materiais!B:C,2,0),"")</f>
        <v/>
      </c>
    </row>
    <row r="491" spans="2:9">
      <c r="B491" s="11">
        <f t="shared" si="30"/>
        <v>44352</v>
      </c>
      <c r="C491" s="19">
        <f>MONTH(Tabela6[[#This Row],[Data]])</f>
        <v>6</v>
      </c>
      <c r="D491" s="19">
        <f>YEAR(Tabela6[[#This Row],[Data]])</f>
        <v>2021</v>
      </c>
      <c r="E491" s="12" t="s">
        <v>78</v>
      </c>
      <c r="F491" t="s">
        <v>58</v>
      </c>
      <c r="G491" s="26">
        <v>4</v>
      </c>
      <c r="H491">
        <v>2</v>
      </c>
      <c r="I491" t="str">
        <f>IFERROR(VLOOKUP(Tabela6[[#This Row],[Descrição]],Materiais!B:C,2,0),"")</f>
        <v/>
      </c>
    </row>
    <row r="492" spans="2:9">
      <c r="B492" s="11">
        <f t="shared" si="30"/>
        <v>44352</v>
      </c>
      <c r="C492" s="19">
        <f>MONTH(Tabela6[[#This Row],[Data]])</f>
        <v>6</v>
      </c>
      <c r="D492" s="19">
        <f>YEAR(Tabela6[[#This Row],[Data]])</f>
        <v>2021</v>
      </c>
      <c r="E492" s="12" t="s">
        <v>78</v>
      </c>
      <c r="F492" t="s">
        <v>95</v>
      </c>
      <c r="G492" s="26">
        <v>2</v>
      </c>
      <c r="H492">
        <v>1</v>
      </c>
      <c r="I492" t="str">
        <f>IFERROR(VLOOKUP(Tabela6[[#This Row],[Descrição]],Materiais!B:C,2,0),"")</f>
        <v/>
      </c>
    </row>
    <row r="493" spans="2:9">
      <c r="B493" s="11">
        <f t="shared" si="30"/>
        <v>44352</v>
      </c>
      <c r="C493" s="19">
        <f>MONTH(Tabela6[[#This Row],[Data]])</f>
        <v>6</v>
      </c>
      <c r="D493" s="19">
        <f>YEAR(Tabela6[[#This Row],[Data]])</f>
        <v>2021</v>
      </c>
      <c r="E493" s="12" t="s">
        <v>78</v>
      </c>
      <c r="F493" t="s">
        <v>117</v>
      </c>
      <c r="G493" s="26">
        <v>2</v>
      </c>
      <c r="H493">
        <v>1</v>
      </c>
      <c r="I493" t="str">
        <f>IFERROR(VLOOKUP(Tabela6[[#This Row],[Descrição]],Materiais!B:C,2,0),"")</f>
        <v/>
      </c>
    </row>
    <row r="494" spans="2:9">
      <c r="B494" s="11">
        <f t="shared" ref="B494:B505" si="31">42893+(365*4)</f>
        <v>44353</v>
      </c>
      <c r="C494" s="19">
        <f>MONTH(Tabela6[[#This Row],[Data]])</f>
        <v>6</v>
      </c>
      <c r="D494" s="19">
        <f>YEAR(Tabela6[[#This Row],[Data]])</f>
        <v>2021</v>
      </c>
      <c r="E494" s="12" t="s">
        <v>75</v>
      </c>
      <c r="F494" t="s">
        <v>113</v>
      </c>
      <c r="G494" s="26">
        <v>-11</v>
      </c>
      <c r="H494">
        <v>10</v>
      </c>
      <c r="I494" t="str">
        <f>IFERROR(VLOOKUP(Tabela6[[#This Row],[Descrição]],Materiais!B:C,2,0),"")</f>
        <v/>
      </c>
    </row>
    <row r="495" spans="2:9">
      <c r="B495" s="11">
        <f t="shared" si="31"/>
        <v>44353</v>
      </c>
      <c r="C495" s="19">
        <f>MONTH(Tabela6[[#This Row],[Data]])</f>
        <v>6</v>
      </c>
      <c r="D495" s="19">
        <f>YEAR(Tabela6[[#This Row],[Data]])</f>
        <v>2021</v>
      </c>
      <c r="E495" s="12" t="s">
        <v>78</v>
      </c>
      <c r="F495" t="s">
        <v>56</v>
      </c>
      <c r="G495" s="26">
        <v>6</v>
      </c>
      <c r="H495">
        <v>3</v>
      </c>
      <c r="I495" t="str">
        <f>IFERROR(VLOOKUP(Tabela6[[#This Row],[Descrição]],Materiais!B:C,2,0),"")</f>
        <v/>
      </c>
    </row>
    <row r="496" spans="2:9">
      <c r="B496" s="11">
        <f t="shared" si="31"/>
        <v>44353</v>
      </c>
      <c r="C496" s="19">
        <f>MONTH(Tabela6[[#This Row],[Data]])</f>
        <v>6</v>
      </c>
      <c r="D496" s="19">
        <f>YEAR(Tabela6[[#This Row],[Data]])</f>
        <v>2021</v>
      </c>
      <c r="E496" s="12" t="s">
        <v>78</v>
      </c>
      <c r="F496" t="s">
        <v>100</v>
      </c>
      <c r="G496" s="26">
        <v>4</v>
      </c>
      <c r="H496">
        <v>2</v>
      </c>
      <c r="I496" t="str">
        <f>IFERROR(VLOOKUP(Tabela6[[#This Row],[Descrição]],Materiais!B:C,2,0),"")</f>
        <v/>
      </c>
    </row>
    <row r="497" spans="2:9">
      <c r="B497" s="11">
        <f t="shared" si="31"/>
        <v>44353</v>
      </c>
      <c r="C497" s="19">
        <f>MONTH(Tabela6[[#This Row],[Data]])</f>
        <v>6</v>
      </c>
      <c r="D497" s="19">
        <f>YEAR(Tabela6[[#This Row],[Data]])</f>
        <v>2021</v>
      </c>
      <c r="E497" s="12" t="s">
        <v>78</v>
      </c>
      <c r="F497" t="s">
        <v>61</v>
      </c>
      <c r="G497" s="26">
        <v>10</v>
      </c>
      <c r="H497">
        <v>5</v>
      </c>
      <c r="I497" t="str">
        <f>IFERROR(VLOOKUP(Tabela6[[#This Row],[Descrição]],Materiais!B:C,2,0),"")</f>
        <v/>
      </c>
    </row>
    <row r="498" spans="2:9">
      <c r="B498" s="11">
        <f t="shared" si="31"/>
        <v>44353</v>
      </c>
      <c r="C498" s="19">
        <f>MONTH(Tabela6[[#This Row],[Data]])</f>
        <v>6</v>
      </c>
      <c r="D498" s="19">
        <f>YEAR(Tabela6[[#This Row],[Data]])</f>
        <v>2021</v>
      </c>
      <c r="E498" s="12" t="s">
        <v>72</v>
      </c>
      <c r="F498" t="s">
        <v>14</v>
      </c>
      <c r="G498" s="26">
        <v>-12.99</v>
      </c>
      <c r="H498">
        <v>300</v>
      </c>
      <c r="I498" t="str">
        <f>IFERROR(VLOOKUP(Tabela6[[#This Row],[Descrição]],Materiais!B:C,2,0),"")</f>
        <v>g</v>
      </c>
    </row>
    <row r="499" spans="2:9">
      <c r="B499" s="11">
        <f t="shared" si="31"/>
        <v>44353</v>
      </c>
      <c r="C499" s="19">
        <f>MONTH(Tabela6[[#This Row],[Data]])</f>
        <v>6</v>
      </c>
      <c r="D499" s="19">
        <f>YEAR(Tabela6[[#This Row],[Data]])</f>
        <v>2021</v>
      </c>
      <c r="E499" s="12" t="s">
        <v>75</v>
      </c>
      <c r="F499" t="s">
        <v>104</v>
      </c>
      <c r="G499" s="26">
        <v>-0.9</v>
      </c>
      <c r="H499">
        <v>100</v>
      </c>
      <c r="I499" t="str">
        <f>IFERROR(VLOOKUP(Tabela6[[#This Row],[Descrição]],Materiais!B:C,2,0),"")</f>
        <v/>
      </c>
    </row>
    <row r="500" spans="2:9">
      <c r="B500" s="11">
        <f t="shared" si="31"/>
        <v>44353</v>
      </c>
      <c r="C500" s="19">
        <f>MONTH(Tabela6[[#This Row],[Data]])</f>
        <v>6</v>
      </c>
      <c r="D500" s="19">
        <f>YEAR(Tabela6[[#This Row],[Data]])</f>
        <v>2021</v>
      </c>
      <c r="E500" s="12" t="s">
        <v>75</v>
      </c>
      <c r="F500" t="s">
        <v>108</v>
      </c>
      <c r="G500" s="26">
        <v>-4.8000000000000007</v>
      </c>
      <c r="H500">
        <v>150</v>
      </c>
      <c r="I500" t="str">
        <f>IFERROR(VLOOKUP(Tabela6[[#This Row],[Descrição]],Materiais!B:C,2,0),"")</f>
        <v/>
      </c>
    </row>
    <row r="501" spans="2:9">
      <c r="B501" s="11">
        <f t="shared" si="31"/>
        <v>44353</v>
      </c>
      <c r="C501" s="19">
        <f>MONTH(Tabela6[[#This Row],[Data]])</f>
        <v>6</v>
      </c>
      <c r="D501" s="19">
        <f>YEAR(Tabela6[[#This Row],[Data]])</f>
        <v>2021</v>
      </c>
      <c r="E501" s="12" t="s">
        <v>78</v>
      </c>
      <c r="F501" t="s">
        <v>126</v>
      </c>
      <c r="G501" s="26">
        <v>2</v>
      </c>
      <c r="H501">
        <v>1</v>
      </c>
      <c r="I501" t="str">
        <f>IFERROR(VLOOKUP(Tabela6[[#This Row],[Descrição]],Materiais!B:C,2,0),"")</f>
        <v/>
      </c>
    </row>
    <row r="502" spans="2:9">
      <c r="B502" s="11">
        <f t="shared" si="31"/>
        <v>44353</v>
      </c>
      <c r="C502" s="19">
        <f>MONTH(Tabela6[[#This Row],[Data]])</f>
        <v>6</v>
      </c>
      <c r="D502" s="19">
        <f>YEAR(Tabela6[[#This Row],[Data]])</f>
        <v>2021</v>
      </c>
      <c r="E502" s="12" t="s">
        <v>78</v>
      </c>
      <c r="F502" t="s">
        <v>126</v>
      </c>
      <c r="G502" s="26">
        <v>4</v>
      </c>
      <c r="H502">
        <v>2</v>
      </c>
      <c r="I502" t="str">
        <f>IFERROR(VLOOKUP(Tabela6[[#This Row],[Descrição]],Materiais!B:C,2,0),"")</f>
        <v/>
      </c>
    </row>
    <row r="503" spans="2:9">
      <c r="B503" s="11">
        <f t="shared" si="31"/>
        <v>44353</v>
      </c>
      <c r="C503" s="19">
        <f>MONTH(Tabela6[[#This Row],[Data]])</f>
        <v>6</v>
      </c>
      <c r="D503" s="19">
        <f>YEAR(Tabela6[[#This Row],[Data]])</f>
        <v>2021</v>
      </c>
      <c r="E503" s="12" t="s">
        <v>78</v>
      </c>
      <c r="F503" t="s">
        <v>109</v>
      </c>
      <c r="G503" s="26">
        <v>4</v>
      </c>
      <c r="H503">
        <v>2</v>
      </c>
      <c r="I503" t="str">
        <f>IFERROR(VLOOKUP(Tabela6[[#This Row],[Descrição]],Materiais!B:C,2,0),"")</f>
        <v/>
      </c>
    </row>
    <row r="504" spans="2:9">
      <c r="B504" s="11">
        <f t="shared" si="31"/>
        <v>44353</v>
      </c>
      <c r="C504" s="19">
        <f>MONTH(Tabela6[[#This Row],[Data]])</f>
        <v>6</v>
      </c>
      <c r="D504" s="19">
        <f>YEAR(Tabela6[[#This Row],[Data]])</f>
        <v>2021</v>
      </c>
      <c r="E504" s="12" t="s">
        <v>78</v>
      </c>
      <c r="F504" t="s">
        <v>58</v>
      </c>
      <c r="G504" s="26">
        <v>6</v>
      </c>
      <c r="H504">
        <v>3</v>
      </c>
      <c r="I504" t="str">
        <f>IFERROR(VLOOKUP(Tabela6[[#This Row],[Descrição]],Materiais!B:C,2,0),"")</f>
        <v/>
      </c>
    </row>
    <row r="505" spans="2:9">
      <c r="B505" s="11">
        <f t="shared" si="31"/>
        <v>44353</v>
      </c>
      <c r="C505" s="19">
        <f>MONTH(Tabela6[[#This Row],[Data]])</f>
        <v>6</v>
      </c>
      <c r="D505" s="19">
        <f>YEAR(Tabela6[[#This Row],[Data]])</f>
        <v>2021</v>
      </c>
      <c r="E505" s="12" t="s">
        <v>78</v>
      </c>
      <c r="F505" t="s">
        <v>117</v>
      </c>
      <c r="G505" s="26">
        <v>4</v>
      </c>
      <c r="H505">
        <v>2</v>
      </c>
      <c r="I505" t="str">
        <f>IFERROR(VLOOKUP(Tabela6[[#This Row],[Descrição]],Materiais!B:C,2,0),"")</f>
        <v/>
      </c>
    </row>
    <row r="506" spans="2:9">
      <c r="B506" s="11">
        <f t="shared" ref="B506:B515" si="32">42894+(365*4)</f>
        <v>44354</v>
      </c>
      <c r="C506" s="19">
        <f>MONTH(Tabela6[[#This Row],[Data]])</f>
        <v>6</v>
      </c>
      <c r="D506" s="19">
        <f>YEAR(Tabela6[[#This Row],[Data]])</f>
        <v>2021</v>
      </c>
      <c r="E506" s="12" t="s">
        <v>78</v>
      </c>
      <c r="F506" t="s">
        <v>63</v>
      </c>
      <c r="G506" s="26">
        <v>2</v>
      </c>
      <c r="H506">
        <v>1</v>
      </c>
      <c r="I506" t="str">
        <f>IFERROR(VLOOKUP(Tabela6[[#This Row],[Descrição]],Materiais!B:C,2,0),"")</f>
        <v/>
      </c>
    </row>
    <row r="507" spans="2:9">
      <c r="B507" s="11">
        <f t="shared" si="32"/>
        <v>44354</v>
      </c>
      <c r="C507" s="19">
        <f>MONTH(Tabela6[[#This Row],[Data]])</f>
        <v>6</v>
      </c>
      <c r="D507" s="19">
        <f>YEAR(Tabela6[[#This Row],[Data]])</f>
        <v>2021</v>
      </c>
      <c r="E507" s="12" t="s">
        <v>78</v>
      </c>
      <c r="F507" t="s">
        <v>56</v>
      </c>
      <c r="G507" s="26">
        <v>4</v>
      </c>
      <c r="H507">
        <v>2</v>
      </c>
      <c r="I507" t="str">
        <f>IFERROR(VLOOKUP(Tabela6[[#This Row],[Descrição]],Materiais!B:C,2,0),"")</f>
        <v/>
      </c>
    </row>
    <row r="508" spans="2:9">
      <c r="B508" s="11">
        <f t="shared" si="32"/>
        <v>44354</v>
      </c>
      <c r="C508" s="19">
        <f>MONTH(Tabela6[[#This Row],[Data]])</f>
        <v>6</v>
      </c>
      <c r="D508" s="19">
        <f>YEAR(Tabela6[[#This Row],[Data]])</f>
        <v>2021</v>
      </c>
      <c r="E508" s="12" t="s">
        <v>75</v>
      </c>
      <c r="F508" t="s">
        <v>111</v>
      </c>
      <c r="G508" s="26">
        <v>-10.4</v>
      </c>
      <c r="H508">
        <v>10</v>
      </c>
      <c r="I508" t="str">
        <f>IFERROR(VLOOKUP(Tabela6[[#This Row],[Descrição]],Materiais!B:C,2,0),"")</f>
        <v/>
      </c>
    </row>
    <row r="509" spans="2:9">
      <c r="B509" s="11">
        <f t="shared" si="32"/>
        <v>44354</v>
      </c>
      <c r="C509" s="19">
        <f>MONTH(Tabela6[[#This Row],[Data]])</f>
        <v>6</v>
      </c>
      <c r="D509" s="19">
        <f>YEAR(Tabela6[[#This Row],[Data]])</f>
        <v>2021</v>
      </c>
      <c r="E509" s="12" t="s">
        <v>78</v>
      </c>
      <c r="F509" t="s">
        <v>100</v>
      </c>
      <c r="G509" s="26">
        <v>2</v>
      </c>
      <c r="H509">
        <v>1</v>
      </c>
      <c r="I509" t="str">
        <f>IFERROR(VLOOKUP(Tabela6[[#This Row],[Descrição]],Materiais!B:C,2,0),"")</f>
        <v/>
      </c>
    </row>
    <row r="510" spans="2:9">
      <c r="B510" s="11">
        <f t="shared" si="32"/>
        <v>44354</v>
      </c>
      <c r="C510" s="19">
        <f>MONTH(Tabela6[[#This Row],[Data]])</f>
        <v>6</v>
      </c>
      <c r="D510" s="19">
        <f>YEAR(Tabela6[[#This Row],[Data]])</f>
        <v>2021</v>
      </c>
      <c r="E510" s="12" t="s">
        <v>78</v>
      </c>
      <c r="F510" t="s">
        <v>61</v>
      </c>
      <c r="G510" s="26">
        <v>6</v>
      </c>
      <c r="H510">
        <v>3</v>
      </c>
      <c r="I510" t="str">
        <f>IFERROR(VLOOKUP(Tabela6[[#This Row],[Descrição]],Materiais!B:C,2,0),"")</f>
        <v/>
      </c>
    </row>
    <row r="511" spans="2:9">
      <c r="B511" s="11">
        <f t="shared" si="32"/>
        <v>44354</v>
      </c>
      <c r="C511" s="19">
        <f>MONTH(Tabela6[[#This Row],[Data]])</f>
        <v>6</v>
      </c>
      <c r="D511" s="19">
        <f>YEAR(Tabela6[[#This Row],[Data]])</f>
        <v>2021</v>
      </c>
      <c r="E511" s="12" t="s">
        <v>75</v>
      </c>
      <c r="F511" t="s">
        <v>119</v>
      </c>
      <c r="G511" s="26">
        <v>-1</v>
      </c>
      <c r="H511">
        <v>100</v>
      </c>
      <c r="I511" t="str">
        <f>IFERROR(VLOOKUP(Tabela6[[#This Row],[Descrição]],Materiais!B:C,2,0),"")</f>
        <v/>
      </c>
    </row>
    <row r="512" spans="2:9">
      <c r="B512" s="11">
        <f t="shared" si="32"/>
        <v>44354</v>
      </c>
      <c r="C512" s="19">
        <f>MONTH(Tabela6[[#This Row],[Data]])</f>
        <v>6</v>
      </c>
      <c r="D512" s="19">
        <f>YEAR(Tabela6[[#This Row],[Data]])</f>
        <v>2021</v>
      </c>
      <c r="E512" s="12" t="s">
        <v>78</v>
      </c>
      <c r="F512" t="s">
        <v>126</v>
      </c>
      <c r="G512" s="26">
        <v>2</v>
      </c>
      <c r="H512">
        <v>1</v>
      </c>
      <c r="I512" t="str">
        <f>IFERROR(VLOOKUP(Tabela6[[#This Row],[Descrição]],Materiais!B:C,2,0),"")</f>
        <v/>
      </c>
    </row>
    <row r="513" spans="2:9">
      <c r="B513" s="11">
        <f t="shared" si="32"/>
        <v>44354</v>
      </c>
      <c r="C513" s="19">
        <f>MONTH(Tabela6[[#This Row],[Data]])</f>
        <v>6</v>
      </c>
      <c r="D513" s="19">
        <f>YEAR(Tabela6[[#This Row],[Data]])</f>
        <v>2021</v>
      </c>
      <c r="E513" s="12" t="s">
        <v>78</v>
      </c>
      <c r="F513" t="s">
        <v>109</v>
      </c>
      <c r="G513" s="26">
        <v>2</v>
      </c>
      <c r="H513">
        <v>1</v>
      </c>
      <c r="I513" t="str">
        <f>IFERROR(VLOOKUP(Tabela6[[#This Row],[Descrição]],Materiais!B:C,2,0),"")</f>
        <v/>
      </c>
    </row>
    <row r="514" spans="2:9">
      <c r="B514" s="11">
        <f t="shared" si="32"/>
        <v>44354</v>
      </c>
      <c r="C514" s="19">
        <f>MONTH(Tabela6[[#This Row],[Data]])</f>
        <v>6</v>
      </c>
      <c r="D514" s="19">
        <f>YEAR(Tabela6[[#This Row],[Data]])</f>
        <v>2021</v>
      </c>
      <c r="E514" s="12" t="s">
        <v>78</v>
      </c>
      <c r="F514" t="s">
        <v>58</v>
      </c>
      <c r="G514" s="26">
        <v>4</v>
      </c>
      <c r="H514">
        <v>2</v>
      </c>
      <c r="I514" t="str">
        <f>IFERROR(VLOOKUP(Tabela6[[#This Row],[Descrição]],Materiais!B:C,2,0),"")</f>
        <v/>
      </c>
    </row>
    <row r="515" spans="2:9">
      <c r="B515" s="11">
        <f t="shared" si="32"/>
        <v>44354</v>
      </c>
      <c r="C515" s="19">
        <f>MONTH(Tabela6[[#This Row],[Data]])</f>
        <v>6</v>
      </c>
      <c r="D515" s="19">
        <f>YEAR(Tabela6[[#This Row],[Data]])</f>
        <v>2021</v>
      </c>
      <c r="E515" s="12" t="s">
        <v>78</v>
      </c>
      <c r="F515" t="s">
        <v>95</v>
      </c>
      <c r="G515" s="26">
        <v>2</v>
      </c>
      <c r="H515">
        <v>1</v>
      </c>
      <c r="I515" t="str">
        <f>IFERROR(VLOOKUP(Tabela6[[#This Row],[Descrição]],Materiais!B:C,2,0),"")</f>
        <v/>
      </c>
    </row>
    <row r="516" spans="2:9">
      <c r="B516" s="11">
        <f t="shared" ref="B516:B524" si="33">42895+(365*4)</f>
        <v>44355</v>
      </c>
      <c r="C516" s="19">
        <f>MONTH(Tabela6[[#This Row],[Data]])</f>
        <v>6</v>
      </c>
      <c r="D516" s="19">
        <f>YEAR(Tabela6[[#This Row],[Data]])</f>
        <v>2021</v>
      </c>
      <c r="E516" s="12" t="s">
        <v>78</v>
      </c>
      <c r="F516" t="s">
        <v>63</v>
      </c>
      <c r="G516" s="26">
        <v>2</v>
      </c>
      <c r="H516">
        <v>1</v>
      </c>
      <c r="I516" t="str">
        <f>IFERROR(VLOOKUP(Tabela6[[#This Row],[Descrição]],Materiais!B:C,2,0),"")</f>
        <v/>
      </c>
    </row>
    <row r="517" spans="2:9">
      <c r="B517" s="11">
        <f t="shared" si="33"/>
        <v>44355</v>
      </c>
      <c r="C517" s="19">
        <f>MONTH(Tabela6[[#This Row],[Data]])</f>
        <v>6</v>
      </c>
      <c r="D517" s="19">
        <f>YEAR(Tabela6[[#This Row],[Data]])</f>
        <v>2021</v>
      </c>
      <c r="E517" s="12" t="s">
        <v>78</v>
      </c>
      <c r="F517" t="s">
        <v>56</v>
      </c>
      <c r="G517" s="26">
        <v>4</v>
      </c>
      <c r="H517">
        <v>2</v>
      </c>
      <c r="I517" t="str">
        <f>IFERROR(VLOOKUP(Tabela6[[#This Row],[Descrição]],Materiais!B:C,2,0),"")</f>
        <v/>
      </c>
    </row>
    <row r="518" spans="2:9">
      <c r="B518" s="11">
        <f t="shared" si="33"/>
        <v>44355</v>
      </c>
      <c r="C518" s="19">
        <f>MONTH(Tabela6[[#This Row],[Data]])</f>
        <v>6</v>
      </c>
      <c r="D518" s="19">
        <f>YEAR(Tabela6[[#This Row],[Data]])</f>
        <v>2021</v>
      </c>
      <c r="E518" s="12" t="s">
        <v>78</v>
      </c>
      <c r="F518" t="s">
        <v>116</v>
      </c>
      <c r="G518" s="26">
        <v>70</v>
      </c>
      <c r="H518">
        <v>100</v>
      </c>
      <c r="I518" t="str">
        <f>IFERROR(VLOOKUP(Tabela6[[#This Row],[Descrição]],Materiais!B:C,2,0),"")</f>
        <v/>
      </c>
    </row>
    <row r="519" spans="2:9">
      <c r="B519" s="11">
        <f t="shared" si="33"/>
        <v>44355</v>
      </c>
      <c r="C519" s="19">
        <f>MONTH(Tabela6[[#This Row],[Data]])</f>
        <v>6</v>
      </c>
      <c r="D519" s="19">
        <f>YEAR(Tabela6[[#This Row],[Data]])</f>
        <v>2021</v>
      </c>
      <c r="E519" s="12" t="s">
        <v>75</v>
      </c>
      <c r="F519" t="s">
        <v>119</v>
      </c>
      <c r="G519" s="26">
        <v>-2.4</v>
      </c>
      <c r="H519">
        <v>200</v>
      </c>
      <c r="I519" t="str">
        <f>IFERROR(VLOOKUP(Tabela6[[#This Row],[Descrição]],Materiais!B:C,2,0),"")</f>
        <v/>
      </c>
    </row>
    <row r="520" spans="2:9">
      <c r="B520" s="11">
        <f t="shared" si="33"/>
        <v>44355</v>
      </c>
      <c r="C520" s="19">
        <f>MONTH(Tabela6[[#This Row],[Data]])</f>
        <v>6</v>
      </c>
      <c r="D520" s="19">
        <f>YEAR(Tabela6[[#This Row],[Data]])</f>
        <v>2021</v>
      </c>
      <c r="E520" s="12" t="s">
        <v>75</v>
      </c>
      <c r="F520" t="s">
        <v>119</v>
      </c>
      <c r="G520" s="26">
        <v>-1.98</v>
      </c>
      <c r="H520">
        <v>200</v>
      </c>
      <c r="I520" t="str">
        <f>IFERROR(VLOOKUP(Tabela6[[#This Row],[Descrição]],Materiais!B:C,2,0),"")</f>
        <v/>
      </c>
    </row>
    <row r="521" spans="2:9">
      <c r="B521" s="11">
        <f t="shared" si="33"/>
        <v>44355</v>
      </c>
      <c r="C521" s="19">
        <f>MONTH(Tabela6[[#This Row],[Data]])</f>
        <v>6</v>
      </c>
      <c r="D521" s="19">
        <f>YEAR(Tabela6[[#This Row],[Data]])</f>
        <v>2021</v>
      </c>
      <c r="E521" s="12" t="s">
        <v>78</v>
      </c>
      <c r="F521" t="s">
        <v>126</v>
      </c>
      <c r="G521" s="26">
        <v>6</v>
      </c>
      <c r="H521">
        <v>3</v>
      </c>
      <c r="I521" t="str">
        <f>IFERROR(VLOOKUP(Tabela6[[#This Row],[Descrição]],Materiais!B:C,2,0),"")</f>
        <v/>
      </c>
    </row>
    <row r="522" spans="2:9">
      <c r="B522" s="11">
        <f t="shared" si="33"/>
        <v>44355</v>
      </c>
      <c r="C522" s="19">
        <f>MONTH(Tabela6[[#This Row],[Data]])</f>
        <v>6</v>
      </c>
      <c r="D522" s="19">
        <f>YEAR(Tabela6[[#This Row],[Data]])</f>
        <v>2021</v>
      </c>
      <c r="E522" s="12" t="s">
        <v>78</v>
      </c>
      <c r="F522" t="s">
        <v>62</v>
      </c>
      <c r="G522" s="26">
        <v>2</v>
      </c>
      <c r="H522">
        <v>1</v>
      </c>
      <c r="I522" t="str">
        <f>IFERROR(VLOOKUP(Tabela6[[#This Row],[Descrição]],Materiais!B:C,2,0),"")</f>
        <v/>
      </c>
    </row>
    <row r="523" spans="2:9">
      <c r="B523" s="11">
        <f t="shared" si="33"/>
        <v>44355</v>
      </c>
      <c r="C523" s="19">
        <f>MONTH(Tabela6[[#This Row],[Data]])</f>
        <v>6</v>
      </c>
      <c r="D523" s="19">
        <f>YEAR(Tabela6[[#This Row],[Data]])</f>
        <v>2021</v>
      </c>
      <c r="E523" s="12" t="s">
        <v>78</v>
      </c>
      <c r="F523" t="s">
        <v>95</v>
      </c>
      <c r="G523" s="26">
        <v>4</v>
      </c>
      <c r="H523">
        <v>2</v>
      </c>
      <c r="I523" t="str">
        <f>IFERROR(VLOOKUP(Tabela6[[#This Row],[Descrição]],Materiais!B:C,2,0),"")</f>
        <v/>
      </c>
    </row>
    <row r="524" spans="2:9">
      <c r="B524" s="11">
        <f t="shared" si="33"/>
        <v>44355</v>
      </c>
      <c r="C524" s="19">
        <f>MONTH(Tabela6[[#This Row],[Data]])</f>
        <v>6</v>
      </c>
      <c r="D524" s="19">
        <f>YEAR(Tabela6[[#This Row],[Data]])</f>
        <v>2021</v>
      </c>
      <c r="E524" s="12" t="s">
        <v>75</v>
      </c>
      <c r="F524" t="s">
        <v>125</v>
      </c>
      <c r="G524" s="26">
        <v>-9.1199999999999992</v>
      </c>
      <c r="H524">
        <v>3</v>
      </c>
      <c r="I524" t="str">
        <f>IFERROR(VLOOKUP(Tabela6[[#This Row],[Descrição]],Materiais!B:C,2,0),"")</f>
        <v/>
      </c>
    </row>
    <row r="525" spans="2:9">
      <c r="B525" s="11">
        <f t="shared" ref="B525:B530" si="34">42897+(365*4)</f>
        <v>44357</v>
      </c>
      <c r="C525" s="19">
        <f>MONTH(Tabela6[[#This Row],[Data]])</f>
        <v>6</v>
      </c>
      <c r="D525" s="19">
        <f>YEAR(Tabela6[[#This Row],[Data]])</f>
        <v>2021</v>
      </c>
      <c r="E525" s="12" t="s">
        <v>78</v>
      </c>
      <c r="F525" t="s">
        <v>63</v>
      </c>
      <c r="G525" s="26">
        <v>42</v>
      </c>
      <c r="H525">
        <v>100</v>
      </c>
      <c r="I525" t="str">
        <f>IFERROR(VLOOKUP(Tabela6[[#This Row],[Descrição]],Materiais!B:C,2,0),"")</f>
        <v/>
      </c>
    </row>
    <row r="526" spans="2:9">
      <c r="B526" s="11">
        <f t="shared" si="34"/>
        <v>44357</v>
      </c>
      <c r="C526" s="19">
        <f>MONTH(Tabela6[[#This Row],[Data]])</f>
        <v>6</v>
      </c>
      <c r="D526" s="19">
        <f>YEAR(Tabela6[[#This Row],[Data]])</f>
        <v>2021</v>
      </c>
      <c r="E526" s="12" t="s">
        <v>78</v>
      </c>
      <c r="F526" t="s">
        <v>56</v>
      </c>
      <c r="G526" s="26">
        <v>140</v>
      </c>
      <c r="H526">
        <v>200</v>
      </c>
      <c r="I526" t="str">
        <f>IFERROR(VLOOKUP(Tabela6[[#This Row],[Descrição]],Materiais!B:C,2,0),"")</f>
        <v/>
      </c>
    </row>
    <row r="527" spans="2:9">
      <c r="B527" s="11">
        <f t="shared" si="34"/>
        <v>44357</v>
      </c>
      <c r="C527" s="19">
        <f>MONTH(Tabela6[[#This Row],[Data]])</f>
        <v>6</v>
      </c>
      <c r="D527" s="19">
        <f>YEAR(Tabela6[[#This Row],[Data]])</f>
        <v>2021</v>
      </c>
      <c r="E527" s="12" t="s">
        <v>78</v>
      </c>
      <c r="F527" t="s">
        <v>100</v>
      </c>
      <c r="G527" s="26">
        <v>70</v>
      </c>
      <c r="H527">
        <v>100</v>
      </c>
      <c r="I527" t="str">
        <f>IFERROR(VLOOKUP(Tabela6[[#This Row],[Descrição]],Materiais!B:C,2,0),"")</f>
        <v/>
      </c>
    </row>
    <row r="528" spans="2:9">
      <c r="B528" s="11">
        <f t="shared" si="34"/>
        <v>44357</v>
      </c>
      <c r="C528" s="19">
        <f>MONTH(Tabela6[[#This Row],[Data]])</f>
        <v>6</v>
      </c>
      <c r="D528" s="19">
        <f>YEAR(Tabela6[[#This Row],[Data]])</f>
        <v>2021</v>
      </c>
      <c r="E528" s="12" t="s">
        <v>78</v>
      </c>
      <c r="F528" t="s">
        <v>116</v>
      </c>
      <c r="G528" s="26">
        <v>140</v>
      </c>
      <c r="H528">
        <v>200</v>
      </c>
      <c r="I528" t="str">
        <f>IFERROR(VLOOKUP(Tabela6[[#This Row],[Descrição]],Materiais!B:C,2,0),"")</f>
        <v/>
      </c>
    </row>
    <row r="529" spans="2:9">
      <c r="B529" s="11">
        <f t="shared" si="34"/>
        <v>44357</v>
      </c>
      <c r="C529" s="19">
        <f>MONTH(Tabela6[[#This Row],[Data]])</f>
        <v>6</v>
      </c>
      <c r="D529" s="19">
        <f>YEAR(Tabela6[[#This Row],[Data]])</f>
        <v>2021</v>
      </c>
      <c r="E529" s="12" t="s">
        <v>78</v>
      </c>
      <c r="F529" t="s">
        <v>121</v>
      </c>
      <c r="G529" s="26">
        <v>70</v>
      </c>
      <c r="H529">
        <v>100</v>
      </c>
      <c r="I529" t="str">
        <f>IFERROR(VLOOKUP(Tabela6[[#This Row],[Descrição]],Materiais!B:C,2,0),"")</f>
        <v/>
      </c>
    </row>
    <row r="530" spans="2:9">
      <c r="B530" s="11">
        <f t="shared" si="34"/>
        <v>44357</v>
      </c>
      <c r="C530" s="19">
        <f>MONTH(Tabela6[[#This Row],[Data]])</f>
        <v>6</v>
      </c>
      <c r="D530" s="19">
        <f>YEAR(Tabela6[[#This Row],[Data]])</f>
        <v>2021</v>
      </c>
      <c r="E530" s="12" t="s">
        <v>78</v>
      </c>
      <c r="F530" t="s">
        <v>109</v>
      </c>
      <c r="G530" s="26">
        <v>70</v>
      </c>
      <c r="H530">
        <v>100</v>
      </c>
      <c r="I530" t="str">
        <f>IFERROR(VLOOKUP(Tabela6[[#This Row],[Descrição]],Materiais!B:C,2,0),"")</f>
        <v/>
      </c>
    </row>
    <row r="531" spans="2:9">
      <c r="B531" s="11">
        <f t="shared" ref="B531:B538" si="35">42898+(365*4)</f>
        <v>44358</v>
      </c>
      <c r="C531" s="19">
        <f>MONTH(Tabela6[[#This Row],[Data]])</f>
        <v>6</v>
      </c>
      <c r="D531" s="19">
        <f>YEAR(Tabela6[[#This Row],[Data]])</f>
        <v>2021</v>
      </c>
      <c r="E531" s="12" t="s">
        <v>78</v>
      </c>
      <c r="F531" t="s">
        <v>63</v>
      </c>
      <c r="G531" s="26">
        <v>2</v>
      </c>
      <c r="H531">
        <v>1</v>
      </c>
      <c r="I531" t="str">
        <f>IFERROR(VLOOKUP(Tabela6[[#This Row],[Descrição]],Materiais!B:C,2,0),"")</f>
        <v/>
      </c>
    </row>
    <row r="532" spans="2:9">
      <c r="B532" s="11">
        <f t="shared" si="35"/>
        <v>44358</v>
      </c>
      <c r="C532" s="19">
        <f>MONTH(Tabela6[[#This Row],[Data]])</f>
        <v>6</v>
      </c>
      <c r="D532" s="19">
        <f>YEAR(Tabela6[[#This Row],[Data]])</f>
        <v>2021</v>
      </c>
      <c r="E532" s="12" t="s">
        <v>78</v>
      </c>
      <c r="F532" t="s">
        <v>56</v>
      </c>
      <c r="G532" s="26">
        <v>4</v>
      </c>
      <c r="H532">
        <v>2</v>
      </c>
      <c r="I532" t="str">
        <f>IFERROR(VLOOKUP(Tabela6[[#This Row],[Descrição]],Materiais!B:C,2,0),"")</f>
        <v/>
      </c>
    </row>
    <row r="533" spans="2:9">
      <c r="B533" s="11">
        <f t="shared" si="35"/>
        <v>44358</v>
      </c>
      <c r="C533" s="19">
        <f>MONTH(Tabela6[[#This Row],[Data]])</f>
        <v>6</v>
      </c>
      <c r="D533" s="19">
        <f>YEAR(Tabela6[[#This Row],[Data]])</f>
        <v>2021</v>
      </c>
      <c r="E533" s="12" t="s">
        <v>78</v>
      </c>
      <c r="F533" t="s">
        <v>100</v>
      </c>
      <c r="G533" s="26">
        <v>2</v>
      </c>
      <c r="H533">
        <v>1</v>
      </c>
      <c r="I533" t="str">
        <f>IFERROR(VLOOKUP(Tabela6[[#This Row],[Descrição]],Materiais!B:C,2,0),"")</f>
        <v/>
      </c>
    </row>
    <row r="534" spans="2:9">
      <c r="B534" s="11">
        <f t="shared" si="35"/>
        <v>44358</v>
      </c>
      <c r="C534" s="19">
        <f>MONTH(Tabela6[[#This Row],[Data]])</f>
        <v>6</v>
      </c>
      <c r="D534" s="19">
        <f>YEAR(Tabela6[[#This Row],[Data]])</f>
        <v>2021</v>
      </c>
      <c r="E534" s="12" t="s">
        <v>78</v>
      </c>
      <c r="F534" t="s">
        <v>61</v>
      </c>
      <c r="G534" s="26">
        <v>8</v>
      </c>
      <c r="H534">
        <v>4</v>
      </c>
      <c r="I534" t="str">
        <f>IFERROR(VLOOKUP(Tabela6[[#This Row],[Descrição]],Materiais!B:C,2,0),"")</f>
        <v/>
      </c>
    </row>
    <row r="535" spans="2:9">
      <c r="B535" s="11">
        <f t="shared" si="35"/>
        <v>44358</v>
      </c>
      <c r="C535" s="19">
        <f>MONTH(Tabela6[[#This Row],[Data]])</f>
        <v>6</v>
      </c>
      <c r="D535" s="19">
        <f>YEAR(Tabela6[[#This Row],[Data]])</f>
        <v>2021</v>
      </c>
      <c r="E535" s="12" t="s">
        <v>78</v>
      </c>
      <c r="F535" t="s">
        <v>126</v>
      </c>
      <c r="G535" s="26">
        <v>4</v>
      </c>
      <c r="H535">
        <v>2</v>
      </c>
      <c r="I535" t="str">
        <f>IFERROR(VLOOKUP(Tabela6[[#This Row],[Descrição]],Materiais!B:C,2,0),"")</f>
        <v/>
      </c>
    </row>
    <row r="536" spans="2:9">
      <c r="B536" s="11">
        <f t="shared" si="35"/>
        <v>44358</v>
      </c>
      <c r="C536" s="19">
        <f>MONTH(Tabela6[[#This Row],[Data]])</f>
        <v>6</v>
      </c>
      <c r="D536" s="19">
        <f>YEAR(Tabela6[[#This Row],[Data]])</f>
        <v>2021</v>
      </c>
      <c r="E536" s="12" t="s">
        <v>78</v>
      </c>
      <c r="F536" t="s">
        <v>62</v>
      </c>
      <c r="G536" s="26">
        <v>2</v>
      </c>
      <c r="H536">
        <v>1</v>
      </c>
      <c r="I536" t="str">
        <f>IFERROR(VLOOKUP(Tabela6[[#This Row],[Descrição]],Materiais!B:C,2,0),"")</f>
        <v/>
      </c>
    </row>
    <row r="537" spans="2:9">
      <c r="B537" s="11">
        <f t="shared" si="35"/>
        <v>44358</v>
      </c>
      <c r="C537" s="19">
        <f>MONTH(Tabela6[[#This Row],[Data]])</f>
        <v>6</v>
      </c>
      <c r="D537" s="19">
        <f>YEAR(Tabela6[[#This Row],[Data]])</f>
        <v>2021</v>
      </c>
      <c r="E537" s="12" t="s">
        <v>78</v>
      </c>
      <c r="F537" t="s">
        <v>58</v>
      </c>
      <c r="G537" s="26">
        <v>4</v>
      </c>
      <c r="H537">
        <v>2</v>
      </c>
      <c r="I537" t="str">
        <f>IFERROR(VLOOKUP(Tabela6[[#This Row],[Descrição]],Materiais!B:C,2,0),"")</f>
        <v/>
      </c>
    </row>
    <row r="538" spans="2:9">
      <c r="B538" s="11">
        <f t="shared" si="35"/>
        <v>44358</v>
      </c>
      <c r="C538" s="19">
        <f>MONTH(Tabela6[[#This Row],[Data]])</f>
        <v>6</v>
      </c>
      <c r="D538" s="19">
        <f>YEAR(Tabela6[[#This Row],[Data]])</f>
        <v>2021</v>
      </c>
      <c r="E538" s="12" t="s">
        <v>78</v>
      </c>
      <c r="F538" t="s">
        <v>95</v>
      </c>
      <c r="G538" s="26">
        <v>2</v>
      </c>
      <c r="H538">
        <v>1</v>
      </c>
      <c r="I538" t="str">
        <f>IFERROR(VLOOKUP(Tabela6[[#This Row],[Descrição]],Materiais!B:C,2,0),"")</f>
        <v/>
      </c>
    </row>
    <row r="539" spans="2:9">
      <c r="B539" s="11">
        <f t="shared" ref="B539:B545" si="36">42899+(365*4)</f>
        <v>44359</v>
      </c>
      <c r="C539" s="19">
        <f>MONTH(Tabela6[[#This Row],[Data]])</f>
        <v>6</v>
      </c>
      <c r="D539" s="19">
        <f>YEAR(Tabela6[[#This Row],[Data]])</f>
        <v>2021</v>
      </c>
      <c r="E539" s="12" t="s">
        <v>78</v>
      </c>
      <c r="F539" t="s">
        <v>63</v>
      </c>
      <c r="G539" s="26">
        <v>6</v>
      </c>
      <c r="H539">
        <v>3</v>
      </c>
      <c r="I539" t="str">
        <f>IFERROR(VLOOKUP(Tabela6[[#This Row],[Descrição]],Materiais!B:C,2,0),"")</f>
        <v/>
      </c>
    </row>
    <row r="540" spans="2:9">
      <c r="B540" s="11">
        <f t="shared" si="36"/>
        <v>44359</v>
      </c>
      <c r="C540" s="19">
        <f>MONTH(Tabela6[[#This Row],[Data]])</f>
        <v>6</v>
      </c>
      <c r="D540" s="19">
        <f>YEAR(Tabela6[[#This Row],[Data]])</f>
        <v>2021</v>
      </c>
      <c r="E540" s="12" t="s">
        <v>78</v>
      </c>
      <c r="F540" t="s">
        <v>56</v>
      </c>
      <c r="G540" s="26">
        <v>70</v>
      </c>
      <c r="H540">
        <v>100</v>
      </c>
      <c r="I540" t="str">
        <f>IFERROR(VLOOKUP(Tabela6[[#This Row],[Descrição]],Materiais!B:C,2,0),"")</f>
        <v/>
      </c>
    </row>
    <row r="541" spans="2:9">
      <c r="B541" s="11">
        <f t="shared" si="36"/>
        <v>44359</v>
      </c>
      <c r="C541" s="19">
        <f>MONTH(Tabela6[[#This Row],[Data]])</f>
        <v>6</v>
      </c>
      <c r="D541" s="19">
        <f>YEAR(Tabela6[[#This Row],[Data]])</f>
        <v>2021</v>
      </c>
      <c r="E541" s="12" t="s">
        <v>78</v>
      </c>
      <c r="F541" t="s">
        <v>56</v>
      </c>
      <c r="G541" s="26">
        <v>6</v>
      </c>
      <c r="H541">
        <v>3</v>
      </c>
      <c r="I541" t="str">
        <f>IFERROR(VLOOKUP(Tabela6[[#This Row],[Descrição]],Materiais!B:C,2,0),"")</f>
        <v/>
      </c>
    </row>
    <row r="542" spans="2:9">
      <c r="B542" s="11">
        <f t="shared" si="36"/>
        <v>44359</v>
      </c>
      <c r="C542" s="19">
        <f>MONTH(Tabela6[[#This Row],[Data]])</f>
        <v>6</v>
      </c>
      <c r="D542" s="19">
        <f>YEAR(Tabela6[[#This Row],[Data]])</f>
        <v>2021</v>
      </c>
      <c r="E542" s="12" t="s">
        <v>78</v>
      </c>
      <c r="F542" t="s">
        <v>126</v>
      </c>
      <c r="G542" s="26">
        <v>4</v>
      </c>
      <c r="H542">
        <v>2</v>
      </c>
      <c r="I542" t="str">
        <f>IFERROR(VLOOKUP(Tabela6[[#This Row],[Descrição]],Materiais!B:C,2,0),"")</f>
        <v/>
      </c>
    </row>
    <row r="543" spans="2:9">
      <c r="B543" s="11">
        <f t="shared" si="36"/>
        <v>44359</v>
      </c>
      <c r="C543" s="19">
        <f>MONTH(Tabela6[[#This Row],[Data]])</f>
        <v>6</v>
      </c>
      <c r="D543" s="19">
        <f>YEAR(Tabela6[[#This Row],[Data]])</f>
        <v>2021</v>
      </c>
      <c r="E543" s="12" t="s">
        <v>78</v>
      </c>
      <c r="F543" t="s">
        <v>109</v>
      </c>
      <c r="G543" s="26">
        <v>4</v>
      </c>
      <c r="H543">
        <v>2</v>
      </c>
      <c r="I543" t="str">
        <f>IFERROR(VLOOKUP(Tabela6[[#This Row],[Descrição]],Materiais!B:C,2,0),"")</f>
        <v/>
      </c>
    </row>
    <row r="544" spans="2:9">
      <c r="B544" s="11">
        <f t="shared" si="36"/>
        <v>44359</v>
      </c>
      <c r="C544" s="19">
        <f>MONTH(Tabela6[[#This Row],[Data]])</f>
        <v>6</v>
      </c>
      <c r="D544" s="19">
        <f>YEAR(Tabela6[[#This Row],[Data]])</f>
        <v>2021</v>
      </c>
      <c r="E544" s="12" t="s">
        <v>78</v>
      </c>
      <c r="F544" t="s">
        <v>58</v>
      </c>
      <c r="G544" s="26">
        <v>4</v>
      </c>
      <c r="H544">
        <v>2</v>
      </c>
      <c r="I544" t="str">
        <f>IFERROR(VLOOKUP(Tabela6[[#This Row],[Descrição]],Materiais!B:C,2,0),"")</f>
        <v/>
      </c>
    </row>
    <row r="545" spans="2:9">
      <c r="B545" s="11">
        <f t="shared" si="36"/>
        <v>44359</v>
      </c>
      <c r="C545" s="19">
        <f>MONTH(Tabela6[[#This Row],[Data]])</f>
        <v>6</v>
      </c>
      <c r="D545" s="19">
        <f>YEAR(Tabela6[[#This Row],[Data]])</f>
        <v>2021</v>
      </c>
      <c r="E545" s="12" t="s">
        <v>78</v>
      </c>
      <c r="F545" t="s">
        <v>95</v>
      </c>
      <c r="G545" s="26">
        <v>2</v>
      </c>
      <c r="H545">
        <v>1</v>
      </c>
      <c r="I545" t="str">
        <f>IFERROR(VLOOKUP(Tabela6[[#This Row],[Descrição]],Materiais!B:C,2,0),"")</f>
        <v/>
      </c>
    </row>
    <row r="546" spans="2:9">
      <c r="B546" s="11">
        <f>42900+(365*4)</f>
        <v>44360</v>
      </c>
      <c r="C546" s="19">
        <f>MONTH(Tabela6[[#This Row],[Data]])</f>
        <v>6</v>
      </c>
      <c r="D546" s="19">
        <f>YEAR(Tabela6[[#This Row],[Data]])</f>
        <v>2021</v>
      </c>
      <c r="E546" s="12" t="s">
        <v>78</v>
      </c>
      <c r="F546" t="s">
        <v>100</v>
      </c>
      <c r="G546" s="26">
        <v>2</v>
      </c>
      <c r="H546">
        <v>1</v>
      </c>
      <c r="I546" t="str">
        <f>IFERROR(VLOOKUP(Tabela6[[#This Row],[Descrição]],Materiais!B:C,2,0),"")</f>
        <v/>
      </c>
    </row>
    <row r="547" spans="2:9">
      <c r="B547" s="11">
        <f>42900+(365*4)</f>
        <v>44360</v>
      </c>
      <c r="C547" s="19">
        <f>MONTH(Tabela6[[#This Row],[Data]])</f>
        <v>6</v>
      </c>
      <c r="D547" s="19">
        <f>YEAR(Tabela6[[#This Row],[Data]])</f>
        <v>2021</v>
      </c>
      <c r="E547" s="12" t="s">
        <v>78</v>
      </c>
      <c r="F547" t="s">
        <v>117</v>
      </c>
      <c r="G547" s="26">
        <v>2</v>
      </c>
      <c r="H547">
        <v>1</v>
      </c>
      <c r="I547" t="str">
        <f>IFERROR(VLOOKUP(Tabela6[[#This Row],[Descrição]],Materiais!B:C,2,0),"")</f>
        <v/>
      </c>
    </row>
    <row r="548" spans="2:9">
      <c r="B548" s="11">
        <f t="shared" ref="B548:B555" si="37">42903+(365*4)</f>
        <v>44363</v>
      </c>
      <c r="C548" s="19">
        <f>MONTH(Tabela6[[#This Row],[Data]])</f>
        <v>6</v>
      </c>
      <c r="D548" s="19">
        <f>YEAR(Tabela6[[#This Row],[Data]])</f>
        <v>2021</v>
      </c>
      <c r="E548" s="12" t="s">
        <v>72</v>
      </c>
      <c r="F548" t="s">
        <v>7</v>
      </c>
      <c r="G548" s="26">
        <v>-2.2999999999999998</v>
      </c>
      <c r="H548">
        <v>245</v>
      </c>
      <c r="I548" t="str">
        <f>IFERROR(VLOOKUP(Tabela6[[#This Row],[Descrição]],Materiais!B:C,2,0),"")</f>
        <v>g</v>
      </c>
    </row>
    <row r="549" spans="2:9">
      <c r="B549" s="11">
        <f t="shared" si="37"/>
        <v>44363</v>
      </c>
      <c r="C549" s="19">
        <f>MONTH(Tabela6[[#This Row],[Data]])</f>
        <v>6</v>
      </c>
      <c r="D549" s="19">
        <f>YEAR(Tabela6[[#This Row],[Data]])</f>
        <v>2021</v>
      </c>
      <c r="E549" s="12" t="s">
        <v>72</v>
      </c>
      <c r="F549" t="s">
        <v>127</v>
      </c>
      <c r="G549" s="26">
        <v>-3.65</v>
      </c>
      <c r="H549">
        <v>1</v>
      </c>
      <c r="I549" t="str">
        <f>IFERROR(VLOOKUP(Tabela6[[#This Row],[Descrição]],Materiais!B:C,2,0),"")</f>
        <v/>
      </c>
    </row>
    <row r="550" spans="2:9">
      <c r="B550" s="11">
        <f t="shared" si="37"/>
        <v>44363</v>
      </c>
      <c r="C550" s="19">
        <f>MONTH(Tabela6[[#This Row],[Data]])</f>
        <v>6</v>
      </c>
      <c r="D550" s="19">
        <f>YEAR(Tabela6[[#This Row],[Data]])</f>
        <v>2021</v>
      </c>
      <c r="E550" s="12" t="s">
        <v>78</v>
      </c>
      <c r="F550" t="s">
        <v>56</v>
      </c>
      <c r="G550" s="26">
        <v>70</v>
      </c>
      <c r="H550">
        <v>100</v>
      </c>
      <c r="I550" t="str">
        <f>IFERROR(VLOOKUP(Tabela6[[#This Row],[Descrição]],Materiais!B:C,2,0),"")</f>
        <v/>
      </c>
    </row>
    <row r="551" spans="2:9">
      <c r="B551" s="11">
        <f t="shared" si="37"/>
        <v>44363</v>
      </c>
      <c r="C551" s="19">
        <f>MONTH(Tabela6[[#This Row],[Data]])</f>
        <v>6</v>
      </c>
      <c r="D551" s="19">
        <f>YEAR(Tabela6[[#This Row],[Data]])</f>
        <v>2021</v>
      </c>
      <c r="E551" s="12" t="s">
        <v>78</v>
      </c>
      <c r="F551" t="s">
        <v>121</v>
      </c>
      <c r="G551" s="26">
        <v>35</v>
      </c>
      <c r="H551">
        <v>50</v>
      </c>
      <c r="I551" t="str">
        <f>IFERROR(VLOOKUP(Tabela6[[#This Row],[Descrição]],Materiais!B:C,2,0),"")</f>
        <v/>
      </c>
    </row>
    <row r="552" spans="2:9">
      <c r="B552" s="11">
        <f t="shared" si="37"/>
        <v>44363</v>
      </c>
      <c r="C552" s="19">
        <f>MONTH(Tabela6[[#This Row],[Data]])</f>
        <v>6</v>
      </c>
      <c r="D552" s="19">
        <f>YEAR(Tabela6[[#This Row],[Data]])</f>
        <v>2021</v>
      </c>
      <c r="E552" s="12" t="s">
        <v>75</v>
      </c>
      <c r="F552" t="s">
        <v>119</v>
      </c>
      <c r="G552" s="26">
        <v>-10.89</v>
      </c>
      <c r="H552">
        <v>1100</v>
      </c>
      <c r="I552" t="str">
        <f>IFERROR(VLOOKUP(Tabela6[[#This Row],[Descrição]],Materiais!B:C,2,0),"")</f>
        <v/>
      </c>
    </row>
    <row r="553" spans="2:9">
      <c r="B553" s="11">
        <f t="shared" si="37"/>
        <v>44363</v>
      </c>
      <c r="C553" s="19">
        <f>MONTH(Tabela6[[#This Row],[Data]])</f>
        <v>6</v>
      </c>
      <c r="D553" s="19">
        <f>YEAR(Tabela6[[#This Row],[Data]])</f>
        <v>2021</v>
      </c>
      <c r="E553" s="12" t="s">
        <v>72</v>
      </c>
      <c r="F553" t="s">
        <v>20</v>
      </c>
      <c r="G553" s="26">
        <v>-199.5</v>
      </c>
      <c r="H553">
        <v>19750</v>
      </c>
      <c r="I553" t="str">
        <f>IFERROR(VLOOKUP(Tabela6[[#This Row],[Descrição]],Materiais!B:C,2,0),"")</f>
        <v>g</v>
      </c>
    </row>
    <row r="554" spans="2:9">
      <c r="B554" s="11">
        <f t="shared" si="37"/>
        <v>44363</v>
      </c>
      <c r="C554" s="19">
        <f>MONTH(Tabela6[[#This Row],[Data]])</f>
        <v>6</v>
      </c>
      <c r="D554" s="19">
        <f>YEAR(Tabela6[[#This Row],[Data]])</f>
        <v>2021</v>
      </c>
      <c r="E554" s="12" t="s">
        <v>72</v>
      </c>
      <c r="F554" t="s">
        <v>22</v>
      </c>
      <c r="G554" s="26">
        <v>-22.950000000000003</v>
      </c>
      <c r="H554">
        <v>600</v>
      </c>
      <c r="I554" t="str">
        <f>IFERROR(VLOOKUP(Tabela6[[#This Row],[Descrição]],Materiais!B:C,2,0),"")</f>
        <v>g</v>
      </c>
    </row>
    <row r="555" spans="2:9">
      <c r="B555" s="11">
        <f t="shared" si="37"/>
        <v>44363</v>
      </c>
      <c r="C555" s="19">
        <f>MONTH(Tabela6[[#This Row],[Data]])</f>
        <v>6</v>
      </c>
      <c r="D555" s="19">
        <f>YEAR(Tabela6[[#This Row],[Data]])</f>
        <v>2021</v>
      </c>
      <c r="E555" s="12" t="s">
        <v>78</v>
      </c>
      <c r="F555" t="s">
        <v>109</v>
      </c>
      <c r="G555" s="26">
        <v>35</v>
      </c>
      <c r="H555">
        <v>50</v>
      </c>
      <c r="I555" t="str">
        <f>IFERROR(VLOOKUP(Tabela6[[#This Row],[Descrição]],Materiais!B:C,2,0),"")</f>
        <v/>
      </c>
    </row>
    <row r="556" spans="2:9">
      <c r="B556" s="11">
        <f>42905+(365*4)</f>
        <v>44365</v>
      </c>
      <c r="C556" s="19">
        <f>MONTH(Tabela6[[#This Row],[Data]])</f>
        <v>6</v>
      </c>
      <c r="D556" s="19">
        <f>YEAR(Tabela6[[#This Row],[Data]])</f>
        <v>2021</v>
      </c>
      <c r="E556" s="12" t="s">
        <v>78</v>
      </c>
      <c r="F556" t="s">
        <v>56</v>
      </c>
      <c r="G556" s="26">
        <v>6</v>
      </c>
      <c r="H556">
        <v>3</v>
      </c>
      <c r="I556" t="str">
        <f>IFERROR(VLOOKUP(Tabela6[[#This Row],[Descrição]],Materiais!B:C,2,0),"")</f>
        <v/>
      </c>
    </row>
    <row r="557" spans="2:9">
      <c r="B557" s="11">
        <f>42905+(365*4)</f>
        <v>44365</v>
      </c>
      <c r="C557" s="19">
        <f>MONTH(Tabela6[[#This Row],[Data]])</f>
        <v>6</v>
      </c>
      <c r="D557" s="19">
        <f>YEAR(Tabela6[[#This Row],[Data]])</f>
        <v>2021</v>
      </c>
      <c r="E557" s="12" t="s">
        <v>78</v>
      </c>
      <c r="F557" t="s">
        <v>61</v>
      </c>
      <c r="G557" s="26">
        <v>10</v>
      </c>
      <c r="H557">
        <v>5</v>
      </c>
      <c r="I557" t="str">
        <f>IFERROR(VLOOKUP(Tabela6[[#This Row],[Descrição]],Materiais!B:C,2,0),"")</f>
        <v/>
      </c>
    </row>
    <row r="558" spans="2:9">
      <c r="B558" s="11">
        <f>42905+(365*4)</f>
        <v>44365</v>
      </c>
      <c r="C558" s="19">
        <f>MONTH(Tabela6[[#This Row],[Data]])</f>
        <v>6</v>
      </c>
      <c r="D558" s="19">
        <f>YEAR(Tabela6[[#This Row],[Data]])</f>
        <v>2021</v>
      </c>
      <c r="E558" s="12" t="s">
        <v>78</v>
      </c>
      <c r="F558" t="s">
        <v>126</v>
      </c>
      <c r="G558" s="26">
        <v>2</v>
      </c>
      <c r="H558">
        <v>1</v>
      </c>
      <c r="I558" t="str">
        <f>IFERROR(VLOOKUP(Tabela6[[#This Row],[Descrição]],Materiais!B:C,2,0),"")</f>
        <v/>
      </c>
    </row>
    <row r="559" spans="2:9">
      <c r="B559" s="11">
        <f t="shared" ref="B559:B564" si="38">42906+(365*4)</f>
        <v>44366</v>
      </c>
      <c r="C559" s="19">
        <f>MONTH(Tabela6[[#This Row],[Data]])</f>
        <v>6</v>
      </c>
      <c r="D559" s="19">
        <f>YEAR(Tabela6[[#This Row],[Data]])</f>
        <v>2021</v>
      </c>
      <c r="E559" s="12" t="s">
        <v>78</v>
      </c>
      <c r="F559" t="s">
        <v>56</v>
      </c>
      <c r="G559" s="26">
        <v>70</v>
      </c>
      <c r="H559">
        <v>100</v>
      </c>
      <c r="I559" t="str">
        <f>IFERROR(VLOOKUP(Tabela6[[#This Row],[Descrição]],Materiais!B:C,2,0),"")</f>
        <v/>
      </c>
    </row>
    <row r="560" spans="2:9">
      <c r="B560" s="11">
        <f t="shared" si="38"/>
        <v>44366</v>
      </c>
      <c r="C560" s="19">
        <f>MONTH(Tabela6[[#This Row],[Data]])</f>
        <v>6</v>
      </c>
      <c r="D560" s="19">
        <f>YEAR(Tabela6[[#This Row],[Data]])</f>
        <v>2021</v>
      </c>
      <c r="E560" s="12" t="s">
        <v>78</v>
      </c>
      <c r="F560" t="s">
        <v>56</v>
      </c>
      <c r="G560" s="26">
        <v>6</v>
      </c>
      <c r="H560">
        <v>3</v>
      </c>
      <c r="I560" t="str">
        <f>IFERROR(VLOOKUP(Tabela6[[#This Row],[Descrição]],Materiais!B:C,2,0),"")</f>
        <v/>
      </c>
    </row>
    <row r="561" spans="2:9">
      <c r="B561" s="11">
        <f t="shared" si="38"/>
        <v>44366</v>
      </c>
      <c r="C561" s="19">
        <f>MONTH(Tabela6[[#This Row],[Data]])</f>
        <v>6</v>
      </c>
      <c r="D561" s="19">
        <f>YEAR(Tabela6[[#This Row],[Data]])</f>
        <v>2021</v>
      </c>
      <c r="E561" s="12" t="s">
        <v>78</v>
      </c>
      <c r="F561" t="s">
        <v>100</v>
      </c>
      <c r="G561" s="26">
        <v>6</v>
      </c>
      <c r="H561">
        <v>3</v>
      </c>
      <c r="I561" t="str">
        <f>IFERROR(VLOOKUP(Tabela6[[#This Row],[Descrição]],Materiais!B:C,2,0),"")</f>
        <v/>
      </c>
    </row>
    <row r="562" spans="2:9">
      <c r="B562" s="11">
        <f t="shared" si="38"/>
        <v>44366</v>
      </c>
      <c r="C562" s="19">
        <f>MONTH(Tabela6[[#This Row],[Data]])</f>
        <v>6</v>
      </c>
      <c r="D562" s="19">
        <f>YEAR(Tabela6[[#This Row],[Data]])</f>
        <v>2021</v>
      </c>
      <c r="E562" s="12" t="s">
        <v>78</v>
      </c>
      <c r="F562" t="s">
        <v>61</v>
      </c>
      <c r="G562" s="26">
        <v>4</v>
      </c>
      <c r="H562">
        <v>2</v>
      </c>
      <c r="I562" t="str">
        <f>IFERROR(VLOOKUP(Tabela6[[#This Row],[Descrição]],Materiais!B:C,2,0),"")</f>
        <v/>
      </c>
    </row>
    <row r="563" spans="2:9">
      <c r="B563" s="11">
        <f t="shared" si="38"/>
        <v>44366</v>
      </c>
      <c r="C563" s="19">
        <f>MONTH(Tabela6[[#This Row],[Data]])</f>
        <v>6</v>
      </c>
      <c r="D563" s="19">
        <f>YEAR(Tabela6[[#This Row],[Data]])</f>
        <v>2021</v>
      </c>
      <c r="E563" s="12" t="s">
        <v>78</v>
      </c>
      <c r="F563" t="s">
        <v>126</v>
      </c>
      <c r="G563" s="26">
        <v>4</v>
      </c>
      <c r="H563">
        <v>2</v>
      </c>
      <c r="I563" t="str">
        <f>IFERROR(VLOOKUP(Tabela6[[#This Row],[Descrição]],Materiais!B:C,2,0),"")</f>
        <v/>
      </c>
    </row>
    <row r="564" spans="2:9">
      <c r="B564" s="11">
        <f t="shared" si="38"/>
        <v>44366</v>
      </c>
      <c r="C564" s="19">
        <f>MONTH(Tabela6[[#This Row],[Data]])</f>
        <v>6</v>
      </c>
      <c r="D564" s="19">
        <f>YEAR(Tabela6[[#This Row],[Data]])</f>
        <v>2021</v>
      </c>
      <c r="E564" s="12" t="s">
        <v>78</v>
      </c>
      <c r="F564" t="s">
        <v>58</v>
      </c>
      <c r="G564" s="26">
        <v>10</v>
      </c>
      <c r="H564">
        <v>5</v>
      </c>
      <c r="I564" t="str">
        <f>IFERROR(VLOOKUP(Tabela6[[#This Row],[Descrição]],Materiais!B:C,2,0),"")</f>
        <v/>
      </c>
    </row>
    <row r="565" spans="2:9">
      <c r="B565" s="11">
        <f>42907+(365*4)</f>
        <v>44367</v>
      </c>
      <c r="C565" s="19">
        <f>MONTH(Tabela6[[#This Row],[Data]])</f>
        <v>6</v>
      </c>
      <c r="D565" s="19">
        <f>YEAR(Tabela6[[#This Row],[Data]])</f>
        <v>2021</v>
      </c>
      <c r="E565" s="12" t="s">
        <v>78</v>
      </c>
      <c r="F565" t="s">
        <v>126</v>
      </c>
      <c r="G565" s="26">
        <v>6</v>
      </c>
      <c r="H565">
        <v>3</v>
      </c>
      <c r="I565" t="str">
        <f>IFERROR(VLOOKUP(Tabela6[[#This Row],[Descrição]],Materiais!B:C,2,0),"")</f>
        <v/>
      </c>
    </row>
    <row r="566" spans="2:9">
      <c r="B566" s="11">
        <f t="shared" ref="B566:B576" si="39">42908+(365*4)</f>
        <v>44368</v>
      </c>
      <c r="C566" s="19">
        <f>MONTH(Tabela6[[#This Row],[Data]])</f>
        <v>6</v>
      </c>
      <c r="D566" s="19">
        <f>YEAR(Tabela6[[#This Row],[Data]])</f>
        <v>2021</v>
      </c>
      <c r="E566" s="12" t="s">
        <v>78</v>
      </c>
      <c r="F566" t="s">
        <v>63</v>
      </c>
      <c r="G566" s="26">
        <v>6</v>
      </c>
      <c r="H566">
        <v>3</v>
      </c>
      <c r="I566" t="str">
        <f>IFERROR(VLOOKUP(Tabela6[[#This Row],[Descrição]],Materiais!B:C,2,0),"")</f>
        <v/>
      </c>
    </row>
    <row r="567" spans="2:9">
      <c r="B567" s="11">
        <f t="shared" si="39"/>
        <v>44368</v>
      </c>
      <c r="C567" s="19">
        <f>MONTH(Tabela6[[#This Row],[Data]])</f>
        <v>6</v>
      </c>
      <c r="D567" s="19">
        <f>YEAR(Tabela6[[#This Row],[Data]])</f>
        <v>2021</v>
      </c>
      <c r="E567" s="12" t="s">
        <v>72</v>
      </c>
      <c r="F567" t="s">
        <v>74</v>
      </c>
      <c r="G567" s="26">
        <v>-28.7</v>
      </c>
      <c r="H567">
        <v>1000</v>
      </c>
      <c r="I567" t="str">
        <f>IFERROR(VLOOKUP(Tabela6[[#This Row],[Descrição]],Materiais!B:C,2,0),"")</f>
        <v/>
      </c>
    </row>
    <row r="568" spans="2:9">
      <c r="B568" s="11">
        <f t="shared" si="39"/>
        <v>44368</v>
      </c>
      <c r="C568" s="19">
        <f>MONTH(Tabela6[[#This Row],[Data]])</f>
        <v>6</v>
      </c>
      <c r="D568" s="19">
        <f>YEAR(Tabela6[[#This Row],[Data]])</f>
        <v>2021</v>
      </c>
      <c r="E568" s="12" t="s">
        <v>72</v>
      </c>
      <c r="F568" t="s">
        <v>86</v>
      </c>
      <c r="G568" s="26">
        <v>-24.95</v>
      </c>
      <c r="H568">
        <v>1050</v>
      </c>
      <c r="I568" t="str">
        <f>IFERROR(VLOOKUP(Tabela6[[#This Row],[Descrição]],Materiais!B:C,2,0),"")</f>
        <v/>
      </c>
    </row>
    <row r="569" spans="2:9">
      <c r="B569" s="11">
        <f t="shared" si="39"/>
        <v>44368</v>
      </c>
      <c r="C569" s="19">
        <f>MONTH(Tabela6[[#This Row],[Data]])</f>
        <v>6</v>
      </c>
      <c r="D569" s="19">
        <f>YEAR(Tabela6[[#This Row],[Data]])</f>
        <v>2021</v>
      </c>
      <c r="E569" s="12" t="s">
        <v>78</v>
      </c>
      <c r="F569" t="s">
        <v>56</v>
      </c>
      <c r="G569" s="26">
        <v>70</v>
      </c>
      <c r="H569">
        <v>100</v>
      </c>
      <c r="I569" t="str">
        <f>IFERROR(VLOOKUP(Tabela6[[#This Row],[Descrição]],Materiais!B:C,2,0),"")</f>
        <v/>
      </c>
    </row>
    <row r="570" spans="2:9">
      <c r="B570" s="11">
        <f t="shared" si="39"/>
        <v>44368</v>
      </c>
      <c r="C570" s="19">
        <f>MONTH(Tabela6[[#This Row],[Data]])</f>
        <v>6</v>
      </c>
      <c r="D570" s="19">
        <f>YEAR(Tabela6[[#This Row],[Data]])</f>
        <v>2021</v>
      </c>
      <c r="E570" s="12" t="s">
        <v>78</v>
      </c>
      <c r="F570" t="s">
        <v>56</v>
      </c>
      <c r="G570" s="26">
        <v>12</v>
      </c>
      <c r="H570">
        <v>6</v>
      </c>
      <c r="I570" t="str">
        <f>IFERROR(VLOOKUP(Tabela6[[#This Row],[Descrição]],Materiais!B:C,2,0),"")</f>
        <v/>
      </c>
    </row>
    <row r="571" spans="2:9">
      <c r="B571" s="11">
        <f t="shared" si="39"/>
        <v>44368</v>
      </c>
      <c r="C571" s="19">
        <f>MONTH(Tabela6[[#This Row],[Data]])</f>
        <v>6</v>
      </c>
      <c r="D571" s="19">
        <f>YEAR(Tabela6[[#This Row],[Data]])</f>
        <v>2021</v>
      </c>
      <c r="E571" s="12" t="s">
        <v>72</v>
      </c>
      <c r="F571" t="s">
        <v>11</v>
      </c>
      <c r="G571" s="26">
        <v>-19.600000000000001</v>
      </c>
      <c r="H571">
        <v>500</v>
      </c>
      <c r="I571" t="str">
        <f>IFERROR(VLOOKUP(Tabela6[[#This Row],[Descrição]],Materiais!B:C,2,0),"")</f>
        <v>g</v>
      </c>
    </row>
    <row r="572" spans="2:9">
      <c r="B572" s="11">
        <f t="shared" si="39"/>
        <v>44368</v>
      </c>
      <c r="C572" s="19">
        <f>MONTH(Tabela6[[#This Row],[Data]])</f>
        <v>6</v>
      </c>
      <c r="D572" s="19">
        <f>YEAR(Tabela6[[#This Row],[Data]])</f>
        <v>2021</v>
      </c>
      <c r="E572" s="12" t="s">
        <v>78</v>
      </c>
      <c r="F572" t="s">
        <v>100</v>
      </c>
      <c r="G572" s="26">
        <v>2</v>
      </c>
      <c r="H572">
        <v>1</v>
      </c>
      <c r="I572" t="str">
        <f>IFERROR(VLOOKUP(Tabela6[[#This Row],[Descrição]],Materiais!B:C,2,0),"")</f>
        <v/>
      </c>
    </row>
    <row r="573" spans="2:9">
      <c r="B573" s="11">
        <f t="shared" si="39"/>
        <v>44368</v>
      </c>
      <c r="C573" s="19">
        <f>MONTH(Tabela6[[#This Row],[Data]])</f>
        <v>6</v>
      </c>
      <c r="D573" s="19">
        <f>YEAR(Tabela6[[#This Row],[Data]])</f>
        <v>2021</v>
      </c>
      <c r="E573" s="12" t="s">
        <v>78</v>
      </c>
      <c r="F573" t="s">
        <v>61</v>
      </c>
      <c r="G573" s="26">
        <v>14</v>
      </c>
      <c r="H573">
        <v>7</v>
      </c>
      <c r="I573" t="str">
        <f>IFERROR(VLOOKUP(Tabela6[[#This Row],[Descrição]],Materiais!B:C,2,0),"")</f>
        <v/>
      </c>
    </row>
    <row r="574" spans="2:9">
      <c r="B574" s="11">
        <f t="shared" si="39"/>
        <v>44368</v>
      </c>
      <c r="C574" s="19">
        <f>MONTH(Tabela6[[#This Row],[Data]])</f>
        <v>6</v>
      </c>
      <c r="D574" s="19">
        <f>YEAR(Tabela6[[#This Row],[Data]])</f>
        <v>2021</v>
      </c>
      <c r="E574" s="12" t="s">
        <v>72</v>
      </c>
      <c r="F574" t="s">
        <v>15</v>
      </c>
      <c r="G574" s="26">
        <v>-5.16</v>
      </c>
      <c r="H574">
        <v>295</v>
      </c>
      <c r="I574" t="str">
        <f>IFERROR(VLOOKUP(Tabela6[[#This Row],[Descrição]],Materiais!B:C,2,0),"")</f>
        <v>g</v>
      </c>
    </row>
    <row r="575" spans="2:9">
      <c r="B575" s="11">
        <f t="shared" si="39"/>
        <v>44368</v>
      </c>
      <c r="C575" s="19">
        <f>MONTH(Tabela6[[#This Row],[Data]])</f>
        <v>6</v>
      </c>
      <c r="D575" s="19">
        <f>YEAR(Tabela6[[#This Row],[Data]])</f>
        <v>2021</v>
      </c>
      <c r="E575" s="12" t="s">
        <v>72</v>
      </c>
      <c r="F575" t="s">
        <v>77</v>
      </c>
      <c r="G575" s="26">
        <v>-34.4</v>
      </c>
      <c r="H575">
        <v>2000</v>
      </c>
      <c r="I575" t="str">
        <f>IFERROR(VLOOKUP(Tabela6[[#This Row],[Descrição]],Materiais!B:C,2,0),"")</f>
        <v/>
      </c>
    </row>
    <row r="576" spans="2:9">
      <c r="B576" s="11">
        <f t="shared" si="39"/>
        <v>44368</v>
      </c>
      <c r="C576" s="19">
        <f>MONTH(Tabela6[[#This Row],[Data]])</f>
        <v>6</v>
      </c>
      <c r="D576" s="19">
        <f>YEAR(Tabela6[[#This Row],[Data]])</f>
        <v>2021</v>
      </c>
      <c r="E576" s="12" t="s">
        <v>78</v>
      </c>
      <c r="F576" t="s">
        <v>58</v>
      </c>
      <c r="G576" s="26">
        <v>10</v>
      </c>
      <c r="H576">
        <v>5</v>
      </c>
      <c r="I576" t="str">
        <f>IFERROR(VLOOKUP(Tabela6[[#This Row],[Descrição]],Materiais!B:C,2,0),"")</f>
        <v/>
      </c>
    </row>
    <row r="577" spans="2:9">
      <c r="B577" s="11">
        <f t="shared" ref="B577:B582" si="40">42910+(365*4)</f>
        <v>44370</v>
      </c>
      <c r="C577" s="19">
        <f>MONTH(Tabela6[[#This Row],[Data]])</f>
        <v>6</v>
      </c>
      <c r="D577" s="19">
        <f>YEAR(Tabela6[[#This Row],[Data]])</f>
        <v>2021</v>
      </c>
      <c r="E577" s="12" t="s">
        <v>78</v>
      </c>
      <c r="F577" t="s">
        <v>56</v>
      </c>
      <c r="G577" s="26">
        <v>35</v>
      </c>
      <c r="H577">
        <v>50</v>
      </c>
      <c r="I577" t="str">
        <f>IFERROR(VLOOKUP(Tabela6[[#This Row],[Descrição]],Materiais!B:C,2,0),"")</f>
        <v/>
      </c>
    </row>
    <row r="578" spans="2:9">
      <c r="B578" s="11">
        <f t="shared" si="40"/>
        <v>44370</v>
      </c>
      <c r="C578" s="19">
        <f>MONTH(Tabela6[[#This Row],[Data]])</f>
        <v>6</v>
      </c>
      <c r="D578" s="19">
        <f>YEAR(Tabela6[[#This Row],[Data]])</f>
        <v>2021</v>
      </c>
      <c r="E578" s="12" t="s">
        <v>78</v>
      </c>
      <c r="F578" t="s">
        <v>100</v>
      </c>
      <c r="G578" s="26">
        <v>35</v>
      </c>
      <c r="H578">
        <v>50</v>
      </c>
      <c r="I578" t="str">
        <f>IFERROR(VLOOKUP(Tabela6[[#This Row],[Descrição]],Materiais!B:C,2,0),"")</f>
        <v/>
      </c>
    </row>
    <row r="579" spans="2:9">
      <c r="B579" s="11">
        <f t="shared" si="40"/>
        <v>44370</v>
      </c>
      <c r="C579" s="19">
        <f>MONTH(Tabela6[[#This Row],[Data]])</f>
        <v>6</v>
      </c>
      <c r="D579" s="19">
        <f>YEAR(Tabela6[[#This Row],[Data]])</f>
        <v>2021</v>
      </c>
      <c r="E579" s="12" t="s">
        <v>72</v>
      </c>
      <c r="F579" t="s">
        <v>13</v>
      </c>
      <c r="G579" s="26">
        <v>-4</v>
      </c>
      <c r="H579">
        <v>30</v>
      </c>
      <c r="I579" t="str">
        <f>IFERROR(VLOOKUP(Tabela6[[#This Row],[Descrição]],Materiais!B:C,2,0),"")</f>
        <v>g</v>
      </c>
    </row>
    <row r="580" spans="2:9">
      <c r="B580" s="11">
        <f t="shared" si="40"/>
        <v>44370</v>
      </c>
      <c r="C580" s="19">
        <f>MONTH(Tabela6[[#This Row],[Data]])</f>
        <v>6</v>
      </c>
      <c r="D580" s="19">
        <f>YEAR(Tabela6[[#This Row],[Data]])</f>
        <v>2021</v>
      </c>
      <c r="E580" s="12" t="s">
        <v>78</v>
      </c>
      <c r="F580" t="s">
        <v>116</v>
      </c>
      <c r="G580" s="26">
        <v>35</v>
      </c>
      <c r="H580">
        <v>50</v>
      </c>
      <c r="I580" t="str">
        <f>IFERROR(VLOOKUP(Tabela6[[#This Row],[Descrição]],Materiais!B:C,2,0),"")</f>
        <v/>
      </c>
    </row>
    <row r="581" spans="2:9">
      <c r="B581" s="11">
        <f t="shared" si="40"/>
        <v>44370</v>
      </c>
      <c r="C581" s="19">
        <f>MONTH(Tabela6[[#This Row],[Data]])</f>
        <v>6</v>
      </c>
      <c r="D581" s="19">
        <f>YEAR(Tabela6[[#This Row],[Data]])</f>
        <v>2021</v>
      </c>
      <c r="E581" s="12" t="s">
        <v>78</v>
      </c>
      <c r="F581" t="s">
        <v>126</v>
      </c>
      <c r="G581" s="26">
        <v>35</v>
      </c>
      <c r="H581">
        <v>50</v>
      </c>
      <c r="I581" t="str">
        <f>IFERROR(VLOOKUP(Tabela6[[#This Row],[Descrição]],Materiais!B:C,2,0),"")</f>
        <v/>
      </c>
    </row>
    <row r="582" spans="2:9">
      <c r="B582" s="11">
        <f t="shared" si="40"/>
        <v>44370</v>
      </c>
      <c r="C582" s="19">
        <f>MONTH(Tabela6[[#This Row],[Data]])</f>
        <v>6</v>
      </c>
      <c r="D582" s="19">
        <f>YEAR(Tabela6[[#This Row],[Data]])</f>
        <v>2021</v>
      </c>
      <c r="E582" s="12" t="s">
        <v>78</v>
      </c>
      <c r="F582" t="s">
        <v>128</v>
      </c>
      <c r="G582" s="26">
        <v>35</v>
      </c>
      <c r="H582">
        <v>50</v>
      </c>
      <c r="I582" t="str">
        <f>IFERROR(VLOOKUP(Tabela6[[#This Row],[Descrição]],Materiais!B:C,2,0),"")</f>
        <v/>
      </c>
    </row>
    <row r="583" spans="2:9">
      <c r="B583" s="11">
        <f t="shared" ref="B583:B589" si="41">42912+(365*4)</f>
        <v>44372</v>
      </c>
      <c r="C583" s="19">
        <f>MONTH(Tabela6[[#This Row],[Data]])</f>
        <v>6</v>
      </c>
      <c r="D583" s="19">
        <f>YEAR(Tabela6[[#This Row],[Data]])</f>
        <v>2021</v>
      </c>
      <c r="E583" s="12" t="s">
        <v>78</v>
      </c>
      <c r="F583" t="s">
        <v>63</v>
      </c>
      <c r="G583" s="26">
        <v>4</v>
      </c>
      <c r="H583">
        <v>2</v>
      </c>
      <c r="I583" t="str">
        <f>IFERROR(VLOOKUP(Tabela6[[#This Row],[Descrição]],Materiais!B:C,2,0),"")</f>
        <v/>
      </c>
    </row>
    <row r="584" spans="2:9">
      <c r="B584" s="11">
        <f t="shared" si="41"/>
        <v>44372</v>
      </c>
      <c r="C584" s="19">
        <f>MONTH(Tabela6[[#This Row],[Data]])</f>
        <v>6</v>
      </c>
      <c r="D584" s="19">
        <f>YEAR(Tabela6[[#This Row],[Data]])</f>
        <v>2021</v>
      </c>
      <c r="E584" s="12" t="s">
        <v>78</v>
      </c>
      <c r="F584" t="s">
        <v>56</v>
      </c>
      <c r="G584" s="26">
        <v>8</v>
      </c>
      <c r="H584">
        <v>4</v>
      </c>
      <c r="I584" t="str">
        <f>IFERROR(VLOOKUP(Tabela6[[#This Row],[Descrição]],Materiais!B:C,2,0),"")</f>
        <v/>
      </c>
    </row>
    <row r="585" spans="2:9">
      <c r="B585" s="11">
        <f t="shared" si="41"/>
        <v>44372</v>
      </c>
      <c r="C585" s="19">
        <f>MONTH(Tabela6[[#This Row],[Data]])</f>
        <v>6</v>
      </c>
      <c r="D585" s="19">
        <f>YEAR(Tabela6[[#This Row],[Data]])</f>
        <v>2021</v>
      </c>
      <c r="E585" s="12" t="s">
        <v>78</v>
      </c>
      <c r="F585" t="s">
        <v>100</v>
      </c>
      <c r="G585" s="26">
        <v>4</v>
      </c>
      <c r="H585">
        <v>2</v>
      </c>
      <c r="I585" t="str">
        <f>IFERROR(VLOOKUP(Tabela6[[#This Row],[Descrição]],Materiais!B:C,2,0),"")</f>
        <v/>
      </c>
    </row>
    <row r="586" spans="2:9">
      <c r="B586" s="11">
        <f t="shared" si="41"/>
        <v>44372</v>
      </c>
      <c r="C586" s="19">
        <f>MONTH(Tabela6[[#This Row],[Data]])</f>
        <v>6</v>
      </c>
      <c r="D586" s="19">
        <f>YEAR(Tabela6[[#This Row],[Data]])</f>
        <v>2021</v>
      </c>
      <c r="E586" s="12" t="s">
        <v>78</v>
      </c>
      <c r="F586" t="s">
        <v>61</v>
      </c>
      <c r="G586" s="26">
        <v>10</v>
      </c>
      <c r="H586">
        <v>5</v>
      </c>
      <c r="I586" t="str">
        <f>IFERROR(VLOOKUP(Tabela6[[#This Row],[Descrição]],Materiais!B:C,2,0),"")</f>
        <v/>
      </c>
    </row>
    <row r="587" spans="2:9">
      <c r="B587" s="11">
        <f t="shared" si="41"/>
        <v>44372</v>
      </c>
      <c r="C587" s="19">
        <f>MONTH(Tabela6[[#This Row],[Data]])</f>
        <v>6</v>
      </c>
      <c r="D587" s="19">
        <f>YEAR(Tabela6[[#This Row],[Data]])</f>
        <v>2021</v>
      </c>
      <c r="E587" s="12" t="s">
        <v>78</v>
      </c>
      <c r="F587" t="s">
        <v>126</v>
      </c>
      <c r="G587" s="26">
        <v>4</v>
      </c>
      <c r="H587">
        <v>2</v>
      </c>
      <c r="I587" t="str">
        <f>IFERROR(VLOOKUP(Tabela6[[#This Row],[Descrição]],Materiais!B:C,2,0),"")</f>
        <v/>
      </c>
    </row>
    <row r="588" spans="2:9">
      <c r="B588" s="11">
        <f t="shared" si="41"/>
        <v>44372</v>
      </c>
      <c r="C588" s="19">
        <f>MONTH(Tabela6[[#This Row],[Data]])</f>
        <v>6</v>
      </c>
      <c r="D588" s="19">
        <f>YEAR(Tabela6[[#This Row],[Data]])</f>
        <v>2021</v>
      </c>
      <c r="E588" s="12" t="s">
        <v>78</v>
      </c>
      <c r="F588" t="s">
        <v>58</v>
      </c>
      <c r="G588" s="26">
        <v>2</v>
      </c>
      <c r="H588">
        <v>1</v>
      </c>
      <c r="I588" t="str">
        <f>IFERROR(VLOOKUP(Tabela6[[#This Row],[Descrição]],Materiais!B:C,2,0),"")</f>
        <v/>
      </c>
    </row>
    <row r="589" spans="2:9">
      <c r="B589" s="11">
        <f t="shared" si="41"/>
        <v>44372</v>
      </c>
      <c r="C589" s="19">
        <f>MONTH(Tabela6[[#This Row],[Data]])</f>
        <v>6</v>
      </c>
      <c r="D589" s="19">
        <f>YEAR(Tabela6[[#This Row],[Data]])</f>
        <v>2021</v>
      </c>
      <c r="E589" s="12" t="s">
        <v>78</v>
      </c>
      <c r="F589" t="s">
        <v>95</v>
      </c>
      <c r="G589" s="26">
        <v>2</v>
      </c>
      <c r="H589">
        <v>1</v>
      </c>
      <c r="I589" t="str">
        <f>IFERROR(VLOOKUP(Tabela6[[#This Row],[Descrição]],Materiais!B:C,2,0),"")</f>
        <v/>
      </c>
    </row>
    <row r="590" spans="2:9">
      <c r="B590" s="11">
        <f t="shared" ref="B590:B598" si="42">42913+(365*4)</f>
        <v>44373</v>
      </c>
      <c r="C590" s="19">
        <f>MONTH(Tabela6[[#This Row],[Data]])</f>
        <v>6</v>
      </c>
      <c r="D590" s="19">
        <f>YEAR(Tabela6[[#This Row],[Data]])</f>
        <v>2021</v>
      </c>
      <c r="E590" s="12" t="s">
        <v>78</v>
      </c>
      <c r="F590" t="s">
        <v>63</v>
      </c>
      <c r="G590" s="26">
        <v>8</v>
      </c>
      <c r="H590">
        <v>4</v>
      </c>
      <c r="I590" t="str">
        <f>IFERROR(VLOOKUP(Tabela6[[#This Row],[Descrição]],Materiais!B:C,2,0),"")</f>
        <v/>
      </c>
    </row>
    <row r="591" spans="2:9">
      <c r="B591" s="11">
        <f t="shared" si="42"/>
        <v>44373</v>
      </c>
      <c r="C591" s="19">
        <f>MONTH(Tabela6[[#This Row],[Data]])</f>
        <v>6</v>
      </c>
      <c r="D591" s="19">
        <f>YEAR(Tabela6[[#This Row],[Data]])</f>
        <v>2021</v>
      </c>
      <c r="E591" s="12" t="s">
        <v>78</v>
      </c>
      <c r="F591" t="s">
        <v>56</v>
      </c>
      <c r="G591" s="26">
        <v>8</v>
      </c>
      <c r="H591">
        <v>4</v>
      </c>
      <c r="I591" t="str">
        <f>IFERROR(VLOOKUP(Tabela6[[#This Row],[Descrição]],Materiais!B:C,2,0),"")</f>
        <v/>
      </c>
    </row>
    <row r="592" spans="2:9">
      <c r="B592" s="11">
        <f t="shared" si="42"/>
        <v>44373</v>
      </c>
      <c r="C592" s="19">
        <f>MONTH(Tabela6[[#This Row],[Data]])</f>
        <v>6</v>
      </c>
      <c r="D592" s="19">
        <f>YEAR(Tabela6[[#This Row],[Data]])</f>
        <v>2021</v>
      </c>
      <c r="E592" s="12" t="s">
        <v>78</v>
      </c>
      <c r="F592" t="s">
        <v>100</v>
      </c>
      <c r="G592" s="26">
        <v>4</v>
      </c>
      <c r="H592">
        <v>2</v>
      </c>
      <c r="I592" t="str">
        <f>IFERROR(VLOOKUP(Tabela6[[#This Row],[Descrição]],Materiais!B:C,2,0),"")</f>
        <v/>
      </c>
    </row>
    <row r="593" spans="2:9">
      <c r="B593" s="11">
        <f t="shared" si="42"/>
        <v>44373</v>
      </c>
      <c r="C593" s="19">
        <f>MONTH(Tabela6[[#This Row],[Data]])</f>
        <v>6</v>
      </c>
      <c r="D593" s="19">
        <f>YEAR(Tabela6[[#This Row],[Data]])</f>
        <v>2021</v>
      </c>
      <c r="E593" s="12" t="s">
        <v>78</v>
      </c>
      <c r="F593" t="s">
        <v>61</v>
      </c>
      <c r="G593" s="26">
        <v>14</v>
      </c>
      <c r="H593">
        <v>7</v>
      </c>
      <c r="I593" t="str">
        <f>IFERROR(VLOOKUP(Tabela6[[#This Row],[Descrição]],Materiais!B:C,2,0),"")</f>
        <v/>
      </c>
    </row>
    <row r="594" spans="2:9">
      <c r="B594" s="11">
        <f t="shared" si="42"/>
        <v>44373</v>
      </c>
      <c r="C594" s="19">
        <f>MONTH(Tabela6[[#This Row],[Data]])</f>
        <v>6</v>
      </c>
      <c r="D594" s="19">
        <f>YEAR(Tabela6[[#This Row],[Data]])</f>
        <v>2021</v>
      </c>
      <c r="E594" s="12" t="s">
        <v>78</v>
      </c>
      <c r="F594" t="s">
        <v>126</v>
      </c>
      <c r="G594" s="26">
        <v>6</v>
      </c>
      <c r="H594">
        <v>3</v>
      </c>
      <c r="I594" t="str">
        <f>IFERROR(VLOOKUP(Tabela6[[#This Row],[Descrição]],Materiais!B:C,2,0),"")</f>
        <v/>
      </c>
    </row>
    <row r="595" spans="2:9">
      <c r="B595" s="11">
        <f t="shared" si="42"/>
        <v>44373</v>
      </c>
      <c r="C595" s="19">
        <f>MONTH(Tabela6[[#This Row],[Data]])</f>
        <v>6</v>
      </c>
      <c r="D595" s="19">
        <f>YEAR(Tabela6[[#This Row],[Data]])</f>
        <v>2021</v>
      </c>
      <c r="E595" s="12" t="s">
        <v>78</v>
      </c>
      <c r="F595" t="s">
        <v>62</v>
      </c>
      <c r="G595" s="26">
        <v>2</v>
      </c>
      <c r="H595">
        <v>1</v>
      </c>
      <c r="I595" t="str">
        <f>IFERROR(VLOOKUP(Tabela6[[#This Row],[Descrição]],Materiais!B:C,2,0),"")</f>
        <v/>
      </c>
    </row>
    <row r="596" spans="2:9">
      <c r="B596" s="11">
        <f t="shared" si="42"/>
        <v>44373</v>
      </c>
      <c r="C596" s="19">
        <f>MONTH(Tabela6[[#This Row],[Data]])</f>
        <v>6</v>
      </c>
      <c r="D596" s="19">
        <f>YEAR(Tabela6[[#This Row],[Data]])</f>
        <v>2021</v>
      </c>
      <c r="E596" s="12" t="s">
        <v>78</v>
      </c>
      <c r="F596" t="s">
        <v>58</v>
      </c>
      <c r="G596" s="26">
        <v>10</v>
      </c>
      <c r="H596">
        <v>5</v>
      </c>
      <c r="I596" t="str">
        <f>IFERROR(VLOOKUP(Tabela6[[#This Row],[Descrição]],Materiais!B:C,2,0),"")</f>
        <v/>
      </c>
    </row>
    <row r="597" spans="2:9">
      <c r="B597" s="11">
        <f t="shared" si="42"/>
        <v>44373</v>
      </c>
      <c r="C597" s="19">
        <f>MONTH(Tabela6[[#This Row],[Data]])</f>
        <v>6</v>
      </c>
      <c r="D597" s="19">
        <f>YEAR(Tabela6[[#This Row],[Data]])</f>
        <v>2021</v>
      </c>
      <c r="E597" s="12" t="s">
        <v>78</v>
      </c>
      <c r="F597" t="s">
        <v>95</v>
      </c>
      <c r="G597" s="26">
        <v>6</v>
      </c>
      <c r="H597">
        <v>3</v>
      </c>
      <c r="I597" t="str">
        <f>IFERROR(VLOOKUP(Tabela6[[#This Row],[Descrição]],Materiais!B:C,2,0),"")</f>
        <v/>
      </c>
    </row>
    <row r="598" spans="2:9">
      <c r="B598" s="11">
        <f t="shared" si="42"/>
        <v>44373</v>
      </c>
      <c r="C598" s="19">
        <f>MONTH(Tabela6[[#This Row],[Data]])</f>
        <v>6</v>
      </c>
      <c r="D598" s="19">
        <f>YEAR(Tabela6[[#This Row],[Data]])</f>
        <v>2021</v>
      </c>
      <c r="E598" s="12" t="s">
        <v>78</v>
      </c>
      <c r="F598" t="s">
        <v>117</v>
      </c>
      <c r="G598" s="26">
        <v>4</v>
      </c>
      <c r="H598">
        <v>2</v>
      </c>
      <c r="I598" t="str">
        <f>IFERROR(VLOOKUP(Tabela6[[#This Row],[Descrição]],Materiais!B:C,2,0),"")</f>
        <v/>
      </c>
    </row>
    <row r="599" spans="2:9">
      <c r="B599" s="11">
        <f t="shared" ref="B599:B604" si="43">42914+(365*4)</f>
        <v>44374</v>
      </c>
      <c r="C599" s="19">
        <f>MONTH(Tabela6[[#This Row],[Data]])</f>
        <v>6</v>
      </c>
      <c r="D599" s="19">
        <f>YEAR(Tabela6[[#This Row],[Data]])</f>
        <v>2021</v>
      </c>
      <c r="E599" s="12" t="s">
        <v>78</v>
      </c>
      <c r="F599" t="s">
        <v>56</v>
      </c>
      <c r="G599" s="26">
        <v>2</v>
      </c>
      <c r="H599">
        <v>1</v>
      </c>
      <c r="I599" t="str">
        <f>IFERROR(VLOOKUP(Tabela6[[#This Row],[Descrição]],Materiais!B:C,2,0),"")</f>
        <v/>
      </c>
    </row>
    <row r="600" spans="2:9">
      <c r="B600" s="11">
        <f t="shared" si="43"/>
        <v>44374</v>
      </c>
      <c r="C600" s="19">
        <f>MONTH(Tabela6[[#This Row],[Data]])</f>
        <v>6</v>
      </c>
      <c r="D600" s="19">
        <f>YEAR(Tabela6[[#This Row],[Data]])</f>
        <v>2021</v>
      </c>
      <c r="E600" s="12" t="s">
        <v>78</v>
      </c>
      <c r="F600" t="s">
        <v>100</v>
      </c>
      <c r="G600" s="26">
        <v>2</v>
      </c>
      <c r="H600">
        <v>1</v>
      </c>
      <c r="I600" t="str">
        <f>IFERROR(VLOOKUP(Tabela6[[#This Row],[Descrição]],Materiais!B:C,2,0),"")</f>
        <v/>
      </c>
    </row>
    <row r="601" spans="2:9">
      <c r="B601" s="11">
        <f t="shared" si="43"/>
        <v>44374</v>
      </c>
      <c r="C601" s="19">
        <f>MONTH(Tabela6[[#This Row],[Data]])</f>
        <v>6</v>
      </c>
      <c r="D601" s="19">
        <f>YEAR(Tabela6[[#This Row],[Data]])</f>
        <v>2021</v>
      </c>
      <c r="E601" s="12" t="s">
        <v>78</v>
      </c>
      <c r="F601" t="s">
        <v>126</v>
      </c>
      <c r="G601" s="26">
        <v>6</v>
      </c>
      <c r="H601">
        <v>3</v>
      </c>
      <c r="I601" t="str">
        <f>IFERROR(VLOOKUP(Tabela6[[#This Row],[Descrição]],Materiais!B:C,2,0),"")</f>
        <v/>
      </c>
    </row>
    <row r="602" spans="2:9">
      <c r="B602" s="11">
        <f t="shared" si="43"/>
        <v>44374</v>
      </c>
      <c r="C602" s="19">
        <f>MONTH(Tabela6[[#This Row],[Data]])</f>
        <v>6</v>
      </c>
      <c r="D602" s="19">
        <f>YEAR(Tabela6[[#This Row],[Data]])</f>
        <v>2021</v>
      </c>
      <c r="E602" s="12" t="s">
        <v>78</v>
      </c>
      <c r="F602" t="s">
        <v>62</v>
      </c>
      <c r="G602" s="26">
        <v>2</v>
      </c>
      <c r="H602">
        <v>1</v>
      </c>
      <c r="I602" t="str">
        <f>IFERROR(VLOOKUP(Tabela6[[#This Row],[Descrição]],Materiais!B:C,2,0),"")</f>
        <v/>
      </c>
    </row>
    <row r="603" spans="2:9">
      <c r="B603" s="11">
        <f t="shared" si="43"/>
        <v>44374</v>
      </c>
      <c r="C603" s="19">
        <f>MONTH(Tabela6[[#This Row],[Data]])</f>
        <v>6</v>
      </c>
      <c r="D603" s="19">
        <f>YEAR(Tabela6[[#This Row],[Data]])</f>
        <v>2021</v>
      </c>
      <c r="E603" s="12" t="s">
        <v>78</v>
      </c>
      <c r="F603" t="s">
        <v>95</v>
      </c>
      <c r="G603" s="26">
        <v>2</v>
      </c>
      <c r="H603">
        <v>1</v>
      </c>
      <c r="I603" t="str">
        <f>IFERROR(VLOOKUP(Tabela6[[#This Row],[Descrição]],Materiais!B:C,2,0),"")</f>
        <v/>
      </c>
    </row>
    <row r="604" spans="2:9">
      <c r="B604" s="11">
        <f t="shared" si="43"/>
        <v>44374</v>
      </c>
      <c r="C604" s="19">
        <f>MONTH(Tabela6[[#This Row],[Data]])</f>
        <v>6</v>
      </c>
      <c r="D604" s="19">
        <f>YEAR(Tabela6[[#This Row],[Data]])</f>
        <v>2021</v>
      </c>
      <c r="E604" s="12" t="s">
        <v>78</v>
      </c>
      <c r="F604" t="s">
        <v>117</v>
      </c>
      <c r="G604" s="26">
        <v>2</v>
      </c>
      <c r="H604">
        <v>1</v>
      </c>
      <c r="I604" t="str">
        <f>IFERROR(VLOOKUP(Tabela6[[#This Row],[Descrição]],Materiais!B:C,2,0),"")</f>
        <v/>
      </c>
    </row>
    <row r="605" spans="2:9">
      <c r="B605" s="11">
        <f>42915+(365*4)</f>
        <v>44375</v>
      </c>
      <c r="C605" s="19">
        <f>MONTH(Tabela6[[#This Row],[Data]])</f>
        <v>6</v>
      </c>
      <c r="D605" s="19">
        <f>YEAR(Tabela6[[#This Row],[Data]])</f>
        <v>2021</v>
      </c>
      <c r="E605" s="12" t="s">
        <v>78</v>
      </c>
      <c r="F605" t="s">
        <v>63</v>
      </c>
      <c r="G605" s="26">
        <v>6</v>
      </c>
      <c r="H605">
        <v>3</v>
      </c>
      <c r="I605" t="str">
        <f>IFERROR(VLOOKUP(Tabela6[[#This Row],[Descrição]],Materiais!B:C,2,0),"")</f>
        <v/>
      </c>
    </row>
    <row r="606" spans="2:9">
      <c r="B606" s="11">
        <f>42915+(365*4)</f>
        <v>44375</v>
      </c>
      <c r="C606" s="19">
        <f>MONTH(Tabela6[[#This Row],[Data]])</f>
        <v>6</v>
      </c>
      <c r="D606" s="19">
        <f>YEAR(Tabela6[[#This Row],[Data]])</f>
        <v>2021</v>
      </c>
      <c r="E606" s="12" t="s">
        <v>78</v>
      </c>
      <c r="F606" t="s">
        <v>56</v>
      </c>
      <c r="G606" s="26">
        <v>12</v>
      </c>
      <c r="H606">
        <v>6</v>
      </c>
      <c r="I606" t="str">
        <f>IFERROR(VLOOKUP(Tabela6[[#This Row],[Descrição]],Materiais!B:C,2,0),"")</f>
        <v/>
      </c>
    </row>
    <row r="607" spans="2:9">
      <c r="B607" s="11">
        <f>42915+(365*4)</f>
        <v>44375</v>
      </c>
      <c r="C607" s="19">
        <f>MONTH(Tabela6[[#This Row],[Data]])</f>
        <v>6</v>
      </c>
      <c r="D607" s="19">
        <f>YEAR(Tabela6[[#This Row],[Data]])</f>
        <v>2021</v>
      </c>
      <c r="E607" s="12" t="s">
        <v>78</v>
      </c>
      <c r="F607" t="s">
        <v>100</v>
      </c>
      <c r="G607" s="26">
        <v>6</v>
      </c>
      <c r="H607">
        <v>3</v>
      </c>
      <c r="I607" t="str">
        <f>IFERROR(VLOOKUP(Tabela6[[#This Row],[Descrição]],Materiais!B:C,2,0),"")</f>
        <v/>
      </c>
    </row>
    <row r="608" spans="2:9">
      <c r="B608" s="11">
        <f>42915+(365*4)</f>
        <v>44375</v>
      </c>
      <c r="C608" s="19">
        <f>MONTH(Tabela6[[#This Row],[Data]])</f>
        <v>6</v>
      </c>
      <c r="D608" s="19">
        <f>YEAR(Tabela6[[#This Row],[Data]])</f>
        <v>2021</v>
      </c>
      <c r="E608" s="12" t="s">
        <v>78</v>
      </c>
      <c r="F608" t="s">
        <v>126</v>
      </c>
      <c r="G608" s="26">
        <v>10</v>
      </c>
      <c r="H608">
        <v>5</v>
      </c>
      <c r="I608" t="str">
        <f>IFERROR(VLOOKUP(Tabela6[[#This Row],[Descrição]],Materiais!B:C,2,0),"")</f>
        <v/>
      </c>
    </row>
    <row r="609" spans="2:9">
      <c r="B609" s="11">
        <f>42915+(365*4)</f>
        <v>44375</v>
      </c>
      <c r="C609" s="19">
        <f>MONTH(Tabela6[[#This Row],[Data]])</f>
        <v>6</v>
      </c>
      <c r="D609" s="19">
        <f>YEAR(Tabela6[[#This Row],[Data]])</f>
        <v>2021</v>
      </c>
      <c r="E609" s="12" t="s">
        <v>78</v>
      </c>
      <c r="F609" t="s">
        <v>58</v>
      </c>
      <c r="G609" s="26">
        <v>8</v>
      </c>
      <c r="H609">
        <v>4</v>
      </c>
      <c r="I609" t="str">
        <f>IFERROR(VLOOKUP(Tabela6[[#This Row],[Descrição]],Materiais!B:C,2,0),"")</f>
        <v/>
      </c>
    </row>
    <row r="610" spans="2:9">
      <c r="B610" s="11">
        <f t="shared" ref="B610:B615" si="44">42917+(365*4)</f>
        <v>44377</v>
      </c>
      <c r="C610" s="19">
        <f>MONTH(Tabela6[[#This Row],[Data]])</f>
        <v>6</v>
      </c>
      <c r="D610" s="19">
        <f>YEAR(Tabela6[[#This Row],[Data]])</f>
        <v>2021</v>
      </c>
      <c r="E610" s="12" t="s">
        <v>72</v>
      </c>
      <c r="F610" t="s">
        <v>7</v>
      </c>
      <c r="G610" s="26">
        <v>-4.4000000000000004</v>
      </c>
      <c r="H610">
        <v>490</v>
      </c>
      <c r="I610" t="str">
        <f>IFERROR(VLOOKUP(Tabela6[[#This Row],[Descrição]],Materiais!B:C,2,0),"")</f>
        <v>g</v>
      </c>
    </row>
    <row r="611" spans="2:9">
      <c r="B611" s="11">
        <f t="shared" si="44"/>
        <v>44377</v>
      </c>
      <c r="C611" s="19">
        <f>MONTH(Tabela6[[#This Row],[Data]])</f>
        <v>6</v>
      </c>
      <c r="D611" s="19">
        <f>YEAR(Tabela6[[#This Row],[Data]])</f>
        <v>2021</v>
      </c>
      <c r="E611" s="12" t="s">
        <v>72</v>
      </c>
      <c r="F611" t="s">
        <v>8</v>
      </c>
      <c r="G611" s="26">
        <v>-2.35</v>
      </c>
      <c r="H611">
        <v>250</v>
      </c>
      <c r="I611" t="str">
        <f>IFERROR(VLOOKUP(Tabela6[[#This Row],[Descrição]],Materiais!B:C,2,0),"")</f>
        <v>g</v>
      </c>
    </row>
    <row r="612" spans="2:9">
      <c r="B612" s="11">
        <f t="shared" si="44"/>
        <v>44377</v>
      </c>
      <c r="C612" s="19">
        <f>MONTH(Tabela6[[#This Row],[Data]])</f>
        <v>6</v>
      </c>
      <c r="D612" s="19">
        <f>YEAR(Tabela6[[#This Row],[Data]])</f>
        <v>2021</v>
      </c>
      <c r="E612" s="12" t="s">
        <v>72</v>
      </c>
      <c r="F612" t="s">
        <v>90</v>
      </c>
      <c r="G612" s="26">
        <v>-15.1</v>
      </c>
      <c r="H612">
        <v>1000</v>
      </c>
      <c r="I612" t="str">
        <f>IFERROR(VLOOKUP(Tabela6[[#This Row],[Descrição]],Materiais!B:C,2,0),"")</f>
        <v/>
      </c>
    </row>
    <row r="613" spans="2:9">
      <c r="B613" s="11">
        <f t="shared" si="44"/>
        <v>44377</v>
      </c>
      <c r="C613" s="19">
        <f>MONTH(Tabela6[[#This Row],[Data]])</f>
        <v>6</v>
      </c>
      <c r="D613" s="19">
        <f>YEAR(Tabela6[[#This Row],[Data]])</f>
        <v>2021</v>
      </c>
      <c r="E613" s="12" t="s">
        <v>72</v>
      </c>
      <c r="F613" t="s">
        <v>105</v>
      </c>
      <c r="G613" s="26">
        <v>-13.95</v>
      </c>
      <c r="H613">
        <v>500</v>
      </c>
      <c r="I613" t="str">
        <f>IFERROR(VLOOKUP(Tabela6[[#This Row],[Descrição]],Materiais!B:C,2,0),"")</f>
        <v/>
      </c>
    </row>
    <row r="614" spans="2:9">
      <c r="B614" s="11">
        <f t="shared" si="44"/>
        <v>44377</v>
      </c>
      <c r="C614" s="19">
        <f>MONTH(Tabela6[[#This Row],[Data]])</f>
        <v>6</v>
      </c>
      <c r="D614" s="19">
        <f>YEAR(Tabela6[[#This Row],[Data]])</f>
        <v>2021</v>
      </c>
      <c r="E614" s="12" t="s">
        <v>75</v>
      </c>
      <c r="F614" t="s">
        <v>76</v>
      </c>
      <c r="G614" s="26">
        <v>-14.85</v>
      </c>
      <c r="H614">
        <v>900</v>
      </c>
      <c r="I614" t="str">
        <f>IFERROR(VLOOKUP(Tabela6[[#This Row],[Descrição]],Materiais!B:C,2,0),"")</f>
        <v/>
      </c>
    </row>
    <row r="615" spans="2:9">
      <c r="B615" s="11">
        <f t="shared" si="44"/>
        <v>44377</v>
      </c>
      <c r="C615" s="19">
        <f>MONTH(Tabela6[[#This Row],[Data]])</f>
        <v>6</v>
      </c>
      <c r="D615" s="19">
        <f>YEAR(Tabela6[[#This Row],[Data]])</f>
        <v>2021</v>
      </c>
      <c r="E615" s="12" t="s">
        <v>75</v>
      </c>
      <c r="F615" t="s">
        <v>119</v>
      </c>
      <c r="G615" s="26">
        <v>-1.98</v>
      </c>
      <c r="H615">
        <v>200</v>
      </c>
      <c r="I615" t="str">
        <f>IFERROR(VLOOKUP(Tabela6[[#This Row],[Descrição]],Materiais!B:C,2,0),"")</f>
        <v/>
      </c>
    </row>
    <row r="616" spans="2:9">
      <c r="B616" s="11">
        <f>42919+(365*4)</f>
        <v>44379</v>
      </c>
      <c r="C616" s="19">
        <f>MONTH(Tabela6[[#This Row],[Data]])</f>
        <v>7</v>
      </c>
      <c r="D616" s="19">
        <f>YEAR(Tabela6[[#This Row],[Data]])</f>
        <v>2021</v>
      </c>
      <c r="E616" s="12" t="s">
        <v>78</v>
      </c>
      <c r="F616" t="s">
        <v>61</v>
      </c>
      <c r="G616" s="26">
        <v>10</v>
      </c>
      <c r="H616">
        <v>5</v>
      </c>
      <c r="I616" t="str">
        <f>IFERROR(VLOOKUP(Tabela6[[#This Row],[Descrição]],Materiais!B:C,2,0),"")</f>
        <v/>
      </c>
    </row>
    <row r="617" spans="2:9">
      <c r="B617" s="11">
        <f>42919+(365*4)</f>
        <v>44379</v>
      </c>
      <c r="C617" s="19">
        <f>MONTH(Tabela6[[#This Row],[Data]])</f>
        <v>7</v>
      </c>
      <c r="D617" s="19">
        <f>YEAR(Tabela6[[#This Row],[Data]])</f>
        <v>2021</v>
      </c>
      <c r="E617" s="12" t="s">
        <v>78</v>
      </c>
      <c r="F617" t="s">
        <v>126</v>
      </c>
      <c r="G617" s="26">
        <v>2</v>
      </c>
      <c r="H617">
        <v>1</v>
      </c>
      <c r="I617" t="str">
        <f>IFERROR(VLOOKUP(Tabela6[[#This Row],[Descrição]],Materiais!B:C,2,0),"")</f>
        <v/>
      </c>
    </row>
    <row r="618" spans="2:9">
      <c r="B618" s="11">
        <f>42919+(365*4)</f>
        <v>44379</v>
      </c>
      <c r="C618" s="19">
        <f>MONTH(Tabela6[[#This Row],[Data]])</f>
        <v>7</v>
      </c>
      <c r="D618" s="19">
        <f>YEAR(Tabela6[[#This Row],[Data]])</f>
        <v>2021</v>
      </c>
      <c r="E618" s="12" t="s">
        <v>78</v>
      </c>
      <c r="F618" t="s">
        <v>62</v>
      </c>
      <c r="G618" s="26">
        <v>2</v>
      </c>
      <c r="H618">
        <v>1</v>
      </c>
      <c r="I618" t="str">
        <f>IFERROR(VLOOKUP(Tabela6[[#This Row],[Descrição]],Materiais!B:C,2,0),"")</f>
        <v/>
      </c>
    </row>
    <row r="619" spans="2:9">
      <c r="B619" s="11">
        <f>42919+(365*4)</f>
        <v>44379</v>
      </c>
      <c r="C619" s="19">
        <f>MONTH(Tabela6[[#This Row],[Data]])</f>
        <v>7</v>
      </c>
      <c r="D619" s="19">
        <f>YEAR(Tabela6[[#This Row],[Data]])</f>
        <v>2021</v>
      </c>
      <c r="E619" s="12" t="s">
        <v>78</v>
      </c>
      <c r="F619" t="s">
        <v>58</v>
      </c>
      <c r="G619" s="26">
        <v>2</v>
      </c>
      <c r="H619">
        <v>1</v>
      </c>
      <c r="I619" t="str">
        <f>IFERROR(VLOOKUP(Tabela6[[#This Row],[Descrição]],Materiais!B:C,2,0),"")</f>
        <v/>
      </c>
    </row>
    <row r="620" spans="2:9">
      <c r="B620" s="11">
        <f>42919+(365*4)</f>
        <v>44379</v>
      </c>
      <c r="C620" s="19">
        <f>MONTH(Tabela6[[#This Row],[Data]])</f>
        <v>7</v>
      </c>
      <c r="D620" s="19">
        <f>YEAR(Tabela6[[#This Row],[Data]])</f>
        <v>2021</v>
      </c>
      <c r="E620" s="12" t="s">
        <v>78</v>
      </c>
      <c r="F620" t="s">
        <v>95</v>
      </c>
      <c r="G620" s="26">
        <v>4</v>
      </c>
      <c r="H620">
        <v>2</v>
      </c>
      <c r="I620" t="str">
        <f>IFERROR(VLOOKUP(Tabela6[[#This Row],[Descrição]],Materiais!B:C,2,0),"")</f>
        <v/>
      </c>
    </row>
    <row r="621" spans="2:9">
      <c r="B621" s="11">
        <f t="shared" ref="B621:B629" si="45">42920+(365*4)</f>
        <v>44380</v>
      </c>
      <c r="C621" s="19">
        <f>MONTH(Tabela6[[#This Row],[Data]])</f>
        <v>7</v>
      </c>
      <c r="D621" s="19">
        <f>YEAR(Tabela6[[#This Row],[Data]])</f>
        <v>2021</v>
      </c>
      <c r="E621" s="12" t="s">
        <v>78</v>
      </c>
      <c r="F621" t="s">
        <v>63</v>
      </c>
      <c r="G621" s="26">
        <v>10</v>
      </c>
      <c r="H621">
        <v>5</v>
      </c>
      <c r="I621" t="str">
        <f>IFERROR(VLOOKUP(Tabela6[[#This Row],[Descrição]],Materiais!B:C,2,0),"")</f>
        <v/>
      </c>
    </row>
    <row r="622" spans="2:9">
      <c r="B622" s="11">
        <f t="shared" si="45"/>
        <v>44380</v>
      </c>
      <c r="C622" s="19">
        <f>MONTH(Tabela6[[#This Row],[Data]])</f>
        <v>7</v>
      </c>
      <c r="D622" s="19">
        <f>YEAR(Tabela6[[#This Row],[Data]])</f>
        <v>2021</v>
      </c>
      <c r="E622" s="12" t="s">
        <v>78</v>
      </c>
      <c r="F622" t="s">
        <v>56</v>
      </c>
      <c r="G622" s="26">
        <v>22</v>
      </c>
      <c r="H622">
        <v>11</v>
      </c>
      <c r="I622" t="str">
        <f>IFERROR(VLOOKUP(Tabela6[[#This Row],[Descrição]],Materiais!B:C,2,0),"")</f>
        <v/>
      </c>
    </row>
    <row r="623" spans="2:9">
      <c r="B623" s="11">
        <f t="shared" si="45"/>
        <v>44380</v>
      </c>
      <c r="C623" s="19">
        <f>MONTH(Tabela6[[#This Row],[Data]])</f>
        <v>7</v>
      </c>
      <c r="D623" s="19">
        <f>YEAR(Tabela6[[#This Row],[Data]])</f>
        <v>2021</v>
      </c>
      <c r="E623" s="12" t="s">
        <v>78</v>
      </c>
      <c r="F623" t="s">
        <v>100</v>
      </c>
      <c r="G623" s="26">
        <v>4</v>
      </c>
      <c r="H623">
        <v>2</v>
      </c>
      <c r="I623" t="str">
        <f>IFERROR(VLOOKUP(Tabela6[[#This Row],[Descrição]],Materiais!B:C,2,0),"")</f>
        <v/>
      </c>
    </row>
    <row r="624" spans="2:9">
      <c r="B624" s="11">
        <f t="shared" si="45"/>
        <v>44380</v>
      </c>
      <c r="C624" s="19">
        <f>MONTH(Tabela6[[#This Row],[Data]])</f>
        <v>7</v>
      </c>
      <c r="D624" s="19">
        <f>YEAR(Tabela6[[#This Row],[Data]])</f>
        <v>2021</v>
      </c>
      <c r="E624" s="12" t="s">
        <v>78</v>
      </c>
      <c r="F624" t="s">
        <v>61</v>
      </c>
      <c r="G624" s="26">
        <v>10</v>
      </c>
      <c r="H624">
        <v>5</v>
      </c>
      <c r="I624" t="str">
        <f>IFERROR(VLOOKUP(Tabela6[[#This Row],[Descrição]],Materiais!B:C,2,0),"")</f>
        <v/>
      </c>
    </row>
    <row r="625" spans="2:9">
      <c r="B625" s="11">
        <f t="shared" si="45"/>
        <v>44380</v>
      </c>
      <c r="C625" s="19">
        <f>MONTH(Tabela6[[#This Row],[Data]])</f>
        <v>7</v>
      </c>
      <c r="D625" s="19">
        <f>YEAR(Tabela6[[#This Row],[Data]])</f>
        <v>2021</v>
      </c>
      <c r="E625" s="12" t="s">
        <v>78</v>
      </c>
      <c r="F625" t="s">
        <v>126</v>
      </c>
      <c r="G625" s="26">
        <v>10</v>
      </c>
      <c r="H625">
        <v>5</v>
      </c>
      <c r="I625" t="str">
        <f>IFERROR(VLOOKUP(Tabela6[[#This Row],[Descrição]],Materiais!B:C,2,0),"")</f>
        <v/>
      </c>
    </row>
    <row r="626" spans="2:9">
      <c r="B626" s="11">
        <f t="shared" si="45"/>
        <v>44380</v>
      </c>
      <c r="C626" s="19">
        <f>MONTH(Tabela6[[#This Row],[Data]])</f>
        <v>7</v>
      </c>
      <c r="D626" s="19">
        <f>YEAR(Tabela6[[#This Row],[Data]])</f>
        <v>2021</v>
      </c>
      <c r="E626" s="12" t="s">
        <v>78</v>
      </c>
      <c r="F626" t="s">
        <v>62</v>
      </c>
      <c r="G626" s="26">
        <v>2</v>
      </c>
      <c r="H626">
        <v>1</v>
      </c>
      <c r="I626" t="str">
        <f>IFERROR(VLOOKUP(Tabela6[[#This Row],[Descrição]],Materiais!B:C,2,0),"")</f>
        <v/>
      </c>
    </row>
    <row r="627" spans="2:9">
      <c r="B627" s="11">
        <f t="shared" si="45"/>
        <v>44380</v>
      </c>
      <c r="C627" s="19">
        <f>MONTH(Tabela6[[#This Row],[Data]])</f>
        <v>7</v>
      </c>
      <c r="D627" s="19">
        <f>YEAR(Tabela6[[#This Row],[Data]])</f>
        <v>2021</v>
      </c>
      <c r="E627" s="12" t="s">
        <v>78</v>
      </c>
      <c r="F627" t="s">
        <v>109</v>
      </c>
      <c r="G627" s="26">
        <v>6</v>
      </c>
      <c r="H627">
        <v>3</v>
      </c>
      <c r="I627" t="str">
        <f>IFERROR(VLOOKUP(Tabela6[[#This Row],[Descrição]],Materiais!B:C,2,0),"")</f>
        <v/>
      </c>
    </row>
    <row r="628" spans="2:9">
      <c r="B628" s="11">
        <f t="shared" si="45"/>
        <v>44380</v>
      </c>
      <c r="C628" s="19">
        <f>MONTH(Tabela6[[#This Row],[Data]])</f>
        <v>7</v>
      </c>
      <c r="D628" s="19">
        <f>YEAR(Tabela6[[#This Row],[Data]])</f>
        <v>2021</v>
      </c>
      <c r="E628" s="12" t="s">
        <v>78</v>
      </c>
      <c r="F628" t="s">
        <v>58</v>
      </c>
      <c r="G628" s="26">
        <v>8</v>
      </c>
      <c r="H628">
        <v>4</v>
      </c>
      <c r="I628" t="str">
        <f>IFERROR(VLOOKUP(Tabela6[[#This Row],[Descrição]],Materiais!B:C,2,0),"")</f>
        <v/>
      </c>
    </row>
    <row r="629" spans="2:9">
      <c r="B629" s="11">
        <f t="shared" si="45"/>
        <v>44380</v>
      </c>
      <c r="C629" s="19">
        <f>MONTH(Tabela6[[#This Row],[Data]])</f>
        <v>7</v>
      </c>
      <c r="D629" s="19">
        <f>YEAR(Tabela6[[#This Row],[Data]])</f>
        <v>2021</v>
      </c>
      <c r="E629" s="12" t="s">
        <v>78</v>
      </c>
      <c r="F629" t="s">
        <v>95</v>
      </c>
      <c r="G629" s="26">
        <v>4</v>
      </c>
      <c r="H629">
        <v>2</v>
      </c>
      <c r="I629" t="str">
        <f>IFERROR(VLOOKUP(Tabela6[[#This Row],[Descrição]],Materiais!B:C,2,0),"")</f>
        <v/>
      </c>
    </row>
    <row r="630" spans="2:9">
      <c r="B630" s="11">
        <f t="shared" ref="B630:B640" si="46">42921+(365*4)</f>
        <v>44381</v>
      </c>
      <c r="C630" s="19">
        <f>MONTH(Tabela6[[#This Row],[Data]])</f>
        <v>7</v>
      </c>
      <c r="D630" s="19">
        <f>YEAR(Tabela6[[#This Row],[Data]])</f>
        <v>2021</v>
      </c>
      <c r="E630" s="12" t="s">
        <v>78</v>
      </c>
      <c r="F630" t="s">
        <v>63</v>
      </c>
      <c r="G630" s="26">
        <v>2</v>
      </c>
      <c r="H630">
        <v>1</v>
      </c>
      <c r="I630" t="str">
        <f>IFERROR(VLOOKUP(Tabela6[[#This Row],[Descrição]],Materiais!B:C,2,0),"")</f>
        <v/>
      </c>
    </row>
    <row r="631" spans="2:9">
      <c r="B631" s="11">
        <f t="shared" si="46"/>
        <v>44381</v>
      </c>
      <c r="C631" s="19">
        <f>MONTH(Tabela6[[#This Row],[Data]])</f>
        <v>7</v>
      </c>
      <c r="D631" s="19">
        <f>YEAR(Tabela6[[#This Row],[Data]])</f>
        <v>2021</v>
      </c>
      <c r="E631" s="12" t="s">
        <v>78</v>
      </c>
      <c r="F631" t="s">
        <v>56</v>
      </c>
      <c r="G631" s="26">
        <v>35</v>
      </c>
      <c r="H631">
        <v>50</v>
      </c>
      <c r="I631" t="str">
        <f>IFERROR(VLOOKUP(Tabela6[[#This Row],[Descrição]],Materiais!B:C,2,0),"")</f>
        <v/>
      </c>
    </row>
    <row r="632" spans="2:9">
      <c r="B632" s="11">
        <f t="shared" si="46"/>
        <v>44381</v>
      </c>
      <c r="C632" s="19">
        <f>MONTH(Tabela6[[#This Row],[Data]])</f>
        <v>7</v>
      </c>
      <c r="D632" s="19">
        <f>YEAR(Tabela6[[#This Row],[Data]])</f>
        <v>2021</v>
      </c>
      <c r="E632" s="12" t="s">
        <v>78</v>
      </c>
      <c r="F632" t="s">
        <v>56</v>
      </c>
      <c r="G632" s="26">
        <v>6</v>
      </c>
      <c r="H632">
        <v>3</v>
      </c>
      <c r="I632" t="str">
        <f>IFERROR(VLOOKUP(Tabela6[[#This Row],[Descrição]],Materiais!B:C,2,0),"")</f>
        <v/>
      </c>
    </row>
    <row r="633" spans="2:9">
      <c r="B633" s="11">
        <f t="shared" si="46"/>
        <v>44381</v>
      </c>
      <c r="C633" s="19">
        <f>MONTH(Tabela6[[#This Row],[Data]])</f>
        <v>7</v>
      </c>
      <c r="D633" s="19">
        <f>YEAR(Tabela6[[#This Row],[Data]])</f>
        <v>2021</v>
      </c>
      <c r="E633" s="12" t="s">
        <v>78</v>
      </c>
      <c r="F633" t="s">
        <v>100</v>
      </c>
      <c r="G633" s="26">
        <v>6</v>
      </c>
      <c r="H633">
        <v>3</v>
      </c>
      <c r="I633" t="str">
        <f>IFERROR(VLOOKUP(Tabela6[[#This Row],[Descrição]],Materiais!B:C,2,0),"")</f>
        <v/>
      </c>
    </row>
    <row r="634" spans="2:9">
      <c r="B634" s="11">
        <f t="shared" si="46"/>
        <v>44381</v>
      </c>
      <c r="C634" s="19">
        <f>MONTH(Tabela6[[#This Row],[Data]])</f>
        <v>7</v>
      </c>
      <c r="D634" s="19">
        <f>YEAR(Tabela6[[#This Row],[Data]])</f>
        <v>2021</v>
      </c>
      <c r="E634" s="12" t="s">
        <v>78</v>
      </c>
      <c r="F634" t="s">
        <v>61</v>
      </c>
      <c r="G634" s="26">
        <v>6</v>
      </c>
      <c r="H634">
        <v>3</v>
      </c>
      <c r="I634" t="str">
        <f>IFERROR(VLOOKUP(Tabela6[[#This Row],[Descrição]],Materiais!B:C,2,0),"")</f>
        <v/>
      </c>
    </row>
    <row r="635" spans="2:9">
      <c r="B635" s="11">
        <f t="shared" si="46"/>
        <v>44381</v>
      </c>
      <c r="C635" s="19">
        <f>MONTH(Tabela6[[#This Row],[Data]])</f>
        <v>7</v>
      </c>
      <c r="D635" s="19">
        <f>YEAR(Tabela6[[#This Row],[Data]])</f>
        <v>2021</v>
      </c>
      <c r="E635" s="12" t="s">
        <v>78</v>
      </c>
      <c r="F635" t="s">
        <v>116</v>
      </c>
      <c r="G635" s="26">
        <v>21</v>
      </c>
      <c r="H635">
        <v>30</v>
      </c>
      <c r="I635" t="str">
        <f>IFERROR(VLOOKUP(Tabela6[[#This Row],[Descrição]],Materiais!B:C,2,0),"")</f>
        <v/>
      </c>
    </row>
    <row r="636" spans="2:9">
      <c r="B636" s="11">
        <f t="shared" si="46"/>
        <v>44381</v>
      </c>
      <c r="C636" s="19">
        <f>MONTH(Tabela6[[#This Row],[Data]])</f>
        <v>7</v>
      </c>
      <c r="D636" s="19">
        <f>YEAR(Tabela6[[#This Row],[Data]])</f>
        <v>2021</v>
      </c>
      <c r="E636" s="12" t="s">
        <v>78</v>
      </c>
      <c r="F636" t="s">
        <v>121</v>
      </c>
      <c r="G636" s="26">
        <v>35</v>
      </c>
      <c r="H636">
        <v>50</v>
      </c>
      <c r="I636" t="str">
        <f>IFERROR(VLOOKUP(Tabela6[[#This Row],[Descrição]],Materiais!B:C,2,0),"")</f>
        <v/>
      </c>
    </row>
    <row r="637" spans="2:9">
      <c r="B637" s="11">
        <f t="shared" si="46"/>
        <v>44381</v>
      </c>
      <c r="C637" s="19">
        <f>MONTH(Tabela6[[#This Row],[Data]])</f>
        <v>7</v>
      </c>
      <c r="D637" s="19">
        <f>YEAR(Tabela6[[#This Row],[Data]])</f>
        <v>2021</v>
      </c>
      <c r="E637" s="12" t="s">
        <v>78</v>
      </c>
      <c r="F637" t="s">
        <v>126</v>
      </c>
      <c r="G637" s="26">
        <v>2</v>
      </c>
      <c r="H637">
        <v>1</v>
      </c>
      <c r="I637" t="str">
        <f>IFERROR(VLOOKUP(Tabela6[[#This Row],[Descrição]],Materiais!B:C,2,0),"")</f>
        <v/>
      </c>
    </row>
    <row r="638" spans="2:9">
      <c r="B638" s="11">
        <f t="shared" si="46"/>
        <v>44381</v>
      </c>
      <c r="C638" s="19">
        <f>MONTH(Tabela6[[#This Row],[Data]])</f>
        <v>7</v>
      </c>
      <c r="D638" s="19">
        <f>YEAR(Tabela6[[#This Row],[Data]])</f>
        <v>2021</v>
      </c>
      <c r="E638" s="12" t="s">
        <v>78</v>
      </c>
      <c r="F638" t="s">
        <v>109</v>
      </c>
      <c r="G638" s="26">
        <v>2</v>
      </c>
      <c r="H638">
        <v>1</v>
      </c>
      <c r="I638" t="str">
        <f>IFERROR(VLOOKUP(Tabela6[[#This Row],[Descrição]],Materiais!B:C,2,0),"")</f>
        <v/>
      </c>
    </row>
    <row r="639" spans="2:9">
      <c r="B639" s="11">
        <f t="shared" si="46"/>
        <v>44381</v>
      </c>
      <c r="C639" s="19">
        <f>MONTH(Tabela6[[#This Row],[Data]])</f>
        <v>7</v>
      </c>
      <c r="D639" s="19">
        <f>YEAR(Tabela6[[#This Row],[Data]])</f>
        <v>2021</v>
      </c>
      <c r="E639" s="12" t="s">
        <v>78</v>
      </c>
      <c r="F639" t="s">
        <v>58</v>
      </c>
      <c r="G639" s="26">
        <v>6</v>
      </c>
      <c r="H639">
        <v>3</v>
      </c>
      <c r="I639" t="str">
        <f>IFERROR(VLOOKUP(Tabela6[[#This Row],[Descrição]],Materiais!B:C,2,0),"")</f>
        <v/>
      </c>
    </row>
    <row r="640" spans="2:9">
      <c r="B640" s="11">
        <f t="shared" si="46"/>
        <v>44381</v>
      </c>
      <c r="C640" s="19">
        <f>MONTH(Tabela6[[#This Row],[Data]])</f>
        <v>7</v>
      </c>
      <c r="D640" s="19">
        <f>YEAR(Tabela6[[#This Row],[Data]])</f>
        <v>2021</v>
      </c>
      <c r="E640" s="12" t="s">
        <v>78</v>
      </c>
      <c r="F640" t="s">
        <v>117</v>
      </c>
      <c r="G640" s="26">
        <v>8</v>
      </c>
      <c r="H640">
        <v>4</v>
      </c>
      <c r="I640" t="str">
        <f>IFERROR(VLOOKUP(Tabela6[[#This Row],[Descrição]],Materiais!B:C,2,0),"")</f>
        <v/>
      </c>
    </row>
    <row r="641" spans="2:9">
      <c r="B641" s="11">
        <f t="shared" ref="B641:B648" si="47">42922+(365*4)</f>
        <v>44382</v>
      </c>
      <c r="C641" s="19">
        <f>MONTH(Tabela6[[#This Row],[Data]])</f>
        <v>7</v>
      </c>
      <c r="D641" s="19">
        <f>YEAR(Tabela6[[#This Row],[Data]])</f>
        <v>2021</v>
      </c>
      <c r="E641" s="12" t="s">
        <v>78</v>
      </c>
      <c r="F641" t="s">
        <v>63</v>
      </c>
      <c r="G641" s="26">
        <v>8</v>
      </c>
      <c r="H641">
        <v>4</v>
      </c>
      <c r="I641" t="str">
        <f>IFERROR(VLOOKUP(Tabela6[[#This Row],[Descrição]],Materiais!B:C,2,0),"")</f>
        <v/>
      </c>
    </row>
    <row r="642" spans="2:9">
      <c r="B642" s="11">
        <f t="shared" si="47"/>
        <v>44382</v>
      </c>
      <c r="C642" s="19">
        <f>MONTH(Tabela6[[#This Row],[Data]])</f>
        <v>7</v>
      </c>
      <c r="D642" s="19">
        <f>YEAR(Tabela6[[#This Row],[Data]])</f>
        <v>2021</v>
      </c>
      <c r="E642" s="12" t="s">
        <v>78</v>
      </c>
      <c r="F642" t="s">
        <v>56</v>
      </c>
      <c r="G642" s="26">
        <v>8</v>
      </c>
      <c r="H642">
        <v>4</v>
      </c>
      <c r="I642" t="str">
        <f>IFERROR(VLOOKUP(Tabela6[[#This Row],[Descrição]],Materiais!B:C,2,0),"")</f>
        <v/>
      </c>
    </row>
    <row r="643" spans="2:9">
      <c r="B643" s="11">
        <f t="shared" si="47"/>
        <v>44382</v>
      </c>
      <c r="C643" s="19">
        <f>MONTH(Tabela6[[#This Row],[Data]])</f>
        <v>7</v>
      </c>
      <c r="D643" s="19">
        <f>YEAR(Tabela6[[#This Row],[Data]])</f>
        <v>2021</v>
      </c>
      <c r="E643" s="12" t="s">
        <v>78</v>
      </c>
      <c r="F643" t="s">
        <v>100</v>
      </c>
      <c r="G643" s="26">
        <v>6</v>
      </c>
      <c r="H643">
        <v>3</v>
      </c>
      <c r="I643" t="str">
        <f>IFERROR(VLOOKUP(Tabela6[[#This Row],[Descrição]],Materiais!B:C,2,0),"")</f>
        <v/>
      </c>
    </row>
    <row r="644" spans="2:9">
      <c r="B644" s="11">
        <f t="shared" si="47"/>
        <v>44382</v>
      </c>
      <c r="C644" s="19">
        <f>MONTH(Tabela6[[#This Row],[Data]])</f>
        <v>7</v>
      </c>
      <c r="D644" s="19">
        <f>YEAR(Tabela6[[#This Row],[Data]])</f>
        <v>2021</v>
      </c>
      <c r="E644" s="12" t="s">
        <v>78</v>
      </c>
      <c r="F644" t="s">
        <v>61</v>
      </c>
      <c r="G644" s="26">
        <v>4</v>
      </c>
      <c r="H644">
        <v>2</v>
      </c>
      <c r="I644" t="str">
        <f>IFERROR(VLOOKUP(Tabela6[[#This Row],[Descrição]],Materiais!B:C,2,0),"")</f>
        <v/>
      </c>
    </row>
    <row r="645" spans="2:9">
      <c r="B645" s="11">
        <f t="shared" si="47"/>
        <v>44382</v>
      </c>
      <c r="C645" s="19">
        <f>MONTH(Tabela6[[#This Row],[Data]])</f>
        <v>7</v>
      </c>
      <c r="D645" s="19">
        <f>YEAR(Tabela6[[#This Row],[Data]])</f>
        <v>2021</v>
      </c>
      <c r="E645" s="12" t="s">
        <v>78</v>
      </c>
      <c r="F645" t="s">
        <v>126</v>
      </c>
      <c r="G645" s="26">
        <v>8</v>
      </c>
      <c r="H645">
        <v>4</v>
      </c>
      <c r="I645" t="str">
        <f>IFERROR(VLOOKUP(Tabela6[[#This Row],[Descrição]],Materiais!B:C,2,0),"")</f>
        <v/>
      </c>
    </row>
    <row r="646" spans="2:9">
      <c r="B646" s="11">
        <f t="shared" si="47"/>
        <v>44382</v>
      </c>
      <c r="C646" s="19">
        <f>MONTH(Tabela6[[#This Row],[Data]])</f>
        <v>7</v>
      </c>
      <c r="D646" s="19">
        <f>YEAR(Tabela6[[#This Row],[Data]])</f>
        <v>2021</v>
      </c>
      <c r="E646" s="12" t="s">
        <v>78</v>
      </c>
      <c r="F646" t="s">
        <v>62</v>
      </c>
      <c r="G646" s="26">
        <v>2</v>
      </c>
      <c r="H646">
        <v>1</v>
      </c>
      <c r="I646" t="str">
        <f>IFERROR(VLOOKUP(Tabela6[[#This Row],[Descrição]],Materiais!B:C,2,0),"")</f>
        <v/>
      </c>
    </row>
    <row r="647" spans="2:9">
      <c r="B647" s="11">
        <f t="shared" si="47"/>
        <v>44382</v>
      </c>
      <c r="C647" s="19">
        <f>MONTH(Tabela6[[#This Row],[Data]])</f>
        <v>7</v>
      </c>
      <c r="D647" s="19">
        <f>YEAR(Tabela6[[#This Row],[Data]])</f>
        <v>2021</v>
      </c>
      <c r="E647" s="12" t="s">
        <v>78</v>
      </c>
      <c r="F647" t="s">
        <v>58</v>
      </c>
      <c r="G647" s="26">
        <v>8</v>
      </c>
      <c r="H647">
        <v>4</v>
      </c>
      <c r="I647" t="str">
        <f>IFERROR(VLOOKUP(Tabela6[[#This Row],[Descrição]],Materiais!B:C,2,0),"")</f>
        <v/>
      </c>
    </row>
    <row r="648" spans="2:9">
      <c r="B648" s="11">
        <f t="shared" si="47"/>
        <v>44382</v>
      </c>
      <c r="C648" s="19">
        <f>MONTH(Tabela6[[#This Row],[Data]])</f>
        <v>7</v>
      </c>
      <c r="D648" s="19">
        <f>YEAR(Tabela6[[#This Row],[Data]])</f>
        <v>2021</v>
      </c>
      <c r="E648" s="12" t="s">
        <v>78</v>
      </c>
      <c r="F648" t="s">
        <v>117</v>
      </c>
      <c r="G648" s="26">
        <v>2</v>
      </c>
      <c r="H648">
        <v>1</v>
      </c>
      <c r="I648" t="str">
        <f>IFERROR(VLOOKUP(Tabela6[[#This Row],[Descrição]],Materiais!B:C,2,0),"")</f>
        <v/>
      </c>
    </row>
    <row r="649" spans="2:9">
      <c r="B649" s="11">
        <f>42923+(365*4)</f>
        <v>44383</v>
      </c>
      <c r="C649" s="19">
        <f>MONTH(Tabela6[[#This Row],[Data]])</f>
        <v>7</v>
      </c>
      <c r="D649" s="19">
        <f>YEAR(Tabela6[[#This Row],[Data]])</f>
        <v>2021</v>
      </c>
      <c r="E649" s="12" t="s">
        <v>78</v>
      </c>
      <c r="F649" t="s">
        <v>56</v>
      </c>
      <c r="G649" s="26">
        <v>10</v>
      </c>
      <c r="H649">
        <v>5</v>
      </c>
      <c r="I649" t="str">
        <f>IFERROR(VLOOKUP(Tabela6[[#This Row],[Descrição]],Materiais!B:C,2,0),"")</f>
        <v/>
      </c>
    </row>
    <row r="650" spans="2:9">
      <c r="B650" s="11">
        <f>42923+(365*4)</f>
        <v>44383</v>
      </c>
      <c r="C650" s="19">
        <f>MONTH(Tabela6[[#This Row],[Data]])</f>
        <v>7</v>
      </c>
      <c r="D650" s="19">
        <f>YEAR(Tabela6[[#This Row],[Data]])</f>
        <v>2021</v>
      </c>
      <c r="E650" s="12" t="s">
        <v>78</v>
      </c>
      <c r="F650" t="s">
        <v>61</v>
      </c>
      <c r="G650" s="26">
        <v>8</v>
      </c>
      <c r="H650">
        <v>4</v>
      </c>
      <c r="I650" t="str">
        <f>IFERROR(VLOOKUP(Tabela6[[#This Row],[Descrição]],Materiais!B:C,2,0),"")</f>
        <v/>
      </c>
    </row>
    <row r="651" spans="2:9">
      <c r="B651" s="11">
        <f>42923+(365*4)</f>
        <v>44383</v>
      </c>
      <c r="C651" s="19">
        <f>MONTH(Tabela6[[#This Row],[Data]])</f>
        <v>7</v>
      </c>
      <c r="D651" s="19">
        <f>YEAR(Tabela6[[#This Row],[Data]])</f>
        <v>2021</v>
      </c>
      <c r="E651" s="12" t="s">
        <v>78</v>
      </c>
      <c r="F651" t="s">
        <v>109</v>
      </c>
      <c r="G651" s="26">
        <v>6</v>
      </c>
      <c r="H651">
        <v>3</v>
      </c>
      <c r="I651" t="str">
        <f>IFERROR(VLOOKUP(Tabela6[[#This Row],[Descrição]],Materiais!B:C,2,0),"")</f>
        <v/>
      </c>
    </row>
    <row r="652" spans="2:9">
      <c r="B652" s="11">
        <f>42923+(365*4)</f>
        <v>44383</v>
      </c>
      <c r="C652" s="19">
        <f>MONTH(Tabela6[[#This Row],[Data]])</f>
        <v>7</v>
      </c>
      <c r="D652" s="19">
        <f>YEAR(Tabela6[[#This Row],[Data]])</f>
        <v>2021</v>
      </c>
      <c r="E652" s="12" t="s">
        <v>78</v>
      </c>
      <c r="F652" t="s">
        <v>58</v>
      </c>
      <c r="G652" s="26">
        <v>8</v>
      </c>
      <c r="H652">
        <v>4</v>
      </c>
      <c r="I652" t="str">
        <f>IFERROR(VLOOKUP(Tabela6[[#This Row],[Descrição]],Materiais!B:C,2,0),"")</f>
        <v/>
      </c>
    </row>
    <row r="653" spans="2:9">
      <c r="B653" s="11">
        <f>42923+(365*4)</f>
        <v>44383</v>
      </c>
      <c r="C653" s="19">
        <f>MONTH(Tabela6[[#This Row],[Data]])</f>
        <v>7</v>
      </c>
      <c r="D653" s="19">
        <f>YEAR(Tabela6[[#This Row],[Data]])</f>
        <v>2021</v>
      </c>
      <c r="E653" s="12" t="s">
        <v>78</v>
      </c>
      <c r="F653" t="s">
        <v>95</v>
      </c>
      <c r="G653" s="26">
        <v>4</v>
      </c>
      <c r="H653">
        <v>2</v>
      </c>
      <c r="I653" t="str">
        <f>IFERROR(VLOOKUP(Tabela6[[#This Row],[Descrição]],Materiais!B:C,2,0),"")</f>
        <v/>
      </c>
    </row>
    <row r="654" spans="2:9">
      <c r="B654" s="11">
        <f>42925+(365*4)</f>
        <v>44385</v>
      </c>
      <c r="C654" s="19">
        <f>MONTH(Tabela6[[#This Row],[Data]])</f>
        <v>7</v>
      </c>
      <c r="D654" s="19">
        <f>YEAR(Tabela6[[#This Row],[Data]])</f>
        <v>2021</v>
      </c>
      <c r="E654" s="12" t="s">
        <v>72</v>
      </c>
      <c r="F654" t="s">
        <v>5</v>
      </c>
      <c r="G654" s="26">
        <v>-4.1900000000000004</v>
      </c>
      <c r="H654">
        <v>1000</v>
      </c>
      <c r="I654" t="str">
        <f>IFERROR(VLOOKUP(Tabela6[[#This Row],[Descrição]],Materiais!B:C,2,0),"")</f>
        <v>g</v>
      </c>
    </row>
    <row r="655" spans="2:9">
      <c r="B655" s="11">
        <f>42925+(365*4)</f>
        <v>44385</v>
      </c>
      <c r="C655" s="19">
        <f>MONTH(Tabela6[[#This Row],[Data]])</f>
        <v>7</v>
      </c>
      <c r="D655" s="19">
        <f>YEAR(Tabela6[[#This Row],[Data]])</f>
        <v>2021</v>
      </c>
      <c r="E655" s="12" t="s">
        <v>72</v>
      </c>
      <c r="F655" t="s">
        <v>22</v>
      </c>
      <c r="G655" s="26">
        <v>-8.99</v>
      </c>
      <c r="H655">
        <v>200</v>
      </c>
      <c r="I655" t="str">
        <f>IFERROR(VLOOKUP(Tabela6[[#This Row],[Descrição]],Materiais!B:C,2,0),"")</f>
        <v>g</v>
      </c>
    </row>
    <row r="656" spans="2:9">
      <c r="B656" s="11">
        <f>42926+(365*4)</f>
        <v>44386</v>
      </c>
      <c r="C656" s="19">
        <f>MONTH(Tabela6[[#This Row],[Data]])</f>
        <v>7</v>
      </c>
      <c r="D656" s="19">
        <f>YEAR(Tabela6[[#This Row],[Data]])</f>
        <v>2021</v>
      </c>
      <c r="E656" s="12" t="s">
        <v>78</v>
      </c>
      <c r="F656" t="s">
        <v>56</v>
      </c>
      <c r="G656" s="26">
        <v>8</v>
      </c>
      <c r="H656">
        <v>4</v>
      </c>
      <c r="I656" t="str">
        <f>IFERROR(VLOOKUP(Tabela6[[#This Row],[Descrição]],Materiais!B:C,2,0),"")</f>
        <v/>
      </c>
    </row>
    <row r="657" spans="2:9">
      <c r="B657" s="11">
        <f>42926+(365*4)</f>
        <v>44386</v>
      </c>
      <c r="C657" s="19">
        <f>MONTH(Tabela6[[#This Row],[Data]])</f>
        <v>7</v>
      </c>
      <c r="D657" s="19">
        <f>YEAR(Tabela6[[#This Row],[Data]])</f>
        <v>2021</v>
      </c>
      <c r="E657" s="12" t="s">
        <v>72</v>
      </c>
      <c r="F657" t="s">
        <v>22</v>
      </c>
      <c r="G657" s="26">
        <v>-7.99</v>
      </c>
      <c r="H657">
        <v>200</v>
      </c>
      <c r="I657" t="str">
        <f>IFERROR(VLOOKUP(Tabela6[[#This Row],[Descrição]],Materiais!B:C,2,0),"")</f>
        <v>g</v>
      </c>
    </row>
    <row r="658" spans="2:9">
      <c r="B658" s="11">
        <f>42927+(365*4)</f>
        <v>44387</v>
      </c>
      <c r="C658" s="19">
        <f>MONTH(Tabela6[[#This Row],[Data]])</f>
        <v>7</v>
      </c>
      <c r="D658" s="19">
        <f>YEAR(Tabela6[[#This Row],[Data]])</f>
        <v>2021</v>
      </c>
      <c r="E658" s="12" t="s">
        <v>78</v>
      </c>
      <c r="F658" t="s">
        <v>61</v>
      </c>
      <c r="G658" s="26">
        <v>8</v>
      </c>
      <c r="H658">
        <v>4</v>
      </c>
      <c r="I658" t="str">
        <f>IFERROR(VLOOKUP(Tabela6[[#This Row],[Descrição]],Materiais!B:C,2,0),"")</f>
        <v/>
      </c>
    </row>
    <row r="659" spans="2:9">
      <c r="B659" s="11">
        <f>42927+(365*4)</f>
        <v>44387</v>
      </c>
      <c r="C659" s="19">
        <f>MONTH(Tabela6[[#This Row],[Data]])</f>
        <v>7</v>
      </c>
      <c r="D659" s="19">
        <f>YEAR(Tabela6[[#This Row],[Data]])</f>
        <v>2021</v>
      </c>
      <c r="E659" s="12" t="s">
        <v>78</v>
      </c>
      <c r="F659" t="s">
        <v>58</v>
      </c>
      <c r="G659" s="26">
        <v>2</v>
      </c>
      <c r="H659">
        <v>1</v>
      </c>
      <c r="I659" t="str">
        <f>IFERROR(VLOOKUP(Tabela6[[#This Row],[Descrição]],Materiais!B:C,2,0),"")</f>
        <v/>
      </c>
    </row>
    <row r="660" spans="2:9">
      <c r="B660" s="11">
        <f t="shared" ref="B660:B665" si="48">42928+(365*4)</f>
        <v>44388</v>
      </c>
      <c r="C660" s="19">
        <f>MONTH(Tabela6[[#This Row],[Data]])</f>
        <v>7</v>
      </c>
      <c r="D660" s="19">
        <f>YEAR(Tabela6[[#This Row],[Data]])</f>
        <v>2021</v>
      </c>
      <c r="E660" s="12" t="s">
        <v>78</v>
      </c>
      <c r="F660" t="s">
        <v>63</v>
      </c>
      <c r="G660" s="26">
        <v>6</v>
      </c>
      <c r="H660">
        <v>3</v>
      </c>
      <c r="I660" t="str">
        <f>IFERROR(VLOOKUP(Tabela6[[#This Row],[Descrição]],Materiais!B:C,2,0),"")</f>
        <v/>
      </c>
    </row>
    <row r="661" spans="2:9">
      <c r="B661" s="11">
        <f t="shared" si="48"/>
        <v>44388</v>
      </c>
      <c r="C661" s="19">
        <f>MONTH(Tabela6[[#This Row],[Data]])</f>
        <v>7</v>
      </c>
      <c r="D661" s="19">
        <f>YEAR(Tabela6[[#This Row],[Data]])</f>
        <v>2021</v>
      </c>
      <c r="E661" s="12" t="s">
        <v>78</v>
      </c>
      <c r="F661" t="s">
        <v>56</v>
      </c>
      <c r="G661" s="26">
        <v>2</v>
      </c>
      <c r="H661">
        <v>1</v>
      </c>
      <c r="I661" t="str">
        <f>IFERROR(VLOOKUP(Tabela6[[#This Row],[Descrição]],Materiais!B:C,2,0),"")</f>
        <v/>
      </c>
    </row>
    <row r="662" spans="2:9">
      <c r="B662" s="11">
        <f t="shared" si="48"/>
        <v>44388</v>
      </c>
      <c r="C662" s="19">
        <f>MONTH(Tabela6[[#This Row],[Data]])</f>
        <v>7</v>
      </c>
      <c r="D662" s="19">
        <f>YEAR(Tabela6[[#This Row],[Data]])</f>
        <v>2021</v>
      </c>
      <c r="E662" s="12" t="s">
        <v>78</v>
      </c>
      <c r="F662" t="s">
        <v>61</v>
      </c>
      <c r="G662" s="26">
        <v>6</v>
      </c>
      <c r="H662">
        <v>3</v>
      </c>
      <c r="I662" t="str">
        <f>IFERROR(VLOOKUP(Tabela6[[#This Row],[Descrição]],Materiais!B:C,2,0),"")</f>
        <v/>
      </c>
    </row>
    <row r="663" spans="2:9">
      <c r="B663" s="11">
        <f t="shared" si="48"/>
        <v>44388</v>
      </c>
      <c r="C663" s="19">
        <f>MONTH(Tabela6[[#This Row],[Data]])</f>
        <v>7</v>
      </c>
      <c r="D663" s="19">
        <f>YEAR(Tabela6[[#This Row],[Data]])</f>
        <v>2021</v>
      </c>
      <c r="E663" s="12" t="s">
        <v>78</v>
      </c>
      <c r="F663" t="s">
        <v>126</v>
      </c>
      <c r="G663" s="26">
        <v>6</v>
      </c>
      <c r="H663">
        <v>3</v>
      </c>
      <c r="I663" t="str">
        <f>IFERROR(VLOOKUP(Tabela6[[#This Row],[Descrição]],Materiais!B:C,2,0),"")</f>
        <v/>
      </c>
    </row>
    <row r="664" spans="2:9">
      <c r="B664" s="11">
        <f t="shared" si="48"/>
        <v>44388</v>
      </c>
      <c r="C664" s="19">
        <f>MONTH(Tabela6[[#This Row],[Data]])</f>
        <v>7</v>
      </c>
      <c r="D664" s="19">
        <f>YEAR(Tabela6[[#This Row],[Data]])</f>
        <v>2021</v>
      </c>
      <c r="E664" s="12" t="s">
        <v>78</v>
      </c>
      <c r="F664" t="s">
        <v>109</v>
      </c>
      <c r="G664" s="26">
        <v>4</v>
      </c>
      <c r="H664">
        <v>2</v>
      </c>
      <c r="I664" t="str">
        <f>IFERROR(VLOOKUP(Tabela6[[#This Row],[Descrição]],Materiais!B:C,2,0),"")</f>
        <v/>
      </c>
    </row>
    <row r="665" spans="2:9">
      <c r="B665" s="11">
        <f t="shared" si="48"/>
        <v>44388</v>
      </c>
      <c r="C665" s="19">
        <f>MONTH(Tabela6[[#This Row],[Data]])</f>
        <v>7</v>
      </c>
      <c r="D665" s="19">
        <f>YEAR(Tabela6[[#This Row],[Data]])</f>
        <v>2021</v>
      </c>
      <c r="E665" s="12" t="s">
        <v>78</v>
      </c>
      <c r="F665" t="s">
        <v>58</v>
      </c>
      <c r="G665" s="26">
        <v>2</v>
      </c>
      <c r="H665">
        <v>1</v>
      </c>
      <c r="I665" t="str">
        <f>IFERROR(VLOOKUP(Tabela6[[#This Row],[Descrição]],Materiais!B:C,2,0),"")</f>
        <v/>
      </c>
    </row>
    <row r="666" spans="2:9">
      <c r="B666" s="11">
        <f t="shared" ref="B666:B675" si="49">42929+(365*4)</f>
        <v>44389</v>
      </c>
      <c r="C666" s="19">
        <f>MONTH(Tabela6[[#This Row],[Data]])</f>
        <v>7</v>
      </c>
      <c r="D666" s="19">
        <f>YEAR(Tabela6[[#This Row],[Data]])</f>
        <v>2021</v>
      </c>
      <c r="E666" s="12" t="s">
        <v>72</v>
      </c>
      <c r="F666" t="s">
        <v>129</v>
      </c>
      <c r="G666" s="26">
        <v>-5.625</v>
      </c>
      <c r="H666">
        <v>1250</v>
      </c>
      <c r="I666" t="str">
        <f>IFERROR(VLOOKUP(Tabela6[[#This Row],[Descrição]],Materiais!B:C,2,0),"")</f>
        <v/>
      </c>
    </row>
    <row r="667" spans="2:9">
      <c r="B667" s="11">
        <f t="shared" si="49"/>
        <v>44389</v>
      </c>
      <c r="C667" s="19">
        <f>MONTH(Tabela6[[#This Row],[Data]])</f>
        <v>7</v>
      </c>
      <c r="D667" s="19">
        <f>YEAR(Tabela6[[#This Row],[Data]])</f>
        <v>2021</v>
      </c>
      <c r="E667" s="12" t="s">
        <v>72</v>
      </c>
      <c r="F667" t="s">
        <v>130</v>
      </c>
      <c r="G667" s="26">
        <v>-6.4</v>
      </c>
      <c r="H667">
        <v>310</v>
      </c>
      <c r="I667" t="str">
        <f>IFERROR(VLOOKUP(Tabela6[[#This Row],[Descrição]],Materiais!B:C,2,0),"")</f>
        <v/>
      </c>
    </row>
    <row r="668" spans="2:9">
      <c r="B668" s="11">
        <f t="shared" si="49"/>
        <v>44389</v>
      </c>
      <c r="C668" s="19">
        <f>MONTH(Tabela6[[#This Row],[Data]])</f>
        <v>7</v>
      </c>
      <c r="D668" s="19">
        <f>YEAR(Tabela6[[#This Row],[Data]])</f>
        <v>2021</v>
      </c>
      <c r="E668" s="12" t="s">
        <v>78</v>
      </c>
      <c r="F668" t="s">
        <v>63</v>
      </c>
      <c r="G668" s="26">
        <v>4</v>
      </c>
      <c r="H668">
        <v>2</v>
      </c>
      <c r="I668" t="str">
        <f>IFERROR(VLOOKUP(Tabela6[[#This Row],[Descrição]],Materiais!B:C,2,0),"")</f>
        <v/>
      </c>
    </row>
    <row r="669" spans="2:9">
      <c r="B669" s="11">
        <f t="shared" si="49"/>
        <v>44389</v>
      </c>
      <c r="C669" s="19">
        <f>MONTH(Tabela6[[#This Row],[Data]])</f>
        <v>7</v>
      </c>
      <c r="D669" s="19">
        <f>YEAR(Tabela6[[#This Row],[Data]])</f>
        <v>2021</v>
      </c>
      <c r="E669" s="12" t="s">
        <v>72</v>
      </c>
      <c r="F669" t="s">
        <v>127</v>
      </c>
      <c r="G669" s="26">
        <v>-10.5</v>
      </c>
      <c r="H669">
        <v>3</v>
      </c>
      <c r="I669" t="str">
        <f>IFERROR(VLOOKUP(Tabela6[[#This Row],[Descrição]],Materiais!B:C,2,0),"")</f>
        <v/>
      </c>
    </row>
    <row r="670" spans="2:9">
      <c r="B670" s="11">
        <f t="shared" si="49"/>
        <v>44389</v>
      </c>
      <c r="C670" s="19">
        <f>MONTH(Tabela6[[#This Row],[Data]])</f>
        <v>7</v>
      </c>
      <c r="D670" s="19">
        <f>YEAR(Tabela6[[#This Row],[Data]])</f>
        <v>2021</v>
      </c>
      <c r="E670" s="12" t="s">
        <v>78</v>
      </c>
      <c r="F670" t="s">
        <v>56</v>
      </c>
      <c r="G670" s="26">
        <v>8</v>
      </c>
      <c r="H670">
        <v>4</v>
      </c>
      <c r="I670" t="str">
        <f>IFERROR(VLOOKUP(Tabela6[[#This Row],[Descrição]],Materiais!B:C,2,0),"")</f>
        <v/>
      </c>
    </row>
    <row r="671" spans="2:9">
      <c r="B671" s="11">
        <f t="shared" si="49"/>
        <v>44389</v>
      </c>
      <c r="C671" s="19">
        <f>MONTH(Tabela6[[#This Row],[Data]])</f>
        <v>7</v>
      </c>
      <c r="D671" s="19">
        <f>YEAR(Tabela6[[#This Row],[Data]])</f>
        <v>2021</v>
      </c>
      <c r="E671" s="12" t="s">
        <v>78</v>
      </c>
      <c r="F671" t="s">
        <v>100</v>
      </c>
      <c r="G671" s="26">
        <v>4</v>
      </c>
      <c r="H671">
        <v>2</v>
      </c>
      <c r="I671" t="str">
        <f>IFERROR(VLOOKUP(Tabela6[[#This Row],[Descrição]],Materiais!B:C,2,0),"")</f>
        <v/>
      </c>
    </row>
    <row r="672" spans="2:9">
      <c r="B672" s="11">
        <f t="shared" si="49"/>
        <v>44389</v>
      </c>
      <c r="C672" s="19">
        <f>MONTH(Tabela6[[#This Row],[Data]])</f>
        <v>7</v>
      </c>
      <c r="D672" s="19">
        <f>YEAR(Tabela6[[#This Row],[Data]])</f>
        <v>2021</v>
      </c>
      <c r="E672" s="12" t="s">
        <v>78</v>
      </c>
      <c r="F672" t="s">
        <v>61</v>
      </c>
      <c r="G672" s="26">
        <v>6</v>
      </c>
      <c r="H672">
        <v>3</v>
      </c>
      <c r="I672" t="str">
        <f>IFERROR(VLOOKUP(Tabela6[[#This Row],[Descrição]],Materiais!B:C,2,0),"")</f>
        <v/>
      </c>
    </row>
    <row r="673" spans="2:9">
      <c r="B673" s="11">
        <f t="shared" si="49"/>
        <v>44389</v>
      </c>
      <c r="C673" s="19">
        <f>MONTH(Tabela6[[#This Row],[Data]])</f>
        <v>7</v>
      </c>
      <c r="D673" s="19">
        <f>YEAR(Tabela6[[#This Row],[Data]])</f>
        <v>2021</v>
      </c>
      <c r="E673" s="12" t="s">
        <v>78</v>
      </c>
      <c r="F673" t="s">
        <v>126</v>
      </c>
      <c r="G673" s="26">
        <v>2</v>
      </c>
      <c r="H673">
        <v>1</v>
      </c>
      <c r="I673" t="str">
        <f>IFERROR(VLOOKUP(Tabela6[[#This Row],[Descrição]],Materiais!B:C,2,0),"")</f>
        <v/>
      </c>
    </row>
    <row r="674" spans="2:9">
      <c r="B674" s="11">
        <f t="shared" si="49"/>
        <v>44389</v>
      </c>
      <c r="C674" s="19">
        <f>MONTH(Tabela6[[#This Row],[Data]])</f>
        <v>7</v>
      </c>
      <c r="D674" s="19">
        <f>YEAR(Tabela6[[#This Row],[Data]])</f>
        <v>2021</v>
      </c>
      <c r="E674" s="12" t="s">
        <v>72</v>
      </c>
      <c r="F674" t="s">
        <v>21</v>
      </c>
      <c r="G674" s="26">
        <v>-1.3125</v>
      </c>
      <c r="H674">
        <v>375</v>
      </c>
      <c r="I674" t="str">
        <f>IFERROR(VLOOKUP(Tabela6[[#This Row],[Descrição]],Materiais!B:C,2,0),"")</f>
        <v>g</v>
      </c>
    </row>
    <row r="675" spans="2:9">
      <c r="B675" s="11">
        <f t="shared" si="49"/>
        <v>44389</v>
      </c>
      <c r="C675" s="19">
        <f>MONTH(Tabela6[[#This Row],[Data]])</f>
        <v>7</v>
      </c>
      <c r="D675" s="19">
        <f>YEAR(Tabela6[[#This Row],[Data]])</f>
        <v>2021</v>
      </c>
      <c r="E675" s="12" t="s">
        <v>78</v>
      </c>
      <c r="F675" t="s">
        <v>58</v>
      </c>
      <c r="G675" s="26">
        <v>4</v>
      </c>
      <c r="H675">
        <v>2</v>
      </c>
      <c r="I675" t="str">
        <f>IFERROR(VLOOKUP(Tabela6[[#This Row],[Descrição]],Materiais!B:C,2,0),"")</f>
        <v/>
      </c>
    </row>
    <row r="676" spans="2:9">
      <c r="B676" s="11">
        <f t="shared" ref="B676:B682" si="50">42930+(365*4)</f>
        <v>44390</v>
      </c>
      <c r="C676" s="19">
        <f>MONTH(Tabela6[[#This Row],[Data]])</f>
        <v>7</v>
      </c>
      <c r="D676" s="19">
        <f>YEAR(Tabela6[[#This Row],[Data]])</f>
        <v>2021</v>
      </c>
      <c r="E676" s="12" t="s">
        <v>78</v>
      </c>
      <c r="F676" t="s">
        <v>100</v>
      </c>
      <c r="G676" s="26">
        <v>2</v>
      </c>
      <c r="H676">
        <v>1</v>
      </c>
      <c r="I676" t="str">
        <f>IFERROR(VLOOKUP(Tabela6[[#This Row],[Descrição]],Materiais!B:C,2,0),"")</f>
        <v/>
      </c>
    </row>
    <row r="677" spans="2:9">
      <c r="B677" s="11">
        <f t="shared" si="50"/>
        <v>44390</v>
      </c>
      <c r="C677" s="19">
        <f>MONTH(Tabela6[[#This Row],[Data]])</f>
        <v>7</v>
      </c>
      <c r="D677" s="19">
        <f>YEAR(Tabela6[[#This Row],[Data]])</f>
        <v>2021</v>
      </c>
      <c r="E677" s="12" t="s">
        <v>78</v>
      </c>
      <c r="F677" t="s">
        <v>61</v>
      </c>
      <c r="G677" s="26">
        <v>2</v>
      </c>
      <c r="H677">
        <v>1</v>
      </c>
      <c r="I677" t="str">
        <f>IFERROR(VLOOKUP(Tabela6[[#This Row],[Descrição]],Materiais!B:C,2,0),"")</f>
        <v/>
      </c>
    </row>
    <row r="678" spans="2:9">
      <c r="B678" s="11">
        <f t="shared" si="50"/>
        <v>44390</v>
      </c>
      <c r="C678" s="19">
        <f>MONTH(Tabela6[[#This Row],[Data]])</f>
        <v>7</v>
      </c>
      <c r="D678" s="19">
        <f>YEAR(Tabela6[[#This Row],[Data]])</f>
        <v>2021</v>
      </c>
      <c r="E678" s="12" t="s">
        <v>78</v>
      </c>
      <c r="F678" t="s">
        <v>126</v>
      </c>
      <c r="G678" s="26">
        <v>2</v>
      </c>
      <c r="H678">
        <v>1</v>
      </c>
      <c r="I678" t="str">
        <f>IFERROR(VLOOKUP(Tabela6[[#This Row],[Descrição]],Materiais!B:C,2,0),"")</f>
        <v/>
      </c>
    </row>
    <row r="679" spans="2:9">
      <c r="B679" s="11">
        <f t="shared" si="50"/>
        <v>44390</v>
      </c>
      <c r="C679" s="19">
        <f>MONTH(Tabela6[[#This Row],[Data]])</f>
        <v>7</v>
      </c>
      <c r="D679" s="19">
        <f>YEAR(Tabela6[[#This Row],[Data]])</f>
        <v>2021</v>
      </c>
      <c r="E679" s="12" t="s">
        <v>78</v>
      </c>
      <c r="F679" t="s">
        <v>62</v>
      </c>
      <c r="G679" s="26">
        <v>2</v>
      </c>
      <c r="H679">
        <v>1</v>
      </c>
      <c r="I679" t="str">
        <f>IFERROR(VLOOKUP(Tabela6[[#This Row],[Descrição]],Materiais!B:C,2,0),"")</f>
        <v/>
      </c>
    </row>
    <row r="680" spans="2:9">
      <c r="B680" s="11">
        <f t="shared" si="50"/>
        <v>44390</v>
      </c>
      <c r="C680" s="19">
        <f>MONTH(Tabela6[[#This Row],[Data]])</f>
        <v>7</v>
      </c>
      <c r="D680" s="19">
        <f>YEAR(Tabela6[[#This Row],[Data]])</f>
        <v>2021</v>
      </c>
      <c r="E680" s="12" t="s">
        <v>78</v>
      </c>
      <c r="F680" t="s">
        <v>109</v>
      </c>
      <c r="G680" s="26">
        <v>2</v>
      </c>
      <c r="H680">
        <v>1</v>
      </c>
      <c r="I680" t="str">
        <f>IFERROR(VLOOKUP(Tabela6[[#This Row],[Descrição]],Materiais!B:C,2,0),"")</f>
        <v/>
      </c>
    </row>
    <row r="681" spans="2:9">
      <c r="B681" s="11">
        <f t="shared" si="50"/>
        <v>44390</v>
      </c>
      <c r="C681" s="19">
        <f>MONTH(Tabela6[[#This Row],[Data]])</f>
        <v>7</v>
      </c>
      <c r="D681" s="19">
        <f>YEAR(Tabela6[[#This Row],[Data]])</f>
        <v>2021</v>
      </c>
      <c r="E681" s="12" t="s">
        <v>78</v>
      </c>
      <c r="F681" t="s">
        <v>58</v>
      </c>
      <c r="G681" s="26">
        <v>6</v>
      </c>
      <c r="H681">
        <v>3</v>
      </c>
      <c r="I681" t="str">
        <f>IFERROR(VLOOKUP(Tabela6[[#This Row],[Descrição]],Materiais!B:C,2,0),"")</f>
        <v/>
      </c>
    </row>
    <row r="682" spans="2:9">
      <c r="B682" s="11">
        <f t="shared" si="50"/>
        <v>44390</v>
      </c>
      <c r="C682" s="19">
        <f>MONTH(Tabela6[[#This Row],[Data]])</f>
        <v>7</v>
      </c>
      <c r="D682" s="19">
        <f>YEAR(Tabela6[[#This Row],[Data]])</f>
        <v>2021</v>
      </c>
      <c r="E682" s="12" t="s">
        <v>78</v>
      </c>
      <c r="F682" t="s">
        <v>95</v>
      </c>
      <c r="G682" s="26">
        <v>8</v>
      </c>
      <c r="H682">
        <v>4</v>
      </c>
      <c r="I682" t="str">
        <f>IFERROR(VLOOKUP(Tabela6[[#This Row],[Descrição]],Materiais!B:C,2,0),"")</f>
        <v/>
      </c>
    </row>
    <row r="683" spans="2:9">
      <c r="B683" s="11">
        <f>42931+(365*4)</f>
        <v>44391</v>
      </c>
      <c r="C683" s="19">
        <f>MONTH(Tabela6[[#This Row],[Data]])</f>
        <v>7</v>
      </c>
      <c r="D683" s="19">
        <f>YEAR(Tabela6[[#This Row],[Data]])</f>
        <v>2021</v>
      </c>
      <c r="E683" s="12" t="s">
        <v>78</v>
      </c>
      <c r="F683" t="s">
        <v>56</v>
      </c>
      <c r="G683" s="26">
        <v>70</v>
      </c>
      <c r="H683">
        <v>100</v>
      </c>
      <c r="I683" t="str">
        <f>IFERROR(VLOOKUP(Tabela6[[#This Row],[Descrição]],Materiais!B:C,2,0),"")</f>
        <v/>
      </c>
    </row>
    <row r="684" spans="2:9">
      <c r="B684" s="11">
        <f>42932+(365*4)</f>
        <v>44392</v>
      </c>
      <c r="C684" s="19">
        <f>MONTH(Tabela6[[#This Row],[Data]])</f>
        <v>7</v>
      </c>
      <c r="D684" s="19">
        <f>YEAR(Tabela6[[#This Row],[Data]])</f>
        <v>2021</v>
      </c>
      <c r="E684" s="12" t="s">
        <v>72</v>
      </c>
      <c r="F684" t="s">
        <v>17</v>
      </c>
      <c r="G684" s="26">
        <v>-2.9</v>
      </c>
      <c r="H684">
        <v>200</v>
      </c>
      <c r="I684" t="str">
        <f>IFERROR(VLOOKUP(Tabela6[[#This Row],[Descrição]],Materiais!B:C,2,0),"")</f>
        <v>g</v>
      </c>
    </row>
    <row r="685" spans="2:9">
      <c r="B685" s="11">
        <f t="shared" ref="B685:B691" si="51">42933+(365*4)</f>
        <v>44393</v>
      </c>
      <c r="C685" s="19">
        <f>MONTH(Tabela6[[#This Row],[Data]])</f>
        <v>7</v>
      </c>
      <c r="D685" s="19">
        <f>YEAR(Tabela6[[#This Row],[Data]])</f>
        <v>2021</v>
      </c>
      <c r="E685" s="12" t="s">
        <v>78</v>
      </c>
      <c r="F685" t="s">
        <v>63</v>
      </c>
      <c r="G685" s="26">
        <v>8</v>
      </c>
      <c r="H685">
        <v>4</v>
      </c>
      <c r="I685" t="str">
        <f>IFERROR(VLOOKUP(Tabela6[[#This Row],[Descrição]],Materiais!B:C,2,0),"")</f>
        <v/>
      </c>
    </row>
    <row r="686" spans="2:9">
      <c r="B686" s="11">
        <f t="shared" si="51"/>
        <v>44393</v>
      </c>
      <c r="C686" s="19">
        <f>MONTH(Tabela6[[#This Row],[Data]])</f>
        <v>7</v>
      </c>
      <c r="D686" s="19">
        <f>YEAR(Tabela6[[#This Row],[Data]])</f>
        <v>2021</v>
      </c>
      <c r="E686" s="12" t="s">
        <v>78</v>
      </c>
      <c r="F686" t="s">
        <v>56</v>
      </c>
      <c r="G686" s="26">
        <v>14</v>
      </c>
      <c r="H686">
        <v>7</v>
      </c>
      <c r="I686" t="str">
        <f>IFERROR(VLOOKUP(Tabela6[[#This Row],[Descrição]],Materiais!B:C,2,0),"")</f>
        <v/>
      </c>
    </row>
    <row r="687" spans="2:9">
      <c r="B687" s="11">
        <f t="shared" si="51"/>
        <v>44393</v>
      </c>
      <c r="C687" s="19">
        <f>MONTH(Tabela6[[#This Row],[Data]])</f>
        <v>7</v>
      </c>
      <c r="D687" s="19">
        <f>YEAR(Tabela6[[#This Row],[Data]])</f>
        <v>2021</v>
      </c>
      <c r="E687" s="12" t="s">
        <v>78</v>
      </c>
      <c r="F687" t="s">
        <v>100</v>
      </c>
      <c r="G687" s="26">
        <v>4</v>
      </c>
      <c r="H687">
        <v>2</v>
      </c>
      <c r="I687" t="str">
        <f>IFERROR(VLOOKUP(Tabela6[[#This Row],[Descrição]],Materiais!B:C,2,0),"")</f>
        <v/>
      </c>
    </row>
    <row r="688" spans="2:9">
      <c r="B688" s="11">
        <f t="shared" si="51"/>
        <v>44393</v>
      </c>
      <c r="C688" s="19">
        <f>MONTH(Tabela6[[#This Row],[Data]])</f>
        <v>7</v>
      </c>
      <c r="D688" s="19">
        <f>YEAR(Tabela6[[#This Row],[Data]])</f>
        <v>2021</v>
      </c>
      <c r="E688" s="12" t="s">
        <v>78</v>
      </c>
      <c r="F688" t="s">
        <v>61</v>
      </c>
      <c r="G688" s="26">
        <v>20</v>
      </c>
      <c r="H688">
        <v>10</v>
      </c>
      <c r="I688" t="str">
        <f>IFERROR(VLOOKUP(Tabela6[[#This Row],[Descrição]],Materiais!B:C,2,0),"")</f>
        <v/>
      </c>
    </row>
    <row r="689" spans="2:9">
      <c r="B689" s="11">
        <f t="shared" si="51"/>
        <v>44393</v>
      </c>
      <c r="C689" s="19">
        <f>MONTH(Tabela6[[#This Row],[Data]])</f>
        <v>7</v>
      </c>
      <c r="D689" s="19">
        <f>YEAR(Tabela6[[#This Row],[Data]])</f>
        <v>2021</v>
      </c>
      <c r="E689" s="12" t="s">
        <v>78</v>
      </c>
      <c r="F689" t="s">
        <v>126</v>
      </c>
      <c r="G689" s="26">
        <v>10</v>
      </c>
      <c r="H689">
        <v>5</v>
      </c>
      <c r="I689" t="str">
        <f>IFERROR(VLOOKUP(Tabela6[[#This Row],[Descrição]],Materiais!B:C,2,0),"")</f>
        <v/>
      </c>
    </row>
    <row r="690" spans="2:9">
      <c r="B690" s="11">
        <f t="shared" si="51"/>
        <v>44393</v>
      </c>
      <c r="C690" s="19">
        <f>MONTH(Tabela6[[#This Row],[Data]])</f>
        <v>7</v>
      </c>
      <c r="D690" s="19">
        <f>YEAR(Tabela6[[#This Row],[Data]])</f>
        <v>2021</v>
      </c>
      <c r="E690" s="12" t="s">
        <v>78</v>
      </c>
      <c r="F690" t="s">
        <v>109</v>
      </c>
      <c r="G690" s="26">
        <v>4</v>
      </c>
      <c r="H690">
        <v>2</v>
      </c>
      <c r="I690" t="str">
        <f>IFERROR(VLOOKUP(Tabela6[[#This Row],[Descrição]],Materiais!B:C,2,0),"")</f>
        <v/>
      </c>
    </row>
    <row r="691" spans="2:9">
      <c r="B691" s="11">
        <f t="shared" si="51"/>
        <v>44393</v>
      </c>
      <c r="C691" s="19">
        <f>MONTH(Tabela6[[#This Row],[Data]])</f>
        <v>7</v>
      </c>
      <c r="D691" s="19">
        <f>YEAR(Tabela6[[#This Row],[Data]])</f>
        <v>2021</v>
      </c>
      <c r="E691" s="12" t="s">
        <v>78</v>
      </c>
      <c r="F691" t="s">
        <v>58</v>
      </c>
      <c r="G691" s="26">
        <v>8</v>
      </c>
      <c r="H691">
        <v>4</v>
      </c>
      <c r="I691" t="str">
        <f>IFERROR(VLOOKUP(Tabela6[[#This Row],[Descrição]],Materiais!B:C,2,0),"")</f>
        <v/>
      </c>
    </row>
    <row r="692" spans="2:9">
      <c r="B692" s="11">
        <f t="shared" ref="B692:B712" si="52">42934+(365*4)</f>
        <v>44394</v>
      </c>
      <c r="C692" s="19">
        <f>MONTH(Tabela6[[#This Row],[Data]])</f>
        <v>7</v>
      </c>
      <c r="D692" s="19">
        <f>YEAR(Tabela6[[#This Row],[Data]])</f>
        <v>2021</v>
      </c>
      <c r="E692" s="12" t="s">
        <v>78</v>
      </c>
      <c r="F692" t="s">
        <v>63</v>
      </c>
      <c r="G692" s="26">
        <v>6</v>
      </c>
      <c r="H692">
        <v>3</v>
      </c>
      <c r="I692" t="str">
        <f>IFERROR(VLOOKUP(Tabela6[[#This Row],[Descrição]],Materiais!B:C,2,0),"")</f>
        <v/>
      </c>
    </row>
    <row r="693" spans="2:9">
      <c r="B693" s="11">
        <f t="shared" si="52"/>
        <v>44394</v>
      </c>
      <c r="C693" s="19">
        <f>MONTH(Tabela6[[#This Row],[Data]])</f>
        <v>7</v>
      </c>
      <c r="D693" s="19">
        <f>YEAR(Tabela6[[#This Row],[Data]])</f>
        <v>2021</v>
      </c>
      <c r="E693" s="12" t="s">
        <v>72</v>
      </c>
      <c r="F693" t="s">
        <v>74</v>
      </c>
      <c r="G693" s="26">
        <v>-28.7</v>
      </c>
      <c r="H693">
        <v>1000</v>
      </c>
      <c r="I693" t="str">
        <f>IFERROR(VLOOKUP(Tabela6[[#This Row],[Descrição]],Materiais!B:C,2,0),"")</f>
        <v/>
      </c>
    </row>
    <row r="694" spans="2:9">
      <c r="B694" s="11">
        <f t="shared" si="52"/>
        <v>44394</v>
      </c>
      <c r="C694" s="19">
        <f>MONTH(Tabela6[[#This Row],[Data]])</f>
        <v>7</v>
      </c>
      <c r="D694" s="19">
        <f>YEAR(Tabela6[[#This Row],[Data]])</f>
        <v>2021</v>
      </c>
      <c r="E694" s="12" t="s">
        <v>78</v>
      </c>
      <c r="F694" t="s">
        <v>56</v>
      </c>
      <c r="G694" s="26">
        <v>20</v>
      </c>
      <c r="H694">
        <v>10</v>
      </c>
      <c r="I694" t="str">
        <f>IFERROR(VLOOKUP(Tabela6[[#This Row],[Descrição]],Materiais!B:C,2,0),"")</f>
        <v/>
      </c>
    </row>
    <row r="695" spans="2:9">
      <c r="B695" s="11">
        <f t="shared" si="52"/>
        <v>44394</v>
      </c>
      <c r="C695" s="19">
        <f>MONTH(Tabela6[[#This Row],[Data]])</f>
        <v>7</v>
      </c>
      <c r="D695" s="19">
        <f>YEAR(Tabela6[[#This Row],[Data]])</f>
        <v>2021</v>
      </c>
      <c r="E695" s="12" t="s">
        <v>78</v>
      </c>
      <c r="F695" t="s">
        <v>100</v>
      </c>
      <c r="G695" s="26">
        <v>2</v>
      </c>
      <c r="H695">
        <v>1</v>
      </c>
      <c r="I695" t="str">
        <f>IFERROR(VLOOKUP(Tabela6[[#This Row],[Descrição]],Materiais!B:C,2,0),"")</f>
        <v/>
      </c>
    </row>
    <row r="696" spans="2:9">
      <c r="B696" s="11">
        <f t="shared" si="52"/>
        <v>44394</v>
      </c>
      <c r="C696" s="19">
        <f>MONTH(Tabela6[[#This Row],[Data]])</f>
        <v>7</v>
      </c>
      <c r="D696" s="19">
        <f>YEAR(Tabela6[[#This Row],[Data]])</f>
        <v>2021</v>
      </c>
      <c r="E696" s="12" t="s">
        <v>78</v>
      </c>
      <c r="F696" t="s">
        <v>61</v>
      </c>
      <c r="G696" s="26">
        <v>22</v>
      </c>
      <c r="H696">
        <v>11</v>
      </c>
      <c r="I696" t="str">
        <f>IFERROR(VLOOKUP(Tabela6[[#This Row],[Descrição]],Materiais!B:C,2,0),"")</f>
        <v/>
      </c>
    </row>
    <row r="697" spans="2:9">
      <c r="B697" s="11">
        <f t="shared" si="52"/>
        <v>44394</v>
      </c>
      <c r="C697" s="19">
        <f>MONTH(Tabela6[[#This Row],[Data]])</f>
        <v>7</v>
      </c>
      <c r="D697" s="19">
        <f>YEAR(Tabela6[[#This Row],[Data]])</f>
        <v>2021</v>
      </c>
      <c r="E697" s="12" t="s">
        <v>72</v>
      </c>
      <c r="F697" t="s">
        <v>131</v>
      </c>
      <c r="G697" s="26">
        <v>-6.7</v>
      </c>
      <c r="H697">
        <v>500</v>
      </c>
      <c r="I697" t="str">
        <f>IFERROR(VLOOKUP(Tabela6[[#This Row],[Descrição]],Materiais!B:C,2,0),"")</f>
        <v/>
      </c>
    </row>
    <row r="698" spans="2:9">
      <c r="B698" s="11">
        <f t="shared" si="52"/>
        <v>44394</v>
      </c>
      <c r="C698" s="19">
        <f>MONTH(Tabela6[[#This Row],[Data]])</f>
        <v>7</v>
      </c>
      <c r="D698" s="19">
        <f>YEAR(Tabela6[[#This Row],[Data]])</f>
        <v>2021</v>
      </c>
      <c r="E698" s="12" t="s">
        <v>72</v>
      </c>
      <c r="F698" t="s">
        <v>17</v>
      </c>
      <c r="G698" s="26">
        <v>-22.8</v>
      </c>
      <c r="H698">
        <v>1600</v>
      </c>
      <c r="I698" t="str">
        <f>IFERROR(VLOOKUP(Tabela6[[#This Row],[Descrição]],Materiais!B:C,2,0),"")</f>
        <v>g</v>
      </c>
    </row>
    <row r="699" spans="2:9">
      <c r="B699" s="11">
        <f t="shared" si="52"/>
        <v>44394</v>
      </c>
      <c r="C699" s="19">
        <f>MONTH(Tabela6[[#This Row],[Data]])</f>
        <v>7</v>
      </c>
      <c r="D699" s="19">
        <f>YEAR(Tabela6[[#This Row],[Data]])</f>
        <v>2021</v>
      </c>
      <c r="E699" s="12" t="s">
        <v>72</v>
      </c>
      <c r="F699" t="s">
        <v>18</v>
      </c>
      <c r="G699" s="26">
        <v>-12.3</v>
      </c>
      <c r="H699">
        <v>800</v>
      </c>
      <c r="I699" t="str">
        <f>IFERROR(VLOOKUP(Tabela6[[#This Row],[Descrição]],Materiais!B:C,2,0),"")</f>
        <v>g</v>
      </c>
    </row>
    <row r="700" spans="2:9">
      <c r="B700" s="11">
        <f t="shared" si="52"/>
        <v>44394</v>
      </c>
      <c r="C700" s="19">
        <f>MONTH(Tabela6[[#This Row],[Data]])</f>
        <v>7</v>
      </c>
      <c r="D700" s="19">
        <f>YEAR(Tabela6[[#This Row],[Data]])</f>
        <v>2021</v>
      </c>
      <c r="E700" s="12" t="s">
        <v>72</v>
      </c>
      <c r="F700" t="s">
        <v>105</v>
      </c>
      <c r="G700" s="26">
        <v>-13.95</v>
      </c>
      <c r="H700">
        <v>500</v>
      </c>
      <c r="I700" t="str">
        <f>IFERROR(VLOOKUP(Tabela6[[#This Row],[Descrição]],Materiais!B:C,2,0),"")</f>
        <v/>
      </c>
    </row>
    <row r="701" spans="2:9">
      <c r="B701" s="11">
        <f t="shared" si="52"/>
        <v>44394</v>
      </c>
      <c r="C701" s="19">
        <f>MONTH(Tabela6[[#This Row],[Data]])</f>
        <v>7</v>
      </c>
      <c r="D701" s="19">
        <f>YEAR(Tabela6[[#This Row],[Data]])</f>
        <v>2021</v>
      </c>
      <c r="E701" s="12" t="s">
        <v>75</v>
      </c>
      <c r="F701" t="s">
        <v>119</v>
      </c>
      <c r="G701" s="26">
        <v>-4.95</v>
      </c>
      <c r="H701">
        <v>500</v>
      </c>
      <c r="I701" t="str">
        <f>IFERROR(VLOOKUP(Tabela6[[#This Row],[Descrição]],Materiais!B:C,2,0),"")</f>
        <v/>
      </c>
    </row>
    <row r="702" spans="2:9">
      <c r="B702" s="11">
        <f t="shared" si="52"/>
        <v>44394</v>
      </c>
      <c r="C702" s="19">
        <f>MONTH(Tabela6[[#This Row],[Data]])</f>
        <v>7</v>
      </c>
      <c r="D702" s="19">
        <f>YEAR(Tabela6[[#This Row],[Data]])</f>
        <v>2021</v>
      </c>
      <c r="E702" s="12" t="s">
        <v>72</v>
      </c>
      <c r="F702" t="s">
        <v>77</v>
      </c>
      <c r="G702" s="26">
        <v>-25.799999999999997</v>
      </c>
      <c r="H702">
        <v>1500</v>
      </c>
      <c r="I702" t="str">
        <f>IFERROR(VLOOKUP(Tabela6[[#This Row],[Descrição]],Materiais!B:C,2,0),"")</f>
        <v/>
      </c>
    </row>
    <row r="703" spans="2:9">
      <c r="B703" s="11">
        <f t="shared" si="52"/>
        <v>44394</v>
      </c>
      <c r="C703" s="19">
        <f>MONTH(Tabela6[[#This Row],[Data]])</f>
        <v>7</v>
      </c>
      <c r="D703" s="19">
        <f>YEAR(Tabela6[[#This Row],[Data]])</f>
        <v>2021</v>
      </c>
      <c r="E703" s="12" t="s">
        <v>72</v>
      </c>
      <c r="F703" t="s">
        <v>120</v>
      </c>
      <c r="G703" s="26">
        <v>-13.4</v>
      </c>
      <c r="H703">
        <v>1000</v>
      </c>
      <c r="I703" t="str">
        <f>IFERROR(VLOOKUP(Tabela6[[#This Row],[Descrição]],Materiais!B:C,2,0),"")</f>
        <v/>
      </c>
    </row>
    <row r="704" spans="2:9">
      <c r="B704" s="11">
        <f t="shared" si="52"/>
        <v>44394</v>
      </c>
      <c r="C704" s="19">
        <f>MONTH(Tabela6[[#This Row],[Data]])</f>
        <v>7</v>
      </c>
      <c r="D704" s="19">
        <f>YEAR(Tabela6[[#This Row],[Data]])</f>
        <v>2021</v>
      </c>
      <c r="E704" s="12" t="s">
        <v>78</v>
      </c>
      <c r="F704" t="s">
        <v>126</v>
      </c>
      <c r="G704" s="26">
        <v>10</v>
      </c>
      <c r="H704">
        <v>5</v>
      </c>
      <c r="I704" t="str">
        <f>IFERROR(VLOOKUP(Tabela6[[#This Row],[Descrição]],Materiais!B:C,2,0),"")</f>
        <v/>
      </c>
    </row>
    <row r="705" spans="2:9">
      <c r="B705" s="11">
        <f t="shared" si="52"/>
        <v>44394</v>
      </c>
      <c r="C705" s="19">
        <f>MONTH(Tabela6[[#This Row],[Data]])</f>
        <v>7</v>
      </c>
      <c r="D705" s="19">
        <f>YEAR(Tabela6[[#This Row],[Data]])</f>
        <v>2021</v>
      </c>
      <c r="E705" s="12" t="s">
        <v>72</v>
      </c>
      <c r="F705" t="s">
        <v>20</v>
      </c>
      <c r="G705" s="26">
        <v>-195.51000000000002</v>
      </c>
      <c r="H705">
        <v>19355</v>
      </c>
      <c r="I705" t="str">
        <f>IFERROR(VLOOKUP(Tabela6[[#This Row],[Descrição]],Materiais!B:C,2,0),"")</f>
        <v>g</v>
      </c>
    </row>
    <row r="706" spans="2:9">
      <c r="B706" s="11">
        <f t="shared" si="52"/>
        <v>44394</v>
      </c>
      <c r="C706" s="19">
        <f>MONTH(Tabela6[[#This Row],[Data]])</f>
        <v>7</v>
      </c>
      <c r="D706" s="19">
        <f>YEAR(Tabela6[[#This Row],[Data]])</f>
        <v>2021</v>
      </c>
      <c r="E706" s="12" t="s">
        <v>72</v>
      </c>
      <c r="F706" t="s">
        <v>132</v>
      </c>
      <c r="G706" s="26">
        <v>-9.98</v>
      </c>
      <c r="H706">
        <v>400</v>
      </c>
      <c r="I706" t="str">
        <f>IFERROR(VLOOKUP(Tabela6[[#This Row],[Descrição]],Materiais!B:C,2,0),"")</f>
        <v/>
      </c>
    </row>
    <row r="707" spans="2:9">
      <c r="B707" s="11">
        <f t="shared" si="52"/>
        <v>44394</v>
      </c>
      <c r="C707" s="19">
        <f>MONTH(Tabela6[[#This Row],[Data]])</f>
        <v>7</v>
      </c>
      <c r="D707" s="19">
        <f>YEAR(Tabela6[[#This Row],[Data]])</f>
        <v>2021</v>
      </c>
      <c r="E707" s="12" t="s">
        <v>72</v>
      </c>
      <c r="F707" t="s">
        <v>21</v>
      </c>
      <c r="G707" s="26">
        <v>-1.1599999999999999</v>
      </c>
      <c r="H707">
        <v>228</v>
      </c>
      <c r="I707" t="str">
        <f>IFERROR(VLOOKUP(Tabela6[[#This Row],[Descrição]],Materiais!B:C,2,0),"")</f>
        <v>g</v>
      </c>
    </row>
    <row r="708" spans="2:9">
      <c r="B708" s="11">
        <f t="shared" si="52"/>
        <v>44394</v>
      </c>
      <c r="C708" s="19">
        <f>MONTH(Tabela6[[#This Row],[Data]])</f>
        <v>7</v>
      </c>
      <c r="D708" s="19">
        <f>YEAR(Tabela6[[#This Row],[Data]])</f>
        <v>2021</v>
      </c>
      <c r="E708" s="12" t="s">
        <v>72</v>
      </c>
      <c r="F708" t="s">
        <v>22</v>
      </c>
      <c r="G708" s="26">
        <v>-30.6</v>
      </c>
      <c r="H708">
        <v>800</v>
      </c>
      <c r="I708" t="str">
        <f>IFERROR(VLOOKUP(Tabela6[[#This Row],[Descrição]],Materiais!B:C,2,0),"")</f>
        <v>g</v>
      </c>
    </row>
    <row r="709" spans="2:9">
      <c r="B709" s="11">
        <f t="shared" si="52"/>
        <v>44394</v>
      </c>
      <c r="C709" s="19">
        <f>MONTH(Tabela6[[#This Row],[Data]])</f>
        <v>7</v>
      </c>
      <c r="D709" s="19">
        <f>YEAR(Tabela6[[#This Row],[Data]])</f>
        <v>2021</v>
      </c>
      <c r="E709" s="12" t="s">
        <v>72</v>
      </c>
      <c r="F709" t="s">
        <v>96</v>
      </c>
      <c r="G709" s="26">
        <v>-3.99</v>
      </c>
      <c r="H709">
        <v>500</v>
      </c>
      <c r="I709" t="str">
        <f>IFERROR(VLOOKUP(Tabela6[[#This Row],[Descrição]],Materiais!B:C,2,0),"")</f>
        <v/>
      </c>
    </row>
    <row r="710" spans="2:9">
      <c r="B710" s="11">
        <f t="shared" si="52"/>
        <v>44394</v>
      </c>
      <c r="C710" s="19">
        <f>MONTH(Tabela6[[#This Row],[Data]])</f>
        <v>7</v>
      </c>
      <c r="D710" s="19">
        <f>YEAR(Tabela6[[#This Row],[Data]])</f>
        <v>2021</v>
      </c>
      <c r="E710" s="12" t="s">
        <v>78</v>
      </c>
      <c r="F710" t="s">
        <v>109</v>
      </c>
      <c r="G710" s="26">
        <v>8</v>
      </c>
      <c r="H710">
        <v>4</v>
      </c>
      <c r="I710" t="str">
        <f>IFERROR(VLOOKUP(Tabela6[[#This Row],[Descrição]],Materiais!B:C,2,0),"")</f>
        <v/>
      </c>
    </row>
    <row r="711" spans="2:9">
      <c r="B711" s="11">
        <f t="shared" si="52"/>
        <v>44394</v>
      </c>
      <c r="C711" s="19">
        <f>MONTH(Tabela6[[#This Row],[Data]])</f>
        <v>7</v>
      </c>
      <c r="D711" s="19">
        <f>YEAR(Tabela6[[#This Row],[Data]])</f>
        <v>2021</v>
      </c>
      <c r="E711" s="12" t="s">
        <v>78</v>
      </c>
      <c r="F711" t="s">
        <v>58</v>
      </c>
      <c r="G711" s="26">
        <v>8</v>
      </c>
      <c r="H711">
        <v>4</v>
      </c>
      <c r="I711" t="str">
        <f>IFERROR(VLOOKUP(Tabela6[[#This Row],[Descrição]],Materiais!B:C,2,0),"")</f>
        <v/>
      </c>
    </row>
    <row r="712" spans="2:9">
      <c r="B712" s="11">
        <f t="shared" si="52"/>
        <v>44394</v>
      </c>
      <c r="C712" s="19">
        <f>MONTH(Tabela6[[#This Row],[Data]])</f>
        <v>7</v>
      </c>
      <c r="D712" s="19">
        <f>YEAR(Tabela6[[#This Row],[Data]])</f>
        <v>2021</v>
      </c>
      <c r="E712" s="12" t="s">
        <v>78</v>
      </c>
      <c r="F712" t="s">
        <v>95</v>
      </c>
      <c r="G712" s="26">
        <v>2</v>
      </c>
      <c r="H712">
        <v>1</v>
      </c>
      <c r="I712" t="str">
        <f>IFERROR(VLOOKUP(Tabela6[[#This Row],[Descrição]],Materiais!B:C,2,0),"")</f>
        <v/>
      </c>
    </row>
    <row r="713" spans="2:9">
      <c r="B713" s="11">
        <f t="shared" ref="B713:B719" si="53">42935+(365*4)</f>
        <v>44395</v>
      </c>
      <c r="C713" s="19">
        <f>MONTH(Tabela6[[#This Row],[Data]])</f>
        <v>7</v>
      </c>
      <c r="D713" s="19">
        <f>YEAR(Tabela6[[#This Row],[Data]])</f>
        <v>2021</v>
      </c>
      <c r="E713" s="12" t="s">
        <v>78</v>
      </c>
      <c r="F713" t="s">
        <v>63</v>
      </c>
      <c r="G713" s="26">
        <v>52.5</v>
      </c>
      <c r="H713">
        <v>75</v>
      </c>
      <c r="I713" t="str">
        <f>IFERROR(VLOOKUP(Tabela6[[#This Row],[Descrição]],Materiais!B:C,2,0),"")</f>
        <v/>
      </c>
    </row>
    <row r="714" spans="2:9">
      <c r="B714" s="11">
        <f t="shared" si="53"/>
        <v>44395</v>
      </c>
      <c r="C714" s="19">
        <f>MONTH(Tabela6[[#This Row],[Data]])</f>
        <v>7</v>
      </c>
      <c r="D714" s="19">
        <f>YEAR(Tabela6[[#This Row],[Data]])</f>
        <v>2021</v>
      </c>
      <c r="E714" s="12" t="s">
        <v>78</v>
      </c>
      <c r="F714" t="s">
        <v>56</v>
      </c>
      <c r="G714" s="26">
        <v>52.5</v>
      </c>
      <c r="H714">
        <v>75</v>
      </c>
      <c r="I714" t="str">
        <f>IFERROR(VLOOKUP(Tabela6[[#This Row],[Descrição]],Materiais!B:C,2,0),"")</f>
        <v/>
      </c>
    </row>
    <row r="715" spans="2:9">
      <c r="B715" s="11">
        <f t="shared" si="53"/>
        <v>44395</v>
      </c>
      <c r="C715" s="19">
        <f>MONTH(Tabela6[[#This Row],[Data]])</f>
        <v>7</v>
      </c>
      <c r="D715" s="19">
        <f>YEAR(Tabela6[[#This Row],[Data]])</f>
        <v>2021</v>
      </c>
      <c r="E715" s="12" t="s">
        <v>78</v>
      </c>
      <c r="F715" t="s">
        <v>100</v>
      </c>
      <c r="G715" s="26">
        <v>8</v>
      </c>
      <c r="H715">
        <v>4</v>
      </c>
      <c r="I715" t="str">
        <f>IFERROR(VLOOKUP(Tabela6[[#This Row],[Descrição]],Materiais!B:C,2,0),"")</f>
        <v/>
      </c>
    </row>
    <row r="716" spans="2:9">
      <c r="B716" s="11">
        <f t="shared" si="53"/>
        <v>44395</v>
      </c>
      <c r="C716" s="19">
        <f>MONTH(Tabela6[[#This Row],[Data]])</f>
        <v>7</v>
      </c>
      <c r="D716" s="19">
        <f>YEAR(Tabela6[[#This Row],[Data]])</f>
        <v>2021</v>
      </c>
      <c r="E716" s="12" t="s">
        <v>78</v>
      </c>
      <c r="F716" t="s">
        <v>61</v>
      </c>
      <c r="G716" s="26">
        <v>12</v>
      </c>
      <c r="H716">
        <v>6</v>
      </c>
      <c r="I716" t="str">
        <f>IFERROR(VLOOKUP(Tabela6[[#This Row],[Descrição]],Materiais!B:C,2,0),"")</f>
        <v/>
      </c>
    </row>
    <row r="717" spans="2:9">
      <c r="B717" s="11">
        <f t="shared" si="53"/>
        <v>44395</v>
      </c>
      <c r="C717" s="19">
        <f>MONTH(Tabela6[[#This Row],[Data]])</f>
        <v>7</v>
      </c>
      <c r="D717" s="19">
        <f>YEAR(Tabela6[[#This Row],[Data]])</f>
        <v>2021</v>
      </c>
      <c r="E717" s="12" t="s">
        <v>78</v>
      </c>
      <c r="F717" t="s">
        <v>116</v>
      </c>
      <c r="G717" s="26">
        <v>52.5</v>
      </c>
      <c r="H717">
        <v>75</v>
      </c>
      <c r="I717" t="str">
        <f>IFERROR(VLOOKUP(Tabela6[[#This Row],[Descrição]],Materiais!B:C,2,0),"")</f>
        <v/>
      </c>
    </row>
    <row r="718" spans="2:9">
      <c r="B718" s="11">
        <f t="shared" si="53"/>
        <v>44395</v>
      </c>
      <c r="C718" s="19">
        <f>MONTH(Tabela6[[#This Row],[Data]])</f>
        <v>7</v>
      </c>
      <c r="D718" s="19">
        <f>YEAR(Tabela6[[#This Row],[Data]])</f>
        <v>2021</v>
      </c>
      <c r="E718" s="12" t="s">
        <v>78</v>
      </c>
      <c r="F718" t="s">
        <v>109</v>
      </c>
      <c r="G718" s="26">
        <v>52.5</v>
      </c>
      <c r="H718">
        <v>75</v>
      </c>
      <c r="I718" t="str">
        <f>IFERROR(VLOOKUP(Tabela6[[#This Row],[Descrição]],Materiais!B:C,2,0),"")</f>
        <v/>
      </c>
    </row>
    <row r="719" spans="2:9">
      <c r="B719" s="11">
        <f t="shared" si="53"/>
        <v>44395</v>
      </c>
      <c r="C719" s="19">
        <f>MONTH(Tabela6[[#This Row],[Data]])</f>
        <v>7</v>
      </c>
      <c r="D719" s="19">
        <f>YEAR(Tabela6[[#This Row],[Data]])</f>
        <v>2021</v>
      </c>
      <c r="E719" s="12" t="s">
        <v>78</v>
      </c>
      <c r="F719" t="s">
        <v>95</v>
      </c>
      <c r="G719" s="26">
        <v>2</v>
      </c>
      <c r="H719">
        <v>1</v>
      </c>
      <c r="I719" t="str">
        <f>IFERROR(VLOOKUP(Tabela6[[#This Row],[Descrição]],Materiais!B:C,2,0),"")</f>
        <v/>
      </c>
    </row>
    <row r="720" spans="2:9">
      <c r="B720" s="11">
        <f t="shared" ref="B720:B727" si="54">42936+(365*4)</f>
        <v>44396</v>
      </c>
      <c r="C720" s="19">
        <f>MONTH(Tabela6[[#This Row],[Data]])</f>
        <v>7</v>
      </c>
      <c r="D720" s="19">
        <f>YEAR(Tabela6[[#This Row],[Data]])</f>
        <v>2021</v>
      </c>
      <c r="E720" s="12" t="s">
        <v>78</v>
      </c>
      <c r="F720" t="s">
        <v>63</v>
      </c>
      <c r="G720" s="26">
        <v>8</v>
      </c>
      <c r="H720">
        <v>4</v>
      </c>
      <c r="I720" t="str">
        <f>IFERROR(VLOOKUP(Tabela6[[#This Row],[Descrição]],Materiais!B:C,2,0),"")</f>
        <v/>
      </c>
    </row>
    <row r="721" spans="2:9">
      <c r="B721" s="11">
        <f t="shared" si="54"/>
        <v>44396</v>
      </c>
      <c r="C721" s="19">
        <f>MONTH(Tabela6[[#This Row],[Data]])</f>
        <v>7</v>
      </c>
      <c r="D721" s="19">
        <f>YEAR(Tabela6[[#This Row],[Data]])</f>
        <v>2021</v>
      </c>
      <c r="E721" s="12" t="s">
        <v>78</v>
      </c>
      <c r="F721" t="s">
        <v>56</v>
      </c>
      <c r="G721" s="26">
        <v>6</v>
      </c>
      <c r="H721">
        <v>3</v>
      </c>
      <c r="I721" t="str">
        <f>IFERROR(VLOOKUP(Tabela6[[#This Row],[Descrição]],Materiais!B:C,2,0),"")</f>
        <v/>
      </c>
    </row>
    <row r="722" spans="2:9">
      <c r="B722" s="11">
        <f t="shared" si="54"/>
        <v>44396</v>
      </c>
      <c r="C722" s="19">
        <f>MONTH(Tabela6[[#This Row],[Data]])</f>
        <v>7</v>
      </c>
      <c r="D722" s="19">
        <f>YEAR(Tabela6[[#This Row],[Data]])</f>
        <v>2021</v>
      </c>
      <c r="E722" s="12" t="s">
        <v>78</v>
      </c>
      <c r="F722" t="s">
        <v>56</v>
      </c>
      <c r="G722" s="26">
        <v>16</v>
      </c>
      <c r="H722">
        <v>8</v>
      </c>
      <c r="I722" t="str">
        <f>IFERROR(VLOOKUP(Tabela6[[#This Row],[Descrição]],Materiais!B:C,2,0),"")</f>
        <v/>
      </c>
    </row>
    <row r="723" spans="2:9">
      <c r="B723" s="11">
        <f t="shared" si="54"/>
        <v>44396</v>
      </c>
      <c r="C723" s="19">
        <f>MONTH(Tabela6[[#This Row],[Data]])</f>
        <v>7</v>
      </c>
      <c r="D723" s="19">
        <f>YEAR(Tabela6[[#This Row],[Data]])</f>
        <v>2021</v>
      </c>
      <c r="E723" s="12" t="s">
        <v>78</v>
      </c>
      <c r="F723" t="s">
        <v>61</v>
      </c>
      <c r="G723" s="26">
        <v>4</v>
      </c>
      <c r="H723">
        <v>2</v>
      </c>
      <c r="I723" t="str">
        <f>IFERROR(VLOOKUP(Tabela6[[#This Row],[Descrição]],Materiais!B:C,2,0),"")</f>
        <v/>
      </c>
    </row>
    <row r="724" spans="2:9">
      <c r="B724" s="11">
        <f t="shared" si="54"/>
        <v>44396</v>
      </c>
      <c r="C724" s="19">
        <f>MONTH(Tabela6[[#This Row],[Data]])</f>
        <v>7</v>
      </c>
      <c r="D724" s="19">
        <f>YEAR(Tabela6[[#This Row],[Data]])</f>
        <v>2021</v>
      </c>
      <c r="E724" s="12" t="s">
        <v>78</v>
      </c>
      <c r="F724" t="s">
        <v>61</v>
      </c>
      <c r="G724" s="26">
        <v>4</v>
      </c>
      <c r="H724">
        <v>2</v>
      </c>
      <c r="I724" t="str">
        <f>IFERROR(VLOOKUP(Tabela6[[#This Row],[Descrição]],Materiais!B:C,2,0),"")</f>
        <v/>
      </c>
    </row>
    <row r="725" spans="2:9">
      <c r="B725" s="11">
        <f t="shared" si="54"/>
        <v>44396</v>
      </c>
      <c r="C725" s="19">
        <f>MONTH(Tabela6[[#This Row],[Data]])</f>
        <v>7</v>
      </c>
      <c r="D725" s="19">
        <f>YEAR(Tabela6[[#This Row],[Data]])</f>
        <v>2021</v>
      </c>
      <c r="E725" s="12" t="s">
        <v>78</v>
      </c>
      <c r="F725" t="s">
        <v>126</v>
      </c>
      <c r="G725" s="26">
        <v>2</v>
      </c>
      <c r="H725">
        <v>1</v>
      </c>
      <c r="I725" t="str">
        <f>IFERROR(VLOOKUP(Tabela6[[#This Row],[Descrição]],Materiais!B:C,2,0),"")</f>
        <v/>
      </c>
    </row>
    <row r="726" spans="2:9">
      <c r="B726" s="11">
        <f t="shared" si="54"/>
        <v>44396</v>
      </c>
      <c r="C726" s="19">
        <f>MONTH(Tabela6[[#This Row],[Data]])</f>
        <v>7</v>
      </c>
      <c r="D726" s="19">
        <f>YEAR(Tabela6[[#This Row],[Data]])</f>
        <v>2021</v>
      </c>
      <c r="E726" s="12" t="s">
        <v>78</v>
      </c>
      <c r="F726" t="s">
        <v>58</v>
      </c>
      <c r="G726" s="26">
        <v>6</v>
      </c>
      <c r="H726">
        <v>3</v>
      </c>
      <c r="I726" t="str">
        <f>IFERROR(VLOOKUP(Tabela6[[#This Row],[Descrição]],Materiais!B:C,2,0),"")</f>
        <v/>
      </c>
    </row>
    <row r="727" spans="2:9">
      <c r="B727" s="11">
        <f t="shared" si="54"/>
        <v>44396</v>
      </c>
      <c r="C727" s="19">
        <f>MONTH(Tabela6[[#This Row],[Data]])</f>
        <v>7</v>
      </c>
      <c r="D727" s="19">
        <f>YEAR(Tabela6[[#This Row],[Data]])</f>
        <v>2021</v>
      </c>
      <c r="E727" s="12" t="s">
        <v>78</v>
      </c>
      <c r="F727" t="s">
        <v>95</v>
      </c>
      <c r="G727" s="26">
        <v>2</v>
      </c>
      <c r="H727">
        <v>1</v>
      </c>
      <c r="I727" t="str">
        <f>IFERROR(VLOOKUP(Tabela6[[#This Row],[Descrição]],Materiais!B:C,2,0),"")</f>
        <v/>
      </c>
    </row>
    <row r="728" spans="2:9">
      <c r="B728" s="11">
        <f>42937+(365*4)</f>
        <v>44397</v>
      </c>
      <c r="C728" s="19">
        <f>MONTH(Tabela6[[#This Row],[Data]])</f>
        <v>7</v>
      </c>
      <c r="D728" s="19">
        <f>YEAR(Tabela6[[#This Row],[Data]])</f>
        <v>2021</v>
      </c>
      <c r="E728" s="12" t="s">
        <v>78</v>
      </c>
      <c r="F728" t="s">
        <v>109</v>
      </c>
      <c r="G728" s="26">
        <v>4</v>
      </c>
      <c r="H728">
        <v>2</v>
      </c>
      <c r="I728" t="str">
        <f>IFERROR(VLOOKUP(Tabela6[[#This Row],[Descrição]],Materiais!B:C,2,0),"")</f>
        <v/>
      </c>
    </row>
    <row r="729" spans="2:9">
      <c r="B729" s="11">
        <f>42937+(365*4)</f>
        <v>44397</v>
      </c>
      <c r="C729" s="19">
        <f>MONTH(Tabela6[[#This Row],[Data]])</f>
        <v>7</v>
      </c>
      <c r="D729" s="19">
        <f>YEAR(Tabela6[[#This Row],[Data]])</f>
        <v>2021</v>
      </c>
      <c r="E729" s="12" t="s">
        <v>78</v>
      </c>
      <c r="F729" t="s">
        <v>58</v>
      </c>
      <c r="G729" s="26">
        <v>6</v>
      </c>
      <c r="H729">
        <v>3</v>
      </c>
      <c r="I729" t="str">
        <f>IFERROR(VLOOKUP(Tabela6[[#This Row],[Descrição]],Materiais!B:C,2,0),"")</f>
        <v/>
      </c>
    </row>
    <row r="730" spans="2:9">
      <c r="B730" s="11">
        <f>42937+(365*4)</f>
        <v>44397</v>
      </c>
      <c r="C730" s="19">
        <f>MONTH(Tabela6[[#This Row],[Data]])</f>
        <v>7</v>
      </c>
      <c r="D730" s="19">
        <f>YEAR(Tabela6[[#This Row],[Data]])</f>
        <v>2021</v>
      </c>
      <c r="E730" s="12" t="s">
        <v>78</v>
      </c>
      <c r="F730" t="s">
        <v>95</v>
      </c>
      <c r="G730" s="26">
        <v>2</v>
      </c>
      <c r="H730">
        <v>1</v>
      </c>
      <c r="I730" t="str">
        <f>IFERROR(VLOOKUP(Tabela6[[#This Row],[Descrição]],Materiais!B:C,2,0),"")</f>
        <v/>
      </c>
    </row>
    <row r="731" spans="2:9">
      <c r="B731" s="11">
        <f>42938+(365*4)</f>
        <v>44398</v>
      </c>
      <c r="C731" s="19">
        <f>MONTH(Tabela6[[#This Row],[Data]])</f>
        <v>7</v>
      </c>
      <c r="D731" s="19">
        <f>YEAR(Tabela6[[#This Row],[Data]])</f>
        <v>2021</v>
      </c>
      <c r="E731" s="12" t="s">
        <v>78</v>
      </c>
      <c r="F731" t="s">
        <v>63</v>
      </c>
      <c r="G731" s="26">
        <v>2</v>
      </c>
      <c r="H731">
        <v>1</v>
      </c>
      <c r="I731" t="str">
        <f>IFERROR(VLOOKUP(Tabela6[[#This Row],[Descrição]],Materiais!B:C,2,0),"")</f>
        <v/>
      </c>
    </row>
    <row r="732" spans="2:9">
      <c r="B732" s="11">
        <f>42940+(365*4)</f>
        <v>44400</v>
      </c>
      <c r="C732" s="19">
        <f>MONTH(Tabela6[[#This Row],[Data]])</f>
        <v>7</v>
      </c>
      <c r="D732" s="19">
        <f>YEAR(Tabela6[[#This Row],[Data]])</f>
        <v>2021</v>
      </c>
      <c r="E732" s="12" t="s">
        <v>78</v>
      </c>
      <c r="F732" t="s">
        <v>56</v>
      </c>
      <c r="G732" s="26">
        <v>6</v>
      </c>
      <c r="H732">
        <v>3</v>
      </c>
      <c r="I732" t="str">
        <f>IFERROR(VLOOKUP(Tabela6[[#This Row],[Descrição]],Materiais!B:C,2,0),"")</f>
        <v/>
      </c>
    </row>
    <row r="733" spans="2:9">
      <c r="B733" s="11">
        <f>42940+(365*4)</f>
        <v>44400</v>
      </c>
      <c r="C733" s="19">
        <f>MONTH(Tabela6[[#This Row],[Data]])</f>
        <v>7</v>
      </c>
      <c r="D733" s="19">
        <f>YEAR(Tabela6[[#This Row],[Data]])</f>
        <v>2021</v>
      </c>
      <c r="E733" s="12" t="s">
        <v>78</v>
      </c>
      <c r="F733" t="s">
        <v>61</v>
      </c>
      <c r="G733" s="26">
        <v>6</v>
      </c>
      <c r="H733">
        <v>3</v>
      </c>
      <c r="I733" t="str">
        <f>IFERROR(VLOOKUP(Tabela6[[#This Row],[Descrição]],Materiais!B:C,2,0),"")</f>
        <v/>
      </c>
    </row>
    <row r="734" spans="2:9">
      <c r="B734" s="11">
        <f t="shared" ref="B734:B741" si="55">42941+(365*4)</f>
        <v>44401</v>
      </c>
      <c r="C734" s="19">
        <f>MONTH(Tabela6[[#This Row],[Data]])</f>
        <v>7</v>
      </c>
      <c r="D734" s="19">
        <f>YEAR(Tabela6[[#This Row],[Data]])</f>
        <v>2021</v>
      </c>
      <c r="E734" s="12" t="s">
        <v>78</v>
      </c>
      <c r="F734" t="s">
        <v>63</v>
      </c>
      <c r="G734" s="26">
        <v>6</v>
      </c>
      <c r="H734">
        <v>3</v>
      </c>
      <c r="I734" t="str">
        <f>IFERROR(VLOOKUP(Tabela6[[#This Row],[Descrição]],Materiais!B:C,2,0),"")</f>
        <v/>
      </c>
    </row>
    <row r="735" spans="2:9">
      <c r="B735" s="11">
        <f t="shared" si="55"/>
        <v>44401</v>
      </c>
      <c r="C735" s="19">
        <f>MONTH(Tabela6[[#This Row],[Data]])</f>
        <v>7</v>
      </c>
      <c r="D735" s="19">
        <f>YEAR(Tabela6[[#This Row],[Data]])</f>
        <v>2021</v>
      </c>
      <c r="E735" s="12" t="s">
        <v>78</v>
      </c>
      <c r="F735" t="s">
        <v>56</v>
      </c>
      <c r="G735" s="26">
        <v>8</v>
      </c>
      <c r="H735">
        <v>4</v>
      </c>
      <c r="I735" t="str">
        <f>IFERROR(VLOOKUP(Tabela6[[#This Row],[Descrição]],Materiais!B:C,2,0),"")</f>
        <v/>
      </c>
    </row>
    <row r="736" spans="2:9">
      <c r="B736" s="11">
        <f t="shared" si="55"/>
        <v>44401</v>
      </c>
      <c r="C736" s="19">
        <f>MONTH(Tabela6[[#This Row],[Data]])</f>
        <v>7</v>
      </c>
      <c r="D736" s="19">
        <f>YEAR(Tabela6[[#This Row],[Data]])</f>
        <v>2021</v>
      </c>
      <c r="E736" s="12" t="s">
        <v>78</v>
      </c>
      <c r="F736" t="s">
        <v>100</v>
      </c>
      <c r="G736" s="26">
        <v>2</v>
      </c>
      <c r="H736">
        <v>1</v>
      </c>
      <c r="I736" t="str">
        <f>IFERROR(VLOOKUP(Tabela6[[#This Row],[Descrição]],Materiais!B:C,2,0),"")</f>
        <v/>
      </c>
    </row>
    <row r="737" spans="2:9">
      <c r="B737" s="11">
        <f t="shared" si="55"/>
        <v>44401</v>
      </c>
      <c r="C737" s="19">
        <f>MONTH(Tabela6[[#This Row],[Data]])</f>
        <v>7</v>
      </c>
      <c r="D737" s="19">
        <f>YEAR(Tabela6[[#This Row],[Data]])</f>
        <v>2021</v>
      </c>
      <c r="E737" s="12" t="s">
        <v>78</v>
      </c>
      <c r="F737" t="s">
        <v>61</v>
      </c>
      <c r="G737" s="26">
        <v>14</v>
      </c>
      <c r="H737">
        <v>7</v>
      </c>
      <c r="I737" t="str">
        <f>IFERROR(VLOOKUP(Tabela6[[#This Row],[Descrição]],Materiais!B:C,2,0),"")</f>
        <v/>
      </c>
    </row>
    <row r="738" spans="2:9">
      <c r="B738" s="11">
        <f t="shared" si="55"/>
        <v>44401</v>
      </c>
      <c r="C738" s="19">
        <f>MONTH(Tabela6[[#This Row],[Data]])</f>
        <v>7</v>
      </c>
      <c r="D738" s="19">
        <f>YEAR(Tabela6[[#This Row],[Data]])</f>
        <v>2021</v>
      </c>
      <c r="E738" s="12" t="s">
        <v>78</v>
      </c>
      <c r="F738" t="s">
        <v>126</v>
      </c>
      <c r="G738" s="26">
        <v>8</v>
      </c>
      <c r="H738">
        <v>4</v>
      </c>
      <c r="I738" t="str">
        <f>IFERROR(VLOOKUP(Tabela6[[#This Row],[Descrição]],Materiais!B:C,2,0),"")</f>
        <v/>
      </c>
    </row>
    <row r="739" spans="2:9">
      <c r="B739" s="11">
        <f t="shared" si="55"/>
        <v>44401</v>
      </c>
      <c r="C739" s="19">
        <f>MONTH(Tabela6[[#This Row],[Data]])</f>
        <v>7</v>
      </c>
      <c r="D739" s="19">
        <f>YEAR(Tabela6[[#This Row],[Data]])</f>
        <v>2021</v>
      </c>
      <c r="E739" s="12" t="s">
        <v>78</v>
      </c>
      <c r="F739" t="s">
        <v>109</v>
      </c>
      <c r="G739" s="26">
        <v>4</v>
      </c>
      <c r="H739">
        <v>2</v>
      </c>
      <c r="I739" t="str">
        <f>IFERROR(VLOOKUP(Tabela6[[#This Row],[Descrição]],Materiais!B:C,2,0),"")</f>
        <v/>
      </c>
    </row>
    <row r="740" spans="2:9">
      <c r="B740" s="11">
        <f t="shared" si="55"/>
        <v>44401</v>
      </c>
      <c r="C740" s="19">
        <f>MONTH(Tabela6[[#This Row],[Data]])</f>
        <v>7</v>
      </c>
      <c r="D740" s="19">
        <f>YEAR(Tabela6[[#This Row],[Data]])</f>
        <v>2021</v>
      </c>
      <c r="E740" s="12" t="s">
        <v>78</v>
      </c>
      <c r="F740" t="s">
        <v>58</v>
      </c>
      <c r="G740" s="26">
        <v>8</v>
      </c>
      <c r="H740">
        <v>4</v>
      </c>
      <c r="I740" t="str">
        <f>IFERROR(VLOOKUP(Tabela6[[#This Row],[Descrição]],Materiais!B:C,2,0),"")</f>
        <v/>
      </c>
    </row>
    <row r="741" spans="2:9">
      <c r="B741" s="11">
        <f t="shared" si="55"/>
        <v>44401</v>
      </c>
      <c r="C741" s="19">
        <f>MONTH(Tabela6[[#This Row],[Data]])</f>
        <v>7</v>
      </c>
      <c r="D741" s="19">
        <f>YEAR(Tabela6[[#This Row],[Data]])</f>
        <v>2021</v>
      </c>
      <c r="E741" s="12" t="s">
        <v>78</v>
      </c>
      <c r="F741" t="s">
        <v>95</v>
      </c>
      <c r="G741" s="26">
        <v>4</v>
      </c>
      <c r="H741">
        <v>2</v>
      </c>
      <c r="I741" t="str">
        <f>IFERROR(VLOOKUP(Tabela6[[#This Row],[Descrição]],Materiais!B:C,2,0),"")</f>
        <v/>
      </c>
    </row>
    <row r="742" spans="2:9">
      <c r="B742" s="11">
        <f>42942+(365*4)</f>
        <v>44402</v>
      </c>
      <c r="C742" s="19">
        <f>MONTH(Tabela6[[#This Row],[Data]])</f>
        <v>7</v>
      </c>
      <c r="D742" s="19">
        <f>YEAR(Tabela6[[#This Row],[Data]])</f>
        <v>2021</v>
      </c>
      <c r="E742" s="12" t="s">
        <v>78</v>
      </c>
      <c r="F742" t="s">
        <v>100</v>
      </c>
      <c r="G742" s="26">
        <v>2</v>
      </c>
      <c r="H742">
        <v>1</v>
      </c>
      <c r="I742" t="str">
        <f>IFERROR(VLOOKUP(Tabela6[[#This Row],[Descrição]],Materiais!B:C,2,0),"")</f>
        <v/>
      </c>
    </row>
    <row r="743" spans="2:9">
      <c r="B743" s="11">
        <f>42942+(365*4)</f>
        <v>44402</v>
      </c>
      <c r="C743" s="19">
        <f>MONTH(Tabela6[[#This Row],[Data]])</f>
        <v>7</v>
      </c>
      <c r="D743" s="19">
        <f>YEAR(Tabela6[[#This Row],[Data]])</f>
        <v>2021</v>
      </c>
      <c r="E743" s="12" t="s">
        <v>78</v>
      </c>
      <c r="F743" t="s">
        <v>126</v>
      </c>
      <c r="G743" s="26">
        <v>2</v>
      </c>
      <c r="H743">
        <v>1</v>
      </c>
      <c r="I743" t="str">
        <f>IFERROR(VLOOKUP(Tabela6[[#This Row],[Descrição]],Materiais!B:C,2,0),"")</f>
        <v/>
      </c>
    </row>
    <row r="744" spans="2:9">
      <c r="B744" s="11">
        <f>42943+(365*4)</f>
        <v>44403</v>
      </c>
      <c r="C744" s="19">
        <f>MONTH(Tabela6[[#This Row],[Data]])</f>
        <v>7</v>
      </c>
      <c r="D744" s="19">
        <f>YEAR(Tabela6[[#This Row],[Data]])</f>
        <v>2021</v>
      </c>
      <c r="E744" s="12" t="s">
        <v>78</v>
      </c>
      <c r="F744" t="s">
        <v>63</v>
      </c>
      <c r="G744" s="26">
        <v>6</v>
      </c>
      <c r="H744">
        <v>3</v>
      </c>
      <c r="I744" t="str">
        <f>IFERROR(VLOOKUP(Tabela6[[#This Row],[Descrição]],Materiais!B:C,2,0),"")</f>
        <v/>
      </c>
    </row>
    <row r="745" spans="2:9">
      <c r="B745" s="11">
        <f>42943+(365*4)</f>
        <v>44403</v>
      </c>
      <c r="C745" s="19">
        <f>MONTH(Tabela6[[#This Row],[Data]])</f>
        <v>7</v>
      </c>
      <c r="D745" s="19">
        <f>YEAR(Tabela6[[#This Row],[Data]])</f>
        <v>2021</v>
      </c>
      <c r="E745" s="12" t="s">
        <v>78</v>
      </c>
      <c r="F745" t="s">
        <v>56</v>
      </c>
      <c r="G745" s="26">
        <v>10</v>
      </c>
      <c r="H745">
        <v>5</v>
      </c>
      <c r="I745" t="str">
        <f>IFERROR(VLOOKUP(Tabela6[[#This Row],[Descrição]],Materiais!B:C,2,0),"")</f>
        <v/>
      </c>
    </row>
    <row r="746" spans="2:9">
      <c r="B746" s="11">
        <f>42943+(365*4)</f>
        <v>44403</v>
      </c>
      <c r="C746" s="19">
        <f>MONTH(Tabela6[[#This Row],[Data]])</f>
        <v>7</v>
      </c>
      <c r="D746" s="19">
        <f>YEAR(Tabela6[[#This Row],[Data]])</f>
        <v>2021</v>
      </c>
      <c r="E746" s="12" t="s">
        <v>78</v>
      </c>
      <c r="F746" t="s">
        <v>61</v>
      </c>
      <c r="G746" s="26">
        <v>12</v>
      </c>
      <c r="H746">
        <v>6</v>
      </c>
      <c r="I746" t="str">
        <f>IFERROR(VLOOKUP(Tabela6[[#This Row],[Descrição]],Materiais!B:C,2,0),"")</f>
        <v/>
      </c>
    </row>
    <row r="747" spans="2:9">
      <c r="B747" s="11">
        <f>42943+(365*4)</f>
        <v>44403</v>
      </c>
      <c r="C747" s="19">
        <f>MONTH(Tabela6[[#This Row],[Data]])</f>
        <v>7</v>
      </c>
      <c r="D747" s="19">
        <f>YEAR(Tabela6[[#This Row],[Data]])</f>
        <v>2021</v>
      </c>
      <c r="E747" s="12" t="s">
        <v>78</v>
      </c>
      <c r="F747" t="s">
        <v>126</v>
      </c>
      <c r="G747" s="26">
        <v>12</v>
      </c>
      <c r="H747">
        <v>6</v>
      </c>
      <c r="I747" t="str">
        <f>IFERROR(VLOOKUP(Tabela6[[#This Row],[Descrição]],Materiais!B:C,2,0),"")</f>
        <v/>
      </c>
    </row>
    <row r="748" spans="2:9">
      <c r="B748" s="11">
        <f>42943+(365*4)</f>
        <v>44403</v>
      </c>
      <c r="C748" s="19">
        <f>MONTH(Tabela6[[#This Row],[Data]])</f>
        <v>7</v>
      </c>
      <c r="D748" s="19">
        <f>YEAR(Tabela6[[#This Row],[Data]])</f>
        <v>2021</v>
      </c>
      <c r="E748" s="12" t="s">
        <v>78</v>
      </c>
      <c r="F748" t="s">
        <v>58</v>
      </c>
      <c r="G748" s="26">
        <v>8</v>
      </c>
      <c r="H748">
        <v>4</v>
      </c>
      <c r="I748" t="str">
        <f>IFERROR(VLOOKUP(Tabela6[[#This Row],[Descrição]],Materiais!B:C,2,0),"")</f>
        <v/>
      </c>
    </row>
    <row r="749" spans="2:9">
      <c r="B749" s="11">
        <f>42944+(365*4)</f>
        <v>44404</v>
      </c>
      <c r="C749" s="19">
        <f>MONTH(Tabela6[[#This Row],[Data]])</f>
        <v>7</v>
      </c>
      <c r="D749" s="19">
        <f>YEAR(Tabela6[[#This Row],[Data]])</f>
        <v>2021</v>
      </c>
      <c r="E749" s="12" t="s">
        <v>78</v>
      </c>
      <c r="F749" t="s">
        <v>63</v>
      </c>
      <c r="G749" s="26">
        <v>6</v>
      </c>
      <c r="H749">
        <v>3</v>
      </c>
      <c r="I749" t="str">
        <f>IFERROR(VLOOKUP(Tabela6[[#This Row],[Descrição]],Materiais!B:C,2,0),"")</f>
        <v/>
      </c>
    </row>
    <row r="750" spans="2:9">
      <c r="B750" s="11">
        <f>42944+(365*4)</f>
        <v>44404</v>
      </c>
      <c r="C750" s="19">
        <f>MONTH(Tabela6[[#This Row],[Data]])</f>
        <v>7</v>
      </c>
      <c r="D750" s="19">
        <f>YEAR(Tabela6[[#This Row],[Data]])</f>
        <v>2021</v>
      </c>
      <c r="E750" s="12" t="s">
        <v>78</v>
      </c>
      <c r="F750" t="s">
        <v>56</v>
      </c>
      <c r="G750" s="26">
        <v>10</v>
      </c>
      <c r="H750">
        <v>5</v>
      </c>
      <c r="I750" t="str">
        <f>IFERROR(VLOOKUP(Tabela6[[#This Row],[Descrição]],Materiais!B:C,2,0),"")</f>
        <v/>
      </c>
    </row>
    <row r="751" spans="2:9">
      <c r="B751" s="11">
        <f>42944+(365*4)</f>
        <v>44404</v>
      </c>
      <c r="C751" s="19">
        <f>MONTH(Tabela6[[#This Row],[Data]])</f>
        <v>7</v>
      </c>
      <c r="D751" s="19">
        <f>YEAR(Tabela6[[#This Row],[Data]])</f>
        <v>2021</v>
      </c>
      <c r="E751" s="12" t="s">
        <v>78</v>
      </c>
      <c r="F751" t="s">
        <v>61</v>
      </c>
      <c r="G751" s="26">
        <v>10</v>
      </c>
      <c r="H751">
        <v>5</v>
      </c>
      <c r="I751" t="str">
        <f>IFERROR(VLOOKUP(Tabela6[[#This Row],[Descrição]],Materiais!B:C,2,0),"")</f>
        <v/>
      </c>
    </row>
    <row r="752" spans="2:9">
      <c r="B752" s="11">
        <f>42945+(365*4)</f>
        <v>44405</v>
      </c>
      <c r="C752" s="19">
        <f>MONTH(Tabela6[[#This Row],[Data]])</f>
        <v>7</v>
      </c>
      <c r="D752" s="19">
        <f>YEAR(Tabela6[[#This Row],[Data]])</f>
        <v>2021</v>
      </c>
      <c r="E752" s="12" t="s">
        <v>78</v>
      </c>
      <c r="F752" t="s">
        <v>126</v>
      </c>
      <c r="G752" s="26">
        <v>10</v>
      </c>
      <c r="H752">
        <v>40</v>
      </c>
      <c r="I752" t="str">
        <f>IFERROR(VLOOKUP(Tabela6[[#This Row],[Descrição]],Materiais!B:C,2,0),"")</f>
        <v/>
      </c>
    </row>
    <row r="753" spans="2:9">
      <c r="B753" s="11">
        <f>42945+(365*4)</f>
        <v>44405</v>
      </c>
      <c r="C753" s="19">
        <f>MONTH(Tabela6[[#This Row],[Data]])</f>
        <v>7</v>
      </c>
      <c r="D753" s="19">
        <f>YEAR(Tabela6[[#This Row],[Data]])</f>
        <v>2021</v>
      </c>
      <c r="E753" s="12" t="s">
        <v>78</v>
      </c>
      <c r="F753" t="s">
        <v>128</v>
      </c>
      <c r="G753" s="26">
        <v>5</v>
      </c>
      <c r="H753">
        <v>20</v>
      </c>
      <c r="I753" t="str">
        <f>IFERROR(VLOOKUP(Tabela6[[#This Row],[Descrição]],Materiais!B:C,2,0),"")</f>
        <v/>
      </c>
    </row>
    <row r="754" spans="2:9">
      <c r="B754" s="11">
        <f t="shared" ref="B754:B759" si="56">42947+(365*4)</f>
        <v>44407</v>
      </c>
      <c r="C754" s="19">
        <f>MONTH(Tabela6[[#This Row],[Data]])</f>
        <v>7</v>
      </c>
      <c r="D754" s="19">
        <f>YEAR(Tabela6[[#This Row],[Data]])</f>
        <v>2021</v>
      </c>
      <c r="E754" s="12" t="s">
        <v>78</v>
      </c>
      <c r="F754" t="s">
        <v>133</v>
      </c>
      <c r="G754" s="26">
        <v>4</v>
      </c>
      <c r="H754">
        <v>2</v>
      </c>
      <c r="I754" t="str">
        <f>IFERROR(VLOOKUP(Tabela6[[#This Row],[Descrição]],Materiais!B:C,2,0),"")</f>
        <v/>
      </c>
    </row>
    <row r="755" spans="2:9">
      <c r="B755" s="11">
        <f t="shared" si="56"/>
        <v>44407</v>
      </c>
      <c r="C755" s="19">
        <f>MONTH(Tabela6[[#This Row],[Data]])</f>
        <v>7</v>
      </c>
      <c r="D755" s="19">
        <f>YEAR(Tabela6[[#This Row],[Data]])</f>
        <v>2021</v>
      </c>
      <c r="E755" s="12" t="s">
        <v>78</v>
      </c>
      <c r="F755" t="s">
        <v>56</v>
      </c>
      <c r="G755" s="26">
        <v>4</v>
      </c>
      <c r="H755">
        <v>2</v>
      </c>
      <c r="I755" t="str">
        <f>IFERROR(VLOOKUP(Tabela6[[#This Row],[Descrição]],Materiais!B:C,2,0),"")</f>
        <v/>
      </c>
    </row>
    <row r="756" spans="2:9">
      <c r="B756" s="11">
        <f t="shared" si="56"/>
        <v>44407</v>
      </c>
      <c r="C756" s="19">
        <f>MONTH(Tabela6[[#This Row],[Data]])</f>
        <v>7</v>
      </c>
      <c r="D756" s="19">
        <f>YEAR(Tabela6[[#This Row],[Data]])</f>
        <v>2021</v>
      </c>
      <c r="E756" s="12" t="s">
        <v>78</v>
      </c>
      <c r="F756" t="s">
        <v>100</v>
      </c>
      <c r="G756" s="26">
        <v>4</v>
      </c>
      <c r="H756">
        <v>2</v>
      </c>
      <c r="I756" t="str">
        <f>IFERROR(VLOOKUP(Tabela6[[#This Row],[Descrição]],Materiais!B:C,2,0),"")</f>
        <v/>
      </c>
    </row>
    <row r="757" spans="2:9">
      <c r="B757" s="11">
        <f t="shared" si="56"/>
        <v>44407</v>
      </c>
      <c r="C757" s="19">
        <f>MONTH(Tabela6[[#This Row],[Data]])</f>
        <v>7</v>
      </c>
      <c r="D757" s="19">
        <f>YEAR(Tabela6[[#This Row],[Data]])</f>
        <v>2021</v>
      </c>
      <c r="E757" s="12" t="s">
        <v>78</v>
      </c>
      <c r="F757" t="s">
        <v>61</v>
      </c>
      <c r="G757" s="26">
        <v>4</v>
      </c>
      <c r="H757">
        <v>2</v>
      </c>
      <c r="I757" t="str">
        <f>IFERROR(VLOOKUP(Tabela6[[#This Row],[Descrição]],Materiais!B:C,2,0),"")</f>
        <v/>
      </c>
    </row>
    <row r="758" spans="2:9">
      <c r="B758" s="11">
        <f t="shared" si="56"/>
        <v>44407</v>
      </c>
      <c r="C758" s="19">
        <f>MONTH(Tabela6[[#This Row],[Data]])</f>
        <v>7</v>
      </c>
      <c r="D758" s="19">
        <f>YEAR(Tabela6[[#This Row],[Data]])</f>
        <v>2021</v>
      </c>
      <c r="E758" s="12" t="s">
        <v>78</v>
      </c>
      <c r="F758" t="s">
        <v>109</v>
      </c>
      <c r="G758" s="26">
        <v>2</v>
      </c>
      <c r="H758">
        <v>1</v>
      </c>
      <c r="I758" t="str">
        <f>IFERROR(VLOOKUP(Tabela6[[#This Row],[Descrição]],Materiais!B:C,2,0),"")</f>
        <v/>
      </c>
    </row>
    <row r="759" spans="2:9">
      <c r="B759" s="11">
        <f t="shared" si="56"/>
        <v>44407</v>
      </c>
      <c r="C759" s="19">
        <f>MONTH(Tabela6[[#This Row],[Data]])</f>
        <v>7</v>
      </c>
      <c r="D759" s="19">
        <f>YEAR(Tabela6[[#This Row],[Data]])</f>
        <v>2021</v>
      </c>
      <c r="E759" s="12" t="s">
        <v>78</v>
      </c>
      <c r="F759" t="s">
        <v>95</v>
      </c>
      <c r="G759" s="26">
        <v>2</v>
      </c>
      <c r="H759">
        <v>1</v>
      </c>
      <c r="I759" t="str">
        <f>IFERROR(VLOOKUP(Tabela6[[#This Row],[Descrição]],Materiais!B:C,2,0),"")</f>
        <v/>
      </c>
    </row>
    <row r="760" spans="2:9">
      <c r="B760" s="11">
        <f t="shared" ref="B760:B772" si="57">42948+(365*4)</f>
        <v>44408</v>
      </c>
      <c r="C760" s="19">
        <f>MONTH(Tabela6[[#This Row],[Data]])</f>
        <v>7</v>
      </c>
      <c r="D760" s="19">
        <f>YEAR(Tabela6[[#This Row],[Data]])</f>
        <v>2021</v>
      </c>
      <c r="E760" s="12" t="s">
        <v>72</v>
      </c>
      <c r="F760" t="s">
        <v>7</v>
      </c>
      <c r="G760" s="26">
        <v>-2.4900000000000002</v>
      </c>
      <c r="H760">
        <v>265</v>
      </c>
      <c r="I760" t="str">
        <f>IFERROR(VLOOKUP(Tabela6[[#This Row],[Descrição]],Materiais!B:C,2,0),"")</f>
        <v>g</v>
      </c>
    </row>
    <row r="761" spans="2:9">
      <c r="B761" s="11">
        <f t="shared" si="57"/>
        <v>44408</v>
      </c>
      <c r="C761" s="19">
        <f>MONTH(Tabela6[[#This Row],[Data]])</f>
        <v>7</v>
      </c>
      <c r="D761" s="19">
        <f>YEAR(Tabela6[[#This Row],[Data]])</f>
        <v>2021</v>
      </c>
      <c r="E761" s="12" t="s">
        <v>78</v>
      </c>
      <c r="F761" t="s">
        <v>63</v>
      </c>
      <c r="G761" s="26">
        <v>4</v>
      </c>
      <c r="H761">
        <v>2</v>
      </c>
      <c r="I761" t="str">
        <f>IFERROR(VLOOKUP(Tabela6[[#This Row],[Descrição]],Materiais!B:C,2,0),"")</f>
        <v/>
      </c>
    </row>
    <row r="762" spans="2:9">
      <c r="B762" s="11">
        <f t="shared" si="57"/>
        <v>44408</v>
      </c>
      <c r="C762" s="19">
        <f>MONTH(Tabela6[[#This Row],[Data]])</f>
        <v>7</v>
      </c>
      <c r="D762" s="19">
        <f>YEAR(Tabela6[[#This Row],[Data]])</f>
        <v>2021</v>
      </c>
      <c r="E762" s="12" t="s">
        <v>78</v>
      </c>
      <c r="F762" t="s">
        <v>133</v>
      </c>
      <c r="G762" s="26">
        <v>4</v>
      </c>
      <c r="H762">
        <v>2</v>
      </c>
      <c r="I762" t="str">
        <f>IFERROR(VLOOKUP(Tabela6[[#This Row],[Descrição]],Materiais!B:C,2,0),"")</f>
        <v/>
      </c>
    </row>
    <row r="763" spans="2:9">
      <c r="B763" s="11">
        <f t="shared" si="57"/>
        <v>44408</v>
      </c>
      <c r="C763" s="19">
        <f>MONTH(Tabela6[[#This Row],[Data]])</f>
        <v>7</v>
      </c>
      <c r="D763" s="19">
        <f>YEAR(Tabela6[[#This Row],[Data]])</f>
        <v>2021</v>
      </c>
      <c r="E763" s="12" t="s">
        <v>78</v>
      </c>
      <c r="F763" t="s">
        <v>56</v>
      </c>
      <c r="G763" s="26">
        <v>6</v>
      </c>
      <c r="H763">
        <v>3</v>
      </c>
      <c r="I763" t="str">
        <f>IFERROR(VLOOKUP(Tabela6[[#This Row],[Descrição]],Materiais!B:C,2,0),"")</f>
        <v/>
      </c>
    </row>
    <row r="764" spans="2:9">
      <c r="B764" s="11">
        <f t="shared" si="57"/>
        <v>44408</v>
      </c>
      <c r="C764" s="19">
        <f>MONTH(Tabela6[[#This Row],[Data]])</f>
        <v>7</v>
      </c>
      <c r="D764" s="19">
        <f>YEAR(Tabela6[[#This Row],[Data]])</f>
        <v>2021</v>
      </c>
      <c r="E764" s="12" t="s">
        <v>78</v>
      </c>
      <c r="F764" t="s">
        <v>100</v>
      </c>
      <c r="G764" s="26">
        <v>4</v>
      </c>
      <c r="H764">
        <v>2</v>
      </c>
      <c r="I764" t="str">
        <f>IFERROR(VLOOKUP(Tabela6[[#This Row],[Descrição]],Materiais!B:C,2,0),"")</f>
        <v/>
      </c>
    </row>
    <row r="765" spans="2:9">
      <c r="B765" s="11">
        <f t="shared" si="57"/>
        <v>44408</v>
      </c>
      <c r="C765" s="19">
        <f>MONTH(Tabela6[[#This Row],[Data]])</f>
        <v>7</v>
      </c>
      <c r="D765" s="19">
        <f>YEAR(Tabela6[[#This Row],[Data]])</f>
        <v>2021</v>
      </c>
      <c r="E765" s="12" t="s">
        <v>78</v>
      </c>
      <c r="F765" t="s">
        <v>61</v>
      </c>
      <c r="G765" s="26">
        <v>8</v>
      </c>
      <c r="H765">
        <v>4</v>
      </c>
      <c r="I765" t="str">
        <f>IFERROR(VLOOKUP(Tabela6[[#This Row],[Descrição]],Materiais!B:C,2,0),"")</f>
        <v/>
      </c>
    </row>
    <row r="766" spans="2:9">
      <c r="B766" s="11">
        <f t="shared" si="57"/>
        <v>44408</v>
      </c>
      <c r="C766" s="19">
        <f>MONTH(Tabela6[[#This Row],[Data]])</f>
        <v>7</v>
      </c>
      <c r="D766" s="19">
        <f>YEAR(Tabela6[[#This Row],[Data]])</f>
        <v>2021</v>
      </c>
      <c r="E766" s="12" t="s">
        <v>72</v>
      </c>
      <c r="F766" t="s">
        <v>16</v>
      </c>
      <c r="G766" s="26">
        <v>-26.5</v>
      </c>
      <c r="H766">
        <v>1000</v>
      </c>
      <c r="I766" t="str">
        <f>IFERROR(VLOOKUP(Tabela6[[#This Row],[Descrição]],Materiais!B:C,2,0),"")</f>
        <v>g</v>
      </c>
    </row>
    <row r="767" spans="2:9">
      <c r="B767" s="11">
        <f t="shared" si="57"/>
        <v>44408</v>
      </c>
      <c r="C767" s="19">
        <f>MONTH(Tabela6[[#This Row],[Data]])</f>
        <v>7</v>
      </c>
      <c r="D767" s="19">
        <f>YEAR(Tabela6[[#This Row],[Data]])</f>
        <v>2021</v>
      </c>
      <c r="E767" s="12" t="s">
        <v>72</v>
      </c>
      <c r="F767" t="s">
        <v>77</v>
      </c>
      <c r="G767" s="26">
        <v>0</v>
      </c>
      <c r="H767">
        <v>500</v>
      </c>
      <c r="I767" t="str">
        <f>IFERROR(VLOOKUP(Tabela6[[#This Row],[Descrição]],Materiais!B:C,2,0),"")</f>
        <v/>
      </c>
    </row>
    <row r="768" spans="2:9">
      <c r="B768" s="11">
        <f t="shared" si="57"/>
        <v>44408</v>
      </c>
      <c r="C768" s="19">
        <f>MONTH(Tabela6[[#This Row],[Data]])</f>
        <v>7</v>
      </c>
      <c r="D768" s="19">
        <f>YEAR(Tabela6[[#This Row],[Data]])</f>
        <v>2021</v>
      </c>
      <c r="E768" s="12" t="s">
        <v>72</v>
      </c>
      <c r="F768" t="s">
        <v>120</v>
      </c>
      <c r="G768" s="26">
        <v>0</v>
      </c>
      <c r="H768">
        <v>500</v>
      </c>
      <c r="I768" t="str">
        <f>IFERROR(VLOOKUP(Tabela6[[#This Row],[Descrição]],Materiais!B:C,2,0),"")</f>
        <v/>
      </c>
    </row>
    <row r="769" spans="2:9">
      <c r="B769" s="11">
        <f t="shared" si="57"/>
        <v>44408</v>
      </c>
      <c r="C769" s="19">
        <f>MONTH(Tabela6[[#This Row],[Data]])</f>
        <v>7</v>
      </c>
      <c r="D769" s="19">
        <f>YEAR(Tabela6[[#This Row],[Data]])</f>
        <v>2021</v>
      </c>
      <c r="E769" s="12" t="s">
        <v>78</v>
      </c>
      <c r="F769" t="s">
        <v>126</v>
      </c>
      <c r="G769" s="26">
        <v>10</v>
      </c>
      <c r="H769">
        <v>5</v>
      </c>
      <c r="I769" t="str">
        <f>IFERROR(VLOOKUP(Tabela6[[#This Row],[Descrição]],Materiais!B:C,2,0),"")</f>
        <v/>
      </c>
    </row>
    <row r="770" spans="2:9">
      <c r="B770" s="11">
        <f t="shared" si="57"/>
        <v>44408</v>
      </c>
      <c r="C770" s="19">
        <f>MONTH(Tabela6[[#This Row],[Data]])</f>
        <v>7</v>
      </c>
      <c r="D770" s="19">
        <f>YEAR(Tabela6[[#This Row],[Data]])</f>
        <v>2021</v>
      </c>
      <c r="E770" s="12" t="s">
        <v>78</v>
      </c>
      <c r="F770" t="s">
        <v>62</v>
      </c>
      <c r="G770" s="26">
        <v>4</v>
      </c>
      <c r="H770">
        <v>2</v>
      </c>
      <c r="I770" t="str">
        <f>IFERROR(VLOOKUP(Tabela6[[#This Row],[Descrição]],Materiais!B:C,2,0),"")</f>
        <v/>
      </c>
    </row>
    <row r="771" spans="2:9">
      <c r="B771" s="11">
        <f t="shared" si="57"/>
        <v>44408</v>
      </c>
      <c r="C771" s="19">
        <f>MONTH(Tabela6[[#This Row],[Data]])</f>
        <v>7</v>
      </c>
      <c r="D771" s="19">
        <f>YEAR(Tabela6[[#This Row],[Data]])</f>
        <v>2021</v>
      </c>
      <c r="E771" s="12" t="s">
        <v>78</v>
      </c>
      <c r="F771" t="s">
        <v>58</v>
      </c>
      <c r="G771" s="26">
        <v>8</v>
      </c>
      <c r="H771">
        <v>4</v>
      </c>
      <c r="I771" t="str">
        <f>IFERROR(VLOOKUP(Tabela6[[#This Row],[Descrição]],Materiais!B:C,2,0),"")</f>
        <v/>
      </c>
    </row>
    <row r="772" spans="2:9">
      <c r="B772" s="11">
        <f t="shared" si="57"/>
        <v>44408</v>
      </c>
      <c r="C772" s="19">
        <f>MONTH(Tabela6[[#This Row],[Data]])</f>
        <v>7</v>
      </c>
      <c r="D772" s="19">
        <f>YEAR(Tabela6[[#This Row],[Data]])</f>
        <v>2021</v>
      </c>
      <c r="E772" s="12" t="s">
        <v>78</v>
      </c>
      <c r="F772" t="s">
        <v>117</v>
      </c>
      <c r="G772" s="26">
        <v>4</v>
      </c>
      <c r="H772">
        <v>2</v>
      </c>
      <c r="I772" t="str">
        <f>IFERROR(VLOOKUP(Tabela6[[#This Row],[Descrição]],Materiais!B:C,2,0),"")</f>
        <v/>
      </c>
    </row>
    <row r="773" spans="2:9">
      <c r="B773" s="11">
        <f>42949+(365*4)</f>
        <v>44409</v>
      </c>
      <c r="C773" s="19">
        <f>MONTH(Tabela6[[#This Row],[Data]])</f>
        <v>8</v>
      </c>
      <c r="D773" s="19">
        <f>YEAR(Tabela6[[#This Row],[Data]])</f>
        <v>2021</v>
      </c>
      <c r="E773" s="12" t="s">
        <v>78</v>
      </c>
      <c r="F773" t="s">
        <v>133</v>
      </c>
      <c r="G773" s="26">
        <v>4</v>
      </c>
      <c r="H773">
        <v>2</v>
      </c>
      <c r="I773" t="str">
        <f>IFERROR(VLOOKUP(Tabela6[[#This Row],[Descrição]],Materiais!B:C,2,0),"")</f>
        <v/>
      </c>
    </row>
    <row r="774" spans="2:9">
      <c r="B774" s="11">
        <f>42949+(365*4)</f>
        <v>44409</v>
      </c>
      <c r="C774" s="19">
        <f>MONTH(Tabela6[[#This Row],[Data]])</f>
        <v>8</v>
      </c>
      <c r="D774" s="19">
        <f>YEAR(Tabela6[[#This Row],[Data]])</f>
        <v>2021</v>
      </c>
      <c r="E774" s="12" t="s">
        <v>78</v>
      </c>
      <c r="F774" t="s">
        <v>56</v>
      </c>
      <c r="G774" s="26">
        <v>2</v>
      </c>
      <c r="H774">
        <v>1</v>
      </c>
      <c r="I774" t="str">
        <f>IFERROR(VLOOKUP(Tabela6[[#This Row],[Descrição]],Materiais!B:C,2,0),"")</f>
        <v/>
      </c>
    </row>
    <row r="775" spans="2:9">
      <c r="B775" s="11">
        <f>42949+(365*4)</f>
        <v>44409</v>
      </c>
      <c r="C775" s="19">
        <f>MONTH(Tabela6[[#This Row],[Data]])</f>
        <v>8</v>
      </c>
      <c r="D775" s="19">
        <f>YEAR(Tabela6[[#This Row],[Data]])</f>
        <v>2021</v>
      </c>
      <c r="E775" s="12" t="s">
        <v>78</v>
      </c>
      <c r="F775" t="s">
        <v>61</v>
      </c>
      <c r="G775" s="26">
        <v>4</v>
      </c>
      <c r="H775">
        <v>2</v>
      </c>
      <c r="I775" t="str">
        <f>IFERROR(VLOOKUP(Tabela6[[#This Row],[Descrição]],Materiais!B:C,2,0),"")</f>
        <v/>
      </c>
    </row>
    <row r="776" spans="2:9">
      <c r="B776" s="11">
        <f>42949+(365*4)</f>
        <v>44409</v>
      </c>
      <c r="C776" s="19">
        <f>MONTH(Tabela6[[#This Row],[Data]])</f>
        <v>8</v>
      </c>
      <c r="D776" s="19">
        <f>YEAR(Tabela6[[#This Row],[Data]])</f>
        <v>2021</v>
      </c>
      <c r="E776" s="12" t="s">
        <v>78</v>
      </c>
      <c r="F776" t="s">
        <v>126</v>
      </c>
      <c r="G776" s="26">
        <v>4</v>
      </c>
      <c r="H776">
        <v>2</v>
      </c>
      <c r="I776" t="str">
        <f>IFERROR(VLOOKUP(Tabela6[[#This Row],[Descrição]],Materiais!B:C,2,0),"")</f>
        <v/>
      </c>
    </row>
    <row r="777" spans="2:9">
      <c r="B777" s="11">
        <f t="shared" ref="B777:B786" si="58">42950+(365*4)</f>
        <v>44410</v>
      </c>
      <c r="C777" s="19">
        <f>MONTH(Tabela6[[#This Row],[Data]])</f>
        <v>8</v>
      </c>
      <c r="D777" s="19">
        <f>YEAR(Tabela6[[#This Row],[Data]])</f>
        <v>2021</v>
      </c>
      <c r="E777" s="12" t="s">
        <v>78</v>
      </c>
      <c r="F777" t="s">
        <v>63</v>
      </c>
      <c r="G777" s="26">
        <v>4</v>
      </c>
      <c r="H777">
        <v>2</v>
      </c>
      <c r="I777" t="str">
        <f>IFERROR(VLOOKUP(Tabela6[[#This Row],[Descrição]],Materiais!B:C,2,0),"")</f>
        <v/>
      </c>
    </row>
    <row r="778" spans="2:9">
      <c r="B778" s="11">
        <f t="shared" si="58"/>
        <v>44410</v>
      </c>
      <c r="C778" s="19">
        <f>MONTH(Tabela6[[#This Row],[Data]])</f>
        <v>8</v>
      </c>
      <c r="D778" s="19">
        <f>YEAR(Tabela6[[#This Row],[Data]])</f>
        <v>2021</v>
      </c>
      <c r="E778" s="12" t="s">
        <v>78</v>
      </c>
      <c r="F778" t="s">
        <v>133</v>
      </c>
      <c r="G778" s="26">
        <v>6</v>
      </c>
      <c r="H778">
        <v>3</v>
      </c>
      <c r="I778" t="str">
        <f>IFERROR(VLOOKUP(Tabela6[[#This Row],[Descrição]],Materiais!B:C,2,0),"")</f>
        <v/>
      </c>
    </row>
    <row r="779" spans="2:9">
      <c r="B779" s="11">
        <f t="shared" si="58"/>
        <v>44410</v>
      </c>
      <c r="C779" s="19">
        <f>MONTH(Tabela6[[#This Row],[Data]])</f>
        <v>8</v>
      </c>
      <c r="D779" s="19">
        <f>YEAR(Tabela6[[#This Row],[Data]])</f>
        <v>2021</v>
      </c>
      <c r="E779" s="12" t="s">
        <v>78</v>
      </c>
      <c r="F779" t="s">
        <v>56</v>
      </c>
      <c r="G779" s="26">
        <v>12</v>
      </c>
      <c r="H779">
        <v>10</v>
      </c>
      <c r="I779" t="str">
        <f>IFERROR(VLOOKUP(Tabela6[[#This Row],[Descrição]],Materiais!B:C,2,0),"")</f>
        <v/>
      </c>
    </row>
    <row r="780" spans="2:9">
      <c r="B780" s="11">
        <f t="shared" si="58"/>
        <v>44410</v>
      </c>
      <c r="C780" s="19">
        <f>MONTH(Tabela6[[#This Row],[Data]])</f>
        <v>8</v>
      </c>
      <c r="D780" s="19">
        <f>YEAR(Tabela6[[#This Row],[Data]])</f>
        <v>2021</v>
      </c>
      <c r="E780" s="12" t="s">
        <v>78</v>
      </c>
      <c r="F780" t="s">
        <v>100</v>
      </c>
      <c r="G780" s="26">
        <v>6</v>
      </c>
      <c r="H780">
        <v>3</v>
      </c>
      <c r="I780" t="str">
        <f>IFERROR(VLOOKUP(Tabela6[[#This Row],[Descrição]],Materiais!B:C,2,0),"")</f>
        <v/>
      </c>
    </row>
    <row r="781" spans="2:9">
      <c r="B781" s="11">
        <f t="shared" si="58"/>
        <v>44410</v>
      </c>
      <c r="C781" s="19">
        <f>MONTH(Tabela6[[#This Row],[Data]])</f>
        <v>8</v>
      </c>
      <c r="D781" s="19">
        <f>YEAR(Tabela6[[#This Row],[Data]])</f>
        <v>2021</v>
      </c>
      <c r="E781" s="12" t="s">
        <v>78</v>
      </c>
      <c r="F781" t="s">
        <v>61</v>
      </c>
      <c r="G781" s="26">
        <v>8</v>
      </c>
      <c r="H781">
        <v>4</v>
      </c>
      <c r="I781" t="str">
        <f>IFERROR(VLOOKUP(Tabela6[[#This Row],[Descrição]],Materiais!B:C,2,0),"")</f>
        <v/>
      </c>
    </row>
    <row r="782" spans="2:9">
      <c r="B782" s="11">
        <f t="shared" si="58"/>
        <v>44410</v>
      </c>
      <c r="C782" s="19">
        <f>MONTH(Tabela6[[#This Row],[Data]])</f>
        <v>8</v>
      </c>
      <c r="D782" s="19">
        <f>YEAR(Tabela6[[#This Row],[Data]])</f>
        <v>2021</v>
      </c>
      <c r="E782" s="12" t="s">
        <v>78</v>
      </c>
      <c r="F782" t="s">
        <v>126</v>
      </c>
      <c r="G782" s="26">
        <v>10</v>
      </c>
      <c r="H782">
        <v>5</v>
      </c>
      <c r="I782" t="str">
        <f>IFERROR(VLOOKUP(Tabela6[[#This Row],[Descrição]],Materiais!B:C,2,0),"")</f>
        <v/>
      </c>
    </row>
    <row r="783" spans="2:9">
      <c r="B783" s="11">
        <f t="shared" si="58"/>
        <v>44410</v>
      </c>
      <c r="C783" s="19">
        <f>MONTH(Tabela6[[#This Row],[Data]])</f>
        <v>8</v>
      </c>
      <c r="D783" s="19">
        <f>YEAR(Tabela6[[#This Row],[Data]])</f>
        <v>2021</v>
      </c>
      <c r="E783" s="12" t="s">
        <v>78</v>
      </c>
      <c r="F783" t="s">
        <v>62</v>
      </c>
      <c r="G783" s="26">
        <v>2</v>
      </c>
      <c r="H783">
        <v>1</v>
      </c>
      <c r="I783" t="str">
        <f>IFERROR(VLOOKUP(Tabela6[[#This Row],[Descrição]],Materiais!B:C,2,0),"")</f>
        <v/>
      </c>
    </row>
    <row r="784" spans="2:9">
      <c r="B784" s="11">
        <f t="shared" si="58"/>
        <v>44410</v>
      </c>
      <c r="C784" s="19">
        <f>MONTH(Tabela6[[#This Row],[Data]])</f>
        <v>8</v>
      </c>
      <c r="D784" s="19">
        <f>YEAR(Tabela6[[#This Row],[Data]])</f>
        <v>2021</v>
      </c>
      <c r="E784" s="12" t="s">
        <v>78</v>
      </c>
      <c r="F784" t="s">
        <v>109</v>
      </c>
      <c r="G784" s="26">
        <v>2</v>
      </c>
      <c r="H784">
        <v>1</v>
      </c>
      <c r="I784" t="str">
        <f>IFERROR(VLOOKUP(Tabela6[[#This Row],[Descrição]],Materiais!B:C,2,0),"")</f>
        <v/>
      </c>
    </row>
    <row r="785" spans="2:9">
      <c r="B785" s="11">
        <f t="shared" si="58"/>
        <v>44410</v>
      </c>
      <c r="C785" s="19">
        <f>MONTH(Tabela6[[#This Row],[Data]])</f>
        <v>8</v>
      </c>
      <c r="D785" s="19">
        <f>YEAR(Tabela6[[#This Row],[Data]])</f>
        <v>2021</v>
      </c>
      <c r="E785" s="12" t="s">
        <v>78</v>
      </c>
      <c r="F785" t="s">
        <v>58</v>
      </c>
      <c r="G785" s="26">
        <v>8</v>
      </c>
      <c r="H785">
        <v>4</v>
      </c>
      <c r="I785" t="str">
        <f>IFERROR(VLOOKUP(Tabela6[[#This Row],[Descrição]],Materiais!B:C,2,0),"")</f>
        <v/>
      </c>
    </row>
    <row r="786" spans="2:9">
      <c r="B786" s="11">
        <f t="shared" si="58"/>
        <v>44410</v>
      </c>
      <c r="C786" s="19">
        <f>MONTH(Tabela6[[#This Row],[Data]])</f>
        <v>8</v>
      </c>
      <c r="D786" s="19">
        <f>YEAR(Tabela6[[#This Row],[Data]])</f>
        <v>2021</v>
      </c>
      <c r="E786" s="12" t="s">
        <v>78</v>
      </c>
      <c r="F786" t="s">
        <v>95</v>
      </c>
      <c r="G786" s="26">
        <v>4</v>
      </c>
      <c r="H786">
        <v>2</v>
      </c>
      <c r="I786" t="str">
        <f>IFERROR(VLOOKUP(Tabela6[[#This Row],[Descrição]],Materiais!B:C,2,0),"")</f>
        <v/>
      </c>
    </row>
    <row r="787" spans="2:9">
      <c r="B787" s="11">
        <f>42951+(365*4)</f>
        <v>44411</v>
      </c>
      <c r="C787" s="19">
        <f>MONTH(Tabela6[[#This Row],[Data]])</f>
        <v>8</v>
      </c>
      <c r="D787" s="19">
        <f>YEAR(Tabela6[[#This Row],[Data]])</f>
        <v>2021</v>
      </c>
      <c r="E787" s="12" t="s">
        <v>78</v>
      </c>
      <c r="F787" t="s">
        <v>126</v>
      </c>
      <c r="G787" s="26">
        <v>8</v>
      </c>
      <c r="H787">
        <v>4</v>
      </c>
      <c r="I787" t="str">
        <f>IFERROR(VLOOKUP(Tabela6[[#This Row],[Descrição]],Materiais!B:C,2,0),"")</f>
        <v/>
      </c>
    </row>
    <row r="788" spans="2:9">
      <c r="B788" s="11">
        <f>42951+(365*4)</f>
        <v>44411</v>
      </c>
      <c r="C788" s="19">
        <f>MONTH(Tabela6[[#This Row],[Data]])</f>
        <v>8</v>
      </c>
      <c r="D788" s="19">
        <f>YEAR(Tabela6[[#This Row],[Data]])</f>
        <v>2021</v>
      </c>
      <c r="E788" s="12" t="s">
        <v>78</v>
      </c>
      <c r="F788" t="s">
        <v>62</v>
      </c>
      <c r="G788" s="26">
        <v>2</v>
      </c>
      <c r="H788">
        <v>1</v>
      </c>
      <c r="I788" t="str">
        <f>IFERROR(VLOOKUP(Tabela6[[#This Row],[Descrição]],Materiais!B:C,2,0),"")</f>
        <v/>
      </c>
    </row>
    <row r="789" spans="2:9">
      <c r="B789" s="11">
        <f>42951+(365*4)</f>
        <v>44411</v>
      </c>
      <c r="C789" s="19">
        <f>MONTH(Tabela6[[#This Row],[Data]])</f>
        <v>8</v>
      </c>
      <c r="D789" s="19">
        <f>YEAR(Tabela6[[#This Row],[Data]])</f>
        <v>2021</v>
      </c>
      <c r="E789" s="12" t="s">
        <v>78</v>
      </c>
      <c r="F789" t="s">
        <v>109</v>
      </c>
      <c r="G789" s="26">
        <v>2</v>
      </c>
      <c r="H789">
        <v>1</v>
      </c>
      <c r="I789" t="str">
        <f>IFERROR(VLOOKUP(Tabela6[[#This Row],[Descrição]],Materiais!B:C,2,0),"")</f>
        <v/>
      </c>
    </row>
    <row r="790" spans="2:9">
      <c r="B790" s="11">
        <f>42951+(365*4)</f>
        <v>44411</v>
      </c>
      <c r="C790" s="19">
        <f>MONTH(Tabela6[[#This Row],[Data]])</f>
        <v>8</v>
      </c>
      <c r="D790" s="19">
        <f>YEAR(Tabela6[[#This Row],[Data]])</f>
        <v>2021</v>
      </c>
      <c r="E790" s="12" t="s">
        <v>78</v>
      </c>
      <c r="F790" t="s">
        <v>58</v>
      </c>
      <c r="G790" s="26">
        <v>2</v>
      </c>
      <c r="H790">
        <v>1</v>
      </c>
      <c r="I790" t="str">
        <f>IFERROR(VLOOKUP(Tabela6[[#This Row],[Descrição]],Materiais!B:C,2,0),"")</f>
        <v/>
      </c>
    </row>
    <row r="791" spans="2:9">
      <c r="B791" s="11">
        <f>42953+(365*4)</f>
        <v>44413</v>
      </c>
      <c r="C791" s="19">
        <f>MONTH(Tabela6[[#This Row],[Data]])</f>
        <v>8</v>
      </c>
      <c r="D791" s="19">
        <f>YEAR(Tabela6[[#This Row],[Data]])</f>
        <v>2021</v>
      </c>
      <c r="E791" s="12" t="s">
        <v>72</v>
      </c>
      <c r="F791" t="s">
        <v>127</v>
      </c>
      <c r="G791" s="26">
        <v>-3.5</v>
      </c>
      <c r="H791">
        <v>1</v>
      </c>
      <c r="I791" t="str">
        <f>IFERROR(VLOOKUP(Tabela6[[#This Row],[Descrição]],Materiais!B:C,2,0),"")</f>
        <v/>
      </c>
    </row>
    <row r="792" spans="2:9">
      <c r="B792" s="11">
        <f t="shared" ref="B792:B801" si="59">42954+(365*4)</f>
        <v>44414</v>
      </c>
      <c r="C792" s="19">
        <f>MONTH(Tabela6[[#This Row],[Data]])</f>
        <v>8</v>
      </c>
      <c r="D792" s="19">
        <f>YEAR(Tabela6[[#This Row],[Data]])</f>
        <v>2021</v>
      </c>
      <c r="E792" s="12" t="s">
        <v>78</v>
      </c>
      <c r="F792" t="s">
        <v>63</v>
      </c>
      <c r="G792" s="26">
        <v>2</v>
      </c>
      <c r="H792">
        <v>1</v>
      </c>
      <c r="I792" t="str">
        <f>IFERROR(VLOOKUP(Tabela6[[#This Row],[Descrição]],Materiais!B:C,2,0),"")</f>
        <v/>
      </c>
    </row>
    <row r="793" spans="2:9">
      <c r="B793" s="11">
        <f t="shared" si="59"/>
        <v>44414</v>
      </c>
      <c r="C793" s="19">
        <f>MONTH(Tabela6[[#This Row],[Data]])</f>
        <v>8</v>
      </c>
      <c r="D793" s="19">
        <f>YEAR(Tabela6[[#This Row],[Data]])</f>
        <v>2021</v>
      </c>
      <c r="E793" s="12" t="s">
        <v>78</v>
      </c>
      <c r="F793" t="s">
        <v>56</v>
      </c>
      <c r="G793" s="26">
        <v>70</v>
      </c>
      <c r="H793">
        <v>100</v>
      </c>
      <c r="I793" t="str">
        <f>IFERROR(VLOOKUP(Tabela6[[#This Row],[Descrição]],Materiais!B:C,2,0),"")</f>
        <v/>
      </c>
    </row>
    <row r="794" spans="2:9">
      <c r="B794" s="11">
        <f t="shared" si="59"/>
        <v>44414</v>
      </c>
      <c r="C794" s="19">
        <f>MONTH(Tabela6[[#This Row],[Data]])</f>
        <v>8</v>
      </c>
      <c r="D794" s="19">
        <f>YEAR(Tabela6[[#This Row],[Data]])</f>
        <v>2021</v>
      </c>
      <c r="E794" s="12" t="s">
        <v>78</v>
      </c>
      <c r="F794" t="s">
        <v>56</v>
      </c>
      <c r="G794" s="26">
        <v>35</v>
      </c>
      <c r="H794">
        <v>50</v>
      </c>
      <c r="I794" t="str">
        <f>IFERROR(VLOOKUP(Tabela6[[#This Row],[Descrição]],Materiais!B:C,2,0),"")</f>
        <v/>
      </c>
    </row>
    <row r="795" spans="2:9">
      <c r="B795" s="11">
        <f t="shared" si="59"/>
        <v>44414</v>
      </c>
      <c r="C795" s="19">
        <f>MONTH(Tabela6[[#This Row],[Data]])</f>
        <v>8</v>
      </c>
      <c r="D795" s="19">
        <f>YEAR(Tabela6[[#This Row],[Data]])</f>
        <v>2021</v>
      </c>
      <c r="E795" s="12" t="s">
        <v>78</v>
      </c>
      <c r="F795" t="s">
        <v>56</v>
      </c>
      <c r="G795" s="26">
        <v>16</v>
      </c>
      <c r="H795">
        <v>8</v>
      </c>
      <c r="I795" t="str">
        <f>IFERROR(VLOOKUP(Tabela6[[#This Row],[Descrição]],Materiais!B:C,2,0),"")</f>
        <v/>
      </c>
    </row>
    <row r="796" spans="2:9">
      <c r="B796" s="11">
        <f t="shared" si="59"/>
        <v>44414</v>
      </c>
      <c r="C796" s="19">
        <f>MONTH(Tabela6[[#This Row],[Data]])</f>
        <v>8</v>
      </c>
      <c r="D796" s="19">
        <f>YEAR(Tabela6[[#This Row],[Data]])</f>
        <v>2021</v>
      </c>
      <c r="E796" s="12" t="s">
        <v>78</v>
      </c>
      <c r="F796" t="s">
        <v>100</v>
      </c>
      <c r="G796" s="26">
        <v>8</v>
      </c>
      <c r="H796">
        <v>4</v>
      </c>
      <c r="I796" t="str">
        <f>IFERROR(VLOOKUP(Tabela6[[#This Row],[Descrição]],Materiais!B:C,2,0),"")</f>
        <v/>
      </c>
    </row>
    <row r="797" spans="2:9">
      <c r="B797" s="11">
        <f t="shared" si="59"/>
        <v>44414</v>
      </c>
      <c r="C797" s="19">
        <f>MONTH(Tabela6[[#This Row],[Data]])</f>
        <v>8</v>
      </c>
      <c r="D797" s="19">
        <f>YEAR(Tabela6[[#This Row],[Data]])</f>
        <v>2021</v>
      </c>
      <c r="E797" s="12" t="s">
        <v>78</v>
      </c>
      <c r="F797" t="s">
        <v>61</v>
      </c>
      <c r="G797" s="26">
        <v>12</v>
      </c>
      <c r="H797">
        <v>6</v>
      </c>
      <c r="I797" t="str">
        <f>IFERROR(VLOOKUP(Tabela6[[#This Row],[Descrição]],Materiais!B:C,2,0),"")</f>
        <v/>
      </c>
    </row>
    <row r="798" spans="2:9">
      <c r="B798" s="11">
        <f t="shared" si="59"/>
        <v>44414</v>
      </c>
      <c r="C798" s="19">
        <f>MONTH(Tabela6[[#This Row],[Data]])</f>
        <v>8</v>
      </c>
      <c r="D798" s="19">
        <f>YEAR(Tabela6[[#This Row],[Data]])</f>
        <v>2021</v>
      </c>
      <c r="E798" s="12" t="s">
        <v>78</v>
      </c>
      <c r="F798" t="s">
        <v>62</v>
      </c>
      <c r="G798" s="26">
        <v>2</v>
      </c>
      <c r="H798">
        <v>1</v>
      </c>
      <c r="I798" t="str">
        <f>IFERROR(VLOOKUP(Tabela6[[#This Row],[Descrição]],Materiais!B:C,2,0),"")</f>
        <v/>
      </c>
    </row>
    <row r="799" spans="2:9">
      <c r="B799" s="11">
        <f t="shared" si="59"/>
        <v>44414</v>
      </c>
      <c r="C799" s="19">
        <f>MONTH(Tabela6[[#This Row],[Data]])</f>
        <v>8</v>
      </c>
      <c r="D799" s="19">
        <f>YEAR(Tabela6[[#This Row],[Data]])</f>
        <v>2021</v>
      </c>
      <c r="E799" s="12" t="s">
        <v>78</v>
      </c>
      <c r="F799" t="s">
        <v>109</v>
      </c>
      <c r="G799" s="26">
        <v>6</v>
      </c>
      <c r="H799">
        <v>3</v>
      </c>
      <c r="I799" t="str">
        <f>IFERROR(VLOOKUP(Tabela6[[#This Row],[Descrição]],Materiais!B:C,2,0),"")</f>
        <v/>
      </c>
    </row>
    <row r="800" spans="2:9">
      <c r="B800" s="11">
        <f t="shared" si="59"/>
        <v>44414</v>
      </c>
      <c r="C800" s="19">
        <f>MONTH(Tabela6[[#This Row],[Data]])</f>
        <v>8</v>
      </c>
      <c r="D800" s="19">
        <f>YEAR(Tabela6[[#This Row],[Data]])</f>
        <v>2021</v>
      </c>
      <c r="E800" s="12" t="s">
        <v>78</v>
      </c>
      <c r="F800" t="s">
        <v>58</v>
      </c>
      <c r="G800" s="26">
        <v>8</v>
      </c>
      <c r="H800">
        <v>4</v>
      </c>
      <c r="I800" t="str">
        <f>IFERROR(VLOOKUP(Tabela6[[#This Row],[Descrição]],Materiais!B:C,2,0),"")</f>
        <v/>
      </c>
    </row>
    <row r="801" spans="2:9">
      <c r="B801" s="11">
        <f t="shared" si="59"/>
        <v>44414</v>
      </c>
      <c r="C801" s="19">
        <f>MONTH(Tabela6[[#This Row],[Data]])</f>
        <v>8</v>
      </c>
      <c r="D801" s="19">
        <f>YEAR(Tabela6[[#This Row],[Data]])</f>
        <v>2021</v>
      </c>
      <c r="E801" s="12" t="s">
        <v>78</v>
      </c>
      <c r="F801" t="s">
        <v>58</v>
      </c>
      <c r="G801" s="26">
        <v>2</v>
      </c>
      <c r="H801">
        <v>1</v>
      </c>
      <c r="I801" t="str">
        <f>IFERROR(VLOOKUP(Tabela6[[#This Row],[Descrição]],Materiais!B:C,2,0),"")</f>
        <v/>
      </c>
    </row>
    <row r="802" spans="2:9">
      <c r="B802" s="11">
        <f t="shared" ref="B802:B808" si="60">42955+(365*4)</f>
        <v>44415</v>
      </c>
      <c r="C802" s="19">
        <f>MONTH(Tabela6[[#This Row],[Data]])</f>
        <v>8</v>
      </c>
      <c r="D802" s="19">
        <f>YEAR(Tabela6[[#This Row],[Data]])</f>
        <v>2021</v>
      </c>
      <c r="E802" s="12" t="s">
        <v>78</v>
      </c>
      <c r="F802" t="s">
        <v>63</v>
      </c>
      <c r="G802" s="26">
        <v>4</v>
      </c>
      <c r="H802">
        <v>2</v>
      </c>
      <c r="I802" t="str">
        <f>IFERROR(VLOOKUP(Tabela6[[#This Row],[Descrição]],Materiais!B:C,2,0),"")</f>
        <v/>
      </c>
    </row>
    <row r="803" spans="2:9">
      <c r="B803" s="11">
        <f t="shared" si="60"/>
        <v>44415</v>
      </c>
      <c r="C803" s="19">
        <f>MONTH(Tabela6[[#This Row],[Data]])</f>
        <v>8</v>
      </c>
      <c r="D803" s="19">
        <f>YEAR(Tabela6[[#This Row],[Data]])</f>
        <v>2021</v>
      </c>
      <c r="E803" s="12" t="s">
        <v>78</v>
      </c>
      <c r="F803" t="s">
        <v>56</v>
      </c>
      <c r="G803" s="26">
        <v>70</v>
      </c>
      <c r="H803">
        <v>100</v>
      </c>
      <c r="I803" t="str">
        <f>IFERROR(VLOOKUP(Tabela6[[#This Row],[Descrição]],Materiais!B:C,2,0),"")</f>
        <v/>
      </c>
    </row>
    <row r="804" spans="2:9">
      <c r="B804" s="11">
        <f t="shared" si="60"/>
        <v>44415</v>
      </c>
      <c r="C804" s="19">
        <f>MONTH(Tabela6[[#This Row],[Data]])</f>
        <v>8</v>
      </c>
      <c r="D804" s="19">
        <f>YEAR(Tabela6[[#This Row],[Data]])</f>
        <v>2021</v>
      </c>
      <c r="E804" s="12" t="s">
        <v>78</v>
      </c>
      <c r="F804" t="s">
        <v>56</v>
      </c>
      <c r="G804" s="26">
        <v>12</v>
      </c>
      <c r="H804">
        <v>6</v>
      </c>
      <c r="I804" t="str">
        <f>IFERROR(VLOOKUP(Tabela6[[#This Row],[Descrição]],Materiais!B:C,2,0),"")</f>
        <v/>
      </c>
    </row>
    <row r="805" spans="2:9">
      <c r="B805" s="11">
        <f t="shared" si="60"/>
        <v>44415</v>
      </c>
      <c r="C805" s="19">
        <f>MONTH(Tabela6[[#This Row],[Data]])</f>
        <v>8</v>
      </c>
      <c r="D805" s="19">
        <f>YEAR(Tabela6[[#This Row],[Data]])</f>
        <v>2021</v>
      </c>
      <c r="E805" s="12" t="s">
        <v>78</v>
      </c>
      <c r="F805" t="s">
        <v>100</v>
      </c>
      <c r="G805" s="26">
        <v>6</v>
      </c>
      <c r="H805">
        <v>3</v>
      </c>
      <c r="I805" t="str">
        <f>IFERROR(VLOOKUP(Tabela6[[#This Row],[Descrição]],Materiais!B:C,2,0),"")</f>
        <v/>
      </c>
    </row>
    <row r="806" spans="2:9">
      <c r="B806" s="11">
        <f t="shared" si="60"/>
        <v>44415</v>
      </c>
      <c r="C806" s="19">
        <f>MONTH(Tabela6[[#This Row],[Data]])</f>
        <v>8</v>
      </c>
      <c r="D806" s="19">
        <f>YEAR(Tabela6[[#This Row],[Data]])</f>
        <v>2021</v>
      </c>
      <c r="E806" s="12" t="s">
        <v>78</v>
      </c>
      <c r="F806" t="s">
        <v>61</v>
      </c>
      <c r="G806" s="26">
        <v>10</v>
      </c>
      <c r="H806">
        <v>5</v>
      </c>
      <c r="I806" t="str">
        <f>IFERROR(VLOOKUP(Tabela6[[#This Row],[Descrição]],Materiais!B:C,2,0),"")</f>
        <v/>
      </c>
    </row>
    <row r="807" spans="2:9">
      <c r="B807" s="11">
        <f t="shared" si="60"/>
        <v>44415</v>
      </c>
      <c r="C807" s="19">
        <f>MONTH(Tabela6[[#This Row],[Data]])</f>
        <v>8</v>
      </c>
      <c r="D807" s="19">
        <f>YEAR(Tabela6[[#This Row],[Data]])</f>
        <v>2021</v>
      </c>
      <c r="E807" s="12" t="s">
        <v>78</v>
      </c>
      <c r="F807" t="s">
        <v>126</v>
      </c>
      <c r="G807" s="26">
        <v>8</v>
      </c>
      <c r="H807">
        <v>4</v>
      </c>
      <c r="I807" t="str">
        <f>IFERROR(VLOOKUP(Tabela6[[#This Row],[Descrição]],Materiais!B:C,2,0),"")</f>
        <v/>
      </c>
    </row>
    <row r="808" spans="2:9">
      <c r="B808" s="11">
        <f t="shared" si="60"/>
        <v>44415</v>
      </c>
      <c r="C808" s="19">
        <f>MONTH(Tabela6[[#This Row],[Data]])</f>
        <v>8</v>
      </c>
      <c r="D808" s="19">
        <f>YEAR(Tabela6[[#This Row],[Data]])</f>
        <v>2021</v>
      </c>
      <c r="E808" s="12" t="s">
        <v>78</v>
      </c>
      <c r="F808" t="s">
        <v>58</v>
      </c>
      <c r="G808" s="26">
        <v>8</v>
      </c>
      <c r="H808">
        <v>4</v>
      </c>
      <c r="I808" t="str">
        <f>IFERROR(VLOOKUP(Tabela6[[#This Row],[Descrição]],Materiais!B:C,2,0),"")</f>
        <v/>
      </c>
    </row>
    <row r="809" spans="2:9">
      <c r="B809" s="11">
        <f t="shared" ref="B809:B815" si="61">42956+(365*4)</f>
        <v>44416</v>
      </c>
      <c r="C809" s="19">
        <f>MONTH(Tabela6[[#This Row],[Data]])</f>
        <v>8</v>
      </c>
      <c r="D809" s="19">
        <f>YEAR(Tabela6[[#This Row],[Data]])</f>
        <v>2021</v>
      </c>
      <c r="E809" s="12" t="s">
        <v>78</v>
      </c>
      <c r="F809" t="s">
        <v>63</v>
      </c>
      <c r="G809" s="26">
        <v>2</v>
      </c>
      <c r="H809">
        <v>1</v>
      </c>
      <c r="I809" t="str">
        <f>IFERROR(VLOOKUP(Tabela6[[#This Row],[Descrição]],Materiais!B:C,2,0),"")</f>
        <v/>
      </c>
    </row>
    <row r="810" spans="2:9">
      <c r="B810" s="11">
        <f t="shared" si="61"/>
        <v>44416</v>
      </c>
      <c r="C810" s="19">
        <f>MONTH(Tabela6[[#This Row],[Data]])</f>
        <v>8</v>
      </c>
      <c r="D810" s="19">
        <f>YEAR(Tabela6[[#This Row],[Data]])</f>
        <v>2021</v>
      </c>
      <c r="E810" s="12" t="s">
        <v>78</v>
      </c>
      <c r="F810" t="s">
        <v>133</v>
      </c>
      <c r="G810" s="26">
        <v>10</v>
      </c>
      <c r="H810">
        <v>5</v>
      </c>
      <c r="I810" t="str">
        <f>IFERROR(VLOOKUP(Tabela6[[#This Row],[Descrição]],Materiais!B:C,2,0),"")</f>
        <v/>
      </c>
    </row>
    <row r="811" spans="2:9">
      <c r="B811" s="11">
        <f t="shared" si="61"/>
        <v>44416</v>
      </c>
      <c r="C811" s="19">
        <f>MONTH(Tabela6[[#This Row],[Data]])</f>
        <v>8</v>
      </c>
      <c r="D811" s="19">
        <f>YEAR(Tabela6[[#This Row],[Data]])</f>
        <v>2021</v>
      </c>
      <c r="E811" s="12" t="s">
        <v>78</v>
      </c>
      <c r="F811" t="s">
        <v>56</v>
      </c>
      <c r="G811" s="26">
        <v>2</v>
      </c>
      <c r="H811">
        <v>1</v>
      </c>
      <c r="I811" t="str">
        <f>IFERROR(VLOOKUP(Tabela6[[#This Row],[Descrição]],Materiais!B:C,2,0),"")</f>
        <v/>
      </c>
    </row>
    <row r="812" spans="2:9">
      <c r="B812" s="11">
        <f t="shared" si="61"/>
        <v>44416</v>
      </c>
      <c r="C812" s="19">
        <f>MONTH(Tabela6[[#This Row],[Data]])</f>
        <v>8</v>
      </c>
      <c r="D812" s="19">
        <f>YEAR(Tabela6[[#This Row],[Data]])</f>
        <v>2021</v>
      </c>
      <c r="E812" s="12" t="s">
        <v>78</v>
      </c>
      <c r="F812" t="s">
        <v>61</v>
      </c>
      <c r="G812" s="26">
        <v>10</v>
      </c>
      <c r="H812">
        <v>5</v>
      </c>
      <c r="I812" t="str">
        <f>IFERROR(VLOOKUP(Tabela6[[#This Row],[Descrição]],Materiais!B:C,2,0),"")</f>
        <v/>
      </c>
    </row>
    <row r="813" spans="2:9">
      <c r="B813" s="11">
        <f t="shared" si="61"/>
        <v>44416</v>
      </c>
      <c r="C813" s="19">
        <f>MONTH(Tabela6[[#This Row],[Data]])</f>
        <v>8</v>
      </c>
      <c r="D813" s="19">
        <f>YEAR(Tabela6[[#This Row],[Data]])</f>
        <v>2021</v>
      </c>
      <c r="E813" s="12" t="s">
        <v>78</v>
      </c>
      <c r="F813" t="s">
        <v>62</v>
      </c>
      <c r="G813" s="26">
        <v>4</v>
      </c>
      <c r="H813">
        <v>2</v>
      </c>
      <c r="I813" t="str">
        <f>IFERROR(VLOOKUP(Tabela6[[#This Row],[Descrição]],Materiais!B:C,2,0),"")</f>
        <v/>
      </c>
    </row>
    <row r="814" spans="2:9">
      <c r="B814" s="11">
        <f t="shared" si="61"/>
        <v>44416</v>
      </c>
      <c r="C814" s="19">
        <f>MONTH(Tabela6[[#This Row],[Data]])</f>
        <v>8</v>
      </c>
      <c r="D814" s="19">
        <f>YEAR(Tabela6[[#This Row],[Data]])</f>
        <v>2021</v>
      </c>
      <c r="E814" s="12" t="s">
        <v>78</v>
      </c>
      <c r="F814" t="s">
        <v>58</v>
      </c>
      <c r="G814" s="26">
        <v>2</v>
      </c>
      <c r="H814">
        <v>1</v>
      </c>
      <c r="I814" t="str">
        <f>IFERROR(VLOOKUP(Tabela6[[#This Row],[Descrição]],Materiais!B:C,2,0),"")</f>
        <v/>
      </c>
    </row>
    <row r="815" spans="2:9">
      <c r="B815" s="11">
        <f t="shared" si="61"/>
        <v>44416</v>
      </c>
      <c r="C815" s="19">
        <f>MONTH(Tabela6[[#This Row],[Data]])</f>
        <v>8</v>
      </c>
      <c r="D815" s="19">
        <f>YEAR(Tabela6[[#This Row],[Data]])</f>
        <v>2021</v>
      </c>
      <c r="E815" s="12" t="s">
        <v>78</v>
      </c>
      <c r="F815" t="s">
        <v>117</v>
      </c>
      <c r="G815" s="26">
        <v>4</v>
      </c>
      <c r="H815">
        <v>2</v>
      </c>
      <c r="I815" t="str">
        <f>IFERROR(VLOOKUP(Tabela6[[#This Row],[Descrição]],Materiais!B:C,2,0),"")</f>
        <v/>
      </c>
    </row>
    <row r="816" spans="2:9">
      <c r="B816" s="11">
        <f t="shared" ref="B816:B823" si="62">42957+(365*4)</f>
        <v>44417</v>
      </c>
      <c r="C816" s="19">
        <f>MONTH(Tabela6[[#This Row],[Data]])</f>
        <v>8</v>
      </c>
      <c r="D816" s="19">
        <f>YEAR(Tabela6[[#This Row],[Data]])</f>
        <v>2021</v>
      </c>
      <c r="E816" s="12" t="s">
        <v>78</v>
      </c>
      <c r="F816" t="s">
        <v>63</v>
      </c>
      <c r="G816" s="26">
        <v>6</v>
      </c>
      <c r="H816">
        <v>3</v>
      </c>
      <c r="I816" t="str">
        <f>IFERROR(VLOOKUP(Tabela6[[#This Row],[Descrição]],Materiais!B:C,2,0),"")</f>
        <v/>
      </c>
    </row>
    <row r="817" spans="2:9">
      <c r="B817" s="11">
        <f t="shared" si="62"/>
        <v>44417</v>
      </c>
      <c r="C817" s="19">
        <f>MONTH(Tabela6[[#This Row],[Data]])</f>
        <v>8</v>
      </c>
      <c r="D817" s="19">
        <f>YEAR(Tabela6[[#This Row],[Data]])</f>
        <v>2021</v>
      </c>
      <c r="E817" s="12" t="s">
        <v>78</v>
      </c>
      <c r="F817" t="s">
        <v>133</v>
      </c>
      <c r="G817" s="26">
        <v>6</v>
      </c>
      <c r="H817">
        <v>3</v>
      </c>
      <c r="I817" t="str">
        <f>IFERROR(VLOOKUP(Tabela6[[#This Row],[Descrição]],Materiais!B:C,2,0),"")</f>
        <v/>
      </c>
    </row>
    <row r="818" spans="2:9">
      <c r="B818" s="11">
        <f t="shared" si="62"/>
        <v>44417</v>
      </c>
      <c r="C818" s="19">
        <f>MONTH(Tabela6[[#This Row],[Data]])</f>
        <v>8</v>
      </c>
      <c r="D818" s="19">
        <f>YEAR(Tabela6[[#This Row],[Data]])</f>
        <v>2021</v>
      </c>
      <c r="E818" s="12" t="s">
        <v>78</v>
      </c>
      <c r="F818" t="s">
        <v>56</v>
      </c>
      <c r="G818" s="26">
        <v>16</v>
      </c>
      <c r="H818">
        <v>8</v>
      </c>
      <c r="I818" t="str">
        <f>IFERROR(VLOOKUP(Tabela6[[#This Row],[Descrição]],Materiais!B:C,2,0),"")</f>
        <v/>
      </c>
    </row>
    <row r="819" spans="2:9">
      <c r="B819" s="11">
        <f t="shared" si="62"/>
        <v>44417</v>
      </c>
      <c r="C819" s="19">
        <f>MONTH(Tabela6[[#This Row],[Data]])</f>
        <v>8</v>
      </c>
      <c r="D819" s="19">
        <f>YEAR(Tabela6[[#This Row],[Data]])</f>
        <v>2021</v>
      </c>
      <c r="E819" s="12" t="s">
        <v>78</v>
      </c>
      <c r="F819" t="s">
        <v>61</v>
      </c>
      <c r="G819" s="26">
        <v>14</v>
      </c>
      <c r="H819">
        <v>7</v>
      </c>
      <c r="I819" t="str">
        <f>IFERROR(VLOOKUP(Tabela6[[#This Row],[Descrição]],Materiais!B:C,2,0),"")</f>
        <v/>
      </c>
    </row>
    <row r="820" spans="2:9">
      <c r="B820" s="11">
        <f t="shared" si="62"/>
        <v>44417</v>
      </c>
      <c r="C820" s="19">
        <f>MONTH(Tabela6[[#This Row],[Data]])</f>
        <v>8</v>
      </c>
      <c r="D820" s="19">
        <f>YEAR(Tabela6[[#This Row],[Data]])</f>
        <v>2021</v>
      </c>
      <c r="E820" s="12" t="s">
        <v>78</v>
      </c>
      <c r="F820" t="s">
        <v>126</v>
      </c>
      <c r="G820" s="26">
        <v>6</v>
      </c>
      <c r="H820">
        <v>3</v>
      </c>
      <c r="I820" t="str">
        <f>IFERROR(VLOOKUP(Tabela6[[#This Row],[Descrição]],Materiais!B:C,2,0),"")</f>
        <v/>
      </c>
    </row>
    <row r="821" spans="2:9">
      <c r="B821" s="11">
        <f t="shared" si="62"/>
        <v>44417</v>
      </c>
      <c r="C821" s="19">
        <f>MONTH(Tabela6[[#This Row],[Data]])</f>
        <v>8</v>
      </c>
      <c r="D821" s="19">
        <f>YEAR(Tabela6[[#This Row],[Data]])</f>
        <v>2021</v>
      </c>
      <c r="E821" s="12" t="s">
        <v>78</v>
      </c>
      <c r="F821" t="s">
        <v>58</v>
      </c>
      <c r="G821" s="26">
        <v>8</v>
      </c>
      <c r="H821">
        <v>4</v>
      </c>
      <c r="I821" t="str">
        <f>IFERROR(VLOOKUP(Tabela6[[#This Row],[Descrição]],Materiais!B:C,2,0),"")</f>
        <v/>
      </c>
    </row>
    <row r="822" spans="2:9">
      <c r="B822" s="11">
        <f t="shared" si="62"/>
        <v>44417</v>
      </c>
      <c r="C822" s="19">
        <f>MONTH(Tabela6[[#This Row],[Data]])</f>
        <v>8</v>
      </c>
      <c r="D822" s="19">
        <f>YEAR(Tabela6[[#This Row],[Data]])</f>
        <v>2021</v>
      </c>
      <c r="E822" s="12" t="s">
        <v>78</v>
      </c>
      <c r="F822" t="s">
        <v>95</v>
      </c>
      <c r="G822" s="26">
        <v>2</v>
      </c>
      <c r="H822">
        <v>1</v>
      </c>
      <c r="I822" t="str">
        <f>IFERROR(VLOOKUP(Tabela6[[#This Row],[Descrição]],Materiais!B:C,2,0),"")</f>
        <v/>
      </c>
    </row>
    <row r="823" spans="2:9">
      <c r="B823" s="11">
        <f t="shared" si="62"/>
        <v>44417</v>
      </c>
      <c r="C823" s="19">
        <f>MONTH(Tabela6[[#This Row],[Data]])</f>
        <v>8</v>
      </c>
      <c r="D823" s="19">
        <f>YEAR(Tabela6[[#This Row],[Data]])</f>
        <v>2021</v>
      </c>
      <c r="E823" s="12" t="s">
        <v>78</v>
      </c>
      <c r="F823" t="s">
        <v>117</v>
      </c>
      <c r="G823" s="26">
        <v>4</v>
      </c>
      <c r="H823">
        <v>2</v>
      </c>
      <c r="I823" t="str">
        <f>IFERROR(VLOOKUP(Tabela6[[#This Row],[Descrição]],Materiais!B:C,2,0),"")</f>
        <v/>
      </c>
    </row>
    <row r="824" spans="2:9">
      <c r="B824" s="11">
        <f t="shared" ref="B824:B830" si="63">42958+(365*4)</f>
        <v>44418</v>
      </c>
      <c r="C824" s="19">
        <f>MONTH(Tabela6[[#This Row],[Data]])</f>
        <v>8</v>
      </c>
      <c r="D824" s="19">
        <f>YEAR(Tabela6[[#This Row],[Data]])</f>
        <v>2021</v>
      </c>
      <c r="E824" s="12" t="s">
        <v>78</v>
      </c>
      <c r="F824" t="s">
        <v>63</v>
      </c>
      <c r="G824" s="26">
        <v>2</v>
      </c>
      <c r="H824">
        <v>1</v>
      </c>
      <c r="I824" t="str">
        <f>IFERROR(VLOOKUP(Tabela6[[#This Row],[Descrição]],Materiais!B:C,2,0),"")</f>
        <v/>
      </c>
    </row>
    <row r="825" spans="2:9">
      <c r="B825" s="11">
        <f t="shared" si="63"/>
        <v>44418</v>
      </c>
      <c r="C825" s="19">
        <f>MONTH(Tabela6[[#This Row],[Data]])</f>
        <v>8</v>
      </c>
      <c r="D825" s="19">
        <f>YEAR(Tabela6[[#This Row],[Data]])</f>
        <v>2021</v>
      </c>
      <c r="E825" s="12" t="s">
        <v>78</v>
      </c>
      <c r="F825" t="s">
        <v>133</v>
      </c>
      <c r="G825" s="26">
        <v>4</v>
      </c>
      <c r="H825">
        <v>2</v>
      </c>
      <c r="I825" t="str">
        <f>IFERROR(VLOOKUP(Tabela6[[#This Row],[Descrição]],Materiais!B:C,2,0),"")</f>
        <v/>
      </c>
    </row>
    <row r="826" spans="2:9">
      <c r="B826" s="11">
        <f t="shared" si="63"/>
        <v>44418</v>
      </c>
      <c r="C826" s="19">
        <f>MONTH(Tabela6[[#This Row],[Data]])</f>
        <v>8</v>
      </c>
      <c r="D826" s="19">
        <f>YEAR(Tabela6[[#This Row],[Data]])</f>
        <v>2021</v>
      </c>
      <c r="E826" s="12" t="s">
        <v>78</v>
      </c>
      <c r="F826" t="s">
        <v>56</v>
      </c>
      <c r="G826" s="26">
        <v>35</v>
      </c>
      <c r="H826">
        <v>50</v>
      </c>
      <c r="I826" t="str">
        <f>IFERROR(VLOOKUP(Tabela6[[#This Row],[Descrição]],Materiais!B:C,2,0),"")</f>
        <v/>
      </c>
    </row>
    <row r="827" spans="2:9">
      <c r="B827" s="11">
        <f t="shared" si="63"/>
        <v>44418</v>
      </c>
      <c r="C827" s="19">
        <f>MONTH(Tabela6[[#This Row],[Data]])</f>
        <v>8</v>
      </c>
      <c r="D827" s="19">
        <f>YEAR(Tabela6[[#This Row],[Data]])</f>
        <v>2021</v>
      </c>
      <c r="E827" s="12" t="s">
        <v>78</v>
      </c>
      <c r="F827" t="s">
        <v>61</v>
      </c>
      <c r="G827" s="26">
        <v>10</v>
      </c>
      <c r="H827">
        <v>5</v>
      </c>
      <c r="I827" t="str">
        <f>IFERROR(VLOOKUP(Tabela6[[#This Row],[Descrição]],Materiais!B:C,2,0),"")</f>
        <v/>
      </c>
    </row>
    <row r="828" spans="2:9">
      <c r="B828" s="11">
        <f t="shared" si="63"/>
        <v>44418</v>
      </c>
      <c r="C828" s="19">
        <f>MONTH(Tabela6[[#This Row],[Data]])</f>
        <v>8</v>
      </c>
      <c r="D828" s="19">
        <f>YEAR(Tabela6[[#This Row],[Data]])</f>
        <v>2021</v>
      </c>
      <c r="E828" s="12" t="s">
        <v>78</v>
      </c>
      <c r="F828" t="s">
        <v>126</v>
      </c>
      <c r="G828" s="26">
        <v>8</v>
      </c>
      <c r="H828">
        <v>4</v>
      </c>
      <c r="I828" t="str">
        <f>IFERROR(VLOOKUP(Tabela6[[#This Row],[Descrição]],Materiais!B:C,2,0),"")</f>
        <v/>
      </c>
    </row>
    <row r="829" spans="2:9">
      <c r="B829" s="11">
        <f t="shared" si="63"/>
        <v>44418</v>
      </c>
      <c r="C829" s="19">
        <f>MONTH(Tabela6[[#This Row],[Data]])</f>
        <v>8</v>
      </c>
      <c r="D829" s="19">
        <f>YEAR(Tabela6[[#This Row],[Data]])</f>
        <v>2021</v>
      </c>
      <c r="E829" s="12" t="s">
        <v>78</v>
      </c>
      <c r="F829" t="s">
        <v>58</v>
      </c>
      <c r="G829" s="26">
        <v>6</v>
      </c>
      <c r="H829">
        <v>3</v>
      </c>
      <c r="I829" t="str">
        <f>IFERROR(VLOOKUP(Tabela6[[#This Row],[Descrição]],Materiais!B:C,2,0),"")</f>
        <v/>
      </c>
    </row>
    <row r="830" spans="2:9">
      <c r="B830" s="11">
        <f t="shared" si="63"/>
        <v>44418</v>
      </c>
      <c r="C830" s="19">
        <f>MONTH(Tabela6[[#This Row],[Data]])</f>
        <v>8</v>
      </c>
      <c r="D830" s="19">
        <f>YEAR(Tabela6[[#This Row],[Data]])</f>
        <v>2021</v>
      </c>
      <c r="E830" s="12" t="s">
        <v>78</v>
      </c>
      <c r="F830" t="s">
        <v>95</v>
      </c>
      <c r="G830" s="26">
        <v>2</v>
      </c>
      <c r="H830">
        <v>1</v>
      </c>
      <c r="I830" t="str">
        <f>IFERROR(VLOOKUP(Tabela6[[#This Row],[Descrição]],Materiais!B:C,2,0),"")</f>
        <v/>
      </c>
    </row>
    <row r="831" spans="2:9">
      <c r="B831" s="11">
        <f>42960+(365*4)</f>
        <v>44420</v>
      </c>
      <c r="C831" s="19">
        <f>MONTH(Tabela6[[#This Row],[Data]])</f>
        <v>8</v>
      </c>
      <c r="D831" s="19">
        <f>YEAR(Tabela6[[#This Row],[Data]])</f>
        <v>2021</v>
      </c>
      <c r="E831" s="12" t="s">
        <v>78</v>
      </c>
      <c r="F831" t="s">
        <v>56</v>
      </c>
      <c r="G831" s="26">
        <v>20</v>
      </c>
      <c r="H831">
        <v>10</v>
      </c>
      <c r="I831" t="str">
        <f>IFERROR(VLOOKUP(Tabela6[[#This Row],[Descrição]],Materiais!B:C,2,0),"")</f>
        <v/>
      </c>
    </row>
    <row r="832" spans="2:9">
      <c r="B832" s="11">
        <f>42960+(365*4)</f>
        <v>44420</v>
      </c>
      <c r="C832" s="19">
        <f>MONTH(Tabela6[[#This Row],[Data]])</f>
        <v>8</v>
      </c>
      <c r="D832" s="19">
        <f>YEAR(Tabela6[[#This Row],[Data]])</f>
        <v>2021</v>
      </c>
      <c r="E832" s="12" t="s">
        <v>78</v>
      </c>
      <c r="F832" t="s">
        <v>126</v>
      </c>
      <c r="G832" s="26">
        <v>20</v>
      </c>
      <c r="H832">
        <v>10</v>
      </c>
      <c r="I832" t="str">
        <f>IFERROR(VLOOKUP(Tabela6[[#This Row],[Descrição]],Materiais!B:C,2,0),"")</f>
        <v/>
      </c>
    </row>
    <row r="833" spans="2:9">
      <c r="B833" s="11">
        <f>42960+(365*4)</f>
        <v>44420</v>
      </c>
      <c r="C833" s="19">
        <f>MONTH(Tabela6[[#This Row],[Data]])</f>
        <v>8</v>
      </c>
      <c r="D833" s="19">
        <f>YEAR(Tabela6[[#This Row],[Data]])</f>
        <v>2021</v>
      </c>
      <c r="E833" s="12" t="s">
        <v>78</v>
      </c>
      <c r="F833" t="s">
        <v>109</v>
      </c>
      <c r="G833" s="26">
        <v>10</v>
      </c>
      <c r="H833">
        <v>5</v>
      </c>
      <c r="I833" t="str">
        <f>IFERROR(VLOOKUP(Tabela6[[#This Row],[Descrição]],Materiais!B:C,2,0),"")</f>
        <v/>
      </c>
    </row>
    <row r="834" spans="2:9">
      <c r="B834" s="11">
        <f>42960+(365*4)</f>
        <v>44420</v>
      </c>
      <c r="C834" s="19">
        <f>MONTH(Tabela6[[#This Row],[Data]])</f>
        <v>8</v>
      </c>
      <c r="D834" s="19">
        <f>YEAR(Tabela6[[#This Row],[Data]])</f>
        <v>2021</v>
      </c>
      <c r="E834" s="12" t="s">
        <v>78</v>
      </c>
      <c r="F834" t="s">
        <v>58</v>
      </c>
      <c r="G834" s="26">
        <v>20</v>
      </c>
      <c r="H834">
        <v>10</v>
      </c>
      <c r="I834" t="str">
        <f>IFERROR(VLOOKUP(Tabela6[[#This Row],[Descrição]],Materiais!B:C,2,0),"")</f>
        <v/>
      </c>
    </row>
    <row r="835" spans="2:9">
      <c r="B835" s="11">
        <f>42960+(365*4)</f>
        <v>44420</v>
      </c>
      <c r="C835" s="19">
        <f>MONTH(Tabela6[[#This Row],[Data]])</f>
        <v>8</v>
      </c>
      <c r="D835" s="19">
        <f>YEAR(Tabela6[[#This Row],[Data]])</f>
        <v>2021</v>
      </c>
      <c r="E835" s="12" t="s">
        <v>78</v>
      </c>
      <c r="F835" t="s">
        <v>95</v>
      </c>
      <c r="G835" s="26">
        <v>10</v>
      </c>
      <c r="H835">
        <v>5</v>
      </c>
      <c r="I835" t="str">
        <f>IFERROR(VLOOKUP(Tabela6[[#This Row],[Descrição]],Materiais!B:C,2,0),"")</f>
        <v/>
      </c>
    </row>
    <row r="836" spans="2:9">
      <c r="B836" s="11">
        <f t="shared" ref="B836:B845" si="64">42961+(365*4)</f>
        <v>44421</v>
      </c>
      <c r="C836" s="19">
        <f>MONTH(Tabela6[[#This Row],[Data]])</f>
        <v>8</v>
      </c>
      <c r="D836" s="19">
        <f>YEAR(Tabela6[[#This Row],[Data]])</f>
        <v>2021</v>
      </c>
      <c r="E836" s="12" t="s">
        <v>78</v>
      </c>
      <c r="F836" t="s">
        <v>63</v>
      </c>
      <c r="G836" s="26">
        <v>4</v>
      </c>
      <c r="H836">
        <v>2</v>
      </c>
      <c r="I836" t="str">
        <f>IFERROR(VLOOKUP(Tabela6[[#This Row],[Descrição]],Materiais!B:C,2,0),"")</f>
        <v/>
      </c>
    </row>
    <row r="837" spans="2:9">
      <c r="B837" s="11">
        <f t="shared" si="64"/>
        <v>44421</v>
      </c>
      <c r="C837" s="19">
        <f>MONTH(Tabela6[[#This Row],[Data]])</f>
        <v>8</v>
      </c>
      <c r="D837" s="19">
        <f>YEAR(Tabela6[[#This Row],[Data]])</f>
        <v>2021</v>
      </c>
      <c r="E837" s="12" t="s">
        <v>78</v>
      </c>
      <c r="F837" t="s">
        <v>133</v>
      </c>
      <c r="G837" s="26">
        <v>4</v>
      </c>
      <c r="H837">
        <v>2</v>
      </c>
      <c r="I837" t="str">
        <f>IFERROR(VLOOKUP(Tabela6[[#This Row],[Descrição]],Materiais!B:C,2,0),"")</f>
        <v/>
      </c>
    </row>
    <row r="838" spans="2:9">
      <c r="B838" s="11">
        <f t="shared" si="64"/>
        <v>44421</v>
      </c>
      <c r="C838" s="19">
        <f>MONTH(Tabela6[[#This Row],[Data]])</f>
        <v>8</v>
      </c>
      <c r="D838" s="19">
        <f>YEAR(Tabela6[[#This Row],[Data]])</f>
        <v>2021</v>
      </c>
      <c r="E838" s="12" t="s">
        <v>78</v>
      </c>
      <c r="F838" t="s">
        <v>56</v>
      </c>
      <c r="G838" s="26">
        <v>6</v>
      </c>
      <c r="H838">
        <v>3</v>
      </c>
      <c r="I838" t="str">
        <f>IFERROR(VLOOKUP(Tabela6[[#This Row],[Descrição]],Materiais!B:C,2,0),"")</f>
        <v/>
      </c>
    </row>
    <row r="839" spans="2:9">
      <c r="B839" s="11">
        <f t="shared" si="64"/>
        <v>44421</v>
      </c>
      <c r="C839" s="19">
        <f>MONTH(Tabela6[[#This Row],[Data]])</f>
        <v>8</v>
      </c>
      <c r="D839" s="19">
        <f>YEAR(Tabela6[[#This Row],[Data]])</f>
        <v>2021</v>
      </c>
      <c r="E839" s="12" t="s">
        <v>78</v>
      </c>
      <c r="F839" t="s">
        <v>100</v>
      </c>
      <c r="G839" s="26">
        <v>4</v>
      </c>
      <c r="H839">
        <v>2</v>
      </c>
      <c r="I839" t="str">
        <f>IFERROR(VLOOKUP(Tabela6[[#This Row],[Descrição]],Materiais!B:C,2,0),"")</f>
        <v/>
      </c>
    </row>
    <row r="840" spans="2:9">
      <c r="B840" s="11">
        <f t="shared" si="64"/>
        <v>44421</v>
      </c>
      <c r="C840" s="19">
        <f>MONTH(Tabela6[[#This Row],[Data]])</f>
        <v>8</v>
      </c>
      <c r="D840" s="19">
        <f>YEAR(Tabela6[[#This Row],[Data]])</f>
        <v>2021</v>
      </c>
      <c r="E840" s="12" t="s">
        <v>78</v>
      </c>
      <c r="F840" t="s">
        <v>61</v>
      </c>
      <c r="G840" s="26">
        <v>8</v>
      </c>
      <c r="H840">
        <v>4</v>
      </c>
      <c r="I840" t="str">
        <f>IFERROR(VLOOKUP(Tabela6[[#This Row],[Descrição]],Materiais!B:C,2,0),"")</f>
        <v/>
      </c>
    </row>
    <row r="841" spans="2:9">
      <c r="B841" s="11">
        <f t="shared" si="64"/>
        <v>44421</v>
      </c>
      <c r="C841" s="19">
        <f>MONTH(Tabela6[[#This Row],[Data]])</f>
        <v>8</v>
      </c>
      <c r="D841" s="19">
        <f>YEAR(Tabela6[[#This Row],[Data]])</f>
        <v>2021</v>
      </c>
      <c r="E841" s="12" t="s">
        <v>78</v>
      </c>
      <c r="F841" t="s">
        <v>126</v>
      </c>
      <c r="G841" s="26">
        <v>6</v>
      </c>
      <c r="H841">
        <v>3</v>
      </c>
      <c r="I841" t="str">
        <f>IFERROR(VLOOKUP(Tabela6[[#This Row],[Descrição]],Materiais!B:C,2,0),"")</f>
        <v/>
      </c>
    </row>
    <row r="842" spans="2:9">
      <c r="B842" s="11">
        <f t="shared" si="64"/>
        <v>44421</v>
      </c>
      <c r="C842" s="19">
        <f>MONTH(Tabela6[[#This Row],[Data]])</f>
        <v>8</v>
      </c>
      <c r="D842" s="19">
        <f>YEAR(Tabela6[[#This Row],[Data]])</f>
        <v>2021</v>
      </c>
      <c r="E842" s="12" t="s">
        <v>78</v>
      </c>
      <c r="F842" t="s">
        <v>109</v>
      </c>
      <c r="G842" s="26">
        <v>4</v>
      </c>
      <c r="H842">
        <v>2</v>
      </c>
      <c r="I842" t="str">
        <f>IFERROR(VLOOKUP(Tabela6[[#This Row],[Descrição]],Materiais!B:C,2,0),"")</f>
        <v/>
      </c>
    </row>
    <row r="843" spans="2:9">
      <c r="B843" s="11">
        <f t="shared" si="64"/>
        <v>44421</v>
      </c>
      <c r="C843" s="19">
        <f>MONTH(Tabela6[[#This Row],[Data]])</f>
        <v>8</v>
      </c>
      <c r="D843" s="19">
        <f>YEAR(Tabela6[[#This Row],[Data]])</f>
        <v>2021</v>
      </c>
      <c r="E843" s="12" t="s">
        <v>78</v>
      </c>
      <c r="F843" t="s">
        <v>58</v>
      </c>
      <c r="G843" s="26">
        <v>4</v>
      </c>
      <c r="H843">
        <v>2</v>
      </c>
      <c r="I843" t="str">
        <f>IFERROR(VLOOKUP(Tabela6[[#This Row],[Descrição]],Materiais!B:C,2,0),"")</f>
        <v/>
      </c>
    </row>
    <row r="844" spans="2:9">
      <c r="B844" s="11">
        <f t="shared" si="64"/>
        <v>44421</v>
      </c>
      <c r="C844" s="19">
        <f>MONTH(Tabela6[[#This Row],[Data]])</f>
        <v>8</v>
      </c>
      <c r="D844" s="19">
        <f>YEAR(Tabela6[[#This Row],[Data]])</f>
        <v>2021</v>
      </c>
      <c r="E844" s="12" t="s">
        <v>78</v>
      </c>
      <c r="F844" t="s">
        <v>95</v>
      </c>
      <c r="G844" s="26">
        <v>2</v>
      </c>
      <c r="H844">
        <v>1</v>
      </c>
      <c r="I844" t="str">
        <f>IFERROR(VLOOKUP(Tabela6[[#This Row],[Descrição]],Materiais!B:C,2,0),"")</f>
        <v/>
      </c>
    </row>
    <row r="845" spans="2:9">
      <c r="B845" s="11">
        <f t="shared" si="64"/>
        <v>44421</v>
      </c>
      <c r="C845" s="19">
        <f>MONTH(Tabela6[[#This Row],[Data]])</f>
        <v>8</v>
      </c>
      <c r="D845" s="19">
        <f>YEAR(Tabela6[[#This Row],[Data]])</f>
        <v>2021</v>
      </c>
      <c r="E845" s="12" t="s">
        <v>78</v>
      </c>
      <c r="F845" t="s">
        <v>117</v>
      </c>
      <c r="G845" s="26">
        <v>2</v>
      </c>
      <c r="H845">
        <v>1</v>
      </c>
      <c r="I845" t="str">
        <f>IFERROR(VLOOKUP(Tabela6[[#This Row],[Descrição]],Materiais!B:C,2,0),"")</f>
        <v/>
      </c>
    </row>
    <row r="846" spans="2:9">
      <c r="B846" s="11">
        <f t="shared" ref="B846:B856" si="65">42962+(365*4)</f>
        <v>44422</v>
      </c>
      <c r="C846" s="19">
        <f>MONTH(Tabela6[[#This Row],[Data]])</f>
        <v>8</v>
      </c>
      <c r="D846" s="19">
        <f>YEAR(Tabela6[[#This Row],[Data]])</f>
        <v>2021</v>
      </c>
      <c r="E846" s="12" t="s">
        <v>78</v>
      </c>
      <c r="F846" t="s">
        <v>63</v>
      </c>
      <c r="G846" s="26">
        <v>4</v>
      </c>
      <c r="H846">
        <v>2</v>
      </c>
      <c r="I846" t="str">
        <f>IFERROR(VLOOKUP(Tabela6[[#This Row],[Descrição]],Materiais!B:C,2,0),"")</f>
        <v/>
      </c>
    </row>
    <row r="847" spans="2:9">
      <c r="B847" s="11">
        <f t="shared" si="65"/>
        <v>44422</v>
      </c>
      <c r="C847" s="19">
        <f>MONTH(Tabela6[[#This Row],[Data]])</f>
        <v>8</v>
      </c>
      <c r="D847" s="19">
        <f>YEAR(Tabela6[[#This Row],[Data]])</f>
        <v>2021</v>
      </c>
      <c r="E847" s="12" t="s">
        <v>78</v>
      </c>
      <c r="F847" t="s">
        <v>133</v>
      </c>
      <c r="G847" s="26">
        <v>4</v>
      </c>
      <c r="H847">
        <v>2</v>
      </c>
      <c r="I847" t="str">
        <f>IFERROR(VLOOKUP(Tabela6[[#This Row],[Descrição]],Materiais!B:C,2,0),"")</f>
        <v/>
      </c>
    </row>
    <row r="848" spans="2:9">
      <c r="B848" s="11">
        <f t="shared" si="65"/>
        <v>44422</v>
      </c>
      <c r="C848" s="19">
        <f>MONTH(Tabela6[[#This Row],[Data]])</f>
        <v>8</v>
      </c>
      <c r="D848" s="19">
        <f>YEAR(Tabela6[[#This Row],[Data]])</f>
        <v>2021</v>
      </c>
      <c r="E848" s="12" t="s">
        <v>78</v>
      </c>
      <c r="F848" t="s">
        <v>56</v>
      </c>
      <c r="G848" s="26">
        <v>8</v>
      </c>
      <c r="H848">
        <v>4</v>
      </c>
      <c r="I848" t="str">
        <f>IFERROR(VLOOKUP(Tabela6[[#This Row],[Descrição]],Materiais!B:C,2,0),"")</f>
        <v/>
      </c>
    </row>
    <row r="849" spans="2:9">
      <c r="B849" s="11">
        <f t="shared" si="65"/>
        <v>44422</v>
      </c>
      <c r="C849" s="19">
        <f>MONTH(Tabela6[[#This Row],[Data]])</f>
        <v>8</v>
      </c>
      <c r="D849" s="19">
        <f>YEAR(Tabela6[[#This Row],[Data]])</f>
        <v>2021</v>
      </c>
      <c r="E849" s="12" t="s">
        <v>78</v>
      </c>
      <c r="F849" t="s">
        <v>100</v>
      </c>
      <c r="G849" s="26">
        <v>8</v>
      </c>
      <c r="H849">
        <v>4</v>
      </c>
      <c r="I849" t="str">
        <f>IFERROR(VLOOKUP(Tabela6[[#This Row],[Descrição]],Materiais!B:C,2,0),"")</f>
        <v/>
      </c>
    </row>
    <row r="850" spans="2:9">
      <c r="B850" s="11">
        <f t="shared" si="65"/>
        <v>44422</v>
      </c>
      <c r="C850" s="19">
        <f>MONTH(Tabela6[[#This Row],[Data]])</f>
        <v>8</v>
      </c>
      <c r="D850" s="19">
        <f>YEAR(Tabela6[[#This Row],[Data]])</f>
        <v>2021</v>
      </c>
      <c r="E850" s="12" t="s">
        <v>78</v>
      </c>
      <c r="F850" t="s">
        <v>61</v>
      </c>
      <c r="G850" s="26">
        <v>8</v>
      </c>
      <c r="H850">
        <v>4</v>
      </c>
      <c r="I850" t="str">
        <f>IFERROR(VLOOKUP(Tabela6[[#This Row],[Descrição]],Materiais!B:C,2,0),"")</f>
        <v/>
      </c>
    </row>
    <row r="851" spans="2:9">
      <c r="B851" s="11">
        <f t="shared" si="65"/>
        <v>44422</v>
      </c>
      <c r="C851" s="19">
        <f>MONTH(Tabela6[[#This Row],[Data]])</f>
        <v>8</v>
      </c>
      <c r="D851" s="19">
        <f>YEAR(Tabela6[[#This Row],[Data]])</f>
        <v>2021</v>
      </c>
      <c r="E851" s="12" t="s">
        <v>78</v>
      </c>
      <c r="F851" t="s">
        <v>126</v>
      </c>
      <c r="G851" s="26">
        <v>4</v>
      </c>
      <c r="H851">
        <v>2</v>
      </c>
      <c r="I851" t="str">
        <f>IFERROR(VLOOKUP(Tabela6[[#This Row],[Descrição]],Materiais!B:C,2,0),"")</f>
        <v/>
      </c>
    </row>
    <row r="852" spans="2:9">
      <c r="B852" s="11">
        <f t="shared" si="65"/>
        <v>44422</v>
      </c>
      <c r="C852" s="19">
        <f>MONTH(Tabela6[[#This Row],[Data]])</f>
        <v>8</v>
      </c>
      <c r="D852" s="19">
        <f>YEAR(Tabela6[[#This Row],[Data]])</f>
        <v>2021</v>
      </c>
      <c r="E852" s="12" t="s">
        <v>78</v>
      </c>
      <c r="F852" t="s">
        <v>62</v>
      </c>
      <c r="G852" s="26">
        <v>4</v>
      </c>
      <c r="H852">
        <v>2</v>
      </c>
      <c r="I852" t="str">
        <f>IFERROR(VLOOKUP(Tabela6[[#This Row],[Descrição]],Materiais!B:C,2,0),"")</f>
        <v/>
      </c>
    </row>
    <row r="853" spans="2:9">
      <c r="B853" s="11">
        <f t="shared" si="65"/>
        <v>44422</v>
      </c>
      <c r="C853" s="19">
        <f>MONTH(Tabela6[[#This Row],[Data]])</f>
        <v>8</v>
      </c>
      <c r="D853" s="19">
        <f>YEAR(Tabela6[[#This Row],[Data]])</f>
        <v>2021</v>
      </c>
      <c r="E853" s="12" t="s">
        <v>78</v>
      </c>
      <c r="F853" t="s">
        <v>109</v>
      </c>
      <c r="G853" s="26">
        <v>2</v>
      </c>
      <c r="H853">
        <v>1</v>
      </c>
      <c r="I853" t="str">
        <f>IFERROR(VLOOKUP(Tabela6[[#This Row],[Descrição]],Materiais!B:C,2,0),"")</f>
        <v/>
      </c>
    </row>
    <row r="854" spans="2:9">
      <c r="B854" s="11">
        <f t="shared" si="65"/>
        <v>44422</v>
      </c>
      <c r="C854" s="19">
        <f>MONTH(Tabela6[[#This Row],[Data]])</f>
        <v>8</v>
      </c>
      <c r="D854" s="19">
        <f>YEAR(Tabela6[[#This Row],[Data]])</f>
        <v>2021</v>
      </c>
      <c r="E854" s="12" t="s">
        <v>78</v>
      </c>
      <c r="F854" t="s">
        <v>58</v>
      </c>
      <c r="G854" s="26">
        <v>4</v>
      </c>
      <c r="H854">
        <v>2</v>
      </c>
      <c r="I854" t="str">
        <f>IFERROR(VLOOKUP(Tabela6[[#This Row],[Descrição]],Materiais!B:C,2,0),"")</f>
        <v/>
      </c>
    </row>
    <row r="855" spans="2:9">
      <c r="B855" s="11">
        <f t="shared" si="65"/>
        <v>44422</v>
      </c>
      <c r="C855" s="19">
        <f>MONTH(Tabela6[[#This Row],[Data]])</f>
        <v>8</v>
      </c>
      <c r="D855" s="19">
        <f>YEAR(Tabela6[[#This Row],[Data]])</f>
        <v>2021</v>
      </c>
      <c r="E855" s="12" t="s">
        <v>78</v>
      </c>
      <c r="F855" t="s">
        <v>95</v>
      </c>
      <c r="G855" s="26">
        <v>2</v>
      </c>
      <c r="H855">
        <v>1</v>
      </c>
      <c r="I855" t="str">
        <f>IFERROR(VLOOKUP(Tabela6[[#This Row],[Descrição]],Materiais!B:C,2,0),"")</f>
        <v/>
      </c>
    </row>
    <row r="856" spans="2:9">
      <c r="B856" s="11">
        <f t="shared" si="65"/>
        <v>44422</v>
      </c>
      <c r="C856" s="19">
        <f>MONTH(Tabela6[[#This Row],[Data]])</f>
        <v>8</v>
      </c>
      <c r="D856" s="19">
        <f>YEAR(Tabela6[[#This Row],[Data]])</f>
        <v>2021</v>
      </c>
      <c r="E856" s="12" t="s">
        <v>78</v>
      </c>
      <c r="F856" t="s">
        <v>117</v>
      </c>
      <c r="G856" s="26">
        <v>2</v>
      </c>
      <c r="H856">
        <v>1</v>
      </c>
      <c r="I856" t="str">
        <f>IFERROR(VLOOKUP(Tabela6[[#This Row],[Descrição]],Materiais!B:C,2,0),"")</f>
        <v/>
      </c>
    </row>
    <row r="857" spans="2:9">
      <c r="B857" s="11">
        <f t="shared" ref="B857:B863" si="66">42963+(365*4)</f>
        <v>44423</v>
      </c>
      <c r="C857" s="19">
        <f>MONTH(Tabela6[[#This Row],[Data]])</f>
        <v>8</v>
      </c>
      <c r="D857" s="19">
        <f>YEAR(Tabela6[[#This Row],[Data]])</f>
        <v>2021</v>
      </c>
      <c r="E857" s="12" t="s">
        <v>78</v>
      </c>
      <c r="F857" t="s">
        <v>63</v>
      </c>
      <c r="G857" s="26">
        <v>2</v>
      </c>
      <c r="H857">
        <v>1</v>
      </c>
      <c r="I857" t="str">
        <f>IFERROR(VLOOKUP(Tabela6[[#This Row],[Descrição]],Materiais!B:C,2,0),"")</f>
        <v/>
      </c>
    </row>
    <row r="858" spans="2:9">
      <c r="B858" s="11">
        <f t="shared" si="66"/>
        <v>44423</v>
      </c>
      <c r="C858" s="19">
        <f>MONTH(Tabela6[[#This Row],[Data]])</f>
        <v>8</v>
      </c>
      <c r="D858" s="19">
        <f>YEAR(Tabela6[[#This Row],[Data]])</f>
        <v>2021</v>
      </c>
      <c r="E858" s="12" t="s">
        <v>78</v>
      </c>
      <c r="F858" t="s">
        <v>133</v>
      </c>
      <c r="G858" s="26">
        <v>4</v>
      </c>
      <c r="H858">
        <v>2</v>
      </c>
      <c r="I858" t="str">
        <f>IFERROR(VLOOKUP(Tabela6[[#This Row],[Descrição]],Materiais!B:C,2,0),"")</f>
        <v/>
      </c>
    </row>
    <row r="859" spans="2:9">
      <c r="B859" s="11">
        <f t="shared" si="66"/>
        <v>44423</v>
      </c>
      <c r="C859" s="19">
        <f>MONTH(Tabela6[[#This Row],[Data]])</f>
        <v>8</v>
      </c>
      <c r="D859" s="19">
        <f>YEAR(Tabela6[[#This Row],[Data]])</f>
        <v>2021</v>
      </c>
      <c r="E859" s="12" t="s">
        <v>78</v>
      </c>
      <c r="F859" t="s">
        <v>56</v>
      </c>
      <c r="G859" s="26">
        <v>8</v>
      </c>
      <c r="H859">
        <v>4</v>
      </c>
      <c r="I859" t="str">
        <f>IFERROR(VLOOKUP(Tabela6[[#This Row],[Descrição]],Materiais!B:C,2,0),"")</f>
        <v/>
      </c>
    </row>
    <row r="860" spans="2:9">
      <c r="B860" s="11">
        <f t="shared" si="66"/>
        <v>44423</v>
      </c>
      <c r="C860" s="19">
        <f>MONTH(Tabela6[[#This Row],[Data]])</f>
        <v>8</v>
      </c>
      <c r="D860" s="19">
        <f>YEAR(Tabela6[[#This Row],[Data]])</f>
        <v>2021</v>
      </c>
      <c r="E860" s="12" t="s">
        <v>78</v>
      </c>
      <c r="F860" t="s">
        <v>61</v>
      </c>
      <c r="G860" s="26">
        <v>6</v>
      </c>
      <c r="H860">
        <v>3</v>
      </c>
      <c r="I860" t="str">
        <f>IFERROR(VLOOKUP(Tabela6[[#This Row],[Descrição]],Materiais!B:C,2,0),"")</f>
        <v/>
      </c>
    </row>
    <row r="861" spans="2:9">
      <c r="B861" s="11">
        <f t="shared" si="66"/>
        <v>44423</v>
      </c>
      <c r="C861" s="19">
        <f>MONTH(Tabela6[[#This Row],[Data]])</f>
        <v>8</v>
      </c>
      <c r="D861" s="19">
        <f>YEAR(Tabela6[[#This Row],[Data]])</f>
        <v>2021</v>
      </c>
      <c r="E861" s="12" t="s">
        <v>78</v>
      </c>
      <c r="F861" t="s">
        <v>126</v>
      </c>
      <c r="G861" s="26">
        <v>2</v>
      </c>
      <c r="H861">
        <v>1</v>
      </c>
      <c r="I861" t="str">
        <f>IFERROR(VLOOKUP(Tabela6[[#This Row],[Descrição]],Materiais!B:C,2,0),"")</f>
        <v/>
      </c>
    </row>
    <row r="862" spans="2:9">
      <c r="B862" s="11">
        <f t="shared" si="66"/>
        <v>44423</v>
      </c>
      <c r="C862" s="19">
        <f>MONTH(Tabela6[[#This Row],[Data]])</f>
        <v>8</v>
      </c>
      <c r="D862" s="19">
        <f>YEAR(Tabela6[[#This Row],[Data]])</f>
        <v>2021</v>
      </c>
      <c r="E862" s="12" t="s">
        <v>78</v>
      </c>
      <c r="F862" t="s">
        <v>58</v>
      </c>
      <c r="G862" s="26">
        <v>4</v>
      </c>
      <c r="H862">
        <v>2</v>
      </c>
      <c r="I862" t="str">
        <f>IFERROR(VLOOKUP(Tabela6[[#This Row],[Descrição]],Materiais!B:C,2,0),"")</f>
        <v/>
      </c>
    </row>
    <row r="863" spans="2:9">
      <c r="B863" s="11">
        <f t="shared" si="66"/>
        <v>44423</v>
      </c>
      <c r="C863" s="19">
        <f>MONTH(Tabela6[[#This Row],[Data]])</f>
        <v>8</v>
      </c>
      <c r="D863" s="19">
        <f>YEAR(Tabela6[[#This Row],[Data]])</f>
        <v>2021</v>
      </c>
      <c r="E863" s="12" t="s">
        <v>78</v>
      </c>
      <c r="F863" t="s">
        <v>95</v>
      </c>
      <c r="G863" s="26">
        <v>2</v>
      </c>
      <c r="H863">
        <v>1</v>
      </c>
      <c r="I863" t="str">
        <f>IFERROR(VLOOKUP(Tabela6[[#This Row],[Descrição]],Materiais!B:C,2,0),"")</f>
        <v/>
      </c>
    </row>
    <row r="864" spans="2:9">
      <c r="B864" s="11">
        <f>42964+(365*4)</f>
        <v>44424</v>
      </c>
      <c r="C864" s="19">
        <f>MONTH(Tabela6[[#This Row],[Data]])</f>
        <v>8</v>
      </c>
      <c r="D864" s="19">
        <f>YEAR(Tabela6[[#This Row],[Data]])</f>
        <v>2021</v>
      </c>
      <c r="E864" s="12" t="s">
        <v>78</v>
      </c>
      <c r="F864" t="s">
        <v>63</v>
      </c>
      <c r="G864" s="26">
        <v>2</v>
      </c>
      <c r="H864">
        <v>1</v>
      </c>
      <c r="I864" t="str">
        <f>IFERROR(VLOOKUP(Tabela6[[#This Row],[Descrição]],Materiais!B:C,2,0),"")</f>
        <v/>
      </c>
    </row>
    <row r="865" spans="2:9">
      <c r="B865" s="11">
        <f>42964+(365*4)</f>
        <v>44424</v>
      </c>
      <c r="C865" s="19">
        <f>MONTH(Tabela6[[#This Row],[Data]])</f>
        <v>8</v>
      </c>
      <c r="D865" s="19">
        <f>YEAR(Tabela6[[#This Row],[Data]])</f>
        <v>2021</v>
      </c>
      <c r="E865" s="12" t="s">
        <v>78</v>
      </c>
      <c r="F865" t="s">
        <v>56</v>
      </c>
      <c r="G865" s="26">
        <v>6</v>
      </c>
      <c r="H865">
        <v>3</v>
      </c>
      <c r="I865" t="str">
        <f>IFERROR(VLOOKUP(Tabela6[[#This Row],[Descrição]],Materiais!B:C,2,0),"")</f>
        <v/>
      </c>
    </row>
    <row r="866" spans="2:9">
      <c r="B866" s="11">
        <f>42964+(365*4)</f>
        <v>44424</v>
      </c>
      <c r="C866" s="19">
        <f>MONTH(Tabela6[[#This Row],[Data]])</f>
        <v>8</v>
      </c>
      <c r="D866" s="19">
        <f>YEAR(Tabela6[[#This Row],[Data]])</f>
        <v>2021</v>
      </c>
      <c r="E866" s="12" t="s">
        <v>78</v>
      </c>
      <c r="F866" t="s">
        <v>61</v>
      </c>
      <c r="G866" s="26">
        <v>10</v>
      </c>
      <c r="H866">
        <v>5</v>
      </c>
      <c r="I866" t="str">
        <f>IFERROR(VLOOKUP(Tabela6[[#This Row],[Descrição]],Materiais!B:C,2,0),"")</f>
        <v/>
      </c>
    </row>
    <row r="867" spans="2:9">
      <c r="B867" s="11">
        <f>42964+(365*4)</f>
        <v>44424</v>
      </c>
      <c r="C867" s="19">
        <f>MONTH(Tabela6[[#This Row],[Data]])</f>
        <v>8</v>
      </c>
      <c r="D867" s="19">
        <f>YEAR(Tabela6[[#This Row],[Data]])</f>
        <v>2021</v>
      </c>
      <c r="E867" s="12" t="s">
        <v>78</v>
      </c>
      <c r="F867" t="s">
        <v>126</v>
      </c>
      <c r="G867" s="26">
        <v>6</v>
      </c>
      <c r="H867">
        <v>3</v>
      </c>
      <c r="I867" t="str">
        <f>IFERROR(VLOOKUP(Tabela6[[#This Row],[Descrição]],Materiais!B:C,2,0),"")</f>
        <v/>
      </c>
    </row>
    <row r="868" spans="2:9">
      <c r="B868" s="11">
        <f>42964+(365*4)</f>
        <v>44424</v>
      </c>
      <c r="C868" s="19">
        <f>MONTH(Tabela6[[#This Row],[Data]])</f>
        <v>8</v>
      </c>
      <c r="D868" s="19">
        <f>YEAR(Tabela6[[#This Row],[Data]])</f>
        <v>2021</v>
      </c>
      <c r="E868" s="12" t="s">
        <v>78</v>
      </c>
      <c r="F868" t="s">
        <v>109</v>
      </c>
      <c r="G868" s="26">
        <v>2</v>
      </c>
      <c r="H868">
        <v>1</v>
      </c>
      <c r="I868" t="str">
        <f>IFERROR(VLOOKUP(Tabela6[[#This Row],[Descrição]],Materiais!B:C,2,0),"")</f>
        <v/>
      </c>
    </row>
    <row r="869" spans="2:9">
      <c r="B869" s="11">
        <f t="shared" ref="B869:B874" si="67">42965+(365*4)</f>
        <v>44425</v>
      </c>
      <c r="C869" s="19">
        <f>MONTH(Tabela6[[#This Row],[Data]])</f>
        <v>8</v>
      </c>
      <c r="D869" s="19">
        <f>YEAR(Tabela6[[#This Row],[Data]])</f>
        <v>2021</v>
      </c>
      <c r="E869" s="12" t="s">
        <v>78</v>
      </c>
      <c r="F869" t="s">
        <v>63</v>
      </c>
      <c r="G869" s="26">
        <v>4</v>
      </c>
      <c r="H869">
        <v>2</v>
      </c>
      <c r="I869" t="str">
        <f>IFERROR(VLOOKUP(Tabela6[[#This Row],[Descrição]],Materiais!B:C,2,0),"")</f>
        <v/>
      </c>
    </row>
    <row r="870" spans="2:9">
      <c r="B870" s="11">
        <f t="shared" si="67"/>
        <v>44425</v>
      </c>
      <c r="C870" s="19">
        <f>MONTH(Tabela6[[#This Row],[Data]])</f>
        <v>8</v>
      </c>
      <c r="D870" s="19">
        <f>YEAR(Tabela6[[#This Row],[Data]])</f>
        <v>2021</v>
      </c>
      <c r="E870" s="12" t="s">
        <v>78</v>
      </c>
      <c r="F870" t="s">
        <v>56</v>
      </c>
      <c r="G870" s="26">
        <v>8</v>
      </c>
      <c r="H870">
        <v>4</v>
      </c>
      <c r="I870" t="str">
        <f>IFERROR(VLOOKUP(Tabela6[[#This Row],[Descrição]],Materiais!B:C,2,0),"")</f>
        <v/>
      </c>
    </row>
    <row r="871" spans="2:9">
      <c r="B871" s="11">
        <f t="shared" si="67"/>
        <v>44425</v>
      </c>
      <c r="C871" s="19">
        <f>MONTH(Tabela6[[#This Row],[Data]])</f>
        <v>8</v>
      </c>
      <c r="D871" s="19">
        <f>YEAR(Tabela6[[#This Row],[Data]])</f>
        <v>2021</v>
      </c>
      <c r="E871" s="12" t="s">
        <v>78</v>
      </c>
      <c r="F871" t="s">
        <v>61</v>
      </c>
      <c r="G871" s="26">
        <v>8</v>
      </c>
      <c r="H871">
        <v>4</v>
      </c>
      <c r="I871" t="str">
        <f>IFERROR(VLOOKUP(Tabela6[[#This Row],[Descrição]],Materiais!B:C,2,0),"")</f>
        <v/>
      </c>
    </row>
    <row r="872" spans="2:9">
      <c r="B872" s="11">
        <f t="shared" si="67"/>
        <v>44425</v>
      </c>
      <c r="C872" s="19">
        <f>MONTH(Tabela6[[#This Row],[Data]])</f>
        <v>8</v>
      </c>
      <c r="D872" s="19">
        <f>YEAR(Tabela6[[#This Row],[Data]])</f>
        <v>2021</v>
      </c>
      <c r="E872" s="12" t="s">
        <v>78</v>
      </c>
      <c r="F872" t="s">
        <v>126</v>
      </c>
      <c r="G872" s="26">
        <v>2</v>
      </c>
      <c r="H872">
        <v>1</v>
      </c>
      <c r="I872" t="str">
        <f>IFERROR(VLOOKUP(Tabela6[[#This Row],[Descrição]],Materiais!B:C,2,0),"")</f>
        <v/>
      </c>
    </row>
    <row r="873" spans="2:9">
      <c r="B873" s="11">
        <f t="shared" si="67"/>
        <v>44425</v>
      </c>
      <c r="C873" s="19">
        <f>MONTH(Tabela6[[#This Row],[Data]])</f>
        <v>8</v>
      </c>
      <c r="D873" s="19">
        <f>YEAR(Tabela6[[#This Row],[Data]])</f>
        <v>2021</v>
      </c>
      <c r="E873" s="12" t="s">
        <v>78</v>
      </c>
      <c r="F873" t="s">
        <v>62</v>
      </c>
      <c r="G873" s="26">
        <v>2</v>
      </c>
      <c r="H873">
        <v>1</v>
      </c>
      <c r="I873" t="str">
        <f>IFERROR(VLOOKUP(Tabela6[[#This Row],[Descrição]],Materiais!B:C,2,0),"")</f>
        <v/>
      </c>
    </row>
    <row r="874" spans="2:9">
      <c r="B874" s="11">
        <f t="shared" si="67"/>
        <v>44425</v>
      </c>
      <c r="C874" s="19">
        <f>MONTH(Tabela6[[#This Row],[Data]])</f>
        <v>8</v>
      </c>
      <c r="D874" s="19">
        <f>YEAR(Tabela6[[#This Row],[Data]])</f>
        <v>2021</v>
      </c>
      <c r="E874" s="12" t="s">
        <v>78</v>
      </c>
      <c r="F874" t="s">
        <v>58</v>
      </c>
      <c r="G874" s="26">
        <v>4</v>
      </c>
      <c r="H874">
        <v>2</v>
      </c>
      <c r="I874" t="str">
        <f>IFERROR(VLOOKUP(Tabela6[[#This Row],[Descrição]],Materiais!B:C,2,0),"")</f>
        <v/>
      </c>
    </row>
    <row r="875" spans="2:9">
      <c r="B875" s="11">
        <f t="shared" ref="B875:B884" si="68">42966+(365*4)</f>
        <v>44426</v>
      </c>
      <c r="C875" s="19">
        <f>MONTH(Tabela6[[#This Row],[Data]])</f>
        <v>8</v>
      </c>
      <c r="D875" s="19">
        <f>YEAR(Tabela6[[#This Row],[Data]])</f>
        <v>2021</v>
      </c>
      <c r="E875" s="12" t="s">
        <v>75</v>
      </c>
      <c r="F875" t="s">
        <v>80</v>
      </c>
      <c r="G875" s="26">
        <v>-2.6</v>
      </c>
      <c r="H875">
        <v>40</v>
      </c>
      <c r="I875" t="str">
        <f>IFERROR(VLOOKUP(Tabela6[[#This Row],[Descrição]],Materiais!B:C,2,0),"")</f>
        <v/>
      </c>
    </row>
    <row r="876" spans="2:9">
      <c r="B876" s="11">
        <f t="shared" si="68"/>
        <v>44426</v>
      </c>
      <c r="C876" s="19">
        <f>MONTH(Tabela6[[#This Row],[Data]])</f>
        <v>8</v>
      </c>
      <c r="D876" s="19">
        <f>YEAR(Tabela6[[#This Row],[Data]])</f>
        <v>2021</v>
      </c>
      <c r="E876" s="12" t="s">
        <v>72</v>
      </c>
      <c r="F876" t="s">
        <v>9</v>
      </c>
      <c r="G876" s="26">
        <v>4.2750000000000004</v>
      </c>
      <c r="H876">
        <v>150</v>
      </c>
      <c r="I876" t="str">
        <f>IFERROR(VLOOKUP(Tabela6[[#This Row],[Descrição]],Materiais!B:C,2,0),"")</f>
        <v>g</v>
      </c>
    </row>
    <row r="877" spans="2:9">
      <c r="B877" s="11">
        <f t="shared" si="68"/>
        <v>44426</v>
      </c>
      <c r="C877" s="19">
        <f>MONTH(Tabela6[[#This Row],[Data]])</f>
        <v>8</v>
      </c>
      <c r="D877" s="19">
        <f>YEAR(Tabela6[[#This Row],[Data]])</f>
        <v>2021</v>
      </c>
      <c r="E877" s="12" t="s">
        <v>72</v>
      </c>
      <c r="F877" t="s">
        <v>74</v>
      </c>
      <c r="G877" s="26">
        <v>-52.9</v>
      </c>
      <c r="H877">
        <v>2050</v>
      </c>
      <c r="I877" t="str">
        <f>IFERROR(VLOOKUP(Tabela6[[#This Row],[Descrição]],Materiais!B:C,2,0),"")</f>
        <v/>
      </c>
    </row>
    <row r="878" spans="2:9">
      <c r="B878" s="11">
        <f t="shared" si="68"/>
        <v>44426</v>
      </c>
      <c r="C878" s="19">
        <f>MONTH(Tabela6[[#This Row],[Data]])</f>
        <v>8</v>
      </c>
      <c r="D878" s="19">
        <f>YEAR(Tabela6[[#This Row],[Data]])</f>
        <v>2021</v>
      </c>
      <c r="E878" s="12" t="s">
        <v>72</v>
      </c>
      <c r="F878" t="s">
        <v>10</v>
      </c>
      <c r="G878" s="26">
        <v>-58.9</v>
      </c>
      <c r="H878">
        <v>2050</v>
      </c>
      <c r="I878" t="str">
        <f>IFERROR(VLOOKUP(Tabela6[[#This Row],[Descrição]],Materiais!B:C,2,0),"")</f>
        <v>g</v>
      </c>
    </row>
    <row r="879" spans="2:9">
      <c r="B879" s="11">
        <f t="shared" si="68"/>
        <v>44426</v>
      </c>
      <c r="C879" s="19">
        <f>MONTH(Tabela6[[#This Row],[Data]])</f>
        <v>8</v>
      </c>
      <c r="D879" s="19">
        <f>YEAR(Tabela6[[#This Row],[Data]])</f>
        <v>2021</v>
      </c>
      <c r="E879" s="12" t="s">
        <v>72</v>
      </c>
      <c r="F879" t="s">
        <v>11</v>
      </c>
      <c r="G879" s="26">
        <v>0.19600000000000001</v>
      </c>
      <c r="H879">
        <v>5</v>
      </c>
      <c r="I879" t="str">
        <f>IFERROR(VLOOKUP(Tabela6[[#This Row],[Descrição]],Materiais!B:C,2,0),"")</f>
        <v>g</v>
      </c>
    </row>
    <row r="880" spans="2:9">
      <c r="B880" s="11">
        <f t="shared" si="68"/>
        <v>44426</v>
      </c>
      <c r="C880" s="19">
        <f>MONTH(Tabela6[[#This Row],[Data]])</f>
        <v>8</v>
      </c>
      <c r="D880" s="19">
        <f>YEAR(Tabela6[[#This Row],[Data]])</f>
        <v>2021</v>
      </c>
      <c r="E880" s="12" t="s">
        <v>72</v>
      </c>
      <c r="F880" t="s">
        <v>15</v>
      </c>
      <c r="G880" s="26">
        <v>-4.6399999999999997</v>
      </c>
      <c r="H880">
        <v>265</v>
      </c>
      <c r="I880" t="str">
        <f>IFERROR(VLOOKUP(Tabela6[[#This Row],[Descrição]],Materiais!B:C,2,0),"")</f>
        <v>g</v>
      </c>
    </row>
    <row r="881" spans="2:9">
      <c r="B881" s="11">
        <f t="shared" si="68"/>
        <v>44426</v>
      </c>
      <c r="C881" s="19">
        <f>MONTH(Tabela6[[#This Row],[Data]])</f>
        <v>8</v>
      </c>
      <c r="D881" s="19">
        <f>YEAR(Tabela6[[#This Row],[Data]])</f>
        <v>2021</v>
      </c>
      <c r="E881" s="12" t="s">
        <v>75</v>
      </c>
      <c r="F881" t="s">
        <v>76</v>
      </c>
      <c r="G881" s="26">
        <v>-13.2</v>
      </c>
      <c r="H881">
        <v>800</v>
      </c>
      <c r="I881" t="str">
        <f>IFERROR(VLOOKUP(Tabela6[[#This Row],[Descrição]],Materiais!B:C,2,0),"")</f>
        <v/>
      </c>
    </row>
    <row r="882" spans="2:9">
      <c r="B882" s="11">
        <f t="shared" si="68"/>
        <v>44426</v>
      </c>
      <c r="C882" s="19">
        <f>MONTH(Tabela6[[#This Row],[Data]])</f>
        <v>8</v>
      </c>
      <c r="D882" s="19">
        <f>YEAR(Tabela6[[#This Row],[Data]])</f>
        <v>2021</v>
      </c>
      <c r="E882" s="12" t="s">
        <v>75</v>
      </c>
      <c r="F882" t="s">
        <v>119</v>
      </c>
      <c r="G882" s="26">
        <v>-10.89</v>
      </c>
      <c r="H882">
        <v>1100</v>
      </c>
      <c r="I882" t="str">
        <f>IFERROR(VLOOKUP(Tabela6[[#This Row],[Descrição]],Materiais!B:C,2,0),"")</f>
        <v/>
      </c>
    </row>
    <row r="883" spans="2:9">
      <c r="B883" s="11">
        <f t="shared" si="68"/>
        <v>44426</v>
      </c>
      <c r="C883" s="19">
        <f>MONTH(Tabela6[[#This Row],[Data]])</f>
        <v>8</v>
      </c>
      <c r="D883" s="19">
        <f>YEAR(Tabela6[[#This Row],[Data]])</f>
        <v>2021</v>
      </c>
      <c r="E883" s="12" t="s">
        <v>75</v>
      </c>
      <c r="F883" t="s">
        <v>119</v>
      </c>
      <c r="G883" s="26">
        <v>-7.6</v>
      </c>
      <c r="H883">
        <v>200</v>
      </c>
      <c r="I883" t="str">
        <f>IFERROR(VLOOKUP(Tabela6[[#This Row],[Descrição]],Materiais!B:C,2,0),"")</f>
        <v/>
      </c>
    </row>
    <row r="884" spans="2:9">
      <c r="B884" s="11">
        <f t="shared" si="68"/>
        <v>44426</v>
      </c>
      <c r="C884" s="19">
        <f>MONTH(Tabela6[[#This Row],[Data]])</f>
        <v>8</v>
      </c>
      <c r="D884" s="19">
        <f>YEAR(Tabela6[[#This Row],[Data]])</f>
        <v>2021</v>
      </c>
      <c r="E884" s="12" t="s">
        <v>72</v>
      </c>
      <c r="F884" t="s">
        <v>22</v>
      </c>
      <c r="G884" s="26">
        <v>3.8250000000000002</v>
      </c>
      <c r="H884">
        <v>100</v>
      </c>
      <c r="I884" t="str">
        <f>IFERROR(VLOOKUP(Tabela6[[#This Row],[Descrição]],Materiais!B:C,2,0),"")</f>
        <v>g</v>
      </c>
    </row>
    <row r="885" spans="2:9">
      <c r="B885" s="11">
        <f>42967+(365*4)</f>
        <v>44427</v>
      </c>
      <c r="C885" s="19">
        <f>MONTH(Tabela6[[#This Row],[Data]])</f>
        <v>8</v>
      </c>
      <c r="D885" s="19">
        <f>YEAR(Tabela6[[#This Row],[Data]])</f>
        <v>2021</v>
      </c>
      <c r="E885" s="12" t="s">
        <v>78</v>
      </c>
      <c r="F885" t="s">
        <v>56</v>
      </c>
      <c r="G885" s="26">
        <v>10</v>
      </c>
      <c r="H885">
        <v>5</v>
      </c>
      <c r="I885" t="str">
        <f>IFERROR(VLOOKUP(Tabela6[[#This Row],[Descrição]],Materiais!B:C,2,0),"")</f>
        <v/>
      </c>
    </row>
    <row r="886" spans="2:9">
      <c r="B886" s="11">
        <f t="shared" ref="B886:B895" si="69">42968+(365*4)</f>
        <v>44428</v>
      </c>
      <c r="C886" s="19">
        <f>MONTH(Tabela6[[#This Row],[Data]])</f>
        <v>8</v>
      </c>
      <c r="D886" s="19">
        <f>YEAR(Tabela6[[#This Row],[Data]])</f>
        <v>2021</v>
      </c>
      <c r="E886" s="12" t="s">
        <v>78</v>
      </c>
      <c r="F886" t="s">
        <v>63</v>
      </c>
      <c r="G886" s="26">
        <v>2</v>
      </c>
      <c r="H886">
        <v>1</v>
      </c>
      <c r="I886" t="str">
        <f>IFERROR(VLOOKUP(Tabela6[[#This Row],[Descrição]],Materiais!B:C,2,0),"")</f>
        <v/>
      </c>
    </row>
    <row r="887" spans="2:9">
      <c r="B887" s="11">
        <f t="shared" si="69"/>
        <v>44428</v>
      </c>
      <c r="C887" s="19">
        <f>MONTH(Tabela6[[#This Row],[Data]])</f>
        <v>8</v>
      </c>
      <c r="D887" s="19">
        <f>YEAR(Tabela6[[#This Row],[Data]])</f>
        <v>2021</v>
      </c>
      <c r="E887" s="12" t="s">
        <v>78</v>
      </c>
      <c r="F887" t="s">
        <v>56</v>
      </c>
      <c r="G887" s="26">
        <v>6</v>
      </c>
      <c r="H887">
        <v>3</v>
      </c>
      <c r="I887" t="str">
        <f>IFERROR(VLOOKUP(Tabela6[[#This Row],[Descrição]],Materiais!B:C,2,0),"")</f>
        <v/>
      </c>
    </row>
    <row r="888" spans="2:9">
      <c r="B888" s="11">
        <f t="shared" si="69"/>
        <v>44428</v>
      </c>
      <c r="C888" s="19">
        <f>MONTH(Tabela6[[#This Row],[Data]])</f>
        <v>8</v>
      </c>
      <c r="D888" s="19">
        <f>YEAR(Tabela6[[#This Row],[Data]])</f>
        <v>2021</v>
      </c>
      <c r="E888" s="12" t="s">
        <v>78</v>
      </c>
      <c r="F888" t="s">
        <v>100</v>
      </c>
      <c r="G888" s="26">
        <v>8</v>
      </c>
      <c r="H888">
        <v>4</v>
      </c>
      <c r="I888" t="str">
        <f>IFERROR(VLOOKUP(Tabela6[[#This Row],[Descrição]],Materiais!B:C,2,0),"")</f>
        <v/>
      </c>
    </row>
    <row r="889" spans="2:9">
      <c r="B889" s="11">
        <f t="shared" si="69"/>
        <v>44428</v>
      </c>
      <c r="C889" s="19">
        <f>MONTH(Tabela6[[#This Row],[Data]])</f>
        <v>8</v>
      </c>
      <c r="D889" s="19">
        <f>YEAR(Tabela6[[#This Row],[Data]])</f>
        <v>2021</v>
      </c>
      <c r="E889" s="12" t="s">
        <v>78</v>
      </c>
      <c r="F889" t="s">
        <v>61</v>
      </c>
      <c r="G889" s="26">
        <v>2</v>
      </c>
      <c r="H889">
        <v>1</v>
      </c>
      <c r="I889" t="str">
        <f>IFERROR(VLOOKUP(Tabela6[[#This Row],[Descrição]],Materiais!B:C,2,0),"")</f>
        <v/>
      </c>
    </row>
    <row r="890" spans="2:9">
      <c r="B890" s="11">
        <f t="shared" si="69"/>
        <v>44428</v>
      </c>
      <c r="C890" s="19">
        <f>MONTH(Tabela6[[#This Row],[Data]])</f>
        <v>8</v>
      </c>
      <c r="D890" s="19">
        <f>YEAR(Tabela6[[#This Row],[Data]])</f>
        <v>2021</v>
      </c>
      <c r="E890" s="12" t="s">
        <v>78</v>
      </c>
      <c r="F890" t="s">
        <v>61</v>
      </c>
      <c r="G890" s="26">
        <v>10</v>
      </c>
      <c r="H890">
        <v>5</v>
      </c>
      <c r="I890" t="str">
        <f>IFERROR(VLOOKUP(Tabela6[[#This Row],[Descrição]],Materiais!B:C,2,0),"")</f>
        <v/>
      </c>
    </row>
    <row r="891" spans="2:9">
      <c r="B891" s="11">
        <f t="shared" si="69"/>
        <v>44428</v>
      </c>
      <c r="C891" s="19">
        <f>MONTH(Tabela6[[#This Row],[Data]])</f>
        <v>8</v>
      </c>
      <c r="D891" s="19">
        <f>YEAR(Tabela6[[#This Row],[Data]])</f>
        <v>2021</v>
      </c>
      <c r="E891" s="12" t="s">
        <v>78</v>
      </c>
      <c r="F891" t="s">
        <v>62</v>
      </c>
      <c r="G891" s="26">
        <v>4</v>
      </c>
      <c r="H891">
        <v>2</v>
      </c>
      <c r="I891" t="str">
        <f>IFERROR(VLOOKUP(Tabela6[[#This Row],[Descrição]],Materiais!B:C,2,0),"")</f>
        <v/>
      </c>
    </row>
    <row r="892" spans="2:9">
      <c r="B892" s="11">
        <f t="shared" si="69"/>
        <v>44428</v>
      </c>
      <c r="C892" s="19">
        <f>MONTH(Tabela6[[#This Row],[Data]])</f>
        <v>8</v>
      </c>
      <c r="D892" s="19">
        <f>YEAR(Tabela6[[#This Row],[Data]])</f>
        <v>2021</v>
      </c>
      <c r="E892" s="12" t="s">
        <v>78</v>
      </c>
      <c r="F892" t="s">
        <v>58</v>
      </c>
      <c r="G892" s="26">
        <v>6</v>
      </c>
      <c r="H892">
        <v>3</v>
      </c>
      <c r="I892" t="str">
        <f>IFERROR(VLOOKUP(Tabela6[[#This Row],[Descrição]],Materiais!B:C,2,0),"")</f>
        <v/>
      </c>
    </row>
    <row r="893" spans="2:9">
      <c r="B893" s="11">
        <f t="shared" si="69"/>
        <v>44428</v>
      </c>
      <c r="C893" s="19">
        <f>MONTH(Tabela6[[#This Row],[Data]])</f>
        <v>8</v>
      </c>
      <c r="D893" s="19">
        <f>YEAR(Tabela6[[#This Row],[Data]])</f>
        <v>2021</v>
      </c>
      <c r="E893" s="12" t="s">
        <v>78</v>
      </c>
      <c r="F893" t="s">
        <v>95</v>
      </c>
      <c r="G893" s="26">
        <v>2</v>
      </c>
      <c r="H893">
        <v>1</v>
      </c>
      <c r="I893" t="str">
        <f>IFERROR(VLOOKUP(Tabela6[[#This Row],[Descrição]],Materiais!B:C,2,0),"")</f>
        <v/>
      </c>
    </row>
    <row r="894" spans="2:9">
      <c r="B894" s="11">
        <f t="shared" si="69"/>
        <v>44428</v>
      </c>
      <c r="C894" s="19">
        <f>MONTH(Tabela6[[#This Row],[Data]])</f>
        <v>8</v>
      </c>
      <c r="D894" s="19">
        <f>YEAR(Tabela6[[#This Row],[Data]])</f>
        <v>2021</v>
      </c>
      <c r="E894" s="12" t="s">
        <v>78</v>
      </c>
      <c r="F894" t="s">
        <v>95</v>
      </c>
      <c r="G894" s="26">
        <v>2</v>
      </c>
      <c r="H894">
        <v>1</v>
      </c>
      <c r="I894" t="str">
        <f>IFERROR(VLOOKUP(Tabela6[[#This Row],[Descrição]],Materiais!B:C,2,0),"")</f>
        <v/>
      </c>
    </row>
    <row r="895" spans="2:9">
      <c r="B895" s="11">
        <f t="shared" si="69"/>
        <v>44428</v>
      </c>
      <c r="C895" s="19">
        <f>MONTH(Tabela6[[#This Row],[Data]])</f>
        <v>8</v>
      </c>
      <c r="D895" s="19">
        <f>YEAR(Tabela6[[#This Row],[Data]])</f>
        <v>2021</v>
      </c>
      <c r="E895" s="12" t="s">
        <v>78</v>
      </c>
      <c r="F895" t="s">
        <v>117</v>
      </c>
      <c r="G895" s="26">
        <v>4</v>
      </c>
      <c r="H895">
        <v>2</v>
      </c>
      <c r="I895" t="str">
        <f>IFERROR(VLOOKUP(Tabela6[[#This Row],[Descrição]],Materiais!B:C,2,0),"")</f>
        <v/>
      </c>
    </row>
    <row r="896" spans="2:9">
      <c r="B896" s="11">
        <f t="shared" ref="B896:B903" si="70">42969+(365*4)</f>
        <v>44429</v>
      </c>
      <c r="C896" s="19">
        <f>MONTH(Tabela6[[#This Row],[Data]])</f>
        <v>8</v>
      </c>
      <c r="D896" s="19">
        <f>YEAR(Tabela6[[#This Row],[Data]])</f>
        <v>2021</v>
      </c>
      <c r="E896" s="12" t="s">
        <v>78</v>
      </c>
      <c r="F896" t="s">
        <v>63</v>
      </c>
      <c r="G896" s="26">
        <v>6</v>
      </c>
      <c r="H896">
        <v>3</v>
      </c>
      <c r="I896" t="str">
        <f>IFERROR(VLOOKUP(Tabela6[[#This Row],[Descrição]],Materiais!B:C,2,0),"")</f>
        <v/>
      </c>
    </row>
    <row r="897" spans="2:9">
      <c r="B897" s="11">
        <f t="shared" si="70"/>
        <v>44429</v>
      </c>
      <c r="C897" s="19">
        <f>MONTH(Tabela6[[#This Row],[Data]])</f>
        <v>8</v>
      </c>
      <c r="D897" s="19">
        <f>YEAR(Tabela6[[#This Row],[Data]])</f>
        <v>2021</v>
      </c>
      <c r="E897" s="12" t="s">
        <v>78</v>
      </c>
      <c r="F897" t="s">
        <v>133</v>
      </c>
      <c r="G897" s="26">
        <v>8</v>
      </c>
      <c r="H897">
        <v>4</v>
      </c>
      <c r="I897" t="str">
        <f>IFERROR(VLOOKUP(Tabela6[[#This Row],[Descrição]],Materiais!B:C,2,0),"")</f>
        <v/>
      </c>
    </row>
    <row r="898" spans="2:9">
      <c r="B898" s="11">
        <f t="shared" si="70"/>
        <v>44429</v>
      </c>
      <c r="C898" s="19">
        <f>MONTH(Tabela6[[#This Row],[Data]])</f>
        <v>8</v>
      </c>
      <c r="D898" s="19">
        <f>YEAR(Tabela6[[#This Row],[Data]])</f>
        <v>2021</v>
      </c>
      <c r="E898" s="12" t="s">
        <v>78</v>
      </c>
      <c r="F898" t="s">
        <v>56</v>
      </c>
      <c r="G898" s="26">
        <v>10</v>
      </c>
      <c r="H898">
        <v>5</v>
      </c>
      <c r="I898" t="str">
        <f>IFERROR(VLOOKUP(Tabela6[[#This Row],[Descrição]],Materiais!B:C,2,0),"")</f>
        <v/>
      </c>
    </row>
    <row r="899" spans="2:9">
      <c r="B899" s="11">
        <f t="shared" si="70"/>
        <v>44429</v>
      </c>
      <c r="C899" s="19">
        <f>MONTH(Tabela6[[#This Row],[Data]])</f>
        <v>8</v>
      </c>
      <c r="D899" s="19">
        <f>YEAR(Tabela6[[#This Row],[Data]])</f>
        <v>2021</v>
      </c>
      <c r="E899" s="12" t="s">
        <v>78</v>
      </c>
      <c r="F899" t="s">
        <v>61</v>
      </c>
      <c r="G899" s="26">
        <v>4</v>
      </c>
      <c r="H899">
        <v>2</v>
      </c>
      <c r="I899" t="str">
        <f>IFERROR(VLOOKUP(Tabela6[[#This Row],[Descrição]],Materiais!B:C,2,0),"")</f>
        <v/>
      </c>
    </row>
    <row r="900" spans="2:9">
      <c r="B900" s="11">
        <f t="shared" si="70"/>
        <v>44429</v>
      </c>
      <c r="C900" s="19">
        <f>MONTH(Tabela6[[#This Row],[Data]])</f>
        <v>8</v>
      </c>
      <c r="D900" s="19">
        <f>YEAR(Tabela6[[#This Row],[Data]])</f>
        <v>2021</v>
      </c>
      <c r="E900" s="12" t="s">
        <v>78</v>
      </c>
      <c r="F900" t="s">
        <v>126</v>
      </c>
      <c r="G900" s="26">
        <v>10</v>
      </c>
      <c r="H900">
        <v>5</v>
      </c>
      <c r="I900" t="str">
        <f>IFERROR(VLOOKUP(Tabela6[[#This Row],[Descrição]],Materiais!B:C,2,0),"")</f>
        <v/>
      </c>
    </row>
    <row r="901" spans="2:9">
      <c r="B901" s="11">
        <f t="shared" si="70"/>
        <v>44429</v>
      </c>
      <c r="C901" s="19">
        <f>MONTH(Tabela6[[#This Row],[Data]])</f>
        <v>8</v>
      </c>
      <c r="D901" s="19">
        <f>YEAR(Tabela6[[#This Row],[Data]])</f>
        <v>2021</v>
      </c>
      <c r="E901" s="12" t="s">
        <v>78</v>
      </c>
      <c r="F901" t="s">
        <v>109</v>
      </c>
      <c r="G901" s="26">
        <v>2</v>
      </c>
      <c r="H901">
        <v>1</v>
      </c>
      <c r="I901" t="str">
        <f>IFERROR(VLOOKUP(Tabela6[[#This Row],[Descrição]],Materiais!B:C,2,0),"")</f>
        <v/>
      </c>
    </row>
    <row r="902" spans="2:9">
      <c r="B902" s="11">
        <f t="shared" si="70"/>
        <v>44429</v>
      </c>
      <c r="C902" s="19">
        <f>MONTH(Tabela6[[#This Row],[Data]])</f>
        <v>8</v>
      </c>
      <c r="D902" s="19">
        <f>YEAR(Tabela6[[#This Row],[Data]])</f>
        <v>2021</v>
      </c>
      <c r="E902" s="12" t="s">
        <v>78</v>
      </c>
      <c r="F902" t="s">
        <v>58</v>
      </c>
      <c r="G902" s="26">
        <v>6</v>
      </c>
      <c r="H902">
        <v>3</v>
      </c>
      <c r="I902" t="str">
        <f>IFERROR(VLOOKUP(Tabela6[[#This Row],[Descrição]],Materiais!B:C,2,0),"")</f>
        <v/>
      </c>
    </row>
    <row r="903" spans="2:9">
      <c r="B903" s="11">
        <f t="shared" si="70"/>
        <v>44429</v>
      </c>
      <c r="C903" s="19">
        <f>MONTH(Tabela6[[#This Row],[Data]])</f>
        <v>8</v>
      </c>
      <c r="D903" s="19">
        <f>YEAR(Tabela6[[#This Row],[Data]])</f>
        <v>2021</v>
      </c>
      <c r="E903" s="12" t="s">
        <v>78</v>
      </c>
      <c r="F903" t="s">
        <v>95</v>
      </c>
      <c r="G903" s="26">
        <v>2</v>
      </c>
      <c r="H903">
        <v>1</v>
      </c>
      <c r="I903" t="str">
        <f>IFERROR(VLOOKUP(Tabela6[[#This Row],[Descrição]],Materiais!B:C,2,0),"")</f>
        <v/>
      </c>
    </row>
    <row r="904" spans="2:9">
      <c r="B904" s="11">
        <f t="shared" ref="B904:B914" si="71">42970+(365*4)</f>
        <v>44430</v>
      </c>
      <c r="C904" s="19">
        <f>MONTH(Tabela6[[#This Row],[Data]])</f>
        <v>8</v>
      </c>
      <c r="D904" s="19">
        <f>YEAR(Tabela6[[#This Row],[Data]])</f>
        <v>2021</v>
      </c>
      <c r="E904" s="12" t="s">
        <v>78</v>
      </c>
      <c r="F904" t="s">
        <v>133</v>
      </c>
      <c r="G904" s="26">
        <v>2</v>
      </c>
      <c r="H904">
        <v>1</v>
      </c>
      <c r="I904" t="str">
        <f>IFERROR(VLOOKUP(Tabela6[[#This Row],[Descrição]],Materiais!B:C,2,0),"")</f>
        <v/>
      </c>
    </row>
    <row r="905" spans="2:9">
      <c r="B905" s="11">
        <f t="shared" si="71"/>
        <v>44430</v>
      </c>
      <c r="C905" s="19">
        <f>MONTH(Tabela6[[#This Row],[Data]])</f>
        <v>8</v>
      </c>
      <c r="D905" s="19">
        <f>YEAR(Tabela6[[#This Row],[Data]])</f>
        <v>2021</v>
      </c>
      <c r="E905" s="12" t="s">
        <v>78</v>
      </c>
      <c r="F905" t="s">
        <v>56</v>
      </c>
      <c r="G905" s="26">
        <v>14</v>
      </c>
      <c r="H905">
        <v>20</v>
      </c>
      <c r="I905" t="str">
        <f>IFERROR(VLOOKUP(Tabela6[[#This Row],[Descrição]],Materiais!B:C,2,0),"")</f>
        <v/>
      </c>
    </row>
    <row r="906" spans="2:9">
      <c r="B906" s="11">
        <f t="shared" si="71"/>
        <v>44430</v>
      </c>
      <c r="C906" s="19">
        <f>MONTH(Tabela6[[#This Row],[Data]])</f>
        <v>8</v>
      </c>
      <c r="D906" s="19">
        <f>YEAR(Tabela6[[#This Row],[Data]])</f>
        <v>2021</v>
      </c>
      <c r="E906" s="12" t="s">
        <v>78</v>
      </c>
      <c r="F906" t="s">
        <v>56</v>
      </c>
      <c r="G906" s="26">
        <v>6</v>
      </c>
      <c r="H906">
        <v>3</v>
      </c>
      <c r="I906" t="str">
        <f>IFERROR(VLOOKUP(Tabela6[[#This Row],[Descrição]],Materiais!B:C,2,0),"")</f>
        <v/>
      </c>
    </row>
    <row r="907" spans="2:9">
      <c r="B907" s="11">
        <f t="shared" si="71"/>
        <v>44430</v>
      </c>
      <c r="C907" s="19">
        <f>MONTH(Tabela6[[#This Row],[Data]])</f>
        <v>8</v>
      </c>
      <c r="D907" s="19">
        <f>YEAR(Tabela6[[#This Row],[Data]])</f>
        <v>2021</v>
      </c>
      <c r="E907" s="12" t="s">
        <v>78</v>
      </c>
      <c r="F907" t="s">
        <v>100</v>
      </c>
      <c r="G907" s="26">
        <v>4</v>
      </c>
      <c r="H907">
        <v>2</v>
      </c>
      <c r="I907" t="str">
        <f>IFERROR(VLOOKUP(Tabela6[[#This Row],[Descrição]],Materiais!B:C,2,0),"")</f>
        <v/>
      </c>
    </row>
    <row r="908" spans="2:9">
      <c r="B908" s="11">
        <f t="shared" si="71"/>
        <v>44430</v>
      </c>
      <c r="C908" s="19">
        <f>MONTH(Tabela6[[#This Row],[Data]])</f>
        <v>8</v>
      </c>
      <c r="D908" s="19">
        <f>YEAR(Tabela6[[#This Row],[Data]])</f>
        <v>2021</v>
      </c>
      <c r="E908" s="12" t="s">
        <v>78</v>
      </c>
      <c r="F908" t="s">
        <v>61</v>
      </c>
      <c r="G908" s="26">
        <v>4</v>
      </c>
      <c r="H908">
        <v>2</v>
      </c>
      <c r="I908" t="str">
        <f>IFERROR(VLOOKUP(Tabela6[[#This Row],[Descrição]],Materiais!B:C,2,0),"")</f>
        <v/>
      </c>
    </row>
    <row r="909" spans="2:9">
      <c r="B909" s="11">
        <f t="shared" si="71"/>
        <v>44430</v>
      </c>
      <c r="C909" s="19">
        <f>MONTH(Tabela6[[#This Row],[Data]])</f>
        <v>8</v>
      </c>
      <c r="D909" s="19">
        <f>YEAR(Tabela6[[#This Row],[Data]])</f>
        <v>2021</v>
      </c>
      <c r="E909" s="12" t="s">
        <v>78</v>
      </c>
      <c r="F909" t="s">
        <v>116</v>
      </c>
      <c r="G909" s="26">
        <v>14</v>
      </c>
      <c r="H909">
        <v>20</v>
      </c>
      <c r="I909" t="str">
        <f>IFERROR(VLOOKUP(Tabela6[[#This Row],[Descrição]],Materiais!B:C,2,0),"")</f>
        <v/>
      </c>
    </row>
    <row r="910" spans="2:9">
      <c r="B910" s="11">
        <f t="shared" si="71"/>
        <v>44430</v>
      </c>
      <c r="C910" s="19">
        <f>MONTH(Tabela6[[#This Row],[Data]])</f>
        <v>8</v>
      </c>
      <c r="D910" s="19">
        <f>YEAR(Tabela6[[#This Row],[Data]])</f>
        <v>2021</v>
      </c>
      <c r="E910" s="12" t="s">
        <v>78</v>
      </c>
      <c r="F910" t="s">
        <v>121</v>
      </c>
      <c r="G910" s="26">
        <v>7</v>
      </c>
      <c r="H910">
        <v>10</v>
      </c>
      <c r="I910" t="str">
        <f>IFERROR(VLOOKUP(Tabela6[[#This Row],[Descrição]],Materiais!B:C,2,0),"")</f>
        <v/>
      </c>
    </row>
    <row r="911" spans="2:9">
      <c r="B911" s="11">
        <f t="shared" si="71"/>
        <v>44430</v>
      </c>
      <c r="C911" s="19">
        <f>MONTH(Tabela6[[#This Row],[Data]])</f>
        <v>8</v>
      </c>
      <c r="D911" s="19">
        <f>YEAR(Tabela6[[#This Row],[Data]])</f>
        <v>2021</v>
      </c>
      <c r="E911" s="12" t="s">
        <v>78</v>
      </c>
      <c r="F911" t="s">
        <v>126</v>
      </c>
      <c r="G911" s="26">
        <v>8</v>
      </c>
      <c r="H911">
        <v>4</v>
      </c>
      <c r="I911" t="str">
        <f>IFERROR(VLOOKUP(Tabela6[[#This Row],[Descrição]],Materiais!B:C,2,0),"")</f>
        <v/>
      </c>
    </row>
    <row r="912" spans="2:9">
      <c r="B912" s="11">
        <f t="shared" si="71"/>
        <v>44430</v>
      </c>
      <c r="C912" s="19">
        <f>MONTH(Tabela6[[#This Row],[Data]])</f>
        <v>8</v>
      </c>
      <c r="D912" s="19">
        <f>YEAR(Tabela6[[#This Row],[Data]])</f>
        <v>2021</v>
      </c>
      <c r="E912" s="12" t="s">
        <v>78</v>
      </c>
      <c r="F912" t="s">
        <v>109</v>
      </c>
      <c r="G912" s="26">
        <v>2</v>
      </c>
      <c r="H912">
        <v>1</v>
      </c>
      <c r="I912" t="str">
        <f>IFERROR(VLOOKUP(Tabela6[[#This Row],[Descrição]],Materiais!B:C,2,0),"")</f>
        <v/>
      </c>
    </row>
    <row r="913" spans="2:9">
      <c r="B913" s="11">
        <f t="shared" si="71"/>
        <v>44430</v>
      </c>
      <c r="C913" s="19">
        <f>MONTH(Tabela6[[#This Row],[Data]])</f>
        <v>8</v>
      </c>
      <c r="D913" s="19">
        <f>YEAR(Tabela6[[#This Row],[Data]])</f>
        <v>2021</v>
      </c>
      <c r="E913" s="12" t="s">
        <v>78</v>
      </c>
      <c r="F913" t="s">
        <v>58</v>
      </c>
      <c r="G913" s="26">
        <v>2</v>
      </c>
      <c r="H913">
        <v>1</v>
      </c>
      <c r="I913" t="str">
        <f>IFERROR(VLOOKUP(Tabela6[[#This Row],[Descrição]],Materiais!B:C,2,0),"")</f>
        <v/>
      </c>
    </row>
    <row r="914" spans="2:9">
      <c r="B914" s="11">
        <f t="shared" si="71"/>
        <v>44430</v>
      </c>
      <c r="C914" s="19">
        <f>MONTH(Tabela6[[#This Row],[Data]])</f>
        <v>8</v>
      </c>
      <c r="D914" s="19">
        <f>YEAR(Tabela6[[#This Row],[Data]])</f>
        <v>2021</v>
      </c>
      <c r="E914" s="12" t="s">
        <v>78</v>
      </c>
      <c r="F914" t="s">
        <v>95</v>
      </c>
      <c r="G914" s="26">
        <v>2</v>
      </c>
      <c r="H914">
        <v>1</v>
      </c>
      <c r="I914" t="str">
        <f>IFERROR(VLOOKUP(Tabela6[[#This Row],[Descrição]],Materiais!B:C,2,0),"")</f>
        <v/>
      </c>
    </row>
    <row r="915" spans="2:9">
      <c r="B915" s="11">
        <f t="shared" ref="B915:B926" si="72">42971+(365*4)</f>
        <v>44431</v>
      </c>
      <c r="C915" s="19">
        <f>MONTH(Tabela6[[#This Row],[Data]])</f>
        <v>8</v>
      </c>
      <c r="D915" s="19">
        <f>YEAR(Tabela6[[#This Row],[Data]])</f>
        <v>2021</v>
      </c>
      <c r="E915" s="12" t="s">
        <v>78</v>
      </c>
      <c r="F915" t="s">
        <v>133</v>
      </c>
      <c r="G915" s="26">
        <v>4</v>
      </c>
      <c r="H915">
        <v>2</v>
      </c>
      <c r="I915" t="str">
        <f>IFERROR(VLOOKUP(Tabela6[[#This Row],[Descrição]],Materiais!B:C,2,0),"")</f>
        <v/>
      </c>
    </row>
    <row r="916" spans="2:9">
      <c r="B916" s="11">
        <f t="shared" si="72"/>
        <v>44431</v>
      </c>
      <c r="C916" s="19">
        <f>MONTH(Tabela6[[#This Row],[Data]])</f>
        <v>8</v>
      </c>
      <c r="D916" s="19">
        <f>YEAR(Tabela6[[#This Row],[Data]])</f>
        <v>2021</v>
      </c>
      <c r="E916" s="12" t="s">
        <v>78</v>
      </c>
      <c r="F916" t="s">
        <v>56</v>
      </c>
      <c r="G916" s="26">
        <v>4.9000000000000004</v>
      </c>
      <c r="H916">
        <v>7</v>
      </c>
      <c r="I916" t="str">
        <f>IFERROR(VLOOKUP(Tabela6[[#This Row],[Descrição]],Materiais!B:C,2,0),"")</f>
        <v/>
      </c>
    </row>
    <row r="917" spans="2:9">
      <c r="B917" s="11">
        <f t="shared" si="72"/>
        <v>44431</v>
      </c>
      <c r="C917" s="19">
        <f>MONTH(Tabela6[[#This Row],[Data]])</f>
        <v>8</v>
      </c>
      <c r="D917" s="19">
        <f>YEAR(Tabela6[[#This Row],[Data]])</f>
        <v>2021</v>
      </c>
      <c r="E917" s="12" t="s">
        <v>78</v>
      </c>
      <c r="F917" t="s">
        <v>56</v>
      </c>
      <c r="G917" s="26">
        <v>4</v>
      </c>
      <c r="H917">
        <v>2</v>
      </c>
      <c r="I917" t="str">
        <f>IFERROR(VLOOKUP(Tabela6[[#This Row],[Descrição]],Materiais!B:C,2,0),"")</f>
        <v/>
      </c>
    </row>
    <row r="918" spans="2:9">
      <c r="B918" s="11">
        <f t="shared" si="72"/>
        <v>44431</v>
      </c>
      <c r="C918" s="19">
        <f>MONTH(Tabela6[[#This Row],[Data]])</f>
        <v>8</v>
      </c>
      <c r="D918" s="19">
        <f>YEAR(Tabela6[[#This Row],[Data]])</f>
        <v>2021</v>
      </c>
      <c r="E918" s="12" t="s">
        <v>78</v>
      </c>
      <c r="F918" t="s">
        <v>100</v>
      </c>
      <c r="G918" s="26">
        <v>2</v>
      </c>
      <c r="H918">
        <v>1</v>
      </c>
      <c r="I918" t="str">
        <f>IFERROR(VLOOKUP(Tabela6[[#This Row],[Descrição]],Materiais!B:C,2,0),"")</f>
        <v/>
      </c>
    </row>
    <row r="919" spans="2:9">
      <c r="B919" s="11">
        <f t="shared" si="72"/>
        <v>44431</v>
      </c>
      <c r="C919" s="19">
        <f>MONTH(Tabela6[[#This Row],[Data]])</f>
        <v>8</v>
      </c>
      <c r="D919" s="19">
        <f>YEAR(Tabela6[[#This Row],[Data]])</f>
        <v>2021</v>
      </c>
      <c r="E919" s="12" t="s">
        <v>78</v>
      </c>
      <c r="F919" t="s">
        <v>61</v>
      </c>
      <c r="G919" s="26">
        <v>16</v>
      </c>
      <c r="H919">
        <v>8</v>
      </c>
      <c r="I919" t="str">
        <f>IFERROR(VLOOKUP(Tabela6[[#This Row],[Descrição]],Materiais!B:C,2,0),"")</f>
        <v/>
      </c>
    </row>
    <row r="920" spans="2:9">
      <c r="B920" s="11">
        <f t="shared" si="72"/>
        <v>44431</v>
      </c>
      <c r="C920" s="19">
        <f>MONTH(Tabela6[[#This Row],[Data]])</f>
        <v>8</v>
      </c>
      <c r="D920" s="19">
        <f>YEAR(Tabela6[[#This Row],[Data]])</f>
        <v>2021</v>
      </c>
      <c r="E920" s="12" t="s">
        <v>78</v>
      </c>
      <c r="F920" t="s">
        <v>126</v>
      </c>
      <c r="G920" s="26">
        <v>2</v>
      </c>
      <c r="H920">
        <v>1</v>
      </c>
      <c r="I920" t="str">
        <f>IFERROR(VLOOKUP(Tabela6[[#This Row],[Descrição]],Materiais!B:C,2,0),"")</f>
        <v/>
      </c>
    </row>
    <row r="921" spans="2:9">
      <c r="B921" s="11">
        <f t="shared" si="72"/>
        <v>44431</v>
      </c>
      <c r="C921" s="19">
        <f>MONTH(Tabela6[[#This Row],[Data]])</f>
        <v>8</v>
      </c>
      <c r="D921" s="19">
        <f>YEAR(Tabela6[[#This Row],[Data]])</f>
        <v>2021</v>
      </c>
      <c r="E921" s="12" t="s">
        <v>78</v>
      </c>
      <c r="F921" t="s">
        <v>109</v>
      </c>
      <c r="G921" s="26">
        <v>4</v>
      </c>
      <c r="H921">
        <v>2</v>
      </c>
      <c r="I921" t="str">
        <f>IFERROR(VLOOKUP(Tabela6[[#This Row],[Descrição]],Materiais!B:C,2,0),"")</f>
        <v/>
      </c>
    </row>
    <row r="922" spans="2:9">
      <c r="B922" s="11">
        <f t="shared" si="72"/>
        <v>44431</v>
      </c>
      <c r="C922" s="19">
        <f>MONTH(Tabela6[[#This Row],[Data]])</f>
        <v>8</v>
      </c>
      <c r="D922" s="19">
        <f>YEAR(Tabela6[[#This Row],[Data]])</f>
        <v>2021</v>
      </c>
      <c r="E922" s="12" t="s">
        <v>78</v>
      </c>
      <c r="F922" t="s">
        <v>58</v>
      </c>
      <c r="G922" s="26">
        <v>2</v>
      </c>
      <c r="H922">
        <v>1</v>
      </c>
      <c r="I922" t="str">
        <f>IFERROR(VLOOKUP(Tabela6[[#This Row],[Descrição]],Materiais!B:C,2,0),"")</f>
        <v/>
      </c>
    </row>
    <row r="923" spans="2:9">
      <c r="B923" s="11">
        <f t="shared" si="72"/>
        <v>44431</v>
      </c>
      <c r="C923" s="19">
        <f>MONTH(Tabela6[[#This Row],[Data]])</f>
        <v>8</v>
      </c>
      <c r="D923" s="19">
        <f>YEAR(Tabela6[[#This Row],[Data]])</f>
        <v>2021</v>
      </c>
      <c r="E923" s="12" t="s">
        <v>78</v>
      </c>
      <c r="F923" t="s">
        <v>58</v>
      </c>
      <c r="G923" s="26">
        <v>6</v>
      </c>
      <c r="H923">
        <v>3</v>
      </c>
      <c r="I923" t="str">
        <f>IFERROR(VLOOKUP(Tabela6[[#This Row],[Descrição]],Materiais!B:C,2,0),"")</f>
        <v/>
      </c>
    </row>
    <row r="924" spans="2:9">
      <c r="B924" s="11">
        <f t="shared" si="72"/>
        <v>44431</v>
      </c>
      <c r="C924" s="19">
        <f>MONTH(Tabela6[[#This Row],[Data]])</f>
        <v>8</v>
      </c>
      <c r="D924" s="19">
        <f>YEAR(Tabela6[[#This Row],[Data]])</f>
        <v>2021</v>
      </c>
      <c r="E924" s="12" t="s">
        <v>78</v>
      </c>
      <c r="F924" t="s">
        <v>95</v>
      </c>
      <c r="G924" s="26">
        <v>2</v>
      </c>
      <c r="H924">
        <v>1</v>
      </c>
      <c r="I924" t="str">
        <f>IFERROR(VLOOKUP(Tabela6[[#This Row],[Descrição]],Materiais!B:C,2,0),"")</f>
        <v/>
      </c>
    </row>
    <row r="925" spans="2:9">
      <c r="B925" s="11">
        <f t="shared" si="72"/>
        <v>44431</v>
      </c>
      <c r="C925" s="19">
        <f>MONTH(Tabela6[[#This Row],[Data]])</f>
        <v>8</v>
      </c>
      <c r="D925" s="19">
        <f>YEAR(Tabela6[[#This Row],[Data]])</f>
        <v>2021</v>
      </c>
      <c r="E925" s="12" t="s">
        <v>78</v>
      </c>
      <c r="F925" t="s">
        <v>117</v>
      </c>
      <c r="G925" s="26">
        <v>2</v>
      </c>
      <c r="H925">
        <v>1</v>
      </c>
      <c r="I925" t="str">
        <f>IFERROR(VLOOKUP(Tabela6[[#This Row],[Descrição]],Materiais!B:C,2,0),"")</f>
        <v/>
      </c>
    </row>
    <row r="926" spans="2:9">
      <c r="B926" s="11">
        <f t="shared" si="72"/>
        <v>44431</v>
      </c>
      <c r="C926" s="19">
        <f>MONTH(Tabela6[[#This Row],[Data]])</f>
        <v>8</v>
      </c>
      <c r="D926" s="19">
        <f>YEAR(Tabela6[[#This Row],[Data]])</f>
        <v>2021</v>
      </c>
      <c r="E926" s="12" t="s">
        <v>78</v>
      </c>
      <c r="F926" t="s">
        <v>117</v>
      </c>
      <c r="G926" s="26">
        <v>5.6</v>
      </c>
      <c r="H926">
        <v>8</v>
      </c>
      <c r="I926" t="str">
        <f>IFERROR(VLOOKUP(Tabela6[[#This Row],[Descrição]],Materiais!B:C,2,0),"")</f>
        <v/>
      </c>
    </row>
    <row r="927" spans="2:9">
      <c r="B927" s="11">
        <f t="shared" ref="B927:B934" si="73">42975+(365*4)</f>
        <v>44435</v>
      </c>
      <c r="C927" s="19">
        <f>MONTH(Tabela6[[#This Row],[Data]])</f>
        <v>8</v>
      </c>
      <c r="D927" s="19">
        <f>YEAR(Tabela6[[#This Row],[Data]])</f>
        <v>2021</v>
      </c>
      <c r="E927" s="12" t="s">
        <v>78</v>
      </c>
      <c r="F927" t="s">
        <v>133</v>
      </c>
      <c r="G927" s="26">
        <v>2</v>
      </c>
      <c r="H927">
        <v>1</v>
      </c>
      <c r="I927" t="str">
        <f>IFERROR(VLOOKUP(Tabela6[[#This Row],[Descrição]],Materiais!B:C,2,0),"")</f>
        <v/>
      </c>
    </row>
    <row r="928" spans="2:9">
      <c r="B928" s="11">
        <f t="shared" si="73"/>
        <v>44435</v>
      </c>
      <c r="C928" s="19">
        <f>MONTH(Tabela6[[#This Row],[Data]])</f>
        <v>8</v>
      </c>
      <c r="D928" s="19">
        <f>YEAR(Tabela6[[#This Row],[Data]])</f>
        <v>2021</v>
      </c>
      <c r="E928" s="12" t="s">
        <v>78</v>
      </c>
      <c r="F928" t="s">
        <v>56</v>
      </c>
      <c r="G928" s="26">
        <v>8</v>
      </c>
      <c r="H928">
        <v>4</v>
      </c>
      <c r="I928" t="str">
        <f>IFERROR(VLOOKUP(Tabela6[[#This Row],[Descrição]],Materiais!B:C,2,0),"")</f>
        <v/>
      </c>
    </row>
    <row r="929" spans="2:9">
      <c r="B929" s="11">
        <f t="shared" si="73"/>
        <v>44435</v>
      </c>
      <c r="C929" s="19">
        <f>MONTH(Tabela6[[#This Row],[Data]])</f>
        <v>8</v>
      </c>
      <c r="D929" s="19">
        <f>YEAR(Tabela6[[#This Row],[Data]])</f>
        <v>2021</v>
      </c>
      <c r="E929" s="12" t="s">
        <v>78</v>
      </c>
      <c r="F929" t="s">
        <v>100</v>
      </c>
      <c r="G929" s="26">
        <v>8</v>
      </c>
      <c r="H929">
        <v>4</v>
      </c>
      <c r="I929" t="str">
        <f>IFERROR(VLOOKUP(Tabela6[[#This Row],[Descrição]],Materiais!B:C,2,0),"")</f>
        <v/>
      </c>
    </row>
    <row r="930" spans="2:9">
      <c r="B930" s="11">
        <f t="shared" si="73"/>
        <v>44435</v>
      </c>
      <c r="C930" s="19">
        <f>MONTH(Tabela6[[#This Row],[Data]])</f>
        <v>8</v>
      </c>
      <c r="D930" s="19">
        <f>YEAR(Tabela6[[#This Row],[Data]])</f>
        <v>2021</v>
      </c>
      <c r="E930" s="12" t="s">
        <v>78</v>
      </c>
      <c r="F930" t="s">
        <v>61</v>
      </c>
      <c r="G930" s="26">
        <v>6</v>
      </c>
      <c r="H930">
        <v>3</v>
      </c>
      <c r="I930" t="str">
        <f>IFERROR(VLOOKUP(Tabela6[[#This Row],[Descrição]],Materiais!B:C,2,0),"")</f>
        <v/>
      </c>
    </row>
    <row r="931" spans="2:9">
      <c r="B931" s="11">
        <f t="shared" si="73"/>
        <v>44435</v>
      </c>
      <c r="C931" s="19">
        <f>MONTH(Tabela6[[#This Row],[Data]])</f>
        <v>8</v>
      </c>
      <c r="D931" s="19">
        <f>YEAR(Tabela6[[#This Row],[Data]])</f>
        <v>2021</v>
      </c>
      <c r="E931" s="12" t="s">
        <v>78</v>
      </c>
      <c r="F931" t="s">
        <v>126</v>
      </c>
      <c r="G931" s="26">
        <v>4</v>
      </c>
      <c r="H931">
        <v>2</v>
      </c>
      <c r="I931" t="str">
        <f>IFERROR(VLOOKUP(Tabela6[[#This Row],[Descrição]],Materiais!B:C,2,0),"")</f>
        <v/>
      </c>
    </row>
    <row r="932" spans="2:9">
      <c r="B932" s="11">
        <f t="shared" si="73"/>
        <v>44435</v>
      </c>
      <c r="C932" s="19">
        <f>MONTH(Tabela6[[#This Row],[Data]])</f>
        <v>8</v>
      </c>
      <c r="D932" s="19">
        <f>YEAR(Tabela6[[#This Row],[Data]])</f>
        <v>2021</v>
      </c>
      <c r="E932" s="12" t="s">
        <v>78</v>
      </c>
      <c r="F932" t="s">
        <v>62</v>
      </c>
      <c r="G932" s="26">
        <v>4</v>
      </c>
      <c r="H932">
        <v>2</v>
      </c>
      <c r="I932" t="str">
        <f>IFERROR(VLOOKUP(Tabela6[[#This Row],[Descrição]],Materiais!B:C,2,0),"")</f>
        <v/>
      </c>
    </row>
    <row r="933" spans="2:9">
      <c r="B933" s="11">
        <f t="shared" si="73"/>
        <v>44435</v>
      </c>
      <c r="C933" s="19">
        <f>MONTH(Tabela6[[#This Row],[Data]])</f>
        <v>8</v>
      </c>
      <c r="D933" s="19">
        <f>YEAR(Tabela6[[#This Row],[Data]])</f>
        <v>2021</v>
      </c>
      <c r="E933" s="12" t="s">
        <v>78</v>
      </c>
      <c r="F933" t="s">
        <v>58</v>
      </c>
      <c r="G933" s="26">
        <v>2</v>
      </c>
      <c r="H933">
        <v>1</v>
      </c>
      <c r="I933" t="str">
        <f>IFERROR(VLOOKUP(Tabela6[[#This Row],[Descrição]],Materiais!B:C,2,0),"")</f>
        <v/>
      </c>
    </row>
    <row r="934" spans="2:9">
      <c r="B934" s="11">
        <f t="shared" si="73"/>
        <v>44435</v>
      </c>
      <c r="C934" s="19">
        <f>MONTH(Tabela6[[#This Row],[Data]])</f>
        <v>8</v>
      </c>
      <c r="D934" s="19">
        <f>YEAR(Tabela6[[#This Row],[Data]])</f>
        <v>2021</v>
      </c>
      <c r="E934" s="12" t="s">
        <v>78</v>
      </c>
      <c r="F934" t="s">
        <v>95</v>
      </c>
      <c r="G934" s="26">
        <v>4</v>
      </c>
      <c r="H934">
        <v>2</v>
      </c>
      <c r="I934" t="str">
        <f>IFERROR(VLOOKUP(Tabela6[[#This Row],[Descrição]],Materiais!B:C,2,0),"")</f>
        <v/>
      </c>
    </row>
    <row r="935" spans="2:9">
      <c r="B935" s="11">
        <f t="shared" ref="B935:B942" si="74">42976+(365*4)</f>
        <v>44436</v>
      </c>
      <c r="C935" s="19">
        <f>MONTH(Tabela6[[#This Row],[Data]])</f>
        <v>8</v>
      </c>
      <c r="D935" s="19">
        <f>YEAR(Tabela6[[#This Row],[Data]])</f>
        <v>2021</v>
      </c>
      <c r="E935" s="12" t="s">
        <v>78</v>
      </c>
      <c r="F935" t="s">
        <v>63</v>
      </c>
      <c r="G935" s="26">
        <v>4</v>
      </c>
      <c r="H935">
        <v>2</v>
      </c>
      <c r="I935" t="str">
        <f>IFERROR(VLOOKUP(Tabela6[[#This Row],[Descrição]],Materiais!B:C,2,0),"")</f>
        <v/>
      </c>
    </row>
    <row r="936" spans="2:9">
      <c r="B936" s="11">
        <f t="shared" si="74"/>
        <v>44436</v>
      </c>
      <c r="C936" s="19">
        <f>MONTH(Tabela6[[#This Row],[Data]])</f>
        <v>8</v>
      </c>
      <c r="D936" s="19">
        <f>YEAR(Tabela6[[#This Row],[Data]])</f>
        <v>2021</v>
      </c>
      <c r="E936" s="12" t="s">
        <v>78</v>
      </c>
      <c r="F936" t="s">
        <v>133</v>
      </c>
      <c r="G936" s="26">
        <v>2</v>
      </c>
      <c r="H936">
        <v>1</v>
      </c>
      <c r="I936" t="str">
        <f>IFERROR(VLOOKUP(Tabela6[[#This Row],[Descrição]],Materiais!B:C,2,0),"")</f>
        <v/>
      </c>
    </row>
    <row r="937" spans="2:9">
      <c r="B937" s="11">
        <f t="shared" si="74"/>
        <v>44436</v>
      </c>
      <c r="C937" s="19">
        <f>MONTH(Tabela6[[#This Row],[Data]])</f>
        <v>8</v>
      </c>
      <c r="D937" s="19">
        <f>YEAR(Tabela6[[#This Row],[Data]])</f>
        <v>2021</v>
      </c>
      <c r="E937" s="12" t="s">
        <v>78</v>
      </c>
      <c r="F937" t="s">
        <v>56</v>
      </c>
      <c r="G937" s="26">
        <v>16</v>
      </c>
      <c r="H937">
        <v>8</v>
      </c>
      <c r="I937" t="str">
        <f>IFERROR(VLOOKUP(Tabela6[[#This Row],[Descrição]],Materiais!B:C,2,0),"")</f>
        <v/>
      </c>
    </row>
    <row r="938" spans="2:9">
      <c r="B938" s="11">
        <f t="shared" si="74"/>
        <v>44436</v>
      </c>
      <c r="C938" s="19">
        <f>MONTH(Tabela6[[#This Row],[Data]])</f>
        <v>8</v>
      </c>
      <c r="D938" s="19">
        <f>YEAR(Tabela6[[#This Row],[Data]])</f>
        <v>2021</v>
      </c>
      <c r="E938" s="12" t="s">
        <v>78</v>
      </c>
      <c r="F938" t="s">
        <v>61</v>
      </c>
      <c r="G938" s="26">
        <v>10</v>
      </c>
      <c r="H938">
        <v>5</v>
      </c>
      <c r="I938" t="str">
        <f>IFERROR(VLOOKUP(Tabela6[[#This Row],[Descrição]],Materiais!B:C,2,0),"")</f>
        <v/>
      </c>
    </row>
    <row r="939" spans="2:9">
      <c r="B939" s="11">
        <f t="shared" si="74"/>
        <v>44436</v>
      </c>
      <c r="C939" s="19">
        <f>MONTH(Tabela6[[#This Row],[Data]])</f>
        <v>8</v>
      </c>
      <c r="D939" s="19">
        <f>YEAR(Tabela6[[#This Row],[Data]])</f>
        <v>2021</v>
      </c>
      <c r="E939" s="12" t="s">
        <v>78</v>
      </c>
      <c r="F939" t="s">
        <v>126</v>
      </c>
      <c r="G939" s="26">
        <v>12</v>
      </c>
      <c r="H939">
        <v>6</v>
      </c>
      <c r="I939" t="str">
        <f>IFERROR(VLOOKUP(Tabela6[[#This Row],[Descrição]],Materiais!B:C,2,0),"")</f>
        <v/>
      </c>
    </row>
    <row r="940" spans="2:9">
      <c r="B940" s="11">
        <f t="shared" si="74"/>
        <v>44436</v>
      </c>
      <c r="C940" s="19">
        <f>MONTH(Tabela6[[#This Row],[Data]])</f>
        <v>8</v>
      </c>
      <c r="D940" s="19">
        <f>YEAR(Tabela6[[#This Row],[Data]])</f>
        <v>2021</v>
      </c>
      <c r="E940" s="12" t="s">
        <v>78</v>
      </c>
      <c r="F940" t="s">
        <v>58</v>
      </c>
      <c r="G940" s="26">
        <v>4</v>
      </c>
      <c r="H940">
        <v>2</v>
      </c>
      <c r="I940" t="str">
        <f>IFERROR(VLOOKUP(Tabela6[[#This Row],[Descrição]],Materiais!B:C,2,0),"")</f>
        <v/>
      </c>
    </row>
    <row r="941" spans="2:9">
      <c r="B941" s="11">
        <f t="shared" si="74"/>
        <v>44436</v>
      </c>
      <c r="C941" s="19">
        <f>MONTH(Tabela6[[#This Row],[Data]])</f>
        <v>8</v>
      </c>
      <c r="D941" s="19">
        <f>YEAR(Tabela6[[#This Row],[Data]])</f>
        <v>2021</v>
      </c>
      <c r="E941" s="12" t="s">
        <v>78</v>
      </c>
      <c r="F941" t="s">
        <v>95</v>
      </c>
      <c r="G941" s="26">
        <v>4</v>
      </c>
      <c r="H941">
        <v>2</v>
      </c>
      <c r="I941" t="str">
        <f>IFERROR(VLOOKUP(Tabela6[[#This Row],[Descrição]],Materiais!B:C,2,0),"")</f>
        <v/>
      </c>
    </row>
    <row r="942" spans="2:9">
      <c r="B942" s="11">
        <f t="shared" si="74"/>
        <v>44436</v>
      </c>
      <c r="C942" s="19">
        <f>MONTH(Tabela6[[#This Row],[Data]])</f>
        <v>8</v>
      </c>
      <c r="D942" s="19">
        <f>YEAR(Tabela6[[#This Row],[Data]])</f>
        <v>2021</v>
      </c>
      <c r="E942" s="12" t="s">
        <v>78</v>
      </c>
      <c r="F942" t="s">
        <v>117</v>
      </c>
      <c r="G942" s="26">
        <v>4</v>
      </c>
      <c r="H942">
        <v>2</v>
      </c>
      <c r="I942" t="str">
        <f>IFERROR(VLOOKUP(Tabela6[[#This Row],[Descrição]],Materiais!B:C,2,0),"")</f>
        <v/>
      </c>
    </row>
    <row r="943" spans="2:9">
      <c r="B943" s="11">
        <f t="shared" ref="B943:B950" si="75">42977+(365*4)</f>
        <v>44437</v>
      </c>
      <c r="C943" s="19">
        <f>MONTH(Tabela6[[#This Row],[Data]])</f>
        <v>8</v>
      </c>
      <c r="D943" s="19">
        <f>YEAR(Tabela6[[#This Row],[Data]])</f>
        <v>2021</v>
      </c>
      <c r="E943" s="12" t="s">
        <v>78</v>
      </c>
      <c r="F943" t="s">
        <v>63</v>
      </c>
      <c r="G943" s="26">
        <v>4</v>
      </c>
      <c r="H943">
        <v>2</v>
      </c>
      <c r="I943" t="str">
        <f>IFERROR(VLOOKUP(Tabela6[[#This Row],[Descrição]],Materiais!B:C,2,0),"")</f>
        <v/>
      </c>
    </row>
    <row r="944" spans="2:9">
      <c r="B944" s="11">
        <f t="shared" si="75"/>
        <v>44437</v>
      </c>
      <c r="C944" s="19">
        <f>MONTH(Tabela6[[#This Row],[Data]])</f>
        <v>8</v>
      </c>
      <c r="D944" s="19">
        <f>YEAR(Tabela6[[#This Row],[Data]])</f>
        <v>2021</v>
      </c>
      <c r="E944" s="12" t="s">
        <v>78</v>
      </c>
      <c r="F944" t="s">
        <v>133</v>
      </c>
      <c r="G944" s="26">
        <v>2</v>
      </c>
      <c r="H944">
        <v>1</v>
      </c>
      <c r="I944" t="str">
        <f>IFERROR(VLOOKUP(Tabela6[[#This Row],[Descrição]],Materiais!B:C,2,0),"")</f>
        <v/>
      </c>
    </row>
    <row r="945" spans="2:9">
      <c r="B945" s="11">
        <f t="shared" si="75"/>
        <v>44437</v>
      </c>
      <c r="C945" s="19">
        <f>MONTH(Tabela6[[#This Row],[Data]])</f>
        <v>8</v>
      </c>
      <c r="D945" s="19">
        <f>YEAR(Tabela6[[#This Row],[Data]])</f>
        <v>2021</v>
      </c>
      <c r="E945" s="12" t="s">
        <v>78</v>
      </c>
      <c r="F945" t="s">
        <v>56</v>
      </c>
      <c r="G945" s="26">
        <v>2</v>
      </c>
      <c r="H945">
        <v>1</v>
      </c>
      <c r="I945" t="str">
        <f>IFERROR(VLOOKUP(Tabela6[[#This Row],[Descrição]],Materiais!B:C,2,0),"")</f>
        <v/>
      </c>
    </row>
    <row r="946" spans="2:9">
      <c r="B946" s="11">
        <f t="shared" si="75"/>
        <v>44437</v>
      </c>
      <c r="C946" s="19">
        <f>MONTH(Tabela6[[#This Row],[Data]])</f>
        <v>8</v>
      </c>
      <c r="D946" s="19">
        <f>YEAR(Tabela6[[#This Row],[Data]])</f>
        <v>2021</v>
      </c>
      <c r="E946" s="12" t="s">
        <v>78</v>
      </c>
      <c r="F946" t="s">
        <v>61</v>
      </c>
      <c r="G946" s="26">
        <v>6</v>
      </c>
      <c r="H946">
        <v>3</v>
      </c>
      <c r="I946" t="str">
        <f>IFERROR(VLOOKUP(Tabela6[[#This Row],[Descrição]],Materiais!B:C,2,0),"")</f>
        <v/>
      </c>
    </row>
    <row r="947" spans="2:9">
      <c r="B947" s="11">
        <f t="shared" si="75"/>
        <v>44437</v>
      </c>
      <c r="C947" s="19">
        <f>MONTH(Tabela6[[#This Row],[Data]])</f>
        <v>8</v>
      </c>
      <c r="D947" s="19">
        <f>YEAR(Tabela6[[#This Row],[Data]])</f>
        <v>2021</v>
      </c>
      <c r="E947" s="12" t="s">
        <v>78</v>
      </c>
      <c r="F947" t="s">
        <v>126</v>
      </c>
      <c r="G947" s="26">
        <v>2</v>
      </c>
      <c r="H947">
        <v>1</v>
      </c>
      <c r="I947" t="str">
        <f>IFERROR(VLOOKUP(Tabela6[[#This Row],[Descrição]],Materiais!B:C,2,0),"")</f>
        <v/>
      </c>
    </row>
    <row r="948" spans="2:9">
      <c r="B948" s="11">
        <f t="shared" si="75"/>
        <v>44437</v>
      </c>
      <c r="C948" s="19">
        <f>MONTH(Tabela6[[#This Row],[Data]])</f>
        <v>8</v>
      </c>
      <c r="D948" s="19">
        <f>YEAR(Tabela6[[#This Row],[Data]])</f>
        <v>2021</v>
      </c>
      <c r="E948" s="12" t="s">
        <v>78</v>
      </c>
      <c r="F948" t="s">
        <v>62</v>
      </c>
      <c r="G948" s="26">
        <v>2</v>
      </c>
      <c r="H948">
        <v>1</v>
      </c>
      <c r="I948" t="str">
        <f>IFERROR(VLOOKUP(Tabela6[[#This Row],[Descrição]],Materiais!B:C,2,0),"")</f>
        <v/>
      </c>
    </row>
    <row r="949" spans="2:9">
      <c r="B949" s="11">
        <f t="shared" si="75"/>
        <v>44437</v>
      </c>
      <c r="C949" s="19">
        <f>MONTH(Tabela6[[#This Row],[Data]])</f>
        <v>8</v>
      </c>
      <c r="D949" s="19">
        <f>YEAR(Tabela6[[#This Row],[Data]])</f>
        <v>2021</v>
      </c>
      <c r="E949" s="12" t="s">
        <v>78</v>
      </c>
      <c r="F949" t="s">
        <v>109</v>
      </c>
      <c r="G949" s="26">
        <v>6</v>
      </c>
      <c r="H949">
        <v>3</v>
      </c>
      <c r="I949" t="str">
        <f>IFERROR(VLOOKUP(Tabela6[[#This Row],[Descrição]],Materiais!B:C,2,0),"")</f>
        <v/>
      </c>
    </row>
    <row r="950" spans="2:9">
      <c r="B950" s="11">
        <f t="shared" si="75"/>
        <v>44437</v>
      </c>
      <c r="C950" s="19">
        <f>MONTH(Tabela6[[#This Row],[Data]])</f>
        <v>8</v>
      </c>
      <c r="D950" s="19">
        <f>YEAR(Tabela6[[#This Row],[Data]])</f>
        <v>2021</v>
      </c>
      <c r="E950" s="12" t="s">
        <v>78</v>
      </c>
      <c r="F950" t="s">
        <v>58</v>
      </c>
      <c r="G950" s="26">
        <v>8</v>
      </c>
      <c r="H950">
        <v>4</v>
      </c>
      <c r="I950" t="str">
        <f>IFERROR(VLOOKUP(Tabela6[[#This Row],[Descrição]],Materiais!B:C,2,0),"")</f>
        <v/>
      </c>
    </row>
    <row r="951" spans="2:9">
      <c r="B951" s="11">
        <f t="shared" ref="B951:B956" si="76">42978+(365*4)</f>
        <v>44438</v>
      </c>
      <c r="C951" s="19">
        <f>MONTH(Tabela6[[#This Row],[Data]])</f>
        <v>8</v>
      </c>
      <c r="D951" s="19">
        <f>YEAR(Tabela6[[#This Row],[Data]])</f>
        <v>2021</v>
      </c>
      <c r="E951" s="12" t="s">
        <v>78</v>
      </c>
      <c r="F951" t="s">
        <v>133</v>
      </c>
      <c r="G951" s="26">
        <v>2</v>
      </c>
      <c r="H951">
        <v>1</v>
      </c>
      <c r="I951" t="str">
        <f>IFERROR(VLOOKUP(Tabela6[[#This Row],[Descrição]],Materiais!B:C,2,0),"")</f>
        <v/>
      </c>
    </row>
    <row r="952" spans="2:9">
      <c r="B952" s="11">
        <f t="shared" si="76"/>
        <v>44438</v>
      </c>
      <c r="C952" s="19">
        <f>MONTH(Tabela6[[#This Row],[Data]])</f>
        <v>8</v>
      </c>
      <c r="D952" s="19">
        <f>YEAR(Tabela6[[#This Row],[Data]])</f>
        <v>2021</v>
      </c>
      <c r="E952" s="12" t="s">
        <v>78</v>
      </c>
      <c r="F952" t="s">
        <v>56</v>
      </c>
      <c r="G952" s="26">
        <v>16</v>
      </c>
      <c r="H952">
        <v>8</v>
      </c>
      <c r="I952" t="str">
        <f>IFERROR(VLOOKUP(Tabela6[[#This Row],[Descrição]],Materiais!B:C,2,0),"")</f>
        <v/>
      </c>
    </row>
    <row r="953" spans="2:9">
      <c r="B953" s="11">
        <f t="shared" si="76"/>
        <v>44438</v>
      </c>
      <c r="C953" s="19">
        <f>MONTH(Tabela6[[#This Row],[Data]])</f>
        <v>8</v>
      </c>
      <c r="D953" s="19">
        <f>YEAR(Tabela6[[#This Row],[Data]])</f>
        <v>2021</v>
      </c>
      <c r="E953" s="12" t="s">
        <v>78</v>
      </c>
      <c r="F953" t="s">
        <v>100</v>
      </c>
      <c r="G953" s="26">
        <v>4</v>
      </c>
      <c r="H953">
        <v>2</v>
      </c>
      <c r="I953" t="str">
        <f>IFERROR(VLOOKUP(Tabela6[[#This Row],[Descrição]],Materiais!B:C,2,0),"")</f>
        <v/>
      </c>
    </row>
    <row r="954" spans="2:9">
      <c r="B954" s="11">
        <f t="shared" si="76"/>
        <v>44438</v>
      </c>
      <c r="C954" s="19">
        <f>MONTH(Tabela6[[#This Row],[Data]])</f>
        <v>8</v>
      </c>
      <c r="D954" s="19">
        <f>YEAR(Tabela6[[#This Row],[Data]])</f>
        <v>2021</v>
      </c>
      <c r="E954" s="12" t="s">
        <v>78</v>
      </c>
      <c r="F954" t="s">
        <v>61</v>
      </c>
      <c r="G954" s="26">
        <v>6</v>
      </c>
      <c r="H954">
        <v>3</v>
      </c>
      <c r="I954" t="str">
        <f>IFERROR(VLOOKUP(Tabela6[[#This Row],[Descrição]],Materiais!B:C,2,0),"")</f>
        <v/>
      </c>
    </row>
    <row r="955" spans="2:9">
      <c r="B955" s="11">
        <f t="shared" si="76"/>
        <v>44438</v>
      </c>
      <c r="C955" s="19">
        <f>MONTH(Tabela6[[#This Row],[Data]])</f>
        <v>8</v>
      </c>
      <c r="D955" s="19">
        <f>YEAR(Tabela6[[#This Row],[Data]])</f>
        <v>2021</v>
      </c>
      <c r="E955" s="12" t="s">
        <v>78</v>
      </c>
      <c r="F955" t="s">
        <v>126</v>
      </c>
      <c r="G955" s="26">
        <v>4</v>
      </c>
      <c r="H955">
        <v>2</v>
      </c>
      <c r="I955" t="str">
        <f>IFERROR(VLOOKUP(Tabela6[[#This Row],[Descrição]],Materiais!B:C,2,0),"")</f>
        <v/>
      </c>
    </row>
    <row r="956" spans="2:9">
      <c r="B956" s="11">
        <f t="shared" si="76"/>
        <v>44438</v>
      </c>
      <c r="C956" s="19">
        <f>MONTH(Tabela6[[#This Row],[Data]])</f>
        <v>8</v>
      </c>
      <c r="D956" s="19">
        <f>YEAR(Tabela6[[#This Row],[Data]])</f>
        <v>2021</v>
      </c>
      <c r="E956" s="12" t="s">
        <v>78</v>
      </c>
      <c r="F956" t="s">
        <v>58</v>
      </c>
      <c r="G956" s="26">
        <v>2</v>
      </c>
      <c r="H956">
        <v>1</v>
      </c>
      <c r="I956" t="str">
        <f>IFERROR(VLOOKUP(Tabela6[[#This Row],[Descrição]],Materiais!B:C,2,0),"")</f>
        <v/>
      </c>
    </row>
    <row r="957" spans="2:9">
      <c r="B957" s="11">
        <f t="shared" ref="B957:B962" si="77">42979+(365*4)</f>
        <v>44439</v>
      </c>
      <c r="C957" s="19">
        <f>MONTH(Tabela6[[#This Row],[Data]])</f>
        <v>8</v>
      </c>
      <c r="D957" s="19">
        <f>YEAR(Tabela6[[#This Row],[Data]])</f>
        <v>2021</v>
      </c>
      <c r="E957" s="12" t="s">
        <v>78</v>
      </c>
      <c r="F957" t="s">
        <v>133</v>
      </c>
      <c r="G957" s="26">
        <v>2</v>
      </c>
      <c r="H957">
        <v>1</v>
      </c>
      <c r="I957" t="str">
        <f>IFERROR(VLOOKUP(Tabela6[[#This Row],[Descrição]],Materiais!B:C,2,0),"")</f>
        <v/>
      </c>
    </row>
    <row r="958" spans="2:9">
      <c r="B958" s="11">
        <f t="shared" si="77"/>
        <v>44439</v>
      </c>
      <c r="C958" s="19">
        <f>MONTH(Tabela6[[#This Row],[Data]])</f>
        <v>8</v>
      </c>
      <c r="D958" s="19">
        <f>YEAR(Tabela6[[#This Row],[Data]])</f>
        <v>2021</v>
      </c>
      <c r="E958" s="12" t="s">
        <v>78</v>
      </c>
      <c r="F958" t="s">
        <v>56</v>
      </c>
      <c r="G958" s="26">
        <v>70</v>
      </c>
      <c r="H958">
        <v>100</v>
      </c>
      <c r="I958" t="str">
        <f>IFERROR(VLOOKUP(Tabela6[[#This Row],[Descrição]],Materiais!B:C,2,0),"")</f>
        <v/>
      </c>
    </row>
    <row r="959" spans="2:9">
      <c r="B959" s="11">
        <f t="shared" si="77"/>
        <v>44439</v>
      </c>
      <c r="C959" s="19">
        <f>MONTH(Tabela6[[#This Row],[Data]])</f>
        <v>8</v>
      </c>
      <c r="D959" s="19">
        <f>YEAR(Tabela6[[#This Row],[Data]])</f>
        <v>2021</v>
      </c>
      <c r="E959" s="12" t="s">
        <v>78</v>
      </c>
      <c r="F959" t="s">
        <v>56</v>
      </c>
      <c r="G959" s="26">
        <v>14</v>
      </c>
      <c r="H959">
        <v>7</v>
      </c>
      <c r="I959" t="str">
        <f>IFERROR(VLOOKUP(Tabela6[[#This Row],[Descrição]],Materiais!B:C,2,0),"")</f>
        <v/>
      </c>
    </row>
    <row r="960" spans="2:9">
      <c r="B960" s="11">
        <f t="shared" si="77"/>
        <v>44439</v>
      </c>
      <c r="C960" s="19">
        <f>MONTH(Tabela6[[#This Row],[Data]])</f>
        <v>8</v>
      </c>
      <c r="D960" s="19">
        <f>YEAR(Tabela6[[#This Row],[Data]])</f>
        <v>2021</v>
      </c>
      <c r="E960" s="12" t="s">
        <v>78</v>
      </c>
      <c r="F960" t="s">
        <v>100</v>
      </c>
      <c r="G960" s="26">
        <v>2</v>
      </c>
      <c r="H960">
        <v>1</v>
      </c>
      <c r="I960" t="str">
        <f>IFERROR(VLOOKUP(Tabela6[[#This Row],[Descrição]],Materiais!B:C,2,0),"")</f>
        <v/>
      </c>
    </row>
    <row r="961" spans="2:9">
      <c r="B961" s="11">
        <f t="shared" si="77"/>
        <v>44439</v>
      </c>
      <c r="C961" s="19">
        <f>MONTH(Tabela6[[#This Row],[Data]])</f>
        <v>8</v>
      </c>
      <c r="D961" s="19">
        <f>YEAR(Tabela6[[#This Row],[Data]])</f>
        <v>2021</v>
      </c>
      <c r="E961" s="12" t="s">
        <v>78</v>
      </c>
      <c r="F961" t="s">
        <v>61</v>
      </c>
      <c r="G961" s="26">
        <v>4</v>
      </c>
      <c r="H961">
        <v>2</v>
      </c>
      <c r="I961" t="str">
        <f>IFERROR(VLOOKUP(Tabela6[[#This Row],[Descrição]],Materiais!B:C,2,0),"")</f>
        <v/>
      </c>
    </row>
    <row r="962" spans="2:9">
      <c r="B962" s="11">
        <f t="shared" si="77"/>
        <v>44439</v>
      </c>
      <c r="C962" s="19">
        <f>MONTH(Tabela6[[#This Row],[Data]])</f>
        <v>8</v>
      </c>
      <c r="D962" s="19">
        <f>YEAR(Tabela6[[#This Row],[Data]])</f>
        <v>2021</v>
      </c>
      <c r="E962" s="12" t="s">
        <v>78</v>
      </c>
      <c r="F962" t="s">
        <v>126</v>
      </c>
      <c r="G962" s="26">
        <v>2</v>
      </c>
      <c r="H962">
        <v>1</v>
      </c>
      <c r="I962" t="str">
        <f>IFERROR(VLOOKUP(Tabela6[[#This Row],[Descrição]],Materiais!B:C,2,0),"")</f>
        <v/>
      </c>
    </row>
    <row r="963" spans="2:9">
      <c r="B963" s="11">
        <f>42980+(365*4)</f>
        <v>44440</v>
      </c>
      <c r="C963" s="19">
        <f>MONTH(Tabela6[[#This Row],[Data]])</f>
        <v>9</v>
      </c>
      <c r="D963" s="19">
        <f>YEAR(Tabela6[[#This Row],[Data]])</f>
        <v>2021</v>
      </c>
      <c r="E963" s="12" t="s">
        <v>78</v>
      </c>
      <c r="F963" t="s">
        <v>63</v>
      </c>
      <c r="G963" s="26">
        <v>28</v>
      </c>
      <c r="H963">
        <v>40</v>
      </c>
      <c r="I963" t="str">
        <f>IFERROR(VLOOKUP(Tabela6[[#This Row],[Descrição]],Materiais!B:C,2,0),"")</f>
        <v/>
      </c>
    </row>
    <row r="964" spans="2:9">
      <c r="B964" s="11">
        <f>42980+(365*4)</f>
        <v>44440</v>
      </c>
      <c r="C964" s="19">
        <f>MONTH(Tabela6[[#This Row],[Data]])</f>
        <v>9</v>
      </c>
      <c r="D964" s="19">
        <f>YEAR(Tabela6[[#This Row],[Data]])</f>
        <v>2021</v>
      </c>
      <c r="E964" s="12" t="s">
        <v>78</v>
      </c>
      <c r="F964" t="s">
        <v>133</v>
      </c>
      <c r="G964" s="26">
        <v>28</v>
      </c>
      <c r="H964">
        <v>40</v>
      </c>
      <c r="I964" t="str">
        <f>IFERROR(VLOOKUP(Tabela6[[#This Row],[Descrição]],Materiais!B:C,2,0),"")</f>
        <v/>
      </c>
    </row>
    <row r="965" spans="2:9">
      <c r="B965" s="11">
        <f>42980+(365*4)</f>
        <v>44440</v>
      </c>
      <c r="C965" s="19">
        <f>MONTH(Tabela6[[#This Row],[Data]])</f>
        <v>9</v>
      </c>
      <c r="D965" s="19">
        <f>YEAR(Tabela6[[#This Row],[Data]])</f>
        <v>2021</v>
      </c>
      <c r="E965" s="12" t="s">
        <v>78</v>
      </c>
      <c r="F965" t="s">
        <v>56</v>
      </c>
      <c r="G965" s="26">
        <v>28</v>
      </c>
      <c r="H965">
        <v>40</v>
      </c>
      <c r="I965" t="str">
        <f>IFERROR(VLOOKUP(Tabela6[[#This Row],[Descrição]],Materiais!B:C,2,0),"")</f>
        <v/>
      </c>
    </row>
    <row r="966" spans="2:9">
      <c r="B966" s="11">
        <f>42980+(365*4)</f>
        <v>44440</v>
      </c>
      <c r="C966" s="19">
        <f>MONTH(Tabela6[[#This Row],[Data]])</f>
        <v>9</v>
      </c>
      <c r="D966" s="19">
        <f>YEAR(Tabela6[[#This Row],[Data]])</f>
        <v>2021</v>
      </c>
      <c r="E966" s="12" t="s">
        <v>78</v>
      </c>
      <c r="F966" t="s">
        <v>116</v>
      </c>
      <c r="G966" s="26">
        <v>28</v>
      </c>
      <c r="H966">
        <v>40</v>
      </c>
      <c r="I966" t="str">
        <f>IFERROR(VLOOKUP(Tabela6[[#This Row],[Descrição]],Materiais!B:C,2,0),"")</f>
        <v/>
      </c>
    </row>
    <row r="967" spans="2:9">
      <c r="B967" s="11">
        <f>42980+(365*4)</f>
        <v>44440</v>
      </c>
      <c r="C967" s="19">
        <f>MONTH(Tabela6[[#This Row],[Data]])</f>
        <v>9</v>
      </c>
      <c r="D967" s="19">
        <f>YEAR(Tabela6[[#This Row],[Data]])</f>
        <v>2021</v>
      </c>
      <c r="E967" s="12" t="s">
        <v>78</v>
      </c>
      <c r="F967" t="s">
        <v>109</v>
      </c>
      <c r="G967" s="26">
        <v>28</v>
      </c>
      <c r="H967">
        <v>40</v>
      </c>
      <c r="I967" t="str">
        <f>IFERROR(VLOOKUP(Tabela6[[#This Row],[Descrição]],Materiais!B:C,2,0),"")</f>
        <v/>
      </c>
    </row>
    <row r="968" spans="2:9">
      <c r="B968" s="11">
        <f t="shared" ref="B968:B973" si="78">42982+(365*4)</f>
        <v>44442</v>
      </c>
      <c r="C968" s="19">
        <f>MONTH(Tabela6[[#This Row],[Data]])</f>
        <v>9</v>
      </c>
      <c r="D968" s="19">
        <f>YEAR(Tabela6[[#This Row],[Data]])</f>
        <v>2021</v>
      </c>
      <c r="E968" s="12" t="s">
        <v>78</v>
      </c>
      <c r="F968" t="s">
        <v>63</v>
      </c>
      <c r="G968" s="26">
        <v>4</v>
      </c>
      <c r="H968">
        <v>2</v>
      </c>
      <c r="I968" t="str">
        <f>IFERROR(VLOOKUP(Tabela6[[#This Row],[Descrição]],Materiais!B:C,2,0),"")</f>
        <v/>
      </c>
    </row>
    <row r="969" spans="2:9">
      <c r="B969" s="11">
        <f t="shared" si="78"/>
        <v>44442</v>
      </c>
      <c r="C969" s="19">
        <f>MONTH(Tabela6[[#This Row],[Data]])</f>
        <v>9</v>
      </c>
      <c r="D969" s="19">
        <f>YEAR(Tabela6[[#This Row],[Data]])</f>
        <v>2021</v>
      </c>
      <c r="E969" s="12" t="s">
        <v>78</v>
      </c>
      <c r="F969" t="s">
        <v>56</v>
      </c>
      <c r="G969" s="26">
        <v>6</v>
      </c>
      <c r="H969">
        <v>3</v>
      </c>
      <c r="I969" t="str">
        <f>IFERROR(VLOOKUP(Tabela6[[#This Row],[Descrição]],Materiais!B:C,2,0),"")</f>
        <v/>
      </c>
    </row>
    <row r="970" spans="2:9">
      <c r="B970" s="11">
        <f t="shared" si="78"/>
        <v>44442</v>
      </c>
      <c r="C970" s="19">
        <f>MONTH(Tabela6[[#This Row],[Data]])</f>
        <v>9</v>
      </c>
      <c r="D970" s="19">
        <f>YEAR(Tabela6[[#This Row],[Data]])</f>
        <v>2021</v>
      </c>
      <c r="E970" s="12" t="s">
        <v>78</v>
      </c>
      <c r="F970" t="s">
        <v>100</v>
      </c>
      <c r="G970" s="26">
        <v>2</v>
      </c>
      <c r="H970">
        <v>1</v>
      </c>
      <c r="I970" t="str">
        <f>IFERROR(VLOOKUP(Tabela6[[#This Row],[Descrição]],Materiais!B:C,2,0),"")</f>
        <v/>
      </c>
    </row>
    <row r="971" spans="2:9">
      <c r="B971" s="11">
        <f t="shared" si="78"/>
        <v>44442</v>
      </c>
      <c r="C971" s="19">
        <f>MONTH(Tabela6[[#This Row],[Data]])</f>
        <v>9</v>
      </c>
      <c r="D971" s="19">
        <f>YEAR(Tabela6[[#This Row],[Data]])</f>
        <v>2021</v>
      </c>
      <c r="E971" s="12" t="s">
        <v>78</v>
      </c>
      <c r="F971" t="s">
        <v>61</v>
      </c>
      <c r="G971" s="26">
        <v>6</v>
      </c>
      <c r="H971">
        <v>3</v>
      </c>
      <c r="I971" t="str">
        <f>IFERROR(VLOOKUP(Tabela6[[#This Row],[Descrição]],Materiais!B:C,2,0),"")</f>
        <v/>
      </c>
    </row>
    <row r="972" spans="2:9">
      <c r="B972" s="11">
        <f t="shared" si="78"/>
        <v>44442</v>
      </c>
      <c r="C972" s="19">
        <f>MONTH(Tabela6[[#This Row],[Data]])</f>
        <v>9</v>
      </c>
      <c r="D972" s="19">
        <f>YEAR(Tabela6[[#This Row],[Data]])</f>
        <v>2021</v>
      </c>
      <c r="E972" s="12" t="s">
        <v>78</v>
      </c>
      <c r="F972" t="s">
        <v>62</v>
      </c>
      <c r="G972" s="26">
        <v>2</v>
      </c>
      <c r="H972">
        <v>1</v>
      </c>
      <c r="I972" t="str">
        <f>IFERROR(VLOOKUP(Tabela6[[#This Row],[Descrição]],Materiais!B:C,2,0),"")</f>
        <v/>
      </c>
    </row>
    <row r="973" spans="2:9">
      <c r="B973" s="11">
        <f t="shared" si="78"/>
        <v>44442</v>
      </c>
      <c r="C973" s="19">
        <f>MONTH(Tabela6[[#This Row],[Data]])</f>
        <v>9</v>
      </c>
      <c r="D973" s="19">
        <f>YEAR(Tabela6[[#This Row],[Data]])</f>
        <v>2021</v>
      </c>
      <c r="E973" s="12" t="s">
        <v>78</v>
      </c>
      <c r="F973" t="s">
        <v>117</v>
      </c>
      <c r="G973" s="26">
        <v>2</v>
      </c>
      <c r="H973">
        <v>1</v>
      </c>
      <c r="I973" t="str">
        <f>IFERROR(VLOOKUP(Tabela6[[#This Row],[Descrição]],Materiais!B:C,2,0),"")</f>
        <v/>
      </c>
    </row>
    <row r="974" spans="2:9">
      <c r="B974" s="11">
        <f t="shared" ref="B974:B981" si="79">42983+(365*4)</f>
        <v>44443</v>
      </c>
      <c r="C974" s="19">
        <f>MONTH(Tabela6[[#This Row],[Data]])</f>
        <v>9</v>
      </c>
      <c r="D974" s="19">
        <f>YEAR(Tabela6[[#This Row],[Data]])</f>
        <v>2021</v>
      </c>
      <c r="E974" s="12" t="s">
        <v>78</v>
      </c>
      <c r="F974" t="s">
        <v>133</v>
      </c>
      <c r="G974" s="26">
        <v>6</v>
      </c>
      <c r="H974">
        <v>3</v>
      </c>
      <c r="I974" t="str">
        <f>IFERROR(VLOOKUP(Tabela6[[#This Row],[Descrição]],Materiais!B:C,2,0),"")</f>
        <v/>
      </c>
    </row>
    <row r="975" spans="2:9">
      <c r="B975" s="11">
        <f t="shared" si="79"/>
        <v>44443</v>
      </c>
      <c r="C975" s="19">
        <f>MONTH(Tabela6[[#This Row],[Data]])</f>
        <v>9</v>
      </c>
      <c r="D975" s="19">
        <f>YEAR(Tabela6[[#This Row],[Data]])</f>
        <v>2021</v>
      </c>
      <c r="E975" s="12" t="s">
        <v>78</v>
      </c>
      <c r="F975" t="s">
        <v>56</v>
      </c>
      <c r="G975" s="26">
        <v>8</v>
      </c>
      <c r="H975">
        <v>4</v>
      </c>
      <c r="I975" t="str">
        <f>IFERROR(VLOOKUP(Tabela6[[#This Row],[Descrição]],Materiais!B:C,2,0),"")</f>
        <v/>
      </c>
    </row>
    <row r="976" spans="2:9">
      <c r="B976" s="11">
        <f t="shared" si="79"/>
        <v>44443</v>
      </c>
      <c r="C976" s="19">
        <f>MONTH(Tabela6[[#This Row],[Data]])</f>
        <v>9</v>
      </c>
      <c r="D976" s="19">
        <f>YEAR(Tabela6[[#This Row],[Data]])</f>
        <v>2021</v>
      </c>
      <c r="E976" s="12" t="s">
        <v>78</v>
      </c>
      <c r="F976" t="s">
        <v>100</v>
      </c>
      <c r="G976" s="26">
        <v>4</v>
      </c>
      <c r="H976">
        <v>2</v>
      </c>
      <c r="I976" t="str">
        <f>IFERROR(VLOOKUP(Tabela6[[#This Row],[Descrição]],Materiais!B:C,2,0),"")</f>
        <v/>
      </c>
    </row>
    <row r="977" spans="2:9">
      <c r="B977" s="11">
        <f t="shared" si="79"/>
        <v>44443</v>
      </c>
      <c r="C977" s="19">
        <f>MONTH(Tabela6[[#This Row],[Data]])</f>
        <v>9</v>
      </c>
      <c r="D977" s="19">
        <f>YEAR(Tabela6[[#This Row],[Data]])</f>
        <v>2021</v>
      </c>
      <c r="E977" s="12" t="s">
        <v>78</v>
      </c>
      <c r="F977" t="s">
        <v>61</v>
      </c>
      <c r="G977" s="26">
        <v>8</v>
      </c>
      <c r="H977">
        <v>4</v>
      </c>
      <c r="I977" t="str">
        <f>IFERROR(VLOOKUP(Tabela6[[#This Row],[Descrição]],Materiais!B:C,2,0),"")</f>
        <v/>
      </c>
    </row>
    <row r="978" spans="2:9">
      <c r="B978" s="11">
        <f t="shared" si="79"/>
        <v>44443</v>
      </c>
      <c r="C978" s="19">
        <f>MONTH(Tabela6[[#This Row],[Data]])</f>
        <v>9</v>
      </c>
      <c r="D978" s="19">
        <f>YEAR(Tabela6[[#This Row],[Data]])</f>
        <v>2021</v>
      </c>
      <c r="E978" s="12" t="s">
        <v>78</v>
      </c>
      <c r="F978" t="s">
        <v>109</v>
      </c>
      <c r="G978" s="26">
        <v>4</v>
      </c>
      <c r="H978">
        <v>2</v>
      </c>
      <c r="I978" t="str">
        <f>IFERROR(VLOOKUP(Tabela6[[#This Row],[Descrição]],Materiais!B:C,2,0),"")</f>
        <v/>
      </c>
    </row>
    <row r="979" spans="2:9">
      <c r="B979" s="11">
        <f t="shared" si="79"/>
        <v>44443</v>
      </c>
      <c r="C979" s="19">
        <f>MONTH(Tabela6[[#This Row],[Data]])</f>
        <v>9</v>
      </c>
      <c r="D979" s="19">
        <f>YEAR(Tabela6[[#This Row],[Data]])</f>
        <v>2021</v>
      </c>
      <c r="E979" s="12" t="s">
        <v>78</v>
      </c>
      <c r="F979" t="s">
        <v>58</v>
      </c>
      <c r="G979" s="26">
        <v>6</v>
      </c>
      <c r="H979">
        <v>3</v>
      </c>
      <c r="I979" t="str">
        <f>IFERROR(VLOOKUP(Tabela6[[#This Row],[Descrição]],Materiais!B:C,2,0),"")</f>
        <v/>
      </c>
    </row>
    <row r="980" spans="2:9">
      <c r="B980" s="11">
        <f t="shared" si="79"/>
        <v>44443</v>
      </c>
      <c r="C980" s="19">
        <f>MONTH(Tabela6[[#This Row],[Data]])</f>
        <v>9</v>
      </c>
      <c r="D980" s="19">
        <f>YEAR(Tabela6[[#This Row],[Data]])</f>
        <v>2021</v>
      </c>
      <c r="E980" s="12" t="s">
        <v>78</v>
      </c>
      <c r="F980" t="s">
        <v>95</v>
      </c>
      <c r="G980" s="26">
        <v>2</v>
      </c>
      <c r="H980">
        <v>1</v>
      </c>
      <c r="I980" t="str">
        <f>IFERROR(VLOOKUP(Tabela6[[#This Row],[Descrição]],Materiais!B:C,2,0),"")</f>
        <v/>
      </c>
    </row>
    <row r="981" spans="2:9">
      <c r="B981" s="11">
        <f t="shared" si="79"/>
        <v>44443</v>
      </c>
      <c r="C981" s="19">
        <f>MONTH(Tabela6[[#This Row],[Data]])</f>
        <v>9</v>
      </c>
      <c r="D981" s="19">
        <f>YEAR(Tabela6[[#This Row],[Data]])</f>
        <v>2021</v>
      </c>
      <c r="E981" s="12" t="s">
        <v>78</v>
      </c>
      <c r="F981" t="s">
        <v>117</v>
      </c>
      <c r="G981" s="26">
        <v>2</v>
      </c>
      <c r="H981">
        <v>1</v>
      </c>
      <c r="I981" t="str">
        <f>IFERROR(VLOOKUP(Tabela6[[#This Row],[Descrição]],Materiais!B:C,2,0),"")</f>
        <v/>
      </c>
    </row>
    <row r="982" spans="2:9">
      <c r="B982" s="11">
        <f>42985+(365*4)</f>
        <v>44445</v>
      </c>
      <c r="C982" s="19">
        <f>MONTH(Tabela6[[#This Row],[Data]])</f>
        <v>9</v>
      </c>
      <c r="D982" s="19">
        <f>YEAR(Tabela6[[#This Row],[Data]])</f>
        <v>2021</v>
      </c>
      <c r="E982" s="12" t="s">
        <v>72</v>
      </c>
      <c r="F982" t="s">
        <v>20</v>
      </c>
      <c r="G982" s="26">
        <v>-31.94</v>
      </c>
      <c r="H982">
        <v>8</v>
      </c>
      <c r="I982" t="str">
        <f>IFERROR(VLOOKUP(Tabela6[[#This Row],[Descrição]],Materiais!B:C,2,0),"")</f>
        <v>g</v>
      </c>
    </row>
    <row r="983" spans="2:9">
      <c r="B983" s="11">
        <f>42986+(365*4)</f>
        <v>44446</v>
      </c>
      <c r="C983" s="19">
        <f>MONTH(Tabela6[[#This Row],[Data]])</f>
        <v>9</v>
      </c>
      <c r="D983" s="19">
        <f>YEAR(Tabela6[[#This Row],[Data]])</f>
        <v>2021</v>
      </c>
      <c r="E983" s="12" t="s">
        <v>72</v>
      </c>
      <c r="F983" t="s">
        <v>127</v>
      </c>
      <c r="G983" s="26">
        <v>-2.85</v>
      </c>
      <c r="H983">
        <v>1</v>
      </c>
      <c r="I983" t="str">
        <f>IFERROR(VLOOKUP(Tabela6[[#This Row],[Descrição]],Materiais!B:C,2,0),"")</f>
        <v/>
      </c>
    </row>
    <row r="984" spans="2:9">
      <c r="B984" s="11">
        <f>42986+(365*4)</f>
        <v>44446</v>
      </c>
      <c r="C984" s="19">
        <f>MONTH(Tabela6[[#This Row],[Data]])</f>
        <v>9</v>
      </c>
      <c r="D984" s="19">
        <f>YEAR(Tabela6[[#This Row],[Data]])</f>
        <v>2021</v>
      </c>
      <c r="E984" s="12" t="s">
        <v>72</v>
      </c>
      <c r="F984" t="s">
        <v>20</v>
      </c>
      <c r="G984" s="26">
        <v>-195.02</v>
      </c>
      <c r="H984">
        <v>19355</v>
      </c>
      <c r="I984" t="str">
        <f>IFERROR(VLOOKUP(Tabela6[[#This Row],[Descrição]],Materiais!B:C,2,0),"")</f>
        <v>g</v>
      </c>
    </row>
    <row r="985" spans="2:9">
      <c r="B985" s="11">
        <f>42986+(365*4)</f>
        <v>44446</v>
      </c>
      <c r="C985" s="19">
        <f>MONTH(Tabela6[[#This Row],[Data]])</f>
        <v>9</v>
      </c>
      <c r="D985" s="19">
        <f>YEAR(Tabela6[[#This Row],[Data]])</f>
        <v>2021</v>
      </c>
      <c r="E985" s="12" t="s">
        <v>72</v>
      </c>
      <c r="F985" t="s">
        <v>22</v>
      </c>
      <c r="G985" s="26">
        <v>-15.98</v>
      </c>
      <c r="H985">
        <v>400</v>
      </c>
      <c r="I985" t="str">
        <f>IFERROR(VLOOKUP(Tabela6[[#This Row],[Descrição]],Materiais!B:C,2,0),"")</f>
        <v>g</v>
      </c>
    </row>
    <row r="986" spans="2:9">
      <c r="B986" s="11">
        <f t="shared" ref="B986:B993" si="80">42989+(365*4)</f>
        <v>44449</v>
      </c>
      <c r="C986" s="19">
        <f>MONTH(Tabela6[[#This Row],[Data]])</f>
        <v>9</v>
      </c>
      <c r="D986" s="19">
        <f>YEAR(Tabela6[[#This Row],[Data]])</f>
        <v>2021</v>
      </c>
      <c r="E986" s="12" t="s">
        <v>78</v>
      </c>
      <c r="F986" t="s">
        <v>63</v>
      </c>
      <c r="G986" s="26">
        <v>4</v>
      </c>
      <c r="H986">
        <v>2</v>
      </c>
      <c r="I986" t="str">
        <f>IFERROR(VLOOKUP(Tabela6[[#This Row],[Descrição]],Materiais!B:C,2,0),"")</f>
        <v/>
      </c>
    </row>
    <row r="987" spans="2:9">
      <c r="B987" s="11">
        <f t="shared" si="80"/>
        <v>44449</v>
      </c>
      <c r="C987" s="19">
        <f>MONTH(Tabela6[[#This Row],[Data]])</f>
        <v>9</v>
      </c>
      <c r="D987" s="19">
        <f>YEAR(Tabela6[[#This Row],[Data]])</f>
        <v>2021</v>
      </c>
      <c r="E987" s="12" t="s">
        <v>78</v>
      </c>
      <c r="F987" t="s">
        <v>133</v>
      </c>
      <c r="G987" s="26">
        <v>2</v>
      </c>
      <c r="H987">
        <v>1</v>
      </c>
      <c r="I987" t="str">
        <f>IFERROR(VLOOKUP(Tabela6[[#This Row],[Descrição]],Materiais!B:C,2,0),"")</f>
        <v/>
      </c>
    </row>
    <row r="988" spans="2:9">
      <c r="B988" s="11">
        <f t="shared" si="80"/>
        <v>44449</v>
      </c>
      <c r="C988" s="19">
        <f>MONTH(Tabela6[[#This Row],[Data]])</f>
        <v>9</v>
      </c>
      <c r="D988" s="19">
        <f>YEAR(Tabela6[[#This Row],[Data]])</f>
        <v>2021</v>
      </c>
      <c r="E988" s="12" t="s">
        <v>78</v>
      </c>
      <c r="F988" t="s">
        <v>56</v>
      </c>
      <c r="G988" s="26">
        <v>6</v>
      </c>
      <c r="H988">
        <v>3</v>
      </c>
      <c r="I988" t="str">
        <f>IFERROR(VLOOKUP(Tabela6[[#This Row],[Descrição]],Materiais!B:C,2,0),"")</f>
        <v/>
      </c>
    </row>
    <row r="989" spans="2:9">
      <c r="B989" s="11">
        <f t="shared" si="80"/>
        <v>44449</v>
      </c>
      <c r="C989" s="19">
        <f>MONTH(Tabela6[[#This Row],[Data]])</f>
        <v>9</v>
      </c>
      <c r="D989" s="19">
        <f>YEAR(Tabela6[[#This Row],[Data]])</f>
        <v>2021</v>
      </c>
      <c r="E989" s="12" t="s">
        <v>78</v>
      </c>
      <c r="F989" t="s">
        <v>100</v>
      </c>
      <c r="G989" s="26">
        <v>2</v>
      </c>
      <c r="H989">
        <v>1</v>
      </c>
      <c r="I989" t="str">
        <f>IFERROR(VLOOKUP(Tabela6[[#This Row],[Descrição]],Materiais!B:C,2,0),"")</f>
        <v/>
      </c>
    </row>
    <row r="990" spans="2:9">
      <c r="B990" s="11">
        <f t="shared" si="80"/>
        <v>44449</v>
      </c>
      <c r="C990" s="19">
        <f>MONTH(Tabela6[[#This Row],[Data]])</f>
        <v>9</v>
      </c>
      <c r="D990" s="19">
        <f>YEAR(Tabela6[[#This Row],[Data]])</f>
        <v>2021</v>
      </c>
      <c r="E990" s="12" t="s">
        <v>78</v>
      </c>
      <c r="F990" t="s">
        <v>61</v>
      </c>
      <c r="G990" s="26">
        <v>10</v>
      </c>
      <c r="H990">
        <v>5</v>
      </c>
      <c r="I990" t="str">
        <f>IFERROR(VLOOKUP(Tabela6[[#This Row],[Descrição]],Materiais!B:C,2,0),"")</f>
        <v/>
      </c>
    </row>
    <row r="991" spans="2:9">
      <c r="B991" s="11">
        <f t="shared" si="80"/>
        <v>44449</v>
      </c>
      <c r="C991" s="19">
        <f>MONTH(Tabela6[[#This Row],[Data]])</f>
        <v>9</v>
      </c>
      <c r="D991" s="19">
        <f>YEAR(Tabela6[[#This Row],[Data]])</f>
        <v>2021</v>
      </c>
      <c r="E991" s="12" t="s">
        <v>78</v>
      </c>
      <c r="F991" t="s">
        <v>126</v>
      </c>
      <c r="G991" s="26">
        <v>2</v>
      </c>
      <c r="H991">
        <v>1</v>
      </c>
      <c r="I991" t="str">
        <f>IFERROR(VLOOKUP(Tabela6[[#This Row],[Descrição]],Materiais!B:C,2,0),"")</f>
        <v/>
      </c>
    </row>
    <row r="992" spans="2:9">
      <c r="B992" s="11">
        <f t="shared" si="80"/>
        <v>44449</v>
      </c>
      <c r="C992" s="19">
        <f>MONTH(Tabela6[[#This Row],[Data]])</f>
        <v>9</v>
      </c>
      <c r="D992" s="19">
        <f>YEAR(Tabela6[[#This Row],[Data]])</f>
        <v>2021</v>
      </c>
      <c r="E992" s="12" t="s">
        <v>78</v>
      </c>
      <c r="F992" t="s">
        <v>58</v>
      </c>
      <c r="G992" s="26">
        <v>2</v>
      </c>
      <c r="H992">
        <v>1</v>
      </c>
      <c r="I992" t="str">
        <f>IFERROR(VLOOKUP(Tabela6[[#This Row],[Descrição]],Materiais!B:C,2,0),"")</f>
        <v/>
      </c>
    </row>
    <row r="993" spans="2:9">
      <c r="B993" s="11">
        <f t="shared" si="80"/>
        <v>44449</v>
      </c>
      <c r="C993" s="19">
        <f>MONTH(Tabela6[[#This Row],[Data]])</f>
        <v>9</v>
      </c>
      <c r="D993" s="19">
        <f>YEAR(Tabela6[[#This Row],[Data]])</f>
        <v>2021</v>
      </c>
      <c r="E993" s="12" t="s">
        <v>78</v>
      </c>
      <c r="F993" t="s">
        <v>95</v>
      </c>
      <c r="G993" s="26">
        <v>4</v>
      </c>
      <c r="H993">
        <v>2</v>
      </c>
      <c r="I993" t="str">
        <f>IFERROR(VLOOKUP(Tabela6[[#This Row],[Descrição]],Materiais!B:C,2,0),"")</f>
        <v/>
      </c>
    </row>
    <row r="994" spans="2:9">
      <c r="B994" s="11">
        <f t="shared" ref="B994:B999" si="81">42990+(365*4)</f>
        <v>44450</v>
      </c>
      <c r="C994" s="19">
        <f>MONTH(Tabela6[[#This Row],[Data]])</f>
        <v>9</v>
      </c>
      <c r="D994" s="19">
        <f>YEAR(Tabela6[[#This Row],[Data]])</f>
        <v>2021</v>
      </c>
      <c r="E994" s="12" t="s">
        <v>78</v>
      </c>
      <c r="F994" t="s">
        <v>133</v>
      </c>
      <c r="G994" s="26">
        <v>4</v>
      </c>
      <c r="H994">
        <v>2</v>
      </c>
      <c r="I994" t="str">
        <f>IFERROR(VLOOKUP(Tabela6[[#This Row],[Descrição]],Materiais!B:C,2,0),"")</f>
        <v/>
      </c>
    </row>
    <row r="995" spans="2:9">
      <c r="B995" s="11">
        <f t="shared" si="81"/>
        <v>44450</v>
      </c>
      <c r="C995" s="19">
        <f>MONTH(Tabela6[[#This Row],[Data]])</f>
        <v>9</v>
      </c>
      <c r="D995" s="19">
        <f>YEAR(Tabela6[[#This Row],[Data]])</f>
        <v>2021</v>
      </c>
      <c r="E995" s="12" t="s">
        <v>78</v>
      </c>
      <c r="F995" t="s">
        <v>56</v>
      </c>
      <c r="G995" s="26">
        <v>8</v>
      </c>
      <c r="H995">
        <v>4</v>
      </c>
      <c r="I995" t="str">
        <f>IFERROR(VLOOKUP(Tabela6[[#This Row],[Descrição]],Materiais!B:C,2,0),"")</f>
        <v/>
      </c>
    </row>
    <row r="996" spans="2:9">
      <c r="B996" s="11">
        <f t="shared" si="81"/>
        <v>44450</v>
      </c>
      <c r="C996" s="19">
        <f>MONTH(Tabela6[[#This Row],[Data]])</f>
        <v>9</v>
      </c>
      <c r="D996" s="19">
        <f>YEAR(Tabela6[[#This Row],[Data]])</f>
        <v>2021</v>
      </c>
      <c r="E996" s="12" t="s">
        <v>78</v>
      </c>
      <c r="F996" t="s">
        <v>61</v>
      </c>
      <c r="G996" s="26">
        <v>10</v>
      </c>
      <c r="H996">
        <v>5</v>
      </c>
      <c r="I996" t="str">
        <f>IFERROR(VLOOKUP(Tabela6[[#This Row],[Descrição]],Materiais!B:C,2,0),"")</f>
        <v/>
      </c>
    </row>
    <row r="997" spans="2:9">
      <c r="B997" s="11">
        <f t="shared" si="81"/>
        <v>44450</v>
      </c>
      <c r="C997" s="19">
        <f>MONTH(Tabela6[[#This Row],[Data]])</f>
        <v>9</v>
      </c>
      <c r="D997" s="19">
        <f>YEAR(Tabela6[[#This Row],[Data]])</f>
        <v>2021</v>
      </c>
      <c r="E997" s="12" t="s">
        <v>78</v>
      </c>
      <c r="F997" t="s">
        <v>126</v>
      </c>
      <c r="G997" s="26">
        <v>6</v>
      </c>
      <c r="H997">
        <v>3</v>
      </c>
      <c r="I997" t="str">
        <f>IFERROR(VLOOKUP(Tabela6[[#This Row],[Descrição]],Materiais!B:C,2,0),"")</f>
        <v/>
      </c>
    </row>
    <row r="998" spans="2:9">
      <c r="B998" s="11">
        <f t="shared" si="81"/>
        <v>44450</v>
      </c>
      <c r="C998" s="19">
        <f>MONTH(Tabela6[[#This Row],[Data]])</f>
        <v>9</v>
      </c>
      <c r="D998" s="19">
        <f>YEAR(Tabela6[[#This Row],[Data]])</f>
        <v>2021</v>
      </c>
      <c r="E998" s="12" t="s">
        <v>78</v>
      </c>
      <c r="F998" t="s">
        <v>109</v>
      </c>
      <c r="G998" s="26">
        <v>4</v>
      </c>
      <c r="H998">
        <v>2</v>
      </c>
      <c r="I998" t="str">
        <f>IFERROR(VLOOKUP(Tabela6[[#This Row],[Descrição]],Materiais!B:C,2,0),"")</f>
        <v/>
      </c>
    </row>
    <row r="999" spans="2:9">
      <c r="B999" s="11">
        <f t="shared" si="81"/>
        <v>44450</v>
      </c>
      <c r="C999" s="19">
        <f>MONTH(Tabela6[[#This Row],[Data]])</f>
        <v>9</v>
      </c>
      <c r="D999" s="19">
        <f>YEAR(Tabela6[[#This Row],[Data]])</f>
        <v>2021</v>
      </c>
      <c r="E999" s="12" t="s">
        <v>78</v>
      </c>
      <c r="F999" t="s">
        <v>58</v>
      </c>
      <c r="G999" s="26">
        <v>8</v>
      </c>
      <c r="H999">
        <v>4</v>
      </c>
      <c r="I999" t="str">
        <f>IFERROR(VLOOKUP(Tabela6[[#This Row],[Descrição]],Materiais!B:C,2,0),"")</f>
        <v/>
      </c>
    </row>
    <row r="1000" spans="2:9">
      <c r="B1000" s="11">
        <f t="shared" ref="B1000:B1005" si="82">42991+(365*4)</f>
        <v>44451</v>
      </c>
      <c r="C1000" s="19">
        <f>MONTH(Tabela6[[#This Row],[Data]])</f>
        <v>9</v>
      </c>
      <c r="D1000" s="19">
        <f>YEAR(Tabela6[[#This Row],[Data]])</f>
        <v>2021</v>
      </c>
      <c r="E1000" s="12" t="s">
        <v>78</v>
      </c>
      <c r="F1000" t="s">
        <v>133</v>
      </c>
      <c r="G1000" s="26">
        <v>4</v>
      </c>
      <c r="H1000">
        <v>2</v>
      </c>
      <c r="I1000" t="str">
        <f>IFERROR(VLOOKUP(Tabela6[[#This Row],[Descrição]],Materiais!B:C,2,0),"")</f>
        <v/>
      </c>
    </row>
    <row r="1001" spans="2:9">
      <c r="B1001" s="11">
        <f t="shared" si="82"/>
        <v>44451</v>
      </c>
      <c r="C1001" s="19">
        <f>MONTH(Tabela6[[#This Row],[Data]])</f>
        <v>9</v>
      </c>
      <c r="D1001" s="19">
        <f>YEAR(Tabela6[[#This Row],[Data]])</f>
        <v>2021</v>
      </c>
      <c r="E1001" s="12" t="s">
        <v>78</v>
      </c>
      <c r="F1001" t="s">
        <v>56</v>
      </c>
      <c r="G1001" s="26">
        <v>10</v>
      </c>
      <c r="H1001">
        <v>5</v>
      </c>
      <c r="I1001" t="str">
        <f>IFERROR(VLOOKUP(Tabela6[[#This Row],[Descrição]],Materiais!B:C,2,0),"")</f>
        <v/>
      </c>
    </row>
    <row r="1002" spans="2:9">
      <c r="B1002" s="11">
        <f t="shared" si="82"/>
        <v>44451</v>
      </c>
      <c r="C1002" s="19">
        <f>MONTH(Tabela6[[#This Row],[Data]])</f>
        <v>9</v>
      </c>
      <c r="D1002" s="19">
        <f>YEAR(Tabela6[[#This Row],[Data]])</f>
        <v>2021</v>
      </c>
      <c r="E1002" s="12" t="s">
        <v>78</v>
      </c>
      <c r="F1002" t="s">
        <v>100</v>
      </c>
      <c r="G1002" s="26">
        <v>10</v>
      </c>
      <c r="H1002">
        <v>5</v>
      </c>
      <c r="I1002" t="str">
        <f>IFERROR(VLOOKUP(Tabela6[[#This Row],[Descrição]],Materiais!B:C,2,0),"")</f>
        <v/>
      </c>
    </row>
    <row r="1003" spans="2:9">
      <c r="B1003" s="11">
        <f t="shared" si="82"/>
        <v>44451</v>
      </c>
      <c r="C1003" s="19">
        <f>MONTH(Tabela6[[#This Row],[Data]])</f>
        <v>9</v>
      </c>
      <c r="D1003" s="19">
        <f>YEAR(Tabela6[[#This Row],[Data]])</f>
        <v>2021</v>
      </c>
      <c r="E1003" s="12" t="s">
        <v>78</v>
      </c>
      <c r="F1003" t="s">
        <v>61</v>
      </c>
      <c r="G1003" s="26">
        <v>14</v>
      </c>
      <c r="H1003">
        <v>7</v>
      </c>
      <c r="I1003" t="str">
        <f>IFERROR(VLOOKUP(Tabela6[[#This Row],[Descrição]],Materiais!B:C,2,0),"")</f>
        <v/>
      </c>
    </row>
    <row r="1004" spans="2:9">
      <c r="B1004" s="11">
        <f t="shared" si="82"/>
        <v>44451</v>
      </c>
      <c r="C1004" s="19">
        <f>MONTH(Tabela6[[#This Row],[Data]])</f>
        <v>9</v>
      </c>
      <c r="D1004" s="19">
        <f>YEAR(Tabela6[[#This Row],[Data]])</f>
        <v>2021</v>
      </c>
      <c r="E1004" s="12" t="s">
        <v>78</v>
      </c>
      <c r="F1004" t="s">
        <v>126</v>
      </c>
      <c r="G1004" s="26">
        <v>8</v>
      </c>
      <c r="H1004">
        <v>4</v>
      </c>
      <c r="I1004" t="str">
        <f>IFERROR(VLOOKUP(Tabela6[[#This Row],[Descrição]],Materiais!B:C,2,0),"")</f>
        <v/>
      </c>
    </row>
    <row r="1005" spans="2:9">
      <c r="B1005" s="11">
        <f t="shared" si="82"/>
        <v>44451</v>
      </c>
      <c r="C1005" s="19">
        <f>MONTH(Tabela6[[#This Row],[Data]])</f>
        <v>9</v>
      </c>
      <c r="D1005" s="19">
        <f>YEAR(Tabela6[[#This Row],[Data]])</f>
        <v>2021</v>
      </c>
      <c r="E1005" s="12" t="s">
        <v>78</v>
      </c>
      <c r="F1005" t="s">
        <v>95</v>
      </c>
      <c r="G1005" s="26">
        <v>4</v>
      </c>
      <c r="H1005">
        <v>2</v>
      </c>
      <c r="I1005" t="str">
        <f>IFERROR(VLOOKUP(Tabela6[[#This Row],[Descrição]],Materiais!B:C,2,0),"")</f>
        <v/>
      </c>
    </row>
    <row r="1006" spans="2:9">
      <c r="B1006" s="11">
        <f>42992+(365*4)</f>
        <v>44452</v>
      </c>
      <c r="C1006" s="19">
        <f>MONTH(Tabela6[[#This Row],[Data]])</f>
        <v>9</v>
      </c>
      <c r="D1006" s="19">
        <f>YEAR(Tabela6[[#This Row],[Data]])</f>
        <v>2021</v>
      </c>
      <c r="E1006" s="12" t="s">
        <v>78</v>
      </c>
      <c r="F1006" t="s">
        <v>133</v>
      </c>
      <c r="G1006" s="26">
        <v>4</v>
      </c>
      <c r="H1006">
        <v>2</v>
      </c>
      <c r="I1006" t="str">
        <f>IFERROR(VLOOKUP(Tabela6[[#This Row],[Descrição]],Materiais!B:C,2,0),"")</f>
        <v/>
      </c>
    </row>
    <row r="1007" spans="2:9">
      <c r="B1007" s="11">
        <f>42992+(365*4)</f>
        <v>44452</v>
      </c>
      <c r="C1007" s="19">
        <f>MONTH(Tabela6[[#This Row],[Data]])</f>
        <v>9</v>
      </c>
      <c r="D1007" s="19">
        <f>YEAR(Tabela6[[#This Row],[Data]])</f>
        <v>2021</v>
      </c>
      <c r="E1007" s="12" t="s">
        <v>78</v>
      </c>
      <c r="F1007" t="s">
        <v>56</v>
      </c>
      <c r="G1007" s="26">
        <v>18</v>
      </c>
      <c r="H1007">
        <v>9</v>
      </c>
      <c r="I1007" t="str">
        <f>IFERROR(VLOOKUP(Tabela6[[#This Row],[Descrição]],Materiais!B:C,2,0),"")</f>
        <v/>
      </c>
    </row>
    <row r="1008" spans="2:9">
      <c r="B1008" s="11">
        <f>42992+(365*4)</f>
        <v>44452</v>
      </c>
      <c r="C1008" s="19">
        <f>MONTH(Tabela6[[#This Row],[Data]])</f>
        <v>9</v>
      </c>
      <c r="D1008" s="19">
        <f>YEAR(Tabela6[[#This Row],[Data]])</f>
        <v>2021</v>
      </c>
      <c r="E1008" s="12" t="s">
        <v>78</v>
      </c>
      <c r="F1008" t="s">
        <v>61</v>
      </c>
      <c r="G1008" s="26">
        <v>8</v>
      </c>
      <c r="H1008">
        <v>4</v>
      </c>
      <c r="I1008" t="str">
        <f>IFERROR(VLOOKUP(Tabela6[[#This Row],[Descrição]],Materiais!B:C,2,0),"")</f>
        <v/>
      </c>
    </row>
    <row r="1009" spans="2:9">
      <c r="B1009" s="11">
        <f>42992+(365*4)</f>
        <v>44452</v>
      </c>
      <c r="C1009" s="19">
        <f>MONTH(Tabela6[[#This Row],[Data]])</f>
        <v>9</v>
      </c>
      <c r="D1009" s="19">
        <f>YEAR(Tabela6[[#This Row],[Data]])</f>
        <v>2021</v>
      </c>
      <c r="E1009" s="12" t="s">
        <v>78</v>
      </c>
      <c r="F1009" t="s">
        <v>126</v>
      </c>
      <c r="G1009" s="26">
        <v>6</v>
      </c>
      <c r="H1009">
        <v>3</v>
      </c>
      <c r="I1009" t="str">
        <f>IFERROR(VLOOKUP(Tabela6[[#This Row],[Descrição]],Materiais!B:C,2,0),"")</f>
        <v/>
      </c>
    </row>
    <row r="1010" spans="2:9">
      <c r="B1010" s="11">
        <f>42993+(365*4)</f>
        <v>44453</v>
      </c>
      <c r="C1010" s="19">
        <f>MONTH(Tabela6[[#This Row],[Data]])</f>
        <v>9</v>
      </c>
      <c r="D1010" s="19">
        <f>YEAR(Tabela6[[#This Row],[Data]])</f>
        <v>2021</v>
      </c>
      <c r="E1010" s="12" t="s">
        <v>78</v>
      </c>
      <c r="F1010" t="s">
        <v>61</v>
      </c>
      <c r="G1010" s="26">
        <v>4</v>
      </c>
      <c r="H1010">
        <v>2</v>
      </c>
      <c r="I1010" t="str">
        <f>IFERROR(VLOOKUP(Tabela6[[#This Row],[Descrição]],Materiais!B:C,2,0),"")</f>
        <v/>
      </c>
    </row>
    <row r="1011" spans="2:9">
      <c r="B1011" s="11">
        <f>42993+(365*4)</f>
        <v>44453</v>
      </c>
      <c r="C1011" s="19">
        <f>MONTH(Tabela6[[#This Row],[Data]])</f>
        <v>9</v>
      </c>
      <c r="D1011" s="19">
        <f>YEAR(Tabela6[[#This Row],[Data]])</f>
        <v>2021</v>
      </c>
      <c r="E1011" s="12" t="s">
        <v>78</v>
      </c>
      <c r="F1011" t="s">
        <v>126</v>
      </c>
      <c r="G1011" s="26">
        <v>4</v>
      </c>
      <c r="H1011">
        <v>2</v>
      </c>
      <c r="I1011" t="str">
        <f>IFERROR(VLOOKUP(Tabela6[[#This Row],[Descrição]],Materiais!B:C,2,0),"")</f>
        <v/>
      </c>
    </row>
    <row r="1012" spans="2:9">
      <c r="B1012" s="11">
        <f t="shared" ref="B1012:B1017" si="83">42996+(365*4)</f>
        <v>44456</v>
      </c>
      <c r="C1012" s="19">
        <f>MONTH(Tabela6[[#This Row],[Data]])</f>
        <v>9</v>
      </c>
      <c r="D1012" s="19">
        <f>YEAR(Tabela6[[#This Row],[Data]])</f>
        <v>2021</v>
      </c>
      <c r="E1012" s="12" t="s">
        <v>78</v>
      </c>
      <c r="F1012" t="s">
        <v>56</v>
      </c>
      <c r="G1012" s="26">
        <v>8</v>
      </c>
      <c r="H1012">
        <v>4</v>
      </c>
      <c r="I1012" t="str">
        <f>IFERROR(VLOOKUP(Tabela6[[#This Row],[Descrição]],Materiais!B:C,2,0),"")</f>
        <v/>
      </c>
    </row>
    <row r="1013" spans="2:9">
      <c r="B1013" s="11">
        <f t="shared" si="83"/>
        <v>44456</v>
      </c>
      <c r="C1013" s="19">
        <f>MONTH(Tabela6[[#This Row],[Data]])</f>
        <v>9</v>
      </c>
      <c r="D1013" s="19">
        <f>YEAR(Tabela6[[#This Row],[Data]])</f>
        <v>2021</v>
      </c>
      <c r="E1013" s="12" t="s">
        <v>78</v>
      </c>
      <c r="F1013" t="s">
        <v>100</v>
      </c>
      <c r="G1013" s="26">
        <v>2</v>
      </c>
      <c r="H1013">
        <v>1</v>
      </c>
      <c r="I1013" t="str">
        <f>IFERROR(VLOOKUP(Tabela6[[#This Row],[Descrição]],Materiais!B:C,2,0),"")</f>
        <v/>
      </c>
    </row>
    <row r="1014" spans="2:9">
      <c r="B1014" s="11">
        <f t="shared" si="83"/>
        <v>44456</v>
      </c>
      <c r="C1014" s="19">
        <f>MONTH(Tabela6[[#This Row],[Data]])</f>
        <v>9</v>
      </c>
      <c r="D1014" s="19">
        <f>YEAR(Tabela6[[#This Row],[Data]])</f>
        <v>2021</v>
      </c>
      <c r="E1014" s="12" t="s">
        <v>78</v>
      </c>
      <c r="F1014" t="s">
        <v>61</v>
      </c>
      <c r="G1014" s="26">
        <v>8</v>
      </c>
      <c r="H1014">
        <v>4</v>
      </c>
      <c r="I1014" t="str">
        <f>IFERROR(VLOOKUP(Tabela6[[#This Row],[Descrição]],Materiais!B:C,2,0),"")</f>
        <v/>
      </c>
    </row>
    <row r="1015" spans="2:9">
      <c r="B1015" s="11">
        <f t="shared" si="83"/>
        <v>44456</v>
      </c>
      <c r="C1015" s="19">
        <f>MONTH(Tabela6[[#This Row],[Data]])</f>
        <v>9</v>
      </c>
      <c r="D1015" s="19">
        <f>YEAR(Tabela6[[#This Row],[Data]])</f>
        <v>2021</v>
      </c>
      <c r="E1015" s="12" t="s">
        <v>78</v>
      </c>
      <c r="F1015" t="s">
        <v>126</v>
      </c>
      <c r="G1015" s="26">
        <v>4</v>
      </c>
      <c r="H1015">
        <v>2</v>
      </c>
      <c r="I1015" t="str">
        <f>IFERROR(VLOOKUP(Tabela6[[#This Row],[Descrição]],Materiais!B:C,2,0),"")</f>
        <v/>
      </c>
    </row>
    <row r="1016" spans="2:9">
      <c r="B1016" s="11">
        <f t="shared" si="83"/>
        <v>44456</v>
      </c>
      <c r="C1016" s="19">
        <f>MONTH(Tabela6[[#This Row],[Data]])</f>
        <v>9</v>
      </c>
      <c r="D1016" s="19">
        <f>YEAR(Tabela6[[#This Row],[Data]])</f>
        <v>2021</v>
      </c>
      <c r="E1016" s="12" t="s">
        <v>78</v>
      </c>
      <c r="F1016" t="s">
        <v>58</v>
      </c>
      <c r="G1016" s="26">
        <v>4</v>
      </c>
      <c r="H1016">
        <v>2</v>
      </c>
      <c r="I1016" t="str">
        <f>IFERROR(VLOOKUP(Tabela6[[#This Row],[Descrição]],Materiais!B:C,2,0),"")</f>
        <v/>
      </c>
    </row>
    <row r="1017" spans="2:9">
      <c r="B1017" s="11">
        <f t="shared" si="83"/>
        <v>44456</v>
      </c>
      <c r="C1017" s="19">
        <f>MONTH(Tabela6[[#This Row],[Data]])</f>
        <v>9</v>
      </c>
      <c r="D1017" s="19">
        <f>YEAR(Tabela6[[#This Row],[Data]])</f>
        <v>2021</v>
      </c>
      <c r="E1017" s="12" t="s">
        <v>78</v>
      </c>
      <c r="F1017" t="s">
        <v>117</v>
      </c>
      <c r="G1017" s="26">
        <v>2</v>
      </c>
      <c r="H1017">
        <v>1</v>
      </c>
      <c r="I1017" t="str">
        <f>IFERROR(VLOOKUP(Tabela6[[#This Row],[Descrição]],Materiais!B:C,2,0),"")</f>
        <v/>
      </c>
    </row>
    <row r="1018" spans="2:9">
      <c r="B1018" s="11">
        <f t="shared" ref="B1018:B1026" si="84">42997+(365*4)</f>
        <v>44457</v>
      </c>
      <c r="C1018" s="19">
        <f>MONTH(Tabela6[[#This Row],[Data]])</f>
        <v>9</v>
      </c>
      <c r="D1018" s="19">
        <f>YEAR(Tabela6[[#This Row],[Data]])</f>
        <v>2021</v>
      </c>
      <c r="E1018" s="12" t="s">
        <v>78</v>
      </c>
      <c r="F1018" t="s">
        <v>133</v>
      </c>
      <c r="G1018" s="26">
        <v>2</v>
      </c>
      <c r="H1018">
        <v>1</v>
      </c>
      <c r="I1018" t="str">
        <f>IFERROR(VLOOKUP(Tabela6[[#This Row],[Descrição]],Materiais!B:C,2,0),"")</f>
        <v/>
      </c>
    </row>
    <row r="1019" spans="2:9">
      <c r="B1019" s="11">
        <f t="shared" si="84"/>
        <v>44457</v>
      </c>
      <c r="C1019" s="19">
        <f>MONTH(Tabela6[[#This Row],[Data]])</f>
        <v>9</v>
      </c>
      <c r="D1019" s="19">
        <f>YEAR(Tabela6[[#This Row],[Data]])</f>
        <v>2021</v>
      </c>
      <c r="E1019" s="12" t="s">
        <v>78</v>
      </c>
      <c r="F1019" t="s">
        <v>56</v>
      </c>
      <c r="G1019" s="26">
        <v>10</v>
      </c>
      <c r="H1019">
        <v>5</v>
      </c>
      <c r="I1019" t="str">
        <f>IFERROR(VLOOKUP(Tabela6[[#This Row],[Descrição]],Materiais!B:C,2,0),"")</f>
        <v/>
      </c>
    </row>
    <row r="1020" spans="2:9">
      <c r="B1020" s="11">
        <f t="shared" si="84"/>
        <v>44457</v>
      </c>
      <c r="C1020" s="19">
        <f>MONTH(Tabela6[[#This Row],[Data]])</f>
        <v>9</v>
      </c>
      <c r="D1020" s="19">
        <f>YEAR(Tabela6[[#This Row],[Data]])</f>
        <v>2021</v>
      </c>
      <c r="E1020" s="12" t="s">
        <v>78</v>
      </c>
      <c r="F1020" t="s">
        <v>100</v>
      </c>
      <c r="G1020" s="26">
        <v>2</v>
      </c>
      <c r="H1020">
        <v>1</v>
      </c>
      <c r="I1020" t="str">
        <f>IFERROR(VLOOKUP(Tabela6[[#This Row],[Descrição]],Materiais!B:C,2,0),"")</f>
        <v/>
      </c>
    </row>
    <row r="1021" spans="2:9">
      <c r="B1021" s="11">
        <f t="shared" si="84"/>
        <v>44457</v>
      </c>
      <c r="C1021" s="19">
        <f>MONTH(Tabela6[[#This Row],[Data]])</f>
        <v>9</v>
      </c>
      <c r="D1021" s="19">
        <f>YEAR(Tabela6[[#This Row],[Data]])</f>
        <v>2021</v>
      </c>
      <c r="E1021" s="12" t="s">
        <v>78</v>
      </c>
      <c r="F1021" t="s">
        <v>61</v>
      </c>
      <c r="G1021" s="26">
        <v>4</v>
      </c>
      <c r="H1021">
        <v>2</v>
      </c>
      <c r="I1021" t="str">
        <f>IFERROR(VLOOKUP(Tabela6[[#This Row],[Descrição]],Materiais!B:C,2,0),"")</f>
        <v/>
      </c>
    </row>
    <row r="1022" spans="2:9">
      <c r="B1022" s="11">
        <f t="shared" si="84"/>
        <v>44457</v>
      </c>
      <c r="C1022" s="19">
        <f>MONTH(Tabela6[[#This Row],[Data]])</f>
        <v>9</v>
      </c>
      <c r="D1022" s="19">
        <f>YEAR(Tabela6[[#This Row],[Data]])</f>
        <v>2021</v>
      </c>
      <c r="E1022" s="12" t="s">
        <v>78</v>
      </c>
      <c r="F1022" t="s">
        <v>126</v>
      </c>
      <c r="G1022" s="26">
        <v>8</v>
      </c>
      <c r="H1022">
        <v>4</v>
      </c>
      <c r="I1022" t="str">
        <f>IFERROR(VLOOKUP(Tabela6[[#This Row],[Descrição]],Materiais!B:C,2,0),"")</f>
        <v/>
      </c>
    </row>
    <row r="1023" spans="2:9">
      <c r="B1023" s="11">
        <f t="shared" si="84"/>
        <v>44457</v>
      </c>
      <c r="C1023" s="19">
        <f>MONTH(Tabela6[[#This Row],[Data]])</f>
        <v>9</v>
      </c>
      <c r="D1023" s="19">
        <f>YEAR(Tabela6[[#This Row],[Data]])</f>
        <v>2021</v>
      </c>
      <c r="E1023" s="12" t="s">
        <v>78</v>
      </c>
      <c r="F1023" t="s">
        <v>109</v>
      </c>
      <c r="G1023" s="26">
        <v>4</v>
      </c>
      <c r="H1023">
        <v>2</v>
      </c>
      <c r="I1023" t="str">
        <f>IFERROR(VLOOKUP(Tabela6[[#This Row],[Descrição]],Materiais!B:C,2,0),"")</f>
        <v/>
      </c>
    </row>
    <row r="1024" spans="2:9">
      <c r="B1024" s="11">
        <f t="shared" si="84"/>
        <v>44457</v>
      </c>
      <c r="C1024" s="19">
        <f>MONTH(Tabela6[[#This Row],[Data]])</f>
        <v>9</v>
      </c>
      <c r="D1024" s="19">
        <f>YEAR(Tabela6[[#This Row],[Data]])</f>
        <v>2021</v>
      </c>
      <c r="E1024" s="12" t="s">
        <v>78</v>
      </c>
      <c r="F1024" t="s">
        <v>58</v>
      </c>
      <c r="G1024" s="26">
        <v>6</v>
      </c>
      <c r="H1024">
        <v>3</v>
      </c>
      <c r="I1024" t="str">
        <f>IFERROR(VLOOKUP(Tabela6[[#This Row],[Descrição]],Materiais!B:C,2,0),"")</f>
        <v/>
      </c>
    </row>
    <row r="1025" spans="2:9">
      <c r="B1025" s="11">
        <f t="shared" si="84"/>
        <v>44457</v>
      </c>
      <c r="C1025" s="19">
        <f>MONTH(Tabela6[[#This Row],[Data]])</f>
        <v>9</v>
      </c>
      <c r="D1025" s="19">
        <f>YEAR(Tabela6[[#This Row],[Data]])</f>
        <v>2021</v>
      </c>
      <c r="E1025" s="12" t="s">
        <v>78</v>
      </c>
      <c r="F1025" t="s">
        <v>95</v>
      </c>
      <c r="G1025" s="26">
        <v>4</v>
      </c>
      <c r="H1025">
        <v>2</v>
      </c>
      <c r="I1025" t="str">
        <f>IFERROR(VLOOKUP(Tabela6[[#This Row],[Descrição]],Materiais!B:C,2,0),"")</f>
        <v/>
      </c>
    </row>
    <row r="1026" spans="2:9">
      <c r="B1026" s="11">
        <f t="shared" si="84"/>
        <v>44457</v>
      </c>
      <c r="C1026" s="19">
        <f>MONTH(Tabela6[[#This Row],[Data]])</f>
        <v>9</v>
      </c>
      <c r="D1026" s="19">
        <f>YEAR(Tabela6[[#This Row],[Data]])</f>
        <v>2021</v>
      </c>
      <c r="E1026" s="12" t="s">
        <v>78</v>
      </c>
      <c r="F1026" t="s">
        <v>117</v>
      </c>
      <c r="G1026" s="26">
        <v>4</v>
      </c>
      <c r="H1026">
        <v>2</v>
      </c>
      <c r="I1026" t="str">
        <f>IFERROR(VLOOKUP(Tabela6[[#This Row],[Descrição]],Materiais!B:C,2,0),"")</f>
        <v/>
      </c>
    </row>
    <row r="1027" spans="2:9">
      <c r="B1027" s="11">
        <f t="shared" ref="B1027:B1034" si="85">42998+(365*4)</f>
        <v>44458</v>
      </c>
      <c r="C1027" s="19">
        <f>MONTH(Tabela6[[#This Row],[Data]])</f>
        <v>9</v>
      </c>
      <c r="D1027" s="19">
        <f>YEAR(Tabela6[[#This Row],[Data]])</f>
        <v>2021</v>
      </c>
      <c r="E1027" s="12" t="s">
        <v>78</v>
      </c>
      <c r="F1027" t="s">
        <v>133</v>
      </c>
      <c r="G1027" s="26">
        <v>2</v>
      </c>
      <c r="H1027">
        <v>1</v>
      </c>
      <c r="I1027" t="str">
        <f>IFERROR(VLOOKUP(Tabela6[[#This Row],[Descrição]],Materiais!B:C,2,0),"")</f>
        <v/>
      </c>
    </row>
    <row r="1028" spans="2:9">
      <c r="B1028" s="11">
        <f t="shared" si="85"/>
        <v>44458</v>
      </c>
      <c r="C1028" s="19">
        <f>MONTH(Tabela6[[#This Row],[Data]])</f>
        <v>9</v>
      </c>
      <c r="D1028" s="19">
        <f>YEAR(Tabela6[[#This Row],[Data]])</f>
        <v>2021</v>
      </c>
      <c r="E1028" s="12" t="s">
        <v>78</v>
      </c>
      <c r="F1028" t="s">
        <v>56</v>
      </c>
      <c r="G1028" s="26">
        <v>6</v>
      </c>
      <c r="H1028">
        <v>3</v>
      </c>
      <c r="I1028" t="str">
        <f>IFERROR(VLOOKUP(Tabela6[[#This Row],[Descrição]],Materiais!B:C,2,0),"")</f>
        <v/>
      </c>
    </row>
    <row r="1029" spans="2:9">
      <c r="B1029" s="11">
        <f t="shared" si="85"/>
        <v>44458</v>
      </c>
      <c r="C1029" s="19">
        <f>MONTH(Tabela6[[#This Row],[Data]])</f>
        <v>9</v>
      </c>
      <c r="D1029" s="19">
        <f>YEAR(Tabela6[[#This Row],[Data]])</f>
        <v>2021</v>
      </c>
      <c r="E1029" s="12" t="s">
        <v>78</v>
      </c>
      <c r="F1029" t="s">
        <v>100</v>
      </c>
      <c r="G1029" s="26">
        <v>4</v>
      </c>
      <c r="H1029">
        <v>2</v>
      </c>
      <c r="I1029" t="str">
        <f>IFERROR(VLOOKUP(Tabela6[[#This Row],[Descrição]],Materiais!B:C,2,0),"")</f>
        <v/>
      </c>
    </row>
    <row r="1030" spans="2:9">
      <c r="B1030" s="11">
        <f t="shared" si="85"/>
        <v>44458</v>
      </c>
      <c r="C1030" s="19">
        <f>MONTH(Tabela6[[#This Row],[Data]])</f>
        <v>9</v>
      </c>
      <c r="D1030" s="19">
        <f>YEAR(Tabela6[[#This Row],[Data]])</f>
        <v>2021</v>
      </c>
      <c r="E1030" s="12" t="s">
        <v>78</v>
      </c>
      <c r="F1030" t="s">
        <v>61</v>
      </c>
      <c r="G1030" s="26">
        <v>6</v>
      </c>
      <c r="H1030">
        <v>3</v>
      </c>
      <c r="I1030" t="str">
        <f>IFERROR(VLOOKUP(Tabela6[[#This Row],[Descrição]],Materiais!B:C,2,0),"")</f>
        <v/>
      </c>
    </row>
    <row r="1031" spans="2:9">
      <c r="B1031" s="11">
        <f t="shared" si="85"/>
        <v>44458</v>
      </c>
      <c r="C1031" s="19">
        <f>MONTH(Tabela6[[#This Row],[Data]])</f>
        <v>9</v>
      </c>
      <c r="D1031" s="19">
        <f>YEAR(Tabela6[[#This Row],[Data]])</f>
        <v>2021</v>
      </c>
      <c r="E1031" s="12" t="s">
        <v>78</v>
      </c>
      <c r="F1031" t="s">
        <v>126</v>
      </c>
      <c r="G1031" s="26">
        <v>2</v>
      </c>
      <c r="H1031">
        <v>1</v>
      </c>
      <c r="I1031" t="str">
        <f>IFERROR(VLOOKUP(Tabela6[[#This Row],[Descrição]],Materiais!B:C,2,0),"")</f>
        <v/>
      </c>
    </row>
    <row r="1032" spans="2:9">
      <c r="B1032" s="11">
        <f t="shared" si="85"/>
        <v>44458</v>
      </c>
      <c r="C1032" s="19">
        <f>MONTH(Tabela6[[#This Row],[Data]])</f>
        <v>9</v>
      </c>
      <c r="D1032" s="19">
        <f>YEAR(Tabela6[[#This Row],[Data]])</f>
        <v>2021</v>
      </c>
      <c r="E1032" s="12" t="s">
        <v>78</v>
      </c>
      <c r="F1032" t="s">
        <v>109</v>
      </c>
      <c r="G1032" s="26">
        <v>2</v>
      </c>
      <c r="H1032">
        <v>1</v>
      </c>
      <c r="I1032" t="str">
        <f>IFERROR(VLOOKUP(Tabela6[[#This Row],[Descrição]],Materiais!B:C,2,0),"")</f>
        <v/>
      </c>
    </row>
    <row r="1033" spans="2:9">
      <c r="B1033" s="11">
        <f t="shared" si="85"/>
        <v>44458</v>
      </c>
      <c r="C1033" s="19">
        <f>MONTH(Tabela6[[#This Row],[Data]])</f>
        <v>9</v>
      </c>
      <c r="D1033" s="19">
        <f>YEAR(Tabela6[[#This Row],[Data]])</f>
        <v>2021</v>
      </c>
      <c r="E1033" s="12" t="s">
        <v>78</v>
      </c>
      <c r="F1033" t="s">
        <v>58</v>
      </c>
      <c r="G1033" s="26">
        <v>4</v>
      </c>
      <c r="H1033">
        <v>2</v>
      </c>
      <c r="I1033" t="str">
        <f>IFERROR(VLOOKUP(Tabela6[[#This Row],[Descrição]],Materiais!B:C,2,0),"")</f>
        <v/>
      </c>
    </row>
    <row r="1034" spans="2:9">
      <c r="B1034" s="11">
        <f t="shared" si="85"/>
        <v>44458</v>
      </c>
      <c r="C1034" s="19">
        <f>MONTH(Tabela6[[#This Row],[Data]])</f>
        <v>9</v>
      </c>
      <c r="D1034" s="19">
        <f>YEAR(Tabela6[[#This Row],[Data]])</f>
        <v>2021</v>
      </c>
      <c r="E1034" s="12" t="s">
        <v>78</v>
      </c>
      <c r="F1034" t="s">
        <v>117</v>
      </c>
      <c r="G1034" s="26">
        <v>2</v>
      </c>
      <c r="H1034">
        <v>1</v>
      </c>
      <c r="I1034" t="str">
        <f>IFERROR(VLOOKUP(Tabela6[[#This Row],[Descrição]],Materiais!B:C,2,0),"")</f>
        <v/>
      </c>
    </row>
    <row r="1035" spans="2:9">
      <c r="B1035" s="11">
        <f>42999+(365*4)</f>
        <v>44459</v>
      </c>
      <c r="C1035" s="19">
        <f>MONTH(Tabela6[[#This Row],[Data]])</f>
        <v>9</v>
      </c>
      <c r="D1035" s="19">
        <f>YEAR(Tabela6[[#This Row],[Data]])</f>
        <v>2021</v>
      </c>
      <c r="E1035" s="12" t="s">
        <v>78</v>
      </c>
      <c r="F1035" t="s">
        <v>56</v>
      </c>
      <c r="G1035" s="26">
        <v>14</v>
      </c>
      <c r="H1035">
        <v>7</v>
      </c>
      <c r="I1035" t="str">
        <f>IFERROR(VLOOKUP(Tabela6[[#This Row],[Descrição]],Materiais!B:C,2,0),"")</f>
        <v/>
      </c>
    </row>
    <row r="1036" spans="2:9">
      <c r="B1036" s="11">
        <f>42999+(365*4)</f>
        <v>44459</v>
      </c>
      <c r="C1036" s="19">
        <f>MONTH(Tabela6[[#This Row],[Data]])</f>
        <v>9</v>
      </c>
      <c r="D1036" s="19">
        <f>YEAR(Tabela6[[#This Row],[Data]])</f>
        <v>2021</v>
      </c>
      <c r="E1036" s="12" t="s">
        <v>78</v>
      </c>
      <c r="F1036" t="s">
        <v>100</v>
      </c>
      <c r="G1036" s="26">
        <v>2</v>
      </c>
      <c r="H1036">
        <v>1</v>
      </c>
      <c r="I1036" t="str">
        <f>IFERROR(VLOOKUP(Tabela6[[#This Row],[Descrição]],Materiais!B:C,2,0),"")</f>
        <v/>
      </c>
    </row>
    <row r="1037" spans="2:9">
      <c r="B1037" s="11">
        <f>42999+(365*4)</f>
        <v>44459</v>
      </c>
      <c r="C1037" s="19">
        <f>MONTH(Tabela6[[#This Row],[Data]])</f>
        <v>9</v>
      </c>
      <c r="D1037" s="19">
        <f>YEAR(Tabela6[[#This Row],[Data]])</f>
        <v>2021</v>
      </c>
      <c r="E1037" s="12" t="s">
        <v>78</v>
      </c>
      <c r="F1037" t="s">
        <v>61</v>
      </c>
      <c r="G1037" s="26">
        <v>12</v>
      </c>
      <c r="H1037">
        <v>6</v>
      </c>
      <c r="I1037" t="str">
        <f>IFERROR(VLOOKUP(Tabela6[[#This Row],[Descrição]],Materiais!B:C,2,0),"")</f>
        <v/>
      </c>
    </row>
    <row r="1038" spans="2:9">
      <c r="B1038" s="11">
        <f>42999+(365*4)</f>
        <v>44459</v>
      </c>
      <c r="C1038" s="19">
        <f>MONTH(Tabela6[[#This Row],[Data]])</f>
        <v>9</v>
      </c>
      <c r="D1038" s="19">
        <f>YEAR(Tabela6[[#This Row],[Data]])</f>
        <v>2021</v>
      </c>
      <c r="E1038" s="12" t="s">
        <v>78</v>
      </c>
      <c r="F1038" t="s">
        <v>126</v>
      </c>
      <c r="G1038" s="26">
        <v>6</v>
      </c>
      <c r="H1038">
        <v>3</v>
      </c>
      <c r="I1038" t="str">
        <f>IFERROR(VLOOKUP(Tabela6[[#This Row],[Descrição]],Materiais!B:C,2,0),"")</f>
        <v/>
      </c>
    </row>
    <row r="1039" spans="2:9">
      <c r="B1039" s="11">
        <f>42999+(365*4)</f>
        <v>44459</v>
      </c>
      <c r="C1039" s="19">
        <f>MONTH(Tabela6[[#This Row],[Data]])</f>
        <v>9</v>
      </c>
      <c r="D1039" s="19">
        <f>YEAR(Tabela6[[#This Row],[Data]])</f>
        <v>2021</v>
      </c>
      <c r="E1039" s="12" t="s">
        <v>78</v>
      </c>
      <c r="F1039" t="s">
        <v>58</v>
      </c>
      <c r="G1039" s="26">
        <v>4</v>
      </c>
      <c r="H1039">
        <v>2</v>
      </c>
      <c r="I1039" t="str">
        <f>IFERROR(VLOOKUP(Tabela6[[#This Row],[Descrição]],Materiais!B:C,2,0),"")</f>
        <v/>
      </c>
    </row>
    <row r="1040" spans="2:9">
      <c r="B1040" s="11">
        <f>43000+(365*4)</f>
        <v>44460</v>
      </c>
      <c r="C1040" s="19">
        <f>MONTH(Tabela6[[#This Row],[Data]])</f>
        <v>9</v>
      </c>
      <c r="D1040" s="19">
        <f>YEAR(Tabela6[[#This Row],[Data]])</f>
        <v>2021</v>
      </c>
      <c r="E1040" s="12" t="s">
        <v>78</v>
      </c>
      <c r="F1040" t="s">
        <v>56</v>
      </c>
      <c r="G1040" s="26">
        <v>2</v>
      </c>
      <c r="H1040">
        <v>1</v>
      </c>
      <c r="I1040" t="str">
        <f>IFERROR(VLOOKUP(Tabela6[[#This Row],[Descrição]],Materiais!B:C,2,0),"")</f>
        <v/>
      </c>
    </row>
    <row r="1041" spans="2:9">
      <c r="B1041" s="11">
        <f>43000+(365*4)</f>
        <v>44460</v>
      </c>
      <c r="C1041" s="19">
        <f>MONTH(Tabela6[[#This Row],[Data]])</f>
        <v>9</v>
      </c>
      <c r="D1041" s="19">
        <f>YEAR(Tabela6[[#This Row],[Data]])</f>
        <v>2021</v>
      </c>
      <c r="E1041" s="12" t="s">
        <v>78</v>
      </c>
      <c r="F1041" t="s">
        <v>61</v>
      </c>
      <c r="G1041" s="26">
        <v>6</v>
      </c>
      <c r="H1041">
        <v>3</v>
      </c>
      <c r="I1041" t="str">
        <f>IFERROR(VLOOKUP(Tabela6[[#This Row],[Descrição]],Materiais!B:C,2,0),"")</f>
        <v/>
      </c>
    </row>
    <row r="1042" spans="2:9">
      <c r="B1042" s="11">
        <f>43000+(365*4)</f>
        <v>44460</v>
      </c>
      <c r="C1042" s="19">
        <f>MONTH(Tabela6[[#This Row],[Data]])</f>
        <v>9</v>
      </c>
      <c r="D1042" s="19">
        <f>YEAR(Tabela6[[#This Row],[Data]])</f>
        <v>2021</v>
      </c>
      <c r="E1042" s="12" t="s">
        <v>78</v>
      </c>
      <c r="F1042" t="s">
        <v>58</v>
      </c>
      <c r="G1042" s="26">
        <v>2</v>
      </c>
      <c r="H1042">
        <v>1</v>
      </c>
      <c r="I1042" t="str">
        <f>IFERROR(VLOOKUP(Tabela6[[#This Row],[Descrição]],Materiais!B:C,2,0),"")</f>
        <v/>
      </c>
    </row>
    <row r="1043" spans="2:9">
      <c r="B1043" s="11">
        <f t="shared" ref="B1043:B1048" si="86">43001+(365*4)</f>
        <v>44461</v>
      </c>
      <c r="C1043" s="19">
        <f>MONTH(Tabela6[[#This Row],[Data]])</f>
        <v>9</v>
      </c>
      <c r="D1043" s="19">
        <f>YEAR(Tabela6[[#This Row],[Data]])</f>
        <v>2021</v>
      </c>
      <c r="E1043" s="12" t="s">
        <v>72</v>
      </c>
      <c r="F1043" t="s">
        <v>5</v>
      </c>
      <c r="G1043" s="26">
        <v>-3.58</v>
      </c>
      <c r="H1043">
        <v>1000</v>
      </c>
      <c r="I1043" t="str">
        <f>IFERROR(VLOOKUP(Tabela6[[#This Row],[Descrição]],Materiais!B:C,2,0),"")</f>
        <v>g</v>
      </c>
    </row>
    <row r="1044" spans="2:9">
      <c r="B1044" s="11">
        <f t="shared" si="86"/>
        <v>44461</v>
      </c>
      <c r="C1044" s="19">
        <f>MONTH(Tabela6[[#This Row],[Data]])</f>
        <v>9</v>
      </c>
      <c r="D1044" s="19">
        <f>YEAR(Tabela6[[#This Row],[Data]])</f>
        <v>2021</v>
      </c>
      <c r="E1044" s="12" t="s">
        <v>72</v>
      </c>
      <c r="F1044" t="s">
        <v>9</v>
      </c>
      <c r="G1044" s="26">
        <v>-28.5</v>
      </c>
      <c r="H1044">
        <v>1010</v>
      </c>
      <c r="I1044" t="str">
        <f>IFERROR(VLOOKUP(Tabela6[[#This Row],[Descrição]],Materiais!B:C,2,0),"")</f>
        <v>g</v>
      </c>
    </row>
    <row r="1045" spans="2:9">
      <c r="B1045" s="11">
        <f t="shared" si="86"/>
        <v>44461</v>
      </c>
      <c r="C1045" s="19">
        <f>MONTH(Tabela6[[#This Row],[Data]])</f>
        <v>9</v>
      </c>
      <c r="D1045" s="19">
        <f>YEAR(Tabela6[[#This Row],[Data]])</f>
        <v>2021</v>
      </c>
      <c r="E1045" s="12" t="s">
        <v>72</v>
      </c>
      <c r="F1045" t="s">
        <v>13</v>
      </c>
      <c r="G1045" s="26">
        <v>-2.58</v>
      </c>
      <c r="H1045">
        <v>120</v>
      </c>
      <c r="I1045" t="str">
        <f>IFERROR(VLOOKUP(Tabela6[[#This Row],[Descrição]],Materiais!B:C,2,0),"")</f>
        <v>g</v>
      </c>
    </row>
    <row r="1046" spans="2:9">
      <c r="B1046" s="11">
        <f t="shared" si="86"/>
        <v>44461</v>
      </c>
      <c r="C1046" s="19">
        <f>MONTH(Tabela6[[#This Row],[Data]])</f>
        <v>9</v>
      </c>
      <c r="D1046" s="19">
        <f>YEAR(Tabela6[[#This Row],[Data]])</f>
        <v>2021</v>
      </c>
      <c r="E1046" s="12" t="s">
        <v>72</v>
      </c>
      <c r="F1046" t="s">
        <v>131</v>
      </c>
      <c r="G1046" s="26">
        <v>-6.7</v>
      </c>
      <c r="H1046">
        <v>500</v>
      </c>
      <c r="I1046" t="str">
        <f>IFERROR(VLOOKUP(Tabela6[[#This Row],[Descrição]],Materiais!B:C,2,0),"")</f>
        <v/>
      </c>
    </row>
    <row r="1047" spans="2:9">
      <c r="B1047" s="11">
        <f t="shared" si="86"/>
        <v>44461</v>
      </c>
      <c r="C1047" s="19">
        <f>MONTH(Tabela6[[#This Row],[Data]])</f>
        <v>9</v>
      </c>
      <c r="D1047" s="19">
        <f>YEAR(Tabela6[[#This Row],[Data]])</f>
        <v>2021</v>
      </c>
      <c r="E1047" s="12" t="s">
        <v>72</v>
      </c>
      <c r="F1047" t="s">
        <v>15</v>
      </c>
      <c r="G1047" s="26">
        <v>-4.6399999999999997</v>
      </c>
      <c r="H1047">
        <v>265</v>
      </c>
      <c r="I1047" t="str">
        <f>IFERROR(VLOOKUP(Tabela6[[#This Row],[Descrição]],Materiais!B:C,2,0),"")</f>
        <v>g</v>
      </c>
    </row>
    <row r="1048" spans="2:9">
      <c r="B1048" s="11">
        <f t="shared" si="86"/>
        <v>44461</v>
      </c>
      <c r="C1048" s="19">
        <f>MONTH(Tabela6[[#This Row],[Data]])</f>
        <v>9</v>
      </c>
      <c r="D1048" s="19">
        <f>YEAR(Tabela6[[#This Row],[Data]])</f>
        <v>2021</v>
      </c>
      <c r="E1048" s="12" t="s">
        <v>75</v>
      </c>
      <c r="F1048" t="s">
        <v>134</v>
      </c>
      <c r="G1048" s="26">
        <v>-2.2999999999999998</v>
      </c>
      <c r="H1048">
        <v>100</v>
      </c>
      <c r="I1048" t="str">
        <f>IFERROR(VLOOKUP(Tabela6[[#This Row],[Descrição]],Materiais!B:C,2,0),"")</f>
        <v/>
      </c>
    </row>
    <row r="1049" spans="2:9">
      <c r="B1049" s="11">
        <f t="shared" ref="B1049:B1057" si="87">43003+(365*4)</f>
        <v>44463</v>
      </c>
      <c r="C1049" s="19">
        <f>MONTH(Tabela6[[#This Row],[Data]])</f>
        <v>9</v>
      </c>
      <c r="D1049" s="19">
        <f>YEAR(Tabela6[[#This Row],[Data]])</f>
        <v>2021</v>
      </c>
      <c r="E1049" s="12" t="s">
        <v>78</v>
      </c>
      <c r="F1049" t="s">
        <v>63</v>
      </c>
      <c r="G1049" s="26">
        <v>6</v>
      </c>
      <c r="H1049">
        <v>3</v>
      </c>
      <c r="I1049" t="str">
        <f>IFERROR(VLOOKUP(Tabela6[[#This Row],[Descrição]],Materiais!B:C,2,0),"")</f>
        <v/>
      </c>
    </row>
    <row r="1050" spans="2:9">
      <c r="B1050" s="11">
        <f t="shared" si="87"/>
        <v>44463</v>
      </c>
      <c r="C1050" s="19">
        <f>MONTH(Tabela6[[#This Row],[Data]])</f>
        <v>9</v>
      </c>
      <c r="D1050" s="19">
        <f>YEAR(Tabela6[[#This Row],[Data]])</f>
        <v>2021</v>
      </c>
      <c r="E1050" s="12" t="s">
        <v>78</v>
      </c>
      <c r="F1050" t="s">
        <v>133</v>
      </c>
      <c r="G1050" s="26">
        <v>6</v>
      </c>
      <c r="H1050">
        <v>3</v>
      </c>
      <c r="I1050" t="str">
        <f>IFERROR(VLOOKUP(Tabela6[[#This Row],[Descrição]],Materiais!B:C,2,0),"")</f>
        <v/>
      </c>
    </row>
    <row r="1051" spans="2:9">
      <c r="B1051" s="11">
        <f t="shared" si="87"/>
        <v>44463</v>
      </c>
      <c r="C1051" s="19">
        <f>MONTH(Tabela6[[#This Row],[Data]])</f>
        <v>9</v>
      </c>
      <c r="D1051" s="19">
        <f>YEAR(Tabela6[[#This Row],[Data]])</f>
        <v>2021</v>
      </c>
      <c r="E1051" s="12" t="s">
        <v>78</v>
      </c>
      <c r="F1051" t="s">
        <v>56</v>
      </c>
      <c r="G1051" s="26">
        <v>14</v>
      </c>
      <c r="H1051">
        <v>7</v>
      </c>
      <c r="I1051" t="str">
        <f>IFERROR(VLOOKUP(Tabela6[[#This Row],[Descrição]],Materiais!B:C,2,0),"")</f>
        <v/>
      </c>
    </row>
    <row r="1052" spans="2:9">
      <c r="B1052" s="11">
        <f t="shared" si="87"/>
        <v>44463</v>
      </c>
      <c r="C1052" s="19">
        <f>MONTH(Tabela6[[#This Row],[Data]])</f>
        <v>9</v>
      </c>
      <c r="D1052" s="19">
        <f>YEAR(Tabela6[[#This Row],[Data]])</f>
        <v>2021</v>
      </c>
      <c r="E1052" s="12" t="s">
        <v>78</v>
      </c>
      <c r="F1052" t="s">
        <v>100</v>
      </c>
      <c r="G1052" s="26">
        <v>4</v>
      </c>
      <c r="H1052">
        <v>2</v>
      </c>
      <c r="I1052" t="str">
        <f>IFERROR(VLOOKUP(Tabela6[[#This Row],[Descrição]],Materiais!B:C,2,0),"")</f>
        <v/>
      </c>
    </row>
    <row r="1053" spans="2:9">
      <c r="B1053" s="11">
        <f t="shared" si="87"/>
        <v>44463</v>
      </c>
      <c r="C1053" s="19">
        <f>MONTH(Tabela6[[#This Row],[Data]])</f>
        <v>9</v>
      </c>
      <c r="D1053" s="19">
        <f>YEAR(Tabela6[[#This Row],[Data]])</f>
        <v>2021</v>
      </c>
      <c r="E1053" s="12" t="s">
        <v>78</v>
      </c>
      <c r="F1053" t="s">
        <v>61</v>
      </c>
      <c r="G1053" s="26">
        <v>6</v>
      </c>
      <c r="H1053">
        <v>3</v>
      </c>
      <c r="I1053" t="str">
        <f>IFERROR(VLOOKUP(Tabela6[[#This Row],[Descrição]],Materiais!B:C,2,0),"")</f>
        <v/>
      </c>
    </row>
    <row r="1054" spans="2:9">
      <c r="B1054" s="11">
        <f t="shared" si="87"/>
        <v>44463</v>
      </c>
      <c r="C1054" s="19">
        <f>MONTH(Tabela6[[#This Row],[Data]])</f>
        <v>9</v>
      </c>
      <c r="D1054" s="19">
        <f>YEAR(Tabela6[[#This Row],[Data]])</f>
        <v>2021</v>
      </c>
      <c r="E1054" s="12" t="s">
        <v>78</v>
      </c>
      <c r="F1054" t="s">
        <v>109</v>
      </c>
      <c r="G1054" s="26">
        <v>4</v>
      </c>
      <c r="H1054">
        <v>2</v>
      </c>
      <c r="I1054" t="str">
        <f>IFERROR(VLOOKUP(Tabela6[[#This Row],[Descrição]],Materiais!B:C,2,0),"")</f>
        <v/>
      </c>
    </row>
    <row r="1055" spans="2:9">
      <c r="B1055" s="11">
        <f t="shared" si="87"/>
        <v>44463</v>
      </c>
      <c r="C1055" s="19">
        <f>MONTH(Tabela6[[#This Row],[Data]])</f>
        <v>9</v>
      </c>
      <c r="D1055" s="19">
        <f>YEAR(Tabela6[[#This Row],[Data]])</f>
        <v>2021</v>
      </c>
      <c r="E1055" s="12" t="s">
        <v>78</v>
      </c>
      <c r="F1055" t="s">
        <v>58</v>
      </c>
      <c r="G1055" s="26">
        <v>2</v>
      </c>
      <c r="H1055">
        <v>1</v>
      </c>
      <c r="I1055" t="str">
        <f>IFERROR(VLOOKUP(Tabela6[[#This Row],[Descrição]],Materiais!B:C,2,0),"")</f>
        <v/>
      </c>
    </row>
    <row r="1056" spans="2:9">
      <c r="B1056" s="11">
        <f t="shared" si="87"/>
        <v>44463</v>
      </c>
      <c r="C1056" s="19">
        <f>MONTH(Tabela6[[#This Row],[Data]])</f>
        <v>9</v>
      </c>
      <c r="D1056" s="19">
        <f>YEAR(Tabela6[[#This Row],[Data]])</f>
        <v>2021</v>
      </c>
      <c r="E1056" s="12" t="s">
        <v>78</v>
      </c>
      <c r="F1056" t="s">
        <v>95</v>
      </c>
      <c r="G1056" s="26">
        <v>2</v>
      </c>
      <c r="H1056">
        <v>1</v>
      </c>
      <c r="I1056" t="str">
        <f>IFERROR(VLOOKUP(Tabela6[[#This Row],[Descrição]],Materiais!B:C,2,0),"")</f>
        <v/>
      </c>
    </row>
    <row r="1057" spans="2:9">
      <c r="B1057" s="11">
        <f t="shared" si="87"/>
        <v>44463</v>
      </c>
      <c r="C1057" s="19">
        <f>MONTH(Tabela6[[#This Row],[Data]])</f>
        <v>9</v>
      </c>
      <c r="D1057" s="19">
        <f>YEAR(Tabela6[[#This Row],[Data]])</f>
        <v>2021</v>
      </c>
      <c r="E1057" s="12" t="s">
        <v>78</v>
      </c>
      <c r="F1057" t="s">
        <v>117</v>
      </c>
      <c r="G1057" s="26">
        <v>2</v>
      </c>
      <c r="H1057">
        <v>1</v>
      </c>
      <c r="I1057" t="str">
        <f>IFERROR(VLOOKUP(Tabela6[[#This Row],[Descrição]],Materiais!B:C,2,0),"")</f>
        <v/>
      </c>
    </row>
    <row r="1058" spans="2:9">
      <c r="B1058" s="11">
        <f t="shared" ref="B1058:B1066" si="88">43004+(365*4)</f>
        <v>44464</v>
      </c>
      <c r="C1058" s="19">
        <f>MONTH(Tabela6[[#This Row],[Data]])</f>
        <v>9</v>
      </c>
      <c r="D1058" s="19">
        <f>YEAR(Tabela6[[#This Row],[Data]])</f>
        <v>2021</v>
      </c>
      <c r="E1058" s="12" t="s">
        <v>78</v>
      </c>
      <c r="F1058" t="s">
        <v>63</v>
      </c>
      <c r="G1058" s="26">
        <v>2</v>
      </c>
      <c r="H1058">
        <v>1</v>
      </c>
      <c r="I1058" t="str">
        <f>IFERROR(VLOOKUP(Tabela6[[#This Row],[Descrição]],Materiais!B:C,2,0),"")</f>
        <v/>
      </c>
    </row>
    <row r="1059" spans="2:9">
      <c r="B1059" s="11">
        <f t="shared" si="88"/>
        <v>44464</v>
      </c>
      <c r="C1059" s="19">
        <f>MONTH(Tabela6[[#This Row],[Data]])</f>
        <v>9</v>
      </c>
      <c r="D1059" s="19">
        <f>YEAR(Tabela6[[#This Row],[Data]])</f>
        <v>2021</v>
      </c>
      <c r="E1059" s="12" t="s">
        <v>78</v>
      </c>
      <c r="F1059" t="s">
        <v>133</v>
      </c>
      <c r="G1059" s="26">
        <v>4</v>
      </c>
      <c r="H1059">
        <v>2</v>
      </c>
      <c r="I1059" t="str">
        <f>IFERROR(VLOOKUP(Tabela6[[#This Row],[Descrição]],Materiais!B:C,2,0),"")</f>
        <v/>
      </c>
    </row>
    <row r="1060" spans="2:9">
      <c r="B1060" s="11">
        <f t="shared" si="88"/>
        <v>44464</v>
      </c>
      <c r="C1060" s="19">
        <f>MONTH(Tabela6[[#This Row],[Data]])</f>
        <v>9</v>
      </c>
      <c r="D1060" s="19">
        <f>YEAR(Tabela6[[#This Row],[Data]])</f>
        <v>2021</v>
      </c>
      <c r="E1060" s="12" t="s">
        <v>78</v>
      </c>
      <c r="F1060" t="s">
        <v>56</v>
      </c>
      <c r="G1060" s="26">
        <v>18</v>
      </c>
      <c r="H1060">
        <v>9</v>
      </c>
      <c r="I1060" t="str">
        <f>IFERROR(VLOOKUP(Tabela6[[#This Row],[Descrição]],Materiais!B:C,2,0),"")</f>
        <v/>
      </c>
    </row>
    <row r="1061" spans="2:9">
      <c r="B1061" s="11">
        <f t="shared" si="88"/>
        <v>44464</v>
      </c>
      <c r="C1061" s="19">
        <f>MONTH(Tabela6[[#This Row],[Data]])</f>
        <v>9</v>
      </c>
      <c r="D1061" s="19">
        <f>YEAR(Tabela6[[#This Row],[Data]])</f>
        <v>2021</v>
      </c>
      <c r="E1061" s="12" t="s">
        <v>78</v>
      </c>
      <c r="F1061" t="s">
        <v>61</v>
      </c>
      <c r="G1061" s="26">
        <v>8</v>
      </c>
      <c r="H1061">
        <v>4</v>
      </c>
      <c r="I1061" t="str">
        <f>IFERROR(VLOOKUP(Tabela6[[#This Row],[Descrição]],Materiais!B:C,2,0),"")</f>
        <v/>
      </c>
    </row>
    <row r="1062" spans="2:9">
      <c r="B1062" s="11">
        <f t="shared" si="88"/>
        <v>44464</v>
      </c>
      <c r="C1062" s="19">
        <f>MONTH(Tabela6[[#This Row],[Data]])</f>
        <v>9</v>
      </c>
      <c r="D1062" s="19">
        <f>YEAR(Tabela6[[#This Row],[Data]])</f>
        <v>2021</v>
      </c>
      <c r="E1062" s="12" t="s">
        <v>78</v>
      </c>
      <c r="F1062" t="s">
        <v>126</v>
      </c>
      <c r="G1062" s="26">
        <v>6</v>
      </c>
      <c r="H1062">
        <v>3</v>
      </c>
      <c r="I1062" t="str">
        <f>IFERROR(VLOOKUP(Tabela6[[#This Row],[Descrição]],Materiais!B:C,2,0),"")</f>
        <v/>
      </c>
    </row>
    <row r="1063" spans="2:9">
      <c r="B1063" s="11">
        <f t="shared" si="88"/>
        <v>44464</v>
      </c>
      <c r="C1063" s="19">
        <f>MONTH(Tabela6[[#This Row],[Data]])</f>
        <v>9</v>
      </c>
      <c r="D1063" s="19">
        <f>YEAR(Tabela6[[#This Row],[Data]])</f>
        <v>2021</v>
      </c>
      <c r="E1063" s="12" t="s">
        <v>78</v>
      </c>
      <c r="F1063" t="s">
        <v>109</v>
      </c>
      <c r="G1063" s="26">
        <v>4</v>
      </c>
      <c r="H1063">
        <v>2</v>
      </c>
      <c r="I1063" t="str">
        <f>IFERROR(VLOOKUP(Tabela6[[#This Row],[Descrição]],Materiais!B:C,2,0),"")</f>
        <v/>
      </c>
    </row>
    <row r="1064" spans="2:9">
      <c r="B1064" s="11">
        <f t="shared" si="88"/>
        <v>44464</v>
      </c>
      <c r="C1064" s="19">
        <f>MONTH(Tabela6[[#This Row],[Data]])</f>
        <v>9</v>
      </c>
      <c r="D1064" s="19">
        <f>YEAR(Tabela6[[#This Row],[Data]])</f>
        <v>2021</v>
      </c>
      <c r="E1064" s="12" t="s">
        <v>78</v>
      </c>
      <c r="F1064" t="s">
        <v>58</v>
      </c>
      <c r="G1064" s="26">
        <v>6</v>
      </c>
      <c r="H1064">
        <v>3</v>
      </c>
      <c r="I1064" t="str">
        <f>IFERROR(VLOOKUP(Tabela6[[#This Row],[Descrição]],Materiais!B:C,2,0),"")</f>
        <v/>
      </c>
    </row>
    <row r="1065" spans="2:9">
      <c r="B1065" s="11">
        <f t="shared" si="88"/>
        <v>44464</v>
      </c>
      <c r="C1065" s="19">
        <f>MONTH(Tabela6[[#This Row],[Data]])</f>
        <v>9</v>
      </c>
      <c r="D1065" s="19">
        <f>YEAR(Tabela6[[#This Row],[Data]])</f>
        <v>2021</v>
      </c>
      <c r="E1065" s="12" t="s">
        <v>78</v>
      </c>
      <c r="F1065" t="s">
        <v>95</v>
      </c>
      <c r="G1065" s="26">
        <v>4</v>
      </c>
      <c r="H1065">
        <v>2</v>
      </c>
      <c r="I1065" t="str">
        <f>IFERROR(VLOOKUP(Tabela6[[#This Row],[Descrição]],Materiais!B:C,2,0),"")</f>
        <v/>
      </c>
    </row>
    <row r="1066" spans="2:9">
      <c r="B1066" s="11">
        <f t="shared" si="88"/>
        <v>44464</v>
      </c>
      <c r="C1066" s="19">
        <f>MONTH(Tabela6[[#This Row],[Data]])</f>
        <v>9</v>
      </c>
      <c r="D1066" s="19">
        <f>YEAR(Tabela6[[#This Row],[Data]])</f>
        <v>2021</v>
      </c>
      <c r="E1066" s="12" t="s">
        <v>78</v>
      </c>
      <c r="F1066" t="s">
        <v>117</v>
      </c>
      <c r="G1066" s="26">
        <v>2</v>
      </c>
      <c r="H1066">
        <v>1</v>
      </c>
      <c r="I1066" t="str">
        <f>IFERROR(VLOOKUP(Tabela6[[#This Row],[Descrição]],Materiais!B:C,2,0),"")</f>
        <v/>
      </c>
    </row>
    <row r="1067" spans="2:9">
      <c r="B1067" s="11">
        <f t="shared" ref="B1067:B1074" si="89">43005+(365*4)</f>
        <v>44465</v>
      </c>
      <c r="C1067" s="19">
        <f>MONTH(Tabela6[[#This Row],[Data]])</f>
        <v>9</v>
      </c>
      <c r="D1067" s="19">
        <f>YEAR(Tabela6[[#This Row],[Data]])</f>
        <v>2021</v>
      </c>
      <c r="E1067" s="12" t="s">
        <v>78</v>
      </c>
      <c r="F1067" t="s">
        <v>63</v>
      </c>
      <c r="G1067" s="26">
        <v>4</v>
      </c>
      <c r="H1067">
        <v>2</v>
      </c>
      <c r="I1067" t="str">
        <f>IFERROR(VLOOKUP(Tabela6[[#This Row],[Descrição]],Materiais!B:C,2,0),"")</f>
        <v/>
      </c>
    </row>
    <row r="1068" spans="2:9">
      <c r="B1068" s="11">
        <f t="shared" si="89"/>
        <v>44465</v>
      </c>
      <c r="C1068" s="19">
        <f>MONTH(Tabela6[[#This Row],[Data]])</f>
        <v>9</v>
      </c>
      <c r="D1068" s="19">
        <f>YEAR(Tabela6[[#This Row],[Data]])</f>
        <v>2021</v>
      </c>
      <c r="E1068" s="12" t="s">
        <v>78</v>
      </c>
      <c r="F1068" t="s">
        <v>133</v>
      </c>
      <c r="G1068" s="26">
        <v>2</v>
      </c>
      <c r="H1068">
        <v>1</v>
      </c>
      <c r="I1068" t="str">
        <f>IFERROR(VLOOKUP(Tabela6[[#This Row],[Descrição]],Materiais!B:C,2,0),"")</f>
        <v/>
      </c>
    </row>
    <row r="1069" spans="2:9">
      <c r="B1069" s="11">
        <f t="shared" si="89"/>
        <v>44465</v>
      </c>
      <c r="C1069" s="19">
        <f>MONTH(Tabela6[[#This Row],[Data]])</f>
        <v>9</v>
      </c>
      <c r="D1069" s="19">
        <f>YEAR(Tabela6[[#This Row],[Data]])</f>
        <v>2021</v>
      </c>
      <c r="E1069" s="12" t="s">
        <v>78</v>
      </c>
      <c r="F1069" t="s">
        <v>56</v>
      </c>
      <c r="G1069" s="26">
        <v>14</v>
      </c>
      <c r="H1069">
        <v>7</v>
      </c>
      <c r="I1069" t="str">
        <f>IFERROR(VLOOKUP(Tabela6[[#This Row],[Descrição]],Materiais!B:C,2,0),"")</f>
        <v/>
      </c>
    </row>
    <row r="1070" spans="2:9">
      <c r="B1070" s="11">
        <f t="shared" si="89"/>
        <v>44465</v>
      </c>
      <c r="C1070" s="19">
        <f>MONTH(Tabela6[[#This Row],[Data]])</f>
        <v>9</v>
      </c>
      <c r="D1070" s="19">
        <f>YEAR(Tabela6[[#This Row],[Data]])</f>
        <v>2021</v>
      </c>
      <c r="E1070" s="12" t="s">
        <v>78</v>
      </c>
      <c r="F1070" t="s">
        <v>100</v>
      </c>
      <c r="G1070" s="26">
        <v>2</v>
      </c>
      <c r="H1070">
        <v>1</v>
      </c>
      <c r="I1070" t="str">
        <f>IFERROR(VLOOKUP(Tabela6[[#This Row],[Descrição]],Materiais!B:C,2,0),"")</f>
        <v/>
      </c>
    </row>
    <row r="1071" spans="2:9">
      <c r="B1071" s="11">
        <f t="shared" si="89"/>
        <v>44465</v>
      </c>
      <c r="C1071" s="19">
        <f>MONTH(Tabela6[[#This Row],[Data]])</f>
        <v>9</v>
      </c>
      <c r="D1071" s="19">
        <f>YEAR(Tabela6[[#This Row],[Data]])</f>
        <v>2021</v>
      </c>
      <c r="E1071" s="12" t="s">
        <v>78</v>
      </c>
      <c r="F1071" t="s">
        <v>61</v>
      </c>
      <c r="G1071" s="26">
        <v>2</v>
      </c>
      <c r="H1071">
        <v>1</v>
      </c>
      <c r="I1071" t="str">
        <f>IFERROR(VLOOKUP(Tabela6[[#This Row],[Descrição]],Materiais!B:C,2,0),"")</f>
        <v/>
      </c>
    </row>
    <row r="1072" spans="2:9">
      <c r="B1072" s="11">
        <f t="shared" si="89"/>
        <v>44465</v>
      </c>
      <c r="C1072" s="19">
        <f>MONTH(Tabela6[[#This Row],[Data]])</f>
        <v>9</v>
      </c>
      <c r="D1072" s="19">
        <f>YEAR(Tabela6[[#This Row],[Data]])</f>
        <v>2021</v>
      </c>
      <c r="E1072" s="12" t="s">
        <v>78</v>
      </c>
      <c r="F1072" t="s">
        <v>126</v>
      </c>
      <c r="G1072" s="26">
        <v>4</v>
      </c>
      <c r="H1072">
        <v>2</v>
      </c>
      <c r="I1072" t="str">
        <f>IFERROR(VLOOKUP(Tabela6[[#This Row],[Descrição]],Materiais!B:C,2,0),"")</f>
        <v/>
      </c>
    </row>
    <row r="1073" spans="2:9">
      <c r="B1073" s="11">
        <f t="shared" si="89"/>
        <v>44465</v>
      </c>
      <c r="C1073" s="19">
        <f>MONTH(Tabela6[[#This Row],[Data]])</f>
        <v>9</v>
      </c>
      <c r="D1073" s="19">
        <f>YEAR(Tabela6[[#This Row],[Data]])</f>
        <v>2021</v>
      </c>
      <c r="E1073" s="12" t="s">
        <v>78</v>
      </c>
      <c r="F1073" t="s">
        <v>58</v>
      </c>
      <c r="G1073" s="26">
        <v>6</v>
      </c>
      <c r="H1073">
        <v>3</v>
      </c>
      <c r="I1073" t="str">
        <f>IFERROR(VLOOKUP(Tabela6[[#This Row],[Descrição]],Materiais!B:C,2,0),"")</f>
        <v/>
      </c>
    </row>
    <row r="1074" spans="2:9">
      <c r="B1074" s="11">
        <f t="shared" si="89"/>
        <v>44465</v>
      </c>
      <c r="C1074" s="19">
        <f>MONTH(Tabela6[[#This Row],[Data]])</f>
        <v>9</v>
      </c>
      <c r="D1074" s="19">
        <f>YEAR(Tabela6[[#This Row],[Data]])</f>
        <v>2021</v>
      </c>
      <c r="E1074" s="12" t="s">
        <v>78</v>
      </c>
      <c r="F1074" t="s">
        <v>95</v>
      </c>
      <c r="G1074" s="26">
        <v>2</v>
      </c>
      <c r="H1074">
        <v>1</v>
      </c>
      <c r="I1074" t="str">
        <f>IFERROR(VLOOKUP(Tabela6[[#This Row],[Descrição]],Materiais!B:C,2,0),"")</f>
        <v/>
      </c>
    </row>
    <row r="1075" spans="2:9">
      <c r="B1075" s="11">
        <f t="shared" ref="B1075:B1081" si="90">43006+(365*4)</f>
        <v>44466</v>
      </c>
      <c r="C1075" s="19">
        <f>MONTH(Tabela6[[#This Row],[Data]])</f>
        <v>9</v>
      </c>
      <c r="D1075" s="19">
        <f>YEAR(Tabela6[[#This Row],[Data]])</f>
        <v>2021</v>
      </c>
      <c r="E1075" s="12" t="s">
        <v>78</v>
      </c>
      <c r="F1075" t="s">
        <v>63</v>
      </c>
      <c r="G1075" s="26">
        <v>4</v>
      </c>
      <c r="H1075">
        <v>2</v>
      </c>
      <c r="I1075" t="str">
        <f>IFERROR(VLOOKUP(Tabela6[[#This Row],[Descrição]],Materiais!B:C,2,0),"")</f>
        <v/>
      </c>
    </row>
    <row r="1076" spans="2:9">
      <c r="B1076" s="11">
        <f t="shared" si="90"/>
        <v>44466</v>
      </c>
      <c r="C1076" s="19">
        <f>MONTH(Tabela6[[#This Row],[Data]])</f>
        <v>9</v>
      </c>
      <c r="D1076" s="19">
        <f>YEAR(Tabela6[[#This Row],[Data]])</f>
        <v>2021</v>
      </c>
      <c r="E1076" s="12" t="s">
        <v>78</v>
      </c>
      <c r="F1076" t="s">
        <v>133</v>
      </c>
      <c r="G1076" s="26">
        <v>4</v>
      </c>
      <c r="H1076">
        <v>2</v>
      </c>
      <c r="I1076" t="str">
        <f>IFERROR(VLOOKUP(Tabela6[[#This Row],[Descrição]],Materiais!B:C,2,0),"")</f>
        <v/>
      </c>
    </row>
    <row r="1077" spans="2:9">
      <c r="B1077" s="11">
        <f t="shared" si="90"/>
        <v>44466</v>
      </c>
      <c r="C1077" s="19">
        <f>MONTH(Tabela6[[#This Row],[Data]])</f>
        <v>9</v>
      </c>
      <c r="D1077" s="19">
        <f>YEAR(Tabela6[[#This Row],[Data]])</f>
        <v>2021</v>
      </c>
      <c r="E1077" s="12" t="s">
        <v>78</v>
      </c>
      <c r="F1077" t="s">
        <v>56</v>
      </c>
      <c r="G1077" s="26">
        <v>6</v>
      </c>
      <c r="H1077">
        <v>3</v>
      </c>
      <c r="I1077" t="str">
        <f>IFERROR(VLOOKUP(Tabela6[[#This Row],[Descrição]],Materiais!B:C,2,0),"")</f>
        <v/>
      </c>
    </row>
    <row r="1078" spans="2:9">
      <c r="B1078" s="11">
        <f t="shared" si="90"/>
        <v>44466</v>
      </c>
      <c r="C1078" s="19">
        <f>MONTH(Tabela6[[#This Row],[Data]])</f>
        <v>9</v>
      </c>
      <c r="D1078" s="19">
        <f>YEAR(Tabela6[[#This Row],[Data]])</f>
        <v>2021</v>
      </c>
      <c r="E1078" s="12" t="s">
        <v>78</v>
      </c>
      <c r="F1078" t="s">
        <v>61</v>
      </c>
      <c r="G1078" s="26">
        <v>12</v>
      </c>
      <c r="H1078">
        <v>6</v>
      </c>
      <c r="I1078" t="str">
        <f>IFERROR(VLOOKUP(Tabela6[[#This Row],[Descrição]],Materiais!B:C,2,0),"")</f>
        <v/>
      </c>
    </row>
    <row r="1079" spans="2:9">
      <c r="B1079" s="11">
        <f t="shared" si="90"/>
        <v>44466</v>
      </c>
      <c r="C1079" s="19">
        <f>MONTH(Tabela6[[#This Row],[Data]])</f>
        <v>9</v>
      </c>
      <c r="D1079" s="19">
        <f>YEAR(Tabela6[[#This Row],[Data]])</f>
        <v>2021</v>
      </c>
      <c r="E1079" s="12" t="s">
        <v>78</v>
      </c>
      <c r="F1079" t="s">
        <v>126</v>
      </c>
      <c r="G1079" s="26">
        <v>10</v>
      </c>
      <c r="H1079">
        <v>5</v>
      </c>
      <c r="I1079" t="str">
        <f>IFERROR(VLOOKUP(Tabela6[[#This Row],[Descrição]],Materiais!B:C,2,0),"")</f>
        <v/>
      </c>
    </row>
    <row r="1080" spans="2:9">
      <c r="B1080" s="11">
        <f t="shared" si="90"/>
        <v>44466</v>
      </c>
      <c r="C1080" s="19">
        <f>MONTH(Tabela6[[#This Row],[Data]])</f>
        <v>9</v>
      </c>
      <c r="D1080" s="19">
        <f>YEAR(Tabela6[[#This Row],[Data]])</f>
        <v>2021</v>
      </c>
      <c r="E1080" s="12" t="s">
        <v>78</v>
      </c>
      <c r="F1080" t="s">
        <v>58</v>
      </c>
      <c r="G1080" s="26">
        <v>4</v>
      </c>
      <c r="H1080">
        <v>2</v>
      </c>
      <c r="I1080" t="str">
        <f>IFERROR(VLOOKUP(Tabela6[[#This Row],[Descrição]],Materiais!B:C,2,0),"")</f>
        <v/>
      </c>
    </row>
    <row r="1081" spans="2:9">
      <c r="B1081" s="11">
        <f t="shared" si="90"/>
        <v>44466</v>
      </c>
      <c r="C1081" s="19">
        <f>MONTH(Tabela6[[#This Row],[Data]])</f>
        <v>9</v>
      </c>
      <c r="D1081" s="19">
        <f>YEAR(Tabela6[[#This Row],[Data]])</f>
        <v>2021</v>
      </c>
      <c r="E1081" s="12" t="s">
        <v>78</v>
      </c>
      <c r="F1081" t="s">
        <v>117</v>
      </c>
      <c r="G1081" s="26">
        <v>4</v>
      </c>
      <c r="H1081">
        <v>2</v>
      </c>
      <c r="I1081" t="str">
        <f>IFERROR(VLOOKUP(Tabela6[[#This Row],[Descrição]],Materiais!B:C,2,0),"")</f>
        <v/>
      </c>
    </row>
    <row r="1082" spans="2:9">
      <c r="B1082" s="11">
        <f>43007+(365*4)</f>
        <v>44467</v>
      </c>
      <c r="C1082" s="19">
        <f>MONTH(Tabela6[[#This Row],[Data]])</f>
        <v>9</v>
      </c>
      <c r="D1082" s="19">
        <f>YEAR(Tabela6[[#This Row],[Data]])</f>
        <v>2021</v>
      </c>
      <c r="E1082" s="12" t="s">
        <v>78</v>
      </c>
      <c r="F1082" t="s">
        <v>61</v>
      </c>
      <c r="G1082" s="26">
        <v>8</v>
      </c>
      <c r="H1082">
        <v>4</v>
      </c>
      <c r="I1082" t="str">
        <f>IFERROR(VLOOKUP(Tabela6[[#This Row],[Descrição]],Materiais!B:C,2,0),"")</f>
        <v/>
      </c>
    </row>
    <row r="1083" spans="2:9">
      <c r="B1083" s="11">
        <f>43007+(365*4)</f>
        <v>44467</v>
      </c>
      <c r="C1083" s="19">
        <f>MONTH(Tabela6[[#This Row],[Data]])</f>
        <v>9</v>
      </c>
      <c r="D1083" s="19">
        <f>YEAR(Tabela6[[#This Row],[Data]])</f>
        <v>2021</v>
      </c>
      <c r="E1083" s="12" t="s">
        <v>78</v>
      </c>
      <c r="F1083" t="s">
        <v>95</v>
      </c>
      <c r="G1083" s="26">
        <v>2</v>
      </c>
      <c r="H1083">
        <v>1</v>
      </c>
      <c r="I1083" t="str">
        <f>IFERROR(VLOOKUP(Tabela6[[#This Row],[Descrição]],Materiais!B:C,2,0),"")</f>
        <v/>
      </c>
    </row>
    <row r="1084" spans="2:9">
      <c r="B1084" s="11">
        <f>43007+(365*4)</f>
        <v>44467</v>
      </c>
      <c r="C1084" s="19">
        <f>MONTH(Tabela6[[#This Row],[Data]])</f>
        <v>9</v>
      </c>
      <c r="D1084" s="19">
        <f>YEAR(Tabela6[[#This Row],[Data]])</f>
        <v>2021</v>
      </c>
      <c r="E1084" s="12" t="s">
        <v>78</v>
      </c>
      <c r="F1084" t="s">
        <v>117</v>
      </c>
      <c r="G1084" s="26">
        <v>2</v>
      </c>
      <c r="H1084">
        <v>1</v>
      </c>
      <c r="I1084" t="str">
        <f>IFERROR(VLOOKUP(Tabela6[[#This Row],[Descrição]],Materiais!B:C,2,0),"")</f>
        <v/>
      </c>
    </row>
    <row r="1085" spans="2:9">
      <c r="B1085" s="11">
        <f>43008+(365*4)</f>
        <v>44468</v>
      </c>
      <c r="C1085" s="19">
        <f>MONTH(Tabela6[[#This Row],[Data]])</f>
        <v>9</v>
      </c>
      <c r="D1085" s="19">
        <f>YEAR(Tabela6[[#This Row],[Data]])</f>
        <v>2021</v>
      </c>
      <c r="E1085" s="12" t="s">
        <v>72</v>
      </c>
      <c r="F1085" t="s">
        <v>127</v>
      </c>
      <c r="G1085" s="26">
        <v>-5.78</v>
      </c>
      <c r="H1085">
        <v>2</v>
      </c>
      <c r="I1085" t="str">
        <f>IFERROR(VLOOKUP(Tabela6[[#This Row],[Descrição]],Materiais!B:C,2,0),"")</f>
        <v/>
      </c>
    </row>
    <row r="1086" spans="2:9">
      <c r="B1086" s="11">
        <f>43008+(365*4)</f>
        <v>44468</v>
      </c>
      <c r="C1086" s="19">
        <f>MONTH(Tabela6[[#This Row],[Data]])</f>
        <v>9</v>
      </c>
      <c r="D1086" s="19">
        <f>YEAR(Tabela6[[#This Row],[Data]])</f>
        <v>2021</v>
      </c>
      <c r="E1086" s="12" t="s">
        <v>72</v>
      </c>
      <c r="F1086" t="s">
        <v>22</v>
      </c>
      <c r="G1086" s="26">
        <v>-22.47</v>
      </c>
      <c r="H1086">
        <v>600</v>
      </c>
      <c r="I1086" t="str">
        <f>IFERROR(VLOOKUP(Tabela6[[#This Row],[Descrição]],Materiais!B:C,2,0),"")</f>
        <v>g</v>
      </c>
    </row>
    <row r="1087" spans="2:9">
      <c r="B1087" s="11">
        <f>43009+(365*4)</f>
        <v>44469</v>
      </c>
      <c r="C1087" s="19">
        <f>MONTH(Tabela6[[#This Row],[Data]])</f>
        <v>9</v>
      </c>
      <c r="D1087" s="19">
        <f>YEAR(Tabela6[[#This Row],[Data]])</f>
        <v>2021</v>
      </c>
      <c r="E1087" s="12" t="s">
        <v>72</v>
      </c>
      <c r="F1087" t="s">
        <v>127</v>
      </c>
      <c r="G1087" s="26">
        <v>-5.78</v>
      </c>
      <c r="H1087">
        <v>2</v>
      </c>
      <c r="I1087" t="str">
        <f>IFERROR(VLOOKUP(Tabela6[[#This Row],[Descrição]],Materiais!B:C,2,0),"")</f>
        <v/>
      </c>
    </row>
    <row r="1088" spans="2:9">
      <c r="B1088" s="11">
        <f>43009+(365*4)</f>
        <v>44469</v>
      </c>
      <c r="C1088" s="19">
        <f>MONTH(Tabela6[[#This Row],[Data]])</f>
        <v>9</v>
      </c>
      <c r="D1088" s="19">
        <f>YEAR(Tabela6[[#This Row],[Data]])</f>
        <v>2021</v>
      </c>
      <c r="E1088" s="12" t="s">
        <v>72</v>
      </c>
      <c r="F1088" t="s">
        <v>17</v>
      </c>
      <c r="G1088" s="26">
        <v>-6.87</v>
      </c>
      <c r="H1088">
        <v>600</v>
      </c>
      <c r="I1088" t="str">
        <f>IFERROR(VLOOKUP(Tabela6[[#This Row],[Descrição]],Materiais!B:C,2,0),"")</f>
        <v>g</v>
      </c>
    </row>
    <row r="1089" spans="2:9">
      <c r="B1089" s="11">
        <f>43009+(365*4)</f>
        <v>44469</v>
      </c>
      <c r="C1089" s="19">
        <f>MONTH(Tabela6[[#This Row],[Data]])</f>
        <v>9</v>
      </c>
      <c r="D1089" s="19">
        <f>YEAR(Tabela6[[#This Row],[Data]])</f>
        <v>2021</v>
      </c>
      <c r="E1089" s="12" t="s">
        <v>72</v>
      </c>
      <c r="F1089" t="s">
        <v>20</v>
      </c>
      <c r="G1089" s="26">
        <v>-189.63</v>
      </c>
      <c r="H1089">
        <v>15405</v>
      </c>
      <c r="I1089" t="str">
        <f>IFERROR(VLOOKUP(Tabela6[[#This Row],[Descrição]],Materiais!B:C,2,0),"")</f>
        <v>g</v>
      </c>
    </row>
    <row r="1090" spans="2:9">
      <c r="B1090" s="11">
        <f>43009+(365*4)</f>
        <v>44469</v>
      </c>
      <c r="C1090" s="19">
        <f>MONTH(Tabela6[[#This Row],[Data]])</f>
        <v>9</v>
      </c>
      <c r="D1090" s="19">
        <f>YEAR(Tabela6[[#This Row],[Data]])</f>
        <v>2021</v>
      </c>
      <c r="E1090" s="12" t="s">
        <v>72</v>
      </c>
      <c r="F1090" t="s">
        <v>21</v>
      </c>
      <c r="G1090" s="26">
        <v>-2.34</v>
      </c>
      <c r="H1090">
        <v>335</v>
      </c>
      <c r="I1090" t="str">
        <f>IFERROR(VLOOKUP(Tabela6[[#This Row],[Descrição]],Materiais!B:C,2,0),"")</f>
        <v>g</v>
      </c>
    </row>
    <row r="1091" spans="2:9">
      <c r="B1091" s="11">
        <f t="shared" ref="B1091:B1108" si="91">43010+(365*4)</f>
        <v>44470</v>
      </c>
      <c r="C1091" s="19">
        <f>MONTH(Tabela6[[#This Row],[Data]])</f>
        <v>10</v>
      </c>
      <c r="D1091" s="19">
        <f>YEAR(Tabela6[[#This Row],[Data]])</f>
        <v>2021</v>
      </c>
      <c r="E1091" s="12" t="s">
        <v>78</v>
      </c>
      <c r="F1091" t="s">
        <v>63</v>
      </c>
      <c r="G1091" s="26">
        <v>8</v>
      </c>
      <c r="H1091">
        <v>4</v>
      </c>
      <c r="I1091" t="str">
        <f>IFERROR(VLOOKUP(Tabela6[[#This Row],[Descrição]],Materiais!B:C,2,0),"")</f>
        <v/>
      </c>
    </row>
    <row r="1092" spans="2:9">
      <c r="B1092" s="11">
        <f t="shared" si="91"/>
        <v>44470</v>
      </c>
      <c r="C1092" s="19">
        <f>MONTH(Tabela6[[#This Row],[Data]])</f>
        <v>10</v>
      </c>
      <c r="D1092" s="19">
        <f>YEAR(Tabela6[[#This Row],[Data]])</f>
        <v>2021</v>
      </c>
      <c r="E1092" s="12" t="s">
        <v>78</v>
      </c>
      <c r="F1092" t="s">
        <v>63</v>
      </c>
      <c r="G1092" s="26">
        <v>35</v>
      </c>
      <c r="H1092">
        <v>50</v>
      </c>
      <c r="I1092" t="str">
        <f>IFERROR(VLOOKUP(Tabela6[[#This Row],[Descrição]],Materiais!B:C,2,0),"")</f>
        <v/>
      </c>
    </row>
    <row r="1093" spans="2:9">
      <c r="B1093" s="11">
        <f t="shared" si="91"/>
        <v>44470</v>
      </c>
      <c r="C1093" s="19">
        <f>MONTH(Tabela6[[#This Row],[Data]])</f>
        <v>10</v>
      </c>
      <c r="D1093" s="19">
        <f>YEAR(Tabela6[[#This Row],[Data]])</f>
        <v>2021</v>
      </c>
      <c r="E1093" s="12" t="s">
        <v>78</v>
      </c>
      <c r="F1093" t="s">
        <v>133</v>
      </c>
      <c r="G1093" s="26">
        <v>2</v>
      </c>
      <c r="H1093">
        <v>1</v>
      </c>
      <c r="I1093" t="str">
        <f>IFERROR(VLOOKUP(Tabela6[[#This Row],[Descrição]],Materiais!B:C,2,0),"")</f>
        <v/>
      </c>
    </row>
    <row r="1094" spans="2:9">
      <c r="B1094" s="11">
        <f t="shared" si="91"/>
        <v>44470</v>
      </c>
      <c r="C1094" s="19">
        <f>MONTH(Tabela6[[#This Row],[Data]])</f>
        <v>10</v>
      </c>
      <c r="D1094" s="19">
        <f>YEAR(Tabela6[[#This Row],[Data]])</f>
        <v>2021</v>
      </c>
      <c r="E1094" s="12" t="s">
        <v>78</v>
      </c>
      <c r="F1094" t="s">
        <v>133</v>
      </c>
      <c r="G1094" s="26">
        <v>35</v>
      </c>
      <c r="H1094">
        <v>50</v>
      </c>
      <c r="I1094" t="str">
        <f>IFERROR(VLOOKUP(Tabela6[[#This Row],[Descrição]],Materiais!B:C,2,0),"")</f>
        <v/>
      </c>
    </row>
    <row r="1095" spans="2:9">
      <c r="B1095" s="11">
        <f t="shared" si="91"/>
        <v>44470</v>
      </c>
      <c r="C1095" s="19">
        <f>MONTH(Tabela6[[#This Row],[Data]])</f>
        <v>10</v>
      </c>
      <c r="D1095" s="19">
        <f>YEAR(Tabela6[[#This Row],[Data]])</f>
        <v>2021</v>
      </c>
      <c r="E1095" s="12" t="s">
        <v>78</v>
      </c>
      <c r="F1095" t="s">
        <v>56</v>
      </c>
      <c r="G1095" s="26">
        <v>18</v>
      </c>
      <c r="H1095">
        <v>9</v>
      </c>
      <c r="I1095" t="str">
        <f>IFERROR(VLOOKUP(Tabela6[[#This Row],[Descrição]],Materiais!B:C,2,0),"")</f>
        <v/>
      </c>
    </row>
    <row r="1096" spans="2:9">
      <c r="B1096" s="11">
        <f t="shared" si="91"/>
        <v>44470</v>
      </c>
      <c r="C1096" s="19">
        <f>MONTH(Tabela6[[#This Row],[Data]])</f>
        <v>10</v>
      </c>
      <c r="D1096" s="19">
        <f>YEAR(Tabela6[[#This Row],[Data]])</f>
        <v>2021</v>
      </c>
      <c r="E1096" s="12" t="s">
        <v>78</v>
      </c>
      <c r="F1096" t="s">
        <v>100</v>
      </c>
      <c r="G1096" s="26">
        <v>6</v>
      </c>
      <c r="H1096">
        <v>3</v>
      </c>
      <c r="I1096" t="str">
        <f>IFERROR(VLOOKUP(Tabela6[[#This Row],[Descrição]],Materiais!B:C,2,0),"")</f>
        <v/>
      </c>
    </row>
    <row r="1097" spans="2:9">
      <c r="B1097" s="11">
        <f t="shared" si="91"/>
        <v>44470</v>
      </c>
      <c r="C1097" s="19">
        <f>MONTH(Tabela6[[#This Row],[Data]])</f>
        <v>10</v>
      </c>
      <c r="D1097" s="19">
        <f>YEAR(Tabela6[[#This Row],[Data]])</f>
        <v>2021</v>
      </c>
      <c r="E1097" s="12" t="s">
        <v>78</v>
      </c>
      <c r="F1097" t="s">
        <v>61</v>
      </c>
      <c r="G1097" s="26">
        <v>6</v>
      </c>
      <c r="H1097">
        <v>3</v>
      </c>
      <c r="I1097" t="str">
        <f>IFERROR(VLOOKUP(Tabela6[[#This Row],[Descrição]],Materiais!B:C,2,0),"")</f>
        <v/>
      </c>
    </row>
    <row r="1098" spans="2:9">
      <c r="B1098" s="11">
        <f t="shared" si="91"/>
        <v>44470</v>
      </c>
      <c r="C1098" s="19">
        <f>MONTH(Tabela6[[#This Row],[Data]])</f>
        <v>10</v>
      </c>
      <c r="D1098" s="19">
        <f>YEAR(Tabela6[[#This Row],[Data]])</f>
        <v>2021</v>
      </c>
      <c r="E1098" s="12" t="s">
        <v>78</v>
      </c>
      <c r="F1098" t="s">
        <v>116</v>
      </c>
      <c r="G1098" s="26">
        <v>35</v>
      </c>
      <c r="H1098">
        <v>50</v>
      </c>
      <c r="I1098" t="str">
        <f>IFERROR(VLOOKUP(Tabela6[[#This Row],[Descrição]],Materiais!B:C,2,0),"")</f>
        <v/>
      </c>
    </row>
    <row r="1099" spans="2:9">
      <c r="B1099" s="11">
        <f t="shared" si="91"/>
        <v>44470</v>
      </c>
      <c r="C1099" s="19">
        <f>MONTH(Tabela6[[#This Row],[Data]])</f>
        <v>10</v>
      </c>
      <c r="D1099" s="19">
        <f>YEAR(Tabela6[[#This Row],[Data]])</f>
        <v>2021</v>
      </c>
      <c r="E1099" s="12" t="s">
        <v>78</v>
      </c>
      <c r="F1099" t="s">
        <v>121</v>
      </c>
      <c r="G1099" s="26">
        <v>35</v>
      </c>
      <c r="H1099">
        <v>50</v>
      </c>
      <c r="I1099" t="str">
        <f>IFERROR(VLOOKUP(Tabela6[[#This Row],[Descrição]],Materiais!B:C,2,0),"")</f>
        <v/>
      </c>
    </row>
    <row r="1100" spans="2:9">
      <c r="B1100" s="11">
        <f t="shared" si="91"/>
        <v>44470</v>
      </c>
      <c r="C1100" s="19">
        <f>MONTH(Tabela6[[#This Row],[Data]])</f>
        <v>10</v>
      </c>
      <c r="D1100" s="19">
        <f>YEAR(Tabela6[[#This Row],[Data]])</f>
        <v>2021</v>
      </c>
      <c r="E1100" s="12" t="s">
        <v>72</v>
      </c>
      <c r="F1100" t="s">
        <v>105</v>
      </c>
      <c r="G1100" s="26">
        <v>-8.6</v>
      </c>
      <c r="H1100">
        <v>500</v>
      </c>
      <c r="I1100" t="str">
        <f>IFERROR(VLOOKUP(Tabela6[[#This Row],[Descrição]],Materiais!B:C,2,0),"")</f>
        <v/>
      </c>
    </row>
    <row r="1101" spans="2:9">
      <c r="B1101" s="11">
        <f t="shared" si="91"/>
        <v>44470</v>
      </c>
      <c r="C1101" s="19">
        <f>MONTH(Tabela6[[#This Row],[Data]])</f>
        <v>10</v>
      </c>
      <c r="D1101" s="19">
        <f>YEAR(Tabela6[[#This Row],[Data]])</f>
        <v>2021</v>
      </c>
      <c r="E1101" s="12" t="s">
        <v>75</v>
      </c>
      <c r="F1101" t="s">
        <v>119</v>
      </c>
      <c r="G1101" s="26">
        <v>-2.9699999999999998</v>
      </c>
      <c r="H1101">
        <v>300</v>
      </c>
      <c r="I1101" t="str">
        <f>IFERROR(VLOOKUP(Tabela6[[#This Row],[Descrição]],Materiais!B:C,2,0),"")</f>
        <v/>
      </c>
    </row>
    <row r="1102" spans="2:9">
      <c r="B1102" s="11">
        <f t="shared" si="91"/>
        <v>44470</v>
      </c>
      <c r="C1102" s="19">
        <f>MONTH(Tabela6[[#This Row],[Data]])</f>
        <v>10</v>
      </c>
      <c r="D1102" s="19">
        <f>YEAR(Tabela6[[#This Row],[Data]])</f>
        <v>2021</v>
      </c>
      <c r="E1102" s="12" t="s">
        <v>72</v>
      </c>
      <c r="F1102" t="s">
        <v>77</v>
      </c>
      <c r="G1102" s="26">
        <v>-13.95</v>
      </c>
      <c r="H1102">
        <v>500</v>
      </c>
      <c r="I1102" t="str">
        <f>IFERROR(VLOOKUP(Tabela6[[#This Row],[Descrição]],Materiais!B:C,2,0),"")</f>
        <v/>
      </c>
    </row>
    <row r="1103" spans="2:9">
      <c r="B1103" s="11">
        <f t="shared" si="91"/>
        <v>44470</v>
      </c>
      <c r="C1103" s="19">
        <f>MONTH(Tabela6[[#This Row],[Data]])</f>
        <v>10</v>
      </c>
      <c r="D1103" s="19">
        <f>YEAR(Tabela6[[#This Row],[Data]])</f>
        <v>2021</v>
      </c>
      <c r="E1103" s="12" t="s">
        <v>78</v>
      </c>
      <c r="F1103" t="s">
        <v>126</v>
      </c>
      <c r="G1103" s="26">
        <v>2</v>
      </c>
      <c r="H1103">
        <v>1</v>
      </c>
      <c r="I1103" t="str">
        <f>IFERROR(VLOOKUP(Tabela6[[#This Row],[Descrição]],Materiais!B:C,2,0),"")</f>
        <v/>
      </c>
    </row>
    <row r="1104" spans="2:9">
      <c r="B1104" s="11">
        <f t="shared" si="91"/>
        <v>44470</v>
      </c>
      <c r="C1104" s="19">
        <f>MONTH(Tabela6[[#This Row],[Data]])</f>
        <v>10</v>
      </c>
      <c r="D1104" s="19">
        <f>YEAR(Tabela6[[#This Row],[Data]])</f>
        <v>2021</v>
      </c>
      <c r="E1104" s="12" t="s">
        <v>78</v>
      </c>
      <c r="F1104" t="s">
        <v>126</v>
      </c>
      <c r="G1104" s="26">
        <v>35</v>
      </c>
      <c r="H1104">
        <v>50</v>
      </c>
      <c r="I1104" t="str">
        <f>IFERROR(VLOOKUP(Tabela6[[#This Row],[Descrição]],Materiais!B:C,2,0),"")</f>
        <v/>
      </c>
    </row>
    <row r="1105" spans="2:9">
      <c r="B1105" s="11">
        <f t="shared" si="91"/>
        <v>44470</v>
      </c>
      <c r="C1105" s="19">
        <f>MONTH(Tabela6[[#This Row],[Data]])</f>
        <v>10</v>
      </c>
      <c r="D1105" s="19">
        <f>YEAR(Tabela6[[#This Row],[Data]])</f>
        <v>2021</v>
      </c>
      <c r="E1105" s="12" t="s">
        <v>78</v>
      </c>
      <c r="F1105" t="s">
        <v>109</v>
      </c>
      <c r="G1105" s="26">
        <v>2</v>
      </c>
      <c r="H1105">
        <v>1</v>
      </c>
      <c r="I1105" t="str">
        <f>IFERROR(VLOOKUP(Tabela6[[#This Row],[Descrição]],Materiais!B:C,2,0),"")</f>
        <v/>
      </c>
    </row>
    <row r="1106" spans="2:9">
      <c r="B1106" s="11">
        <f t="shared" si="91"/>
        <v>44470</v>
      </c>
      <c r="C1106" s="19">
        <f>MONTH(Tabela6[[#This Row],[Data]])</f>
        <v>10</v>
      </c>
      <c r="D1106" s="19">
        <f>YEAR(Tabela6[[#This Row],[Data]])</f>
        <v>2021</v>
      </c>
      <c r="E1106" s="12" t="s">
        <v>78</v>
      </c>
      <c r="F1106" t="s">
        <v>109</v>
      </c>
      <c r="G1106" s="26">
        <v>35</v>
      </c>
      <c r="H1106">
        <v>50</v>
      </c>
      <c r="I1106" t="str">
        <f>IFERROR(VLOOKUP(Tabela6[[#This Row],[Descrição]],Materiais!B:C,2,0),"")</f>
        <v/>
      </c>
    </row>
    <row r="1107" spans="2:9">
      <c r="B1107" s="11">
        <f t="shared" si="91"/>
        <v>44470</v>
      </c>
      <c r="C1107" s="19">
        <f>MONTH(Tabela6[[#This Row],[Data]])</f>
        <v>10</v>
      </c>
      <c r="D1107" s="19">
        <f>YEAR(Tabela6[[#This Row],[Data]])</f>
        <v>2021</v>
      </c>
      <c r="E1107" s="12" t="s">
        <v>78</v>
      </c>
      <c r="F1107" t="s">
        <v>58</v>
      </c>
      <c r="G1107" s="26">
        <v>6</v>
      </c>
      <c r="H1107">
        <v>3</v>
      </c>
      <c r="I1107" t="str">
        <f>IFERROR(VLOOKUP(Tabela6[[#This Row],[Descrição]],Materiais!B:C,2,0),"")</f>
        <v/>
      </c>
    </row>
    <row r="1108" spans="2:9">
      <c r="B1108" s="11">
        <f t="shared" si="91"/>
        <v>44470</v>
      </c>
      <c r="C1108" s="19">
        <f>MONTH(Tabela6[[#This Row],[Data]])</f>
        <v>10</v>
      </c>
      <c r="D1108" s="19">
        <f>YEAR(Tabela6[[#This Row],[Data]])</f>
        <v>2021</v>
      </c>
      <c r="E1108" s="12" t="s">
        <v>78</v>
      </c>
      <c r="F1108" t="s">
        <v>95</v>
      </c>
      <c r="G1108" s="26">
        <v>4</v>
      </c>
      <c r="H1108">
        <v>2</v>
      </c>
      <c r="I1108" t="str">
        <f>IFERROR(VLOOKUP(Tabela6[[#This Row],[Descrição]],Materiais!B:C,2,0),"")</f>
        <v/>
      </c>
    </row>
    <row r="1109" spans="2:9">
      <c r="B1109" s="11">
        <f t="shared" ref="B1109:B1116" si="92">43011+(365*4)</f>
        <v>44471</v>
      </c>
      <c r="C1109" s="19">
        <f>MONTH(Tabela6[[#This Row],[Data]])</f>
        <v>10</v>
      </c>
      <c r="D1109" s="19">
        <f>YEAR(Tabela6[[#This Row],[Data]])</f>
        <v>2021</v>
      </c>
      <c r="E1109" s="12" t="s">
        <v>78</v>
      </c>
      <c r="F1109" t="s">
        <v>63</v>
      </c>
      <c r="G1109" s="26">
        <v>6</v>
      </c>
      <c r="H1109">
        <v>3</v>
      </c>
      <c r="I1109" t="str">
        <f>IFERROR(VLOOKUP(Tabela6[[#This Row],[Descrição]],Materiais!B:C,2,0),"")</f>
        <v/>
      </c>
    </row>
    <row r="1110" spans="2:9">
      <c r="B1110" s="11">
        <f t="shared" si="92"/>
        <v>44471</v>
      </c>
      <c r="C1110" s="19">
        <f>MONTH(Tabela6[[#This Row],[Data]])</f>
        <v>10</v>
      </c>
      <c r="D1110" s="19">
        <f>YEAR(Tabela6[[#This Row],[Data]])</f>
        <v>2021</v>
      </c>
      <c r="E1110" s="12" t="s">
        <v>78</v>
      </c>
      <c r="F1110" t="s">
        <v>133</v>
      </c>
      <c r="G1110" s="26">
        <v>6</v>
      </c>
      <c r="H1110">
        <v>3</v>
      </c>
      <c r="I1110" t="str">
        <f>IFERROR(VLOOKUP(Tabela6[[#This Row],[Descrição]],Materiais!B:C,2,0),"")</f>
        <v/>
      </c>
    </row>
    <row r="1111" spans="2:9">
      <c r="B1111" s="11">
        <f t="shared" si="92"/>
        <v>44471</v>
      </c>
      <c r="C1111" s="19">
        <f>MONTH(Tabela6[[#This Row],[Data]])</f>
        <v>10</v>
      </c>
      <c r="D1111" s="19">
        <f>YEAR(Tabela6[[#This Row],[Data]])</f>
        <v>2021</v>
      </c>
      <c r="E1111" s="12" t="s">
        <v>78</v>
      </c>
      <c r="F1111" t="s">
        <v>56</v>
      </c>
      <c r="G1111" s="26">
        <v>18</v>
      </c>
      <c r="H1111">
        <v>9</v>
      </c>
      <c r="I1111" t="str">
        <f>IFERROR(VLOOKUP(Tabela6[[#This Row],[Descrição]],Materiais!B:C,2,0),"")</f>
        <v/>
      </c>
    </row>
    <row r="1112" spans="2:9">
      <c r="B1112" s="11">
        <f t="shared" si="92"/>
        <v>44471</v>
      </c>
      <c r="C1112" s="19">
        <f>MONTH(Tabela6[[#This Row],[Data]])</f>
        <v>10</v>
      </c>
      <c r="D1112" s="19">
        <f>YEAR(Tabela6[[#This Row],[Data]])</f>
        <v>2021</v>
      </c>
      <c r="E1112" s="12" t="s">
        <v>78</v>
      </c>
      <c r="F1112" t="s">
        <v>100</v>
      </c>
      <c r="G1112" s="26">
        <v>4</v>
      </c>
      <c r="H1112">
        <v>2</v>
      </c>
      <c r="I1112" t="str">
        <f>IFERROR(VLOOKUP(Tabela6[[#This Row],[Descrição]],Materiais!B:C,2,0),"")</f>
        <v/>
      </c>
    </row>
    <row r="1113" spans="2:9">
      <c r="B1113" s="11">
        <f t="shared" si="92"/>
        <v>44471</v>
      </c>
      <c r="C1113" s="19">
        <f>MONTH(Tabela6[[#This Row],[Data]])</f>
        <v>10</v>
      </c>
      <c r="D1113" s="19">
        <f>YEAR(Tabela6[[#This Row],[Data]])</f>
        <v>2021</v>
      </c>
      <c r="E1113" s="12" t="s">
        <v>78</v>
      </c>
      <c r="F1113" t="s">
        <v>61</v>
      </c>
      <c r="G1113" s="26">
        <v>6</v>
      </c>
      <c r="H1113">
        <v>3</v>
      </c>
      <c r="I1113" t="str">
        <f>IFERROR(VLOOKUP(Tabela6[[#This Row],[Descrição]],Materiais!B:C,2,0),"")</f>
        <v/>
      </c>
    </row>
    <row r="1114" spans="2:9">
      <c r="B1114" s="11">
        <f t="shared" si="92"/>
        <v>44471</v>
      </c>
      <c r="C1114" s="19">
        <f>MONTH(Tabela6[[#This Row],[Data]])</f>
        <v>10</v>
      </c>
      <c r="D1114" s="19">
        <f>YEAR(Tabela6[[#This Row],[Data]])</f>
        <v>2021</v>
      </c>
      <c r="E1114" s="12" t="s">
        <v>78</v>
      </c>
      <c r="F1114" t="s">
        <v>126</v>
      </c>
      <c r="G1114" s="26">
        <v>6</v>
      </c>
      <c r="H1114">
        <v>3</v>
      </c>
      <c r="I1114" t="str">
        <f>IFERROR(VLOOKUP(Tabela6[[#This Row],[Descrição]],Materiais!B:C,2,0),"")</f>
        <v/>
      </c>
    </row>
    <row r="1115" spans="2:9">
      <c r="B1115" s="11">
        <f t="shared" si="92"/>
        <v>44471</v>
      </c>
      <c r="C1115" s="19">
        <f>MONTH(Tabela6[[#This Row],[Data]])</f>
        <v>10</v>
      </c>
      <c r="D1115" s="19">
        <f>YEAR(Tabela6[[#This Row],[Data]])</f>
        <v>2021</v>
      </c>
      <c r="E1115" s="12" t="s">
        <v>78</v>
      </c>
      <c r="F1115" t="s">
        <v>109</v>
      </c>
      <c r="G1115" s="26">
        <v>4</v>
      </c>
      <c r="H1115">
        <v>2</v>
      </c>
      <c r="I1115" t="str">
        <f>IFERROR(VLOOKUP(Tabela6[[#This Row],[Descrição]],Materiais!B:C,2,0),"")</f>
        <v/>
      </c>
    </row>
    <row r="1116" spans="2:9">
      <c r="B1116" s="11">
        <f t="shared" si="92"/>
        <v>44471</v>
      </c>
      <c r="C1116" s="19">
        <f>MONTH(Tabela6[[#This Row],[Data]])</f>
        <v>10</v>
      </c>
      <c r="D1116" s="19">
        <f>YEAR(Tabela6[[#This Row],[Data]])</f>
        <v>2021</v>
      </c>
      <c r="E1116" s="12" t="s">
        <v>78</v>
      </c>
      <c r="F1116" t="s">
        <v>58</v>
      </c>
      <c r="G1116" s="26">
        <v>4</v>
      </c>
      <c r="H1116">
        <v>2</v>
      </c>
      <c r="I1116" t="str">
        <f>IFERROR(VLOOKUP(Tabela6[[#This Row],[Descrição]],Materiais!B:C,2,0),"")</f>
        <v/>
      </c>
    </row>
    <row r="1117" spans="2:9">
      <c r="B1117" s="11">
        <f t="shared" ref="B1117:B1125" si="93">43012+(365*4)</f>
        <v>44472</v>
      </c>
      <c r="C1117" s="19">
        <f>MONTH(Tabela6[[#This Row],[Data]])</f>
        <v>10</v>
      </c>
      <c r="D1117" s="19">
        <f>YEAR(Tabela6[[#This Row],[Data]])</f>
        <v>2021</v>
      </c>
      <c r="E1117" s="12" t="s">
        <v>78</v>
      </c>
      <c r="F1117" t="s">
        <v>63</v>
      </c>
      <c r="G1117" s="26">
        <v>6</v>
      </c>
      <c r="H1117">
        <v>3</v>
      </c>
      <c r="I1117" t="str">
        <f>IFERROR(VLOOKUP(Tabela6[[#This Row],[Descrição]],Materiais!B:C,2,0),"")</f>
        <v/>
      </c>
    </row>
    <row r="1118" spans="2:9">
      <c r="B1118" s="11">
        <f t="shared" si="93"/>
        <v>44472</v>
      </c>
      <c r="C1118" s="19">
        <f>MONTH(Tabela6[[#This Row],[Data]])</f>
        <v>10</v>
      </c>
      <c r="D1118" s="19">
        <f>YEAR(Tabela6[[#This Row],[Data]])</f>
        <v>2021</v>
      </c>
      <c r="E1118" s="12" t="s">
        <v>78</v>
      </c>
      <c r="F1118" t="s">
        <v>133</v>
      </c>
      <c r="G1118" s="26">
        <v>4</v>
      </c>
      <c r="H1118">
        <v>2</v>
      </c>
      <c r="I1118" t="str">
        <f>IFERROR(VLOOKUP(Tabela6[[#This Row],[Descrição]],Materiais!B:C,2,0),"")</f>
        <v/>
      </c>
    </row>
    <row r="1119" spans="2:9">
      <c r="B1119" s="11">
        <f t="shared" si="93"/>
        <v>44472</v>
      </c>
      <c r="C1119" s="19">
        <f>MONTH(Tabela6[[#This Row],[Data]])</f>
        <v>10</v>
      </c>
      <c r="D1119" s="19">
        <f>YEAR(Tabela6[[#This Row],[Data]])</f>
        <v>2021</v>
      </c>
      <c r="E1119" s="12" t="s">
        <v>78</v>
      </c>
      <c r="F1119" t="s">
        <v>56</v>
      </c>
      <c r="G1119" s="26">
        <v>14</v>
      </c>
      <c r="H1119">
        <v>7</v>
      </c>
      <c r="I1119" t="str">
        <f>IFERROR(VLOOKUP(Tabela6[[#This Row],[Descrição]],Materiais!B:C,2,0),"")</f>
        <v/>
      </c>
    </row>
    <row r="1120" spans="2:9">
      <c r="B1120" s="11">
        <f t="shared" si="93"/>
        <v>44472</v>
      </c>
      <c r="C1120" s="19">
        <f>MONTH(Tabela6[[#This Row],[Data]])</f>
        <v>10</v>
      </c>
      <c r="D1120" s="19">
        <f>YEAR(Tabela6[[#This Row],[Data]])</f>
        <v>2021</v>
      </c>
      <c r="E1120" s="12" t="s">
        <v>78</v>
      </c>
      <c r="F1120" t="s">
        <v>100</v>
      </c>
      <c r="G1120" s="26">
        <v>6</v>
      </c>
      <c r="H1120">
        <v>3</v>
      </c>
      <c r="I1120" t="str">
        <f>IFERROR(VLOOKUP(Tabela6[[#This Row],[Descrição]],Materiais!B:C,2,0),"")</f>
        <v/>
      </c>
    </row>
    <row r="1121" spans="2:9">
      <c r="B1121" s="11">
        <f t="shared" si="93"/>
        <v>44472</v>
      </c>
      <c r="C1121" s="19">
        <f>MONTH(Tabela6[[#This Row],[Data]])</f>
        <v>10</v>
      </c>
      <c r="D1121" s="19">
        <f>YEAR(Tabela6[[#This Row],[Data]])</f>
        <v>2021</v>
      </c>
      <c r="E1121" s="12" t="s">
        <v>78</v>
      </c>
      <c r="F1121" t="s">
        <v>61</v>
      </c>
      <c r="G1121" s="26">
        <v>8</v>
      </c>
      <c r="H1121">
        <v>4</v>
      </c>
      <c r="I1121" t="str">
        <f>IFERROR(VLOOKUP(Tabela6[[#This Row],[Descrição]],Materiais!B:C,2,0),"")</f>
        <v/>
      </c>
    </row>
    <row r="1122" spans="2:9">
      <c r="B1122" s="11">
        <f t="shared" si="93"/>
        <v>44472</v>
      </c>
      <c r="C1122" s="19">
        <f>MONTH(Tabela6[[#This Row],[Data]])</f>
        <v>10</v>
      </c>
      <c r="D1122" s="19">
        <f>YEAR(Tabela6[[#This Row],[Data]])</f>
        <v>2021</v>
      </c>
      <c r="E1122" s="12" t="s">
        <v>78</v>
      </c>
      <c r="F1122" t="s">
        <v>126</v>
      </c>
      <c r="G1122" s="26">
        <v>4</v>
      </c>
      <c r="H1122">
        <v>2</v>
      </c>
      <c r="I1122" t="str">
        <f>IFERROR(VLOOKUP(Tabela6[[#This Row],[Descrição]],Materiais!B:C,2,0),"")</f>
        <v/>
      </c>
    </row>
    <row r="1123" spans="2:9">
      <c r="B1123" s="11">
        <f t="shared" si="93"/>
        <v>44472</v>
      </c>
      <c r="C1123" s="19">
        <f>MONTH(Tabela6[[#This Row],[Data]])</f>
        <v>10</v>
      </c>
      <c r="D1123" s="19">
        <f>YEAR(Tabela6[[#This Row],[Data]])</f>
        <v>2021</v>
      </c>
      <c r="E1123" s="12" t="s">
        <v>78</v>
      </c>
      <c r="F1123" t="s">
        <v>109</v>
      </c>
      <c r="G1123" s="26">
        <v>2</v>
      </c>
      <c r="H1123">
        <v>1</v>
      </c>
      <c r="I1123" t="str">
        <f>IFERROR(VLOOKUP(Tabela6[[#This Row],[Descrição]],Materiais!B:C,2,0),"")</f>
        <v/>
      </c>
    </row>
    <row r="1124" spans="2:9">
      <c r="B1124" s="11">
        <f t="shared" si="93"/>
        <v>44472</v>
      </c>
      <c r="C1124" s="19">
        <f>MONTH(Tabela6[[#This Row],[Data]])</f>
        <v>10</v>
      </c>
      <c r="D1124" s="19">
        <f>YEAR(Tabela6[[#This Row],[Data]])</f>
        <v>2021</v>
      </c>
      <c r="E1124" s="12" t="s">
        <v>78</v>
      </c>
      <c r="F1124" t="s">
        <v>58</v>
      </c>
      <c r="G1124" s="26">
        <v>8</v>
      </c>
      <c r="H1124">
        <v>4</v>
      </c>
      <c r="I1124" t="str">
        <f>IFERROR(VLOOKUP(Tabela6[[#This Row],[Descrição]],Materiais!B:C,2,0),"")</f>
        <v/>
      </c>
    </row>
    <row r="1125" spans="2:9">
      <c r="B1125" s="11">
        <f t="shared" si="93"/>
        <v>44472</v>
      </c>
      <c r="C1125" s="19">
        <f>MONTH(Tabela6[[#This Row],[Data]])</f>
        <v>10</v>
      </c>
      <c r="D1125" s="19">
        <f>YEAR(Tabela6[[#This Row],[Data]])</f>
        <v>2021</v>
      </c>
      <c r="E1125" s="12" t="s">
        <v>78</v>
      </c>
      <c r="F1125" t="s">
        <v>95</v>
      </c>
      <c r="G1125" s="26">
        <v>2</v>
      </c>
      <c r="H1125">
        <v>1</v>
      </c>
      <c r="I1125" t="str">
        <f>IFERROR(VLOOKUP(Tabela6[[#This Row],[Descrição]],Materiais!B:C,2,0),"")</f>
        <v/>
      </c>
    </row>
    <row r="1126" spans="2:9">
      <c r="B1126" s="11">
        <f t="shared" ref="B1126:B1134" si="94">43013+(365*4)</f>
        <v>44473</v>
      </c>
      <c r="C1126" s="19">
        <f>MONTH(Tabela6[[#This Row],[Data]])</f>
        <v>10</v>
      </c>
      <c r="D1126" s="19">
        <f>YEAR(Tabela6[[#This Row],[Data]])</f>
        <v>2021</v>
      </c>
      <c r="E1126" s="12" t="s">
        <v>78</v>
      </c>
      <c r="F1126" t="s">
        <v>63</v>
      </c>
      <c r="G1126" s="26">
        <v>2</v>
      </c>
      <c r="H1126">
        <v>1</v>
      </c>
      <c r="I1126" t="str">
        <f>IFERROR(VLOOKUP(Tabela6[[#This Row],[Descrição]],Materiais!B:C,2,0),"")</f>
        <v/>
      </c>
    </row>
    <row r="1127" spans="2:9">
      <c r="B1127" s="11">
        <f t="shared" si="94"/>
        <v>44473</v>
      </c>
      <c r="C1127" s="19">
        <f>MONTH(Tabela6[[#This Row],[Data]])</f>
        <v>10</v>
      </c>
      <c r="D1127" s="19">
        <f>YEAR(Tabela6[[#This Row],[Data]])</f>
        <v>2021</v>
      </c>
      <c r="E1127" s="12" t="s">
        <v>78</v>
      </c>
      <c r="F1127" t="s">
        <v>133</v>
      </c>
      <c r="G1127" s="26">
        <v>2</v>
      </c>
      <c r="H1127">
        <v>1</v>
      </c>
      <c r="I1127" t="str">
        <f>IFERROR(VLOOKUP(Tabela6[[#This Row],[Descrição]],Materiais!B:C,2,0),"")</f>
        <v/>
      </c>
    </row>
    <row r="1128" spans="2:9">
      <c r="B1128" s="11">
        <f t="shared" si="94"/>
        <v>44473</v>
      </c>
      <c r="C1128" s="19">
        <f>MONTH(Tabela6[[#This Row],[Data]])</f>
        <v>10</v>
      </c>
      <c r="D1128" s="19">
        <f>YEAR(Tabela6[[#This Row],[Data]])</f>
        <v>2021</v>
      </c>
      <c r="E1128" s="12" t="s">
        <v>78</v>
      </c>
      <c r="F1128" t="s">
        <v>56</v>
      </c>
      <c r="G1128" s="26">
        <v>16</v>
      </c>
      <c r="H1128">
        <v>8</v>
      </c>
      <c r="I1128" t="str">
        <f>IFERROR(VLOOKUP(Tabela6[[#This Row],[Descrição]],Materiais!B:C,2,0),"")</f>
        <v/>
      </c>
    </row>
    <row r="1129" spans="2:9">
      <c r="B1129" s="11">
        <f t="shared" si="94"/>
        <v>44473</v>
      </c>
      <c r="C1129" s="19">
        <f>MONTH(Tabela6[[#This Row],[Data]])</f>
        <v>10</v>
      </c>
      <c r="D1129" s="19">
        <f>YEAR(Tabela6[[#This Row],[Data]])</f>
        <v>2021</v>
      </c>
      <c r="E1129" s="12" t="s">
        <v>78</v>
      </c>
      <c r="F1129" t="s">
        <v>100</v>
      </c>
      <c r="G1129" s="26">
        <v>2</v>
      </c>
      <c r="H1129">
        <v>1</v>
      </c>
      <c r="I1129" t="str">
        <f>IFERROR(VLOOKUP(Tabela6[[#This Row],[Descrição]],Materiais!B:C,2,0),"")</f>
        <v/>
      </c>
    </row>
    <row r="1130" spans="2:9">
      <c r="B1130" s="11">
        <f t="shared" si="94"/>
        <v>44473</v>
      </c>
      <c r="C1130" s="19">
        <f>MONTH(Tabela6[[#This Row],[Data]])</f>
        <v>10</v>
      </c>
      <c r="D1130" s="19">
        <f>YEAR(Tabela6[[#This Row],[Data]])</f>
        <v>2021</v>
      </c>
      <c r="E1130" s="12" t="s">
        <v>78</v>
      </c>
      <c r="F1130" t="s">
        <v>61</v>
      </c>
      <c r="G1130" s="26">
        <v>10</v>
      </c>
      <c r="H1130">
        <v>5</v>
      </c>
      <c r="I1130" t="str">
        <f>IFERROR(VLOOKUP(Tabela6[[#This Row],[Descrição]],Materiais!B:C,2,0),"")</f>
        <v/>
      </c>
    </row>
    <row r="1131" spans="2:9">
      <c r="B1131" s="11">
        <f t="shared" si="94"/>
        <v>44473</v>
      </c>
      <c r="C1131" s="19">
        <f>MONTH(Tabela6[[#This Row],[Data]])</f>
        <v>10</v>
      </c>
      <c r="D1131" s="19">
        <f>YEAR(Tabela6[[#This Row],[Data]])</f>
        <v>2021</v>
      </c>
      <c r="E1131" s="12" t="s">
        <v>78</v>
      </c>
      <c r="F1131" t="s">
        <v>126</v>
      </c>
      <c r="G1131" s="26">
        <v>8</v>
      </c>
      <c r="I1131" t="str">
        <f>IFERROR(VLOOKUP(Tabela6[[#This Row],[Descrição]],Materiais!B:C,2,0),"")</f>
        <v/>
      </c>
    </row>
    <row r="1132" spans="2:9">
      <c r="B1132" s="11">
        <f t="shared" si="94"/>
        <v>44473</v>
      </c>
      <c r="C1132" s="19">
        <f>MONTH(Tabela6[[#This Row],[Data]])</f>
        <v>10</v>
      </c>
      <c r="D1132" s="19">
        <f>YEAR(Tabela6[[#This Row],[Data]])</f>
        <v>2021</v>
      </c>
      <c r="E1132" s="12" t="s">
        <v>78</v>
      </c>
      <c r="F1132" t="s">
        <v>109</v>
      </c>
      <c r="G1132" s="26">
        <v>2</v>
      </c>
      <c r="I1132" t="str">
        <f>IFERROR(VLOOKUP(Tabela6[[#This Row],[Descrição]],Materiais!B:C,2,0),"")</f>
        <v/>
      </c>
    </row>
    <row r="1133" spans="2:9">
      <c r="B1133" s="11">
        <f t="shared" si="94"/>
        <v>44473</v>
      </c>
      <c r="C1133" s="19">
        <f>MONTH(Tabela6[[#This Row],[Data]])</f>
        <v>10</v>
      </c>
      <c r="D1133" s="19">
        <f>YEAR(Tabela6[[#This Row],[Data]])</f>
        <v>2021</v>
      </c>
      <c r="E1133" s="12" t="s">
        <v>78</v>
      </c>
      <c r="F1133" t="s">
        <v>58</v>
      </c>
      <c r="G1133" s="26">
        <v>6</v>
      </c>
      <c r="I1133" t="str">
        <f>IFERROR(VLOOKUP(Tabela6[[#This Row],[Descrição]],Materiais!B:C,2,0),"")</f>
        <v/>
      </c>
    </row>
    <row r="1134" spans="2:9">
      <c r="B1134" s="11">
        <f t="shared" si="94"/>
        <v>44473</v>
      </c>
      <c r="C1134" s="19">
        <f>MONTH(Tabela6[[#This Row],[Data]])</f>
        <v>10</v>
      </c>
      <c r="D1134" s="19">
        <f>YEAR(Tabela6[[#This Row],[Data]])</f>
        <v>2021</v>
      </c>
      <c r="E1134" s="12" t="s">
        <v>78</v>
      </c>
      <c r="F1134" t="s">
        <v>95</v>
      </c>
      <c r="G1134" s="26">
        <v>2</v>
      </c>
      <c r="I1134" t="str">
        <f>IFERROR(VLOOKUP(Tabela6[[#This Row],[Descrição]],Materiais!B:C,2,0),"")</f>
        <v/>
      </c>
    </row>
    <row r="1135" spans="2:9">
      <c r="B1135" s="11">
        <f t="shared" ref="B1135:B1141" si="95">43014+(365*4)</f>
        <v>44474</v>
      </c>
      <c r="C1135" s="19">
        <f>MONTH(Tabela6[[#This Row],[Data]])</f>
        <v>10</v>
      </c>
      <c r="D1135" s="19">
        <f>YEAR(Tabela6[[#This Row],[Data]])</f>
        <v>2021</v>
      </c>
      <c r="E1135" s="12" t="s">
        <v>78</v>
      </c>
      <c r="F1135" t="s">
        <v>56</v>
      </c>
      <c r="G1135" s="26">
        <v>70</v>
      </c>
      <c r="I1135" t="str">
        <f>IFERROR(VLOOKUP(Tabela6[[#This Row],[Descrição]],Materiais!B:C,2,0),"")</f>
        <v/>
      </c>
    </row>
    <row r="1136" spans="2:9">
      <c r="B1136" s="11">
        <f t="shared" si="95"/>
        <v>44474</v>
      </c>
      <c r="C1136" s="19">
        <f>MONTH(Tabela6[[#This Row],[Data]])</f>
        <v>10</v>
      </c>
      <c r="D1136" s="19">
        <f>YEAR(Tabela6[[#This Row],[Data]])</f>
        <v>2021</v>
      </c>
      <c r="E1136" s="12" t="s">
        <v>78</v>
      </c>
      <c r="F1136" t="s">
        <v>56</v>
      </c>
      <c r="G1136" s="26">
        <v>4</v>
      </c>
      <c r="I1136" t="str">
        <f>IFERROR(VLOOKUP(Tabela6[[#This Row],[Descrição]],Materiais!B:C,2,0),"")</f>
        <v/>
      </c>
    </row>
    <row r="1137" spans="2:9">
      <c r="B1137" s="11">
        <f t="shared" si="95"/>
        <v>44474</v>
      </c>
      <c r="C1137" s="19">
        <f>MONTH(Tabela6[[#This Row],[Data]])</f>
        <v>10</v>
      </c>
      <c r="D1137" s="19">
        <f>YEAR(Tabela6[[#This Row],[Data]])</f>
        <v>2021</v>
      </c>
      <c r="E1137" s="12" t="s">
        <v>78</v>
      </c>
      <c r="F1137" t="s">
        <v>61</v>
      </c>
      <c r="G1137" s="26">
        <v>6</v>
      </c>
      <c r="I1137" t="str">
        <f>IFERROR(VLOOKUP(Tabela6[[#This Row],[Descrição]],Materiais!B:C,2,0),"")</f>
        <v/>
      </c>
    </row>
    <row r="1138" spans="2:9">
      <c r="B1138" s="11">
        <f t="shared" si="95"/>
        <v>44474</v>
      </c>
      <c r="C1138" s="19">
        <f>MONTH(Tabela6[[#This Row],[Data]])</f>
        <v>10</v>
      </c>
      <c r="D1138" s="19">
        <f>YEAR(Tabela6[[#This Row],[Data]])</f>
        <v>2021</v>
      </c>
      <c r="E1138" s="12" t="s">
        <v>78</v>
      </c>
      <c r="F1138" t="s">
        <v>116</v>
      </c>
      <c r="G1138" s="26">
        <v>70</v>
      </c>
      <c r="I1138" t="str">
        <f>IFERROR(VLOOKUP(Tabela6[[#This Row],[Descrição]],Materiais!B:C,2,0),"")</f>
        <v/>
      </c>
    </row>
    <row r="1139" spans="2:9">
      <c r="B1139" s="11">
        <f t="shared" si="95"/>
        <v>44474</v>
      </c>
      <c r="C1139" s="19">
        <f>MONTH(Tabela6[[#This Row],[Data]])</f>
        <v>10</v>
      </c>
      <c r="D1139" s="19">
        <f>YEAR(Tabela6[[#This Row],[Data]])</f>
        <v>2021</v>
      </c>
      <c r="E1139" s="12" t="s">
        <v>78</v>
      </c>
      <c r="F1139" t="s">
        <v>126</v>
      </c>
      <c r="G1139" s="26">
        <v>4</v>
      </c>
      <c r="I1139" t="str">
        <f>IFERROR(VLOOKUP(Tabela6[[#This Row],[Descrição]],Materiais!B:C,2,0),"")</f>
        <v/>
      </c>
    </row>
    <row r="1140" spans="2:9">
      <c r="B1140" s="11">
        <f t="shared" si="95"/>
        <v>44474</v>
      </c>
      <c r="C1140" s="19">
        <f>MONTH(Tabela6[[#This Row],[Data]])</f>
        <v>10</v>
      </c>
      <c r="D1140" s="19">
        <f>YEAR(Tabela6[[#This Row],[Data]])</f>
        <v>2021</v>
      </c>
      <c r="E1140" s="12" t="s">
        <v>78</v>
      </c>
      <c r="F1140" t="s">
        <v>126</v>
      </c>
      <c r="G1140" s="26">
        <v>70</v>
      </c>
      <c r="I1140" t="str">
        <f>IFERROR(VLOOKUP(Tabela6[[#This Row],[Descrição]],Materiais!B:C,2,0),"")</f>
        <v/>
      </c>
    </row>
    <row r="1141" spans="2:9">
      <c r="B1141" s="11">
        <f t="shared" si="95"/>
        <v>44474</v>
      </c>
      <c r="C1141" s="19">
        <f>MONTH(Tabela6[[#This Row],[Data]])</f>
        <v>10</v>
      </c>
      <c r="D1141" s="19">
        <f>YEAR(Tabela6[[#This Row],[Data]])</f>
        <v>2021</v>
      </c>
      <c r="E1141" s="12" t="s">
        <v>78</v>
      </c>
      <c r="F1141" t="s">
        <v>109</v>
      </c>
      <c r="G1141" s="26">
        <v>70</v>
      </c>
      <c r="I1141" t="str">
        <f>IFERROR(VLOOKUP(Tabela6[[#This Row],[Descrição]],Materiais!B:C,2,0),"")</f>
        <v/>
      </c>
    </row>
    <row r="1142" spans="2:9">
      <c r="B1142" s="11">
        <f>43015+(365*4)</f>
        <v>44475</v>
      </c>
      <c r="C1142" s="19">
        <f>MONTH(Tabela6[[#This Row],[Data]])</f>
        <v>10</v>
      </c>
      <c r="D1142" s="19">
        <f>YEAR(Tabela6[[#This Row],[Data]])</f>
        <v>2021</v>
      </c>
      <c r="E1142" s="12" t="s">
        <v>72</v>
      </c>
      <c r="F1142" t="s">
        <v>7</v>
      </c>
      <c r="G1142" s="26">
        <v>-2.4900000000000002</v>
      </c>
      <c r="I1142" t="str">
        <f>IFERROR(VLOOKUP(Tabela6[[#This Row],[Descrição]],Materiais!B:C,2,0),"")</f>
        <v>g</v>
      </c>
    </row>
    <row r="1143" spans="2:9">
      <c r="B1143" s="11">
        <f>43015+(365*4)</f>
        <v>44475</v>
      </c>
      <c r="C1143" s="19">
        <f>MONTH(Tabela6[[#This Row],[Data]])</f>
        <v>10</v>
      </c>
      <c r="D1143" s="19">
        <f>YEAR(Tabela6[[#This Row],[Data]])</f>
        <v>2021</v>
      </c>
      <c r="E1143" s="12" t="s">
        <v>72</v>
      </c>
      <c r="F1143" t="s">
        <v>15</v>
      </c>
      <c r="G1143" s="26">
        <v>-4.99</v>
      </c>
      <c r="I1143" t="str">
        <f>IFERROR(VLOOKUP(Tabela6[[#This Row],[Descrição]],Materiais!B:C,2,0),"")</f>
        <v>g</v>
      </c>
    </row>
    <row r="1144" spans="2:9">
      <c r="B1144" s="11">
        <f>43015+(365*4)</f>
        <v>44475</v>
      </c>
      <c r="C1144" s="19">
        <f>MONTH(Tabela6[[#This Row],[Data]])</f>
        <v>10</v>
      </c>
      <c r="D1144" s="19">
        <f>YEAR(Tabela6[[#This Row],[Data]])</f>
        <v>2021</v>
      </c>
      <c r="E1144" s="12" t="s">
        <v>75</v>
      </c>
      <c r="F1144" t="s">
        <v>119</v>
      </c>
      <c r="G1144" s="26">
        <v>-12.99</v>
      </c>
      <c r="I1144" t="str">
        <f>IFERROR(VLOOKUP(Tabela6[[#This Row],[Descrição]],Materiais!B:C,2,0),"")</f>
        <v/>
      </c>
    </row>
    <row r="1145" spans="2:9">
      <c r="B1145" s="11">
        <f t="shared" ref="B1145:B1151" si="96">43016+(365*4)</f>
        <v>44476</v>
      </c>
      <c r="C1145" s="19">
        <f>MONTH(Tabela6[[#This Row],[Data]])</f>
        <v>10</v>
      </c>
      <c r="D1145" s="19">
        <f>YEAR(Tabela6[[#This Row],[Data]])</f>
        <v>2021</v>
      </c>
      <c r="E1145" s="12" t="s">
        <v>78</v>
      </c>
      <c r="F1145" t="s">
        <v>63</v>
      </c>
      <c r="G1145" s="26">
        <v>2</v>
      </c>
      <c r="I1145" t="str">
        <f>IFERROR(VLOOKUP(Tabela6[[#This Row],[Descrição]],Materiais!B:C,2,0),"")</f>
        <v/>
      </c>
    </row>
    <row r="1146" spans="2:9">
      <c r="B1146" s="11">
        <f t="shared" si="96"/>
        <v>44476</v>
      </c>
      <c r="C1146" s="19">
        <f>MONTH(Tabela6[[#This Row],[Data]])</f>
        <v>10</v>
      </c>
      <c r="D1146" s="19">
        <f>YEAR(Tabela6[[#This Row],[Data]])</f>
        <v>2021</v>
      </c>
      <c r="E1146" s="12" t="s">
        <v>78</v>
      </c>
      <c r="F1146" t="s">
        <v>56</v>
      </c>
      <c r="G1146" s="26">
        <v>10</v>
      </c>
      <c r="I1146" t="str">
        <f>IFERROR(VLOOKUP(Tabela6[[#This Row],[Descrição]],Materiais!B:C,2,0),"")</f>
        <v/>
      </c>
    </row>
    <row r="1147" spans="2:9">
      <c r="B1147" s="11">
        <f t="shared" si="96"/>
        <v>44476</v>
      </c>
      <c r="C1147" s="19">
        <f>MONTH(Tabela6[[#This Row],[Data]])</f>
        <v>10</v>
      </c>
      <c r="D1147" s="19">
        <f>YEAR(Tabela6[[#This Row],[Data]])</f>
        <v>2021</v>
      </c>
      <c r="E1147" s="12" t="s">
        <v>78</v>
      </c>
      <c r="F1147" t="s">
        <v>100</v>
      </c>
      <c r="G1147" s="26">
        <v>4</v>
      </c>
      <c r="I1147" t="str">
        <f>IFERROR(VLOOKUP(Tabela6[[#This Row],[Descrição]],Materiais!B:C,2,0),"")</f>
        <v/>
      </c>
    </row>
    <row r="1148" spans="2:9">
      <c r="B1148" s="11">
        <f t="shared" si="96"/>
        <v>44476</v>
      </c>
      <c r="C1148" s="19">
        <f>MONTH(Tabela6[[#This Row],[Data]])</f>
        <v>10</v>
      </c>
      <c r="D1148" s="19">
        <f>YEAR(Tabela6[[#This Row],[Data]])</f>
        <v>2021</v>
      </c>
      <c r="E1148" s="12" t="s">
        <v>78</v>
      </c>
      <c r="F1148" t="s">
        <v>61</v>
      </c>
      <c r="G1148" s="26">
        <v>10</v>
      </c>
      <c r="I1148" t="str">
        <f>IFERROR(VLOOKUP(Tabela6[[#This Row],[Descrição]],Materiais!B:C,2,0),"")</f>
        <v/>
      </c>
    </row>
    <row r="1149" spans="2:9">
      <c r="B1149" s="11">
        <f t="shared" si="96"/>
        <v>44476</v>
      </c>
      <c r="C1149" s="19">
        <f>MONTH(Tabela6[[#This Row],[Data]])</f>
        <v>10</v>
      </c>
      <c r="D1149" s="19">
        <f>YEAR(Tabela6[[#This Row],[Data]])</f>
        <v>2021</v>
      </c>
      <c r="E1149" s="12" t="s">
        <v>78</v>
      </c>
      <c r="F1149" t="s">
        <v>126</v>
      </c>
      <c r="G1149" s="26">
        <v>2</v>
      </c>
      <c r="I1149" t="str">
        <f>IFERROR(VLOOKUP(Tabela6[[#This Row],[Descrição]],Materiais!B:C,2,0),"")</f>
        <v/>
      </c>
    </row>
    <row r="1150" spans="2:9">
      <c r="B1150" s="11">
        <f t="shared" si="96"/>
        <v>44476</v>
      </c>
      <c r="C1150" s="19">
        <f>MONTH(Tabela6[[#This Row],[Data]])</f>
        <v>10</v>
      </c>
      <c r="D1150" s="19">
        <f>YEAR(Tabela6[[#This Row],[Data]])</f>
        <v>2021</v>
      </c>
      <c r="E1150" s="12" t="s">
        <v>78</v>
      </c>
      <c r="F1150" t="s">
        <v>109</v>
      </c>
      <c r="G1150" s="26">
        <v>6</v>
      </c>
      <c r="I1150" t="str">
        <f>IFERROR(VLOOKUP(Tabela6[[#This Row],[Descrição]],Materiais!B:C,2,0),"")</f>
        <v/>
      </c>
    </row>
    <row r="1151" spans="2:9">
      <c r="B1151" s="11">
        <f t="shared" si="96"/>
        <v>44476</v>
      </c>
      <c r="C1151" s="19">
        <f>MONTH(Tabela6[[#This Row],[Data]])</f>
        <v>10</v>
      </c>
      <c r="D1151" s="19">
        <f>YEAR(Tabela6[[#This Row],[Data]])</f>
        <v>2021</v>
      </c>
      <c r="E1151" s="12" t="s">
        <v>78</v>
      </c>
      <c r="F1151" t="s">
        <v>117</v>
      </c>
      <c r="G1151" s="26">
        <v>2</v>
      </c>
      <c r="I1151" t="str">
        <f>IFERROR(VLOOKUP(Tabela6[[#This Row],[Descrição]],Materiais!B:C,2,0),"")</f>
        <v/>
      </c>
    </row>
    <row r="1152" spans="2:9">
      <c r="B1152" s="11">
        <f t="shared" ref="B1152:B1157" si="97">43017+(365*4)</f>
        <v>44477</v>
      </c>
      <c r="C1152" s="19">
        <f>MONTH(Tabela6[[#This Row],[Data]])</f>
        <v>10</v>
      </c>
      <c r="D1152" s="19">
        <f>YEAR(Tabela6[[#This Row],[Data]])</f>
        <v>2021</v>
      </c>
      <c r="E1152" s="12" t="s">
        <v>78</v>
      </c>
      <c r="F1152" t="s">
        <v>63</v>
      </c>
      <c r="G1152" s="26">
        <v>2</v>
      </c>
      <c r="I1152" t="str">
        <f>IFERROR(VLOOKUP(Tabela6[[#This Row],[Descrição]],Materiais!B:C,2,0),"")</f>
        <v/>
      </c>
    </row>
    <row r="1153" spans="2:9">
      <c r="B1153" s="11">
        <f t="shared" si="97"/>
        <v>44477</v>
      </c>
      <c r="C1153" s="19">
        <f>MONTH(Tabela6[[#This Row],[Data]])</f>
        <v>10</v>
      </c>
      <c r="D1153" s="19">
        <f>YEAR(Tabela6[[#This Row],[Data]])</f>
        <v>2021</v>
      </c>
      <c r="E1153" s="12" t="s">
        <v>78</v>
      </c>
      <c r="F1153" t="s">
        <v>56</v>
      </c>
      <c r="G1153" s="26">
        <v>2</v>
      </c>
      <c r="I1153" t="str">
        <f>IFERROR(VLOOKUP(Tabela6[[#This Row],[Descrição]],Materiais!B:C,2,0),"")</f>
        <v/>
      </c>
    </row>
    <row r="1154" spans="2:9">
      <c r="B1154" s="11">
        <f t="shared" si="97"/>
        <v>44477</v>
      </c>
      <c r="C1154" s="19">
        <f>MONTH(Tabela6[[#This Row],[Data]])</f>
        <v>10</v>
      </c>
      <c r="D1154" s="19">
        <f>YEAR(Tabela6[[#This Row],[Data]])</f>
        <v>2021</v>
      </c>
      <c r="E1154" s="12" t="s">
        <v>78</v>
      </c>
      <c r="F1154" t="s">
        <v>61</v>
      </c>
      <c r="G1154" s="26">
        <v>2</v>
      </c>
      <c r="I1154" t="str">
        <f>IFERROR(VLOOKUP(Tabela6[[#This Row],[Descrição]],Materiais!B:C,2,0),"")</f>
        <v/>
      </c>
    </row>
    <row r="1155" spans="2:9">
      <c r="B1155" s="11">
        <f t="shared" si="97"/>
        <v>44477</v>
      </c>
      <c r="C1155" s="19">
        <f>MONTH(Tabela6[[#This Row],[Data]])</f>
        <v>10</v>
      </c>
      <c r="D1155" s="19">
        <f>YEAR(Tabela6[[#This Row],[Data]])</f>
        <v>2021</v>
      </c>
      <c r="E1155" s="12" t="s">
        <v>78</v>
      </c>
      <c r="F1155" t="s">
        <v>58</v>
      </c>
      <c r="G1155" s="26">
        <v>4</v>
      </c>
      <c r="I1155" t="str">
        <f>IFERROR(VLOOKUP(Tabela6[[#This Row],[Descrição]],Materiais!B:C,2,0),"")</f>
        <v/>
      </c>
    </row>
    <row r="1156" spans="2:9">
      <c r="B1156" s="11">
        <f t="shared" si="97"/>
        <v>44477</v>
      </c>
      <c r="C1156" s="19">
        <f>MONTH(Tabela6[[#This Row],[Data]])</f>
        <v>10</v>
      </c>
      <c r="D1156" s="19">
        <f>YEAR(Tabela6[[#This Row],[Data]])</f>
        <v>2021</v>
      </c>
      <c r="E1156" s="12" t="s">
        <v>78</v>
      </c>
      <c r="F1156" t="s">
        <v>95</v>
      </c>
      <c r="G1156" s="26">
        <v>4</v>
      </c>
      <c r="I1156" t="str">
        <f>IFERROR(VLOOKUP(Tabela6[[#This Row],[Descrição]],Materiais!B:C,2,0),"")</f>
        <v/>
      </c>
    </row>
    <row r="1157" spans="2:9">
      <c r="B1157" s="11">
        <f t="shared" si="97"/>
        <v>44477</v>
      </c>
      <c r="C1157" s="19">
        <f>MONTH(Tabela6[[#This Row],[Data]])</f>
        <v>10</v>
      </c>
      <c r="D1157" s="19">
        <f>YEAR(Tabela6[[#This Row],[Data]])</f>
        <v>2021</v>
      </c>
      <c r="E1157" s="12" t="s">
        <v>78</v>
      </c>
      <c r="F1157" t="s">
        <v>117</v>
      </c>
      <c r="G1157" s="26">
        <v>2</v>
      </c>
      <c r="I1157" t="str">
        <f>IFERROR(VLOOKUP(Tabela6[[#This Row],[Descrição]],Materiais!B:C,2,0),"")</f>
        <v/>
      </c>
    </row>
    <row r="1158" spans="2:9">
      <c r="B1158" s="11">
        <f t="shared" ref="B1158:B1166" si="98">43018+(365*4)</f>
        <v>44478</v>
      </c>
      <c r="C1158" s="19">
        <f>MONTH(Tabela6[[#This Row],[Data]])</f>
        <v>10</v>
      </c>
      <c r="D1158" s="19">
        <f>YEAR(Tabela6[[#This Row],[Data]])</f>
        <v>2021</v>
      </c>
      <c r="E1158" s="12" t="s">
        <v>78</v>
      </c>
      <c r="F1158" t="s">
        <v>63</v>
      </c>
      <c r="G1158" s="26">
        <v>2</v>
      </c>
      <c r="I1158" t="str">
        <f>IFERROR(VLOOKUP(Tabela6[[#This Row],[Descrição]],Materiais!B:C,2,0),"")</f>
        <v/>
      </c>
    </row>
    <row r="1159" spans="2:9">
      <c r="B1159" s="11">
        <f t="shared" si="98"/>
        <v>44478</v>
      </c>
      <c r="C1159" s="19">
        <f>MONTH(Tabela6[[#This Row],[Data]])</f>
        <v>10</v>
      </c>
      <c r="D1159" s="19">
        <f>YEAR(Tabela6[[#This Row],[Data]])</f>
        <v>2021</v>
      </c>
      <c r="E1159" s="12" t="s">
        <v>78</v>
      </c>
      <c r="F1159" t="s">
        <v>133</v>
      </c>
      <c r="G1159" s="26">
        <v>8</v>
      </c>
      <c r="I1159" t="str">
        <f>IFERROR(VLOOKUP(Tabela6[[#This Row],[Descrição]],Materiais!B:C,2,0),"")</f>
        <v/>
      </c>
    </row>
    <row r="1160" spans="2:9">
      <c r="B1160" s="11">
        <f t="shared" si="98"/>
        <v>44478</v>
      </c>
      <c r="C1160" s="19">
        <f>MONTH(Tabela6[[#This Row],[Data]])</f>
        <v>10</v>
      </c>
      <c r="D1160" s="19">
        <f>YEAR(Tabela6[[#This Row],[Data]])</f>
        <v>2021</v>
      </c>
      <c r="E1160" s="12" t="s">
        <v>78</v>
      </c>
      <c r="F1160" t="s">
        <v>56</v>
      </c>
      <c r="G1160" s="26">
        <v>18</v>
      </c>
      <c r="I1160" t="str">
        <f>IFERROR(VLOOKUP(Tabela6[[#This Row],[Descrição]],Materiais!B:C,2,0),"")</f>
        <v/>
      </c>
    </row>
    <row r="1161" spans="2:9">
      <c r="B1161" s="11">
        <f t="shared" si="98"/>
        <v>44478</v>
      </c>
      <c r="C1161" s="19">
        <f>MONTH(Tabela6[[#This Row],[Data]])</f>
        <v>10</v>
      </c>
      <c r="D1161" s="19">
        <f>YEAR(Tabela6[[#This Row],[Data]])</f>
        <v>2021</v>
      </c>
      <c r="E1161" s="12" t="s">
        <v>78</v>
      </c>
      <c r="F1161" t="s">
        <v>100</v>
      </c>
      <c r="G1161" s="26">
        <v>4</v>
      </c>
      <c r="I1161" t="str">
        <f>IFERROR(VLOOKUP(Tabela6[[#This Row],[Descrição]],Materiais!B:C,2,0),"")</f>
        <v/>
      </c>
    </row>
    <row r="1162" spans="2:9">
      <c r="B1162" s="11">
        <f t="shared" si="98"/>
        <v>44478</v>
      </c>
      <c r="C1162" s="19">
        <f>MONTH(Tabela6[[#This Row],[Data]])</f>
        <v>10</v>
      </c>
      <c r="D1162" s="19">
        <f>YEAR(Tabela6[[#This Row],[Data]])</f>
        <v>2021</v>
      </c>
      <c r="E1162" s="12" t="s">
        <v>78</v>
      </c>
      <c r="F1162" t="s">
        <v>61</v>
      </c>
      <c r="G1162" s="26">
        <v>6</v>
      </c>
      <c r="I1162" t="str">
        <f>IFERROR(VLOOKUP(Tabela6[[#This Row],[Descrição]],Materiais!B:C,2,0),"")</f>
        <v/>
      </c>
    </row>
    <row r="1163" spans="2:9">
      <c r="B1163" s="11">
        <f t="shared" si="98"/>
        <v>44478</v>
      </c>
      <c r="C1163" s="19">
        <f>MONTH(Tabela6[[#This Row],[Data]])</f>
        <v>10</v>
      </c>
      <c r="D1163" s="19">
        <f>YEAR(Tabela6[[#This Row],[Data]])</f>
        <v>2021</v>
      </c>
      <c r="E1163" s="12" t="s">
        <v>78</v>
      </c>
      <c r="F1163" t="s">
        <v>126</v>
      </c>
      <c r="G1163" s="26">
        <v>6</v>
      </c>
      <c r="I1163" t="str">
        <f>IFERROR(VLOOKUP(Tabela6[[#This Row],[Descrição]],Materiais!B:C,2,0),"")</f>
        <v/>
      </c>
    </row>
    <row r="1164" spans="2:9">
      <c r="B1164" s="11">
        <f t="shared" si="98"/>
        <v>44478</v>
      </c>
      <c r="C1164" s="19">
        <f>MONTH(Tabela6[[#This Row],[Data]])</f>
        <v>10</v>
      </c>
      <c r="D1164" s="19">
        <f>YEAR(Tabela6[[#This Row],[Data]])</f>
        <v>2021</v>
      </c>
      <c r="E1164" s="12" t="s">
        <v>78</v>
      </c>
      <c r="F1164" t="s">
        <v>58</v>
      </c>
      <c r="G1164" s="26">
        <v>8</v>
      </c>
      <c r="I1164" t="str">
        <f>IFERROR(VLOOKUP(Tabela6[[#This Row],[Descrição]],Materiais!B:C,2,0),"")</f>
        <v/>
      </c>
    </row>
    <row r="1165" spans="2:9">
      <c r="B1165" s="11">
        <f t="shared" si="98"/>
        <v>44478</v>
      </c>
      <c r="C1165" s="19">
        <f>MONTH(Tabela6[[#This Row],[Data]])</f>
        <v>10</v>
      </c>
      <c r="D1165" s="19">
        <f>YEAR(Tabela6[[#This Row],[Data]])</f>
        <v>2021</v>
      </c>
      <c r="E1165" s="12" t="s">
        <v>78</v>
      </c>
      <c r="F1165" t="s">
        <v>95</v>
      </c>
      <c r="G1165" s="26">
        <v>4</v>
      </c>
      <c r="I1165" t="str">
        <f>IFERROR(VLOOKUP(Tabela6[[#This Row],[Descrição]],Materiais!B:C,2,0),"")</f>
        <v/>
      </c>
    </row>
    <row r="1166" spans="2:9">
      <c r="B1166" s="11">
        <f t="shared" si="98"/>
        <v>44478</v>
      </c>
      <c r="C1166" s="19">
        <f>MONTH(Tabela6[[#This Row],[Data]])</f>
        <v>10</v>
      </c>
      <c r="D1166" s="19">
        <f>YEAR(Tabela6[[#This Row],[Data]])</f>
        <v>2021</v>
      </c>
      <c r="E1166" s="12" t="s">
        <v>78</v>
      </c>
      <c r="F1166" t="s">
        <v>117</v>
      </c>
      <c r="G1166" s="26">
        <v>4</v>
      </c>
      <c r="I1166" t="str">
        <f>IFERROR(VLOOKUP(Tabela6[[#This Row],[Descrição]],Materiais!B:C,2,0),"")</f>
        <v/>
      </c>
    </row>
    <row r="1167" spans="2:9">
      <c r="B1167" s="11">
        <f t="shared" ref="B1167:B1173" si="99">43019+(365*4)</f>
        <v>44479</v>
      </c>
      <c r="C1167" s="19">
        <f>MONTH(Tabela6[[#This Row],[Data]])</f>
        <v>10</v>
      </c>
      <c r="D1167" s="19">
        <f>YEAR(Tabela6[[#This Row],[Data]])</f>
        <v>2021</v>
      </c>
      <c r="E1167" s="12" t="s">
        <v>78</v>
      </c>
      <c r="F1167" t="s">
        <v>63</v>
      </c>
      <c r="G1167" s="26">
        <v>2</v>
      </c>
      <c r="I1167" t="str">
        <f>IFERROR(VLOOKUP(Tabela6[[#This Row],[Descrição]],Materiais!B:C,2,0),"")</f>
        <v/>
      </c>
    </row>
    <row r="1168" spans="2:9">
      <c r="B1168" s="11">
        <f t="shared" si="99"/>
        <v>44479</v>
      </c>
      <c r="C1168" s="19">
        <f>MONTH(Tabela6[[#This Row],[Data]])</f>
        <v>10</v>
      </c>
      <c r="D1168" s="19">
        <f>YEAR(Tabela6[[#This Row],[Data]])</f>
        <v>2021</v>
      </c>
      <c r="E1168" s="12" t="s">
        <v>78</v>
      </c>
      <c r="F1168" t="s">
        <v>56</v>
      </c>
      <c r="G1168" s="26">
        <v>70</v>
      </c>
      <c r="I1168" t="str">
        <f>IFERROR(VLOOKUP(Tabela6[[#This Row],[Descrição]],Materiais!B:C,2,0),"")</f>
        <v/>
      </c>
    </row>
    <row r="1169" spans="2:9">
      <c r="B1169" s="11">
        <f t="shared" si="99"/>
        <v>44479</v>
      </c>
      <c r="C1169" s="19">
        <f>MONTH(Tabela6[[#This Row],[Data]])</f>
        <v>10</v>
      </c>
      <c r="D1169" s="19">
        <f>YEAR(Tabela6[[#This Row],[Data]])</f>
        <v>2021</v>
      </c>
      <c r="E1169" s="12" t="s">
        <v>78</v>
      </c>
      <c r="F1169" t="s">
        <v>116</v>
      </c>
      <c r="G1169" s="26">
        <v>70</v>
      </c>
      <c r="I1169" t="str">
        <f>IFERROR(VLOOKUP(Tabela6[[#This Row],[Descrição]],Materiais!B:C,2,0),"")</f>
        <v/>
      </c>
    </row>
    <row r="1170" spans="2:9">
      <c r="B1170" s="11">
        <f t="shared" si="99"/>
        <v>44479</v>
      </c>
      <c r="C1170" s="19">
        <f>MONTH(Tabela6[[#This Row],[Data]])</f>
        <v>10</v>
      </c>
      <c r="D1170" s="19">
        <f>YEAR(Tabela6[[#This Row],[Data]])</f>
        <v>2021</v>
      </c>
      <c r="E1170" s="12" t="s">
        <v>78</v>
      </c>
      <c r="F1170" t="s">
        <v>121</v>
      </c>
      <c r="G1170" s="26">
        <v>70</v>
      </c>
      <c r="I1170" t="str">
        <f>IFERROR(VLOOKUP(Tabela6[[#This Row],[Descrição]],Materiais!B:C,2,0),"")</f>
        <v/>
      </c>
    </row>
    <row r="1171" spans="2:9">
      <c r="B1171" s="11">
        <f t="shared" si="99"/>
        <v>44479</v>
      </c>
      <c r="C1171" s="19">
        <f>MONTH(Tabela6[[#This Row],[Data]])</f>
        <v>10</v>
      </c>
      <c r="D1171" s="19">
        <f>YEAR(Tabela6[[#This Row],[Data]])</f>
        <v>2021</v>
      </c>
      <c r="E1171" s="12" t="s">
        <v>78</v>
      </c>
      <c r="F1171" t="s">
        <v>126</v>
      </c>
      <c r="G1171" s="26">
        <v>4</v>
      </c>
      <c r="I1171" t="str">
        <f>IFERROR(VLOOKUP(Tabela6[[#This Row],[Descrição]],Materiais!B:C,2,0),"")</f>
        <v/>
      </c>
    </row>
    <row r="1172" spans="2:9">
      <c r="B1172" s="11">
        <f t="shared" si="99"/>
        <v>44479</v>
      </c>
      <c r="C1172" s="19">
        <f>MONTH(Tabela6[[#This Row],[Data]])</f>
        <v>10</v>
      </c>
      <c r="D1172" s="19">
        <f>YEAR(Tabela6[[#This Row],[Data]])</f>
        <v>2021</v>
      </c>
      <c r="E1172" s="12" t="s">
        <v>78</v>
      </c>
      <c r="F1172" t="s">
        <v>126</v>
      </c>
      <c r="G1172" s="26">
        <v>70</v>
      </c>
      <c r="I1172" t="str">
        <f>IFERROR(VLOOKUP(Tabela6[[#This Row],[Descrição]],Materiais!B:C,2,0),"")</f>
        <v/>
      </c>
    </row>
    <row r="1173" spans="2:9">
      <c r="B1173" s="11">
        <f t="shared" si="99"/>
        <v>44479</v>
      </c>
      <c r="C1173" s="19">
        <f>MONTH(Tabela6[[#This Row],[Data]])</f>
        <v>10</v>
      </c>
      <c r="D1173" s="19">
        <f>YEAR(Tabela6[[#This Row],[Data]])</f>
        <v>2021</v>
      </c>
      <c r="E1173" s="12" t="s">
        <v>78</v>
      </c>
      <c r="F1173" t="s">
        <v>122</v>
      </c>
      <c r="G1173" s="26">
        <v>70</v>
      </c>
      <c r="I1173" t="str">
        <f>IFERROR(VLOOKUP(Tabela6[[#This Row],[Descrição]],Materiais!B:C,2,0),"")</f>
        <v/>
      </c>
    </row>
    <row r="1174" spans="2:9">
      <c r="B1174" s="11">
        <f t="shared" ref="B1174:B1180" si="100">43022+(365*4)</f>
        <v>44482</v>
      </c>
      <c r="C1174" s="19">
        <f>MONTH(Tabela6[[#This Row],[Data]])</f>
        <v>10</v>
      </c>
      <c r="D1174" s="19">
        <f>YEAR(Tabela6[[#This Row],[Data]])</f>
        <v>2021</v>
      </c>
      <c r="E1174" s="12" t="s">
        <v>75</v>
      </c>
      <c r="F1174" t="s">
        <v>135</v>
      </c>
      <c r="G1174" s="26">
        <v>-8.5</v>
      </c>
      <c r="I1174" t="str">
        <f>IFERROR(VLOOKUP(Tabela6[[#This Row],[Descrição]],Materiais!B:C,2,0),"")</f>
        <v/>
      </c>
    </row>
    <row r="1175" spans="2:9">
      <c r="B1175" s="11">
        <f t="shared" si="100"/>
        <v>44482</v>
      </c>
      <c r="C1175" s="19">
        <f>MONTH(Tabela6[[#This Row],[Data]])</f>
        <v>10</v>
      </c>
      <c r="D1175" s="19">
        <f>YEAR(Tabela6[[#This Row],[Data]])</f>
        <v>2021</v>
      </c>
      <c r="E1175" s="12" t="s">
        <v>75</v>
      </c>
      <c r="F1175" t="s">
        <v>136</v>
      </c>
      <c r="G1175" s="26">
        <v>-12.5</v>
      </c>
      <c r="I1175" t="str">
        <f>IFERROR(VLOOKUP(Tabela6[[#This Row],[Descrição]],Materiais!B:C,2,0),"")</f>
        <v/>
      </c>
    </row>
    <row r="1176" spans="2:9">
      <c r="B1176" s="11">
        <f t="shared" si="100"/>
        <v>44482</v>
      </c>
      <c r="C1176" s="19">
        <f>MONTH(Tabela6[[#This Row],[Data]])</f>
        <v>10</v>
      </c>
      <c r="D1176" s="19">
        <f>YEAR(Tabela6[[#This Row],[Data]])</f>
        <v>2021</v>
      </c>
      <c r="E1176" s="12" t="s">
        <v>75</v>
      </c>
      <c r="F1176" t="s">
        <v>107</v>
      </c>
      <c r="G1176" s="26">
        <v>-7.68</v>
      </c>
      <c r="I1176" t="str">
        <f>IFERROR(VLOOKUP(Tabela6[[#This Row],[Descrição]],Materiais!B:C,2,0),"")</f>
        <v/>
      </c>
    </row>
    <row r="1177" spans="2:9">
      <c r="B1177" s="11">
        <f t="shared" si="100"/>
        <v>44482</v>
      </c>
      <c r="C1177" s="19">
        <f>MONTH(Tabela6[[#This Row],[Data]])</f>
        <v>10</v>
      </c>
      <c r="D1177" s="19">
        <f>YEAR(Tabela6[[#This Row],[Data]])</f>
        <v>2021</v>
      </c>
      <c r="E1177" s="12" t="s">
        <v>75</v>
      </c>
      <c r="F1177" t="s">
        <v>137</v>
      </c>
      <c r="G1177" s="26">
        <v>-4.83</v>
      </c>
      <c r="I1177" t="str">
        <f>IFERROR(VLOOKUP(Tabela6[[#This Row],[Descrição]],Materiais!B:C,2,0),"")</f>
        <v/>
      </c>
    </row>
    <row r="1178" spans="2:9">
      <c r="B1178" s="11">
        <f t="shared" si="100"/>
        <v>44482</v>
      </c>
      <c r="C1178" s="19">
        <f>MONTH(Tabela6[[#This Row],[Data]])</f>
        <v>10</v>
      </c>
      <c r="D1178" s="19">
        <f>YEAR(Tabela6[[#This Row],[Data]])</f>
        <v>2021</v>
      </c>
      <c r="E1178" s="12" t="s">
        <v>75</v>
      </c>
      <c r="F1178" t="s">
        <v>138</v>
      </c>
      <c r="G1178" s="26">
        <v>-14.5</v>
      </c>
      <c r="I1178" t="str">
        <f>IFERROR(VLOOKUP(Tabela6[[#This Row],[Descrição]],Materiais!B:C,2,0),"")</f>
        <v/>
      </c>
    </row>
    <row r="1179" spans="2:9">
      <c r="B1179" s="11">
        <f t="shared" si="100"/>
        <v>44482</v>
      </c>
      <c r="C1179" s="19">
        <f>MONTH(Tabela6[[#This Row],[Data]])</f>
        <v>10</v>
      </c>
      <c r="D1179" s="19">
        <f>YEAR(Tabela6[[#This Row],[Data]])</f>
        <v>2021</v>
      </c>
      <c r="E1179" s="12" t="s">
        <v>75</v>
      </c>
      <c r="F1179" t="s">
        <v>139</v>
      </c>
      <c r="G1179" s="26">
        <v>-5.6</v>
      </c>
      <c r="I1179" t="str">
        <f>IFERROR(VLOOKUP(Tabela6[[#This Row],[Descrição]],Materiais!B:C,2,0),"")</f>
        <v/>
      </c>
    </row>
    <row r="1180" spans="2:9">
      <c r="B1180" s="11">
        <f t="shared" si="100"/>
        <v>44482</v>
      </c>
      <c r="C1180" s="19">
        <f>MONTH(Tabela6[[#This Row],[Data]])</f>
        <v>10</v>
      </c>
      <c r="D1180" s="19">
        <f>YEAR(Tabela6[[#This Row],[Data]])</f>
        <v>2021</v>
      </c>
      <c r="E1180" s="12" t="s">
        <v>75</v>
      </c>
      <c r="F1180" t="s">
        <v>140</v>
      </c>
      <c r="G1180" s="26">
        <v>-24.9</v>
      </c>
      <c r="I1180" t="str">
        <f>IFERROR(VLOOKUP(Tabela6[[#This Row],[Descrição]],Materiais!B:C,2,0),"")</f>
        <v/>
      </c>
    </row>
    <row r="1181" spans="2:9">
      <c r="B1181" s="11">
        <f>43024+(365*4)</f>
        <v>44484</v>
      </c>
      <c r="C1181" s="19">
        <f>MONTH(Tabela6[[#This Row],[Data]])</f>
        <v>10</v>
      </c>
      <c r="D1181" s="19">
        <f>YEAR(Tabela6[[#This Row],[Data]])</f>
        <v>2021</v>
      </c>
      <c r="E1181" s="12" t="s">
        <v>78</v>
      </c>
      <c r="F1181" t="s">
        <v>56</v>
      </c>
      <c r="G1181" s="26">
        <v>35</v>
      </c>
      <c r="I1181" t="str">
        <f>IFERROR(VLOOKUP(Tabela6[[#This Row],[Descrição]],Materiais!B:C,2,0),"")</f>
        <v/>
      </c>
    </row>
    <row r="1182" spans="2:9">
      <c r="B1182" s="11">
        <f>43024+(365*4)</f>
        <v>44484</v>
      </c>
      <c r="C1182" s="19">
        <f>MONTH(Tabela6[[#This Row],[Data]])</f>
        <v>10</v>
      </c>
      <c r="D1182" s="19">
        <f>YEAR(Tabela6[[#This Row],[Data]])</f>
        <v>2021</v>
      </c>
      <c r="E1182" s="12" t="s">
        <v>78</v>
      </c>
      <c r="F1182" t="s">
        <v>56</v>
      </c>
      <c r="G1182" s="26">
        <v>4</v>
      </c>
      <c r="I1182" t="str">
        <f>IFERROR(VLOOKUP(Tabela6[[#This Row],[Descrição]],Materiais!B:C,2,0),"")</f>
        <v/>
      </c>
    </row>
    <row r="1183" spans="2:9">
      <c r="B1183" s="11">
        <f>43024+(365*4)</f>
        <v>44484</v>
      </c>
      <c r="C1183" s="19">
        <f>MONTH(Tabela6[[#This Row],[Data]])</f>
        <v>10</v>
      </c>
      <c r="D1183" s="19">
        <f>YEAR(Tabela6[[#This Row],[Data]])</f>
        <v>2021</v>
      </c>
      <c r="E1183" s="12" t="s">
        <v>78</v>
      </c>
      <c r="F1183" t="s">
        <v>61</v>
      </c>
      <c r="G1183" s="26">
        <v>4</v>
      </c>
      <c r="I1183" t="str">
        <f>IFERROR(VLOOKUP(Tabela6[[#This Row],[Descrição]],Materiais!B:C,2,0),"")</f>
        <v/>
      </c>
    </row>
    <row r="1184" spans="2:9">
      <c r="B1184" s="11">
        <f>43024+(365*4)</f>
        <v>44484</v>
      </c>
      <c r="C1184" s="19">
        <f>MONTH(Tabela6[[#This Row],[Data]])</f>
        <v>10</v>
      </c>
      <c r="D1184" s="19">
        <f>YEAR(Tabela6[[#This Row],[Data]])</f>
        <v>2021</v>
      </c>
      <c r="E1184" s="12" t="s">
        <v>78</v>
      </c>
      <c r="F1184" t="s">
        <v>109</v>
      </c>
      <c r="G1184" s="26">
        <v>2</v>
      </c>
      <c r="I1184" t="str">
        <f>IFERROR(VLOOKUP(Tabela6[[#This Row],[Descrição]],Materiais!B:C,2,0),"")</f>
        <v/>
      </c>
    </row>
    <row r="1185" spans="2:9">
      <c r="B1185" s="11">
        <f>43024+(365*4)</f>
        <v>44484</v>
      </c>
      <c r="C1185" s="19">
        <f>MONTH(Tabela6[[#This Row],[Data]])</f>
        <v>10</v>
      </c>
      <c r="D1185" s="19">
        <f>YEAR(Tabela6[[#This Row],[Data]])</f>
        <v>2021</v>
      </c>
      <c r="E1185" s="12" t="s">
        <v>78</v>
      </c>
      <c r="F1185" t="s">
        <v>95</v>
      </c>
      <c r="G1185" s="26">
        <v>2</v>
      </c>
      <c r="I1185" t="str">
        <f>IFERROR(VLOOKUP(Tabela6[[#This Row],[Descrição]],Materiais!B:C,2,0),"")</f>
        <v/>
      </c>
    </row>
    <row r="1186" spans="2:9">
      <c r="B1186" s="11">
        <f t="shared" ref="B1186:B1196" si="101">43025+(365*4)</f>
        <v>44485</v>
      </c>
      <c r="C1186" s="19">
        <f>MONTH(Tabela6[[#This Row],[Data]])</f>
        <v>10</v>
      </c>
      <c r="D1186" s="19">
        <f>YEAR(Tabela6[[#This Row],[Data]])</f>
        <v>2021</v>
      </c>
      <c r="E1186" s="12" t="s">
        <v>78</v>
      </c>
      <c r="F1186" t="s">
        <v>63</v>
      </c>
      <c r="G1186" s="26">
        <v>10</v>
      </c>
      <c r="I1186" t="str">
        <f>IFERROR(VLOOKUP(Tabela6[[#This Row],[Descrição]],Materiais!B:C,2,0),"")</f>
        <v/>
      </c>
    </row>
    <row r="1187" spans="2:9">
      <c r="B1187" s="11">
        <f t="shared" si="101"/>
        <v>44485</v>
      </c>
      <c r="C1187" s="19">
        <f>MONTH(Tabela6[[#This Row],[Data]])</f>
        <v>10</v>
      </c>
      <c r="D1187" s="19">
        <f>YEAR(Tabela6[[#This Row],[Data]])</f>
        <v>2021</v>
      </c>
      <c r="E1187" s="12" t="s">
        <v>78</v>
      </c>
      <c r="F1187" t="s">
        <v>133</v>
      </c>
      <c r="G1187" s="26">
        <v>8</v>
      </c>
      <c r="I1187" t="str">
        <f>IFERROR(VLOOKUP(Tabela6[[#This Row],[Descrição]],Materiais!B:C,2,0),"")</f>
        <v/>
      </c>
    </row>
    <row r="1188" spans="2:9">
      <c r="B1188" s="11">
        <f t="shared" si="101"/>
        <v>44485</v>
      </c>
      <c r="C1188" s="19">
        <f>MONTH(Tabela6[[#This Row],[Data]])</f>
        <v>10</v>
      </c>
      <c r="D1188" s="19">
        <f>YEAR(Tabela6[[#This Row],[Data]])</f>
        <v>2021</v>
      </c>
      <c r="E1188" s="12" t="s">
        <v>78</v>
      </c>
      <c r="F1188" t="s">
        <v>56</v>
      </c>
      <c r="G1188" s="26">
        <v>6</v>
      </c>
      <c r="I1188" t="str">
        <f>IFERROR(VLOOKUP(Tabela6[[#This Row],[Descrição]],Materiais!B:C,2,0),"")</f>
        <v/>
      </c>
    </row>
    <row r="1189" spans="2:9">
      <c r="B1189" s="11">
        <f t="shared" si="101"/>
        <v>44485</v>
      </c>
      <c r="C1189" s="19">
        <f>MONTH(Tabela6[[#This Row],[Data]])</f>
        <v>10</v>
      </c>
      <c r="D1189" s="19">
        <f>YEAR(Tabela6[[#This Row],[Data]])</f>
        <v>2021</v>
      </c>
      <c r="E1189" s="12" t="s">
        <v>78</v>
      </c>
      <c r="F1189" t="s">
        <v>100</v>
      </c>
      <c r="G1189" s="26">
        <v>10</v>
      </c>
      <c r="I1189" t="str">
        <f>IFERROR(VLOOKUP(Tabela6[[#This Row],[Descrição]],Materiais!B:C,2,0),"")</f>
        <v/>
      </c>
    </row>
    <row r="1190" spans="2:9">
      <c r="B1190" s="11">
        <f t="shared" si="101"/>
        <v>44485</v>
      </c>
      <c r="C1190" s="19">
        <f>MONTH(Tabela6[[#This Row],[Data]])</f>
        <v>10</v>
      </c>
      <c r="D1190" s="19">
        <f>YEAR(Tabela6[[#This Row],[Data]])</f>
        <v>2021</v>
      </c>
      <c r="E1190" s="12" t="s">
        <v>78</v>
      </c>
      <c r="F1190" t="s">
        <v>61</v>
      </c>
      <c r="G1190" s="26">
        <v>6</v>
      </c>
      <c r="I1190" t="str">
        <f>IFERROR(VLOOKUP(Tabela6[[#This Row],[Descrição]],Materiais!B:C,2,0),"")</f>
        <v/>
      </c>
    </row>
    <row r="1191" spans="2:9">
      <c r="B1191" s="11">
        <f t="shared" si="101"/>
        <v>44485</v>
      </c>
      <c r="C1191" s="19">
        <f>MONTH(Tabela6[[#This Row],[Data]])</f>
        <v>10</v>
      </c>
      <c r="D1191" s="19">
        <f>YEAR(Tabela6[[#This Row],[Data]])</f>
        <v>2021</v>
      </c>
      <c r="E1191" s="12" t="s">
        <v>78</v>
      </c>
      <c r="F1191" t="s">
        <v>126</v>
      </c>
      <c r="G1191" s="26">
        <v>12</v>
      </c>
      <c r="I1191" t="str">
        <f>IFERROR(VLOOKUP(Tabela6[[#This Row],[Descrição]],Materiais!B:C,2,0),"")</f>
        <v/>
      </c>
    </row>
    <row r="1192" spans="2:9">
      <c r="B1192" s="11">
        <f t="shared" si="101"/>
        <v>44485</v>
      </c>
      <c r="C1192" s="19">
        <f>MONTH(Tabela6[[#This Row],[Data]])</f>
        <v>10</v>
      </c>
      <c r="D1192" s="19">
        <f>YEAR(Tabela6[[#This Row],[Data]])</f>
        <v>2021</v>
      </c>
      <c r="E1192" s="12" t="s">
        <v>78</v>
      </c>
      <c r="F1192" t="s">
        <v>62</v>
      </c>
      <c r="G1192" s="26">
        <v>2</v>
      </c>
      <c r="I1192" t="str">
        <f>IFERROR(VLOOKUP(Tabela6[[#This Row],[Descrição]],Materiais!B:C,2,0),"")</f>
        <v/>
      </c>
    </row>
    <row r="1193" spans="2:9">
      <c r="B1193" s="11">
        <f t="shared" si="101"/>
        <v>44485</v>
      </c>
      <c r="C1193" s="19">
        <f>MONTH(Tabela6[[#This Row],[Data]])</f>
        <v>10</v>
      </c>
      <c r="D1193" s="19">
        <f>YEAR(Tabela6[[#This Row],[Data]])</f>
        <v>2021</v>
      </c>
      <c r="E1193" s="12" t="s">
        <v>78</v>
      </c>
      <c r="F1193" t="s">
        <v>62</v>
      </c>
      <c r="G1193" s="26">
        <v>2</v>
      </c>
      <c r="I1193" t="str">
        <f>IFERROR(VLOOKUP(Tabela6[[#This Row],[Descrição]],Materiais!B:C,2,0),"")</f>
        <v/>
      </c>
    </row>
    <row r="1194" spans="2:9">
      <c r="B1194" s="11">
        <f t="shared" si="101"/>
        <v>44485</v>
      </c>
      <c r="C1194" s="19">
        <f>MONTH(Tabela6[[#This Row],[Data]])</f>
        <v>10</v>
      </c>
      <c r="D1194" s="19">
        <f>YEAR(Tabela6[[#This Row],[Data]])</f>
        <v>2021</v>
      </c>
      <c r="E1194" s="12" t="s">
        <v>78</v>
      </c>
      <c r="F1194" t="s">
        <v>109</v>
      </c>
      <c r="G1194" s="26">
        <v>6</v>
      </c>
      <c r="I1194" t="str">
        <f>IFERROR(VLOOKUP(Tabela6[[#This Row],[Descrição]],Materiais!B:C,2,0),"")</f>
        <v/>
      </c>
    </row>
    <row r="1195" spans="2:9">
      <c r="B1195" s="11">
        <f t="shared" si="101"/>
        <v>44485</v>
      </c>
      <c r="C1195" s="19">
        <f>MONTH(Tabela6[[#This Row],[Data]])</f>
        <v>10</v>
      </c>
      <c r="D1195" s="19">
        <f>YEAR(Tabela6[[#This Row],[Data]])</f>
        <v>2021</v>
      </c>
      <c r="E1195" s="12" t="s">
        <v>78</v>
      </c>
      <c r="F1195" t="s">
        <v>95</v>
      </c>
      <c r="G1195" s="26">
        <v>2</v>
      </c>
      <c r="I1195" t="str">
        <f>IFERROR(VLOOKUP(Tabela6[[#This Row],[Descrição]],Materiais!B:C,2,0),"")</f>
        <v/>
      </c>
    </row>
    <row r="1196" spans="2:9">
      <c r="B1196" s="11">
        <f t="shared" si="101"/>
        <v>44485</v>
      </c>
      <c r="C1196" s="19">
        <f>MONTH(Tabela6[[#This Row],[Data]])</f>
        <v>10</v>
      </c>
      <c r="D1196" s="19">
        <f>YEAR(Tabela6[[#This Row],[Data]])</f>
        <v>2021</v>
      </c>
      <c r="E1196" s="12" t="s">
        <v>78</v>
      </c>
      <c r="F1196" t="s">
        <v>117</v>
      </c>
      <c r="G1196" s="26">
        <v>6</v>
      </c>
      <c r="I1196" t="str">
        <f>IFERROR(VLOOKUP(Tabela6[[#This Row],[Descrição]],Materiais!B:C,2,0),"")</f>
        <v/>
      </c>
    </row>
    <row r="1197" spans="2:9">
      <c r="B1197" s="11">
        <f t="shared" ref="B1197:B1205" si="102">43026+(365*4)</f>
        <v>44486</v>
      </c>
      <c r="C1197" s="19">
        <f>MONTH(Tabela6[[#This Row],[Data]])</f>
        <v>10</v>
      </c>
      <c r="D1197" s="19">
        <f>YEAR(Tabela6[[#This Row],[Data]])</f>
        <v>2021</v>
      </c>
      <c r="E1197" s="12" t="s">
        <v>78</v>
      </c>
      <c r="F1197" t="s">
        <v>63</v>
      </c>
      <c r="G1197" s="26">
        <v>8</v>
      </c>
      <c r="I1197" t="str">
        <f>IFERROR(VLOOKUP(Tabela6[[#This Row],[Descrição]],Materiais!B:C,2,0),"")</f>
        <v/>
      </c>
    </row>
    <row r="1198" spans="2:9">
      <c r="B1198" s="11">
        <f t="shared" si="102"/>
        <v>44486</v>
      </c>
      <c r="C1198" s="19">
        <f>MONTH(Tabela6[[#This Row],[Data]])</f>
        <v>10</v>
      </c>
      <c r="D1198" s="19">
        <f>YEAR(Tabela6[[#This Row],[Data]])</f>
        <v>2021</v>
      </c>
      <c r="E1198" s="12" t="s">
        <v>78</v>
      </c>
      <c r="F1198" t="s">
        <v>133</v>
      </c>
      <c r="G1198" s="26">
        <v>6</v>
      </c>
      <c r="I1198" t="str">
        <f>IFERROR(VLOOKUP(Tabela6[[#This Row],[Descrição]],Materiais!B:C,2,0),"")</f>
        <v/>
      </c>
    </row>
    <row r="1199" spans="2:9">
      <c r="B1199" s="11">
        <f t="shared" si="102"/>
        <v>44486</v>
      </c>
      <c r="C1199" s="19">
        <f>MONTH(Tabela6[[#This Row],[Data]])</f>
        <v>10</v>
      </c>
      <c r="D1199" s="19">
        <f>YEAR(Tabela6[[#This Row],[Data]])</f>
        <v>2021</v>
      </c>
      <c r="E1199" s="12" t="s">
        <v>78</v>
      </c>
      <c r="F1199" t="s">
        <v>56</v>
      </c>
      <c r="G1199" s="26">
        <v>10</v>
      </c>
      <c r="I1199" t="str">
        <f>IFERROR(VLOOKUP(Tabela6[[#This Row],[Descrição]],Materiais!B:C,2,0),"")</f>
        <v/>
      </c>
    </row>
    <row r="1200" spans="2:9">
      <c r="B1200" s="11">
        <f t="shared" si="102"/>
        <v>44486</v>
      </c>
      <c r="C1200" s="19">
        <f>MONTH(Tabela6[[#This Row],[Data]])</f>
        <v>10</v>
      </c>
      <c r="D1200" s="19">
        <f>YEAR(Tabela6[[#This Row],[Data]])</f>
        <v>2021</v>
      </c>
      <c r="E1200" s="12" t="s">
        <v>78</v>
      </c>
      <c r="F1200" t="s">
        <v>61</v>
      </c>
      <c r="G1200" s="26">
        <v>8</v>
      </c>
      <c r="I1200" t="str">
        <f>IFERROR(VLOOKUP(Tabela6[[#This Row],[Descrição]],Materiais!B:C,2,0),"")</f>
        <v/>
      </c>
    </row>
    <row r="1201" spans="2:9">
      <c r="B1201" s="11">
        <f t="shared" si="102"/>
        <v>44486</v>
      </c>
      <c r="C1201" s="19">
        <f>MONTH(Tabela6[[#This Row],[Data]])</f>
        <v>10</v>
      </c>
      <c r="D1201" s="19">
        <f>YEAR(Tabela6[[#This Row],[Data]])</f>
        <v>2021</v>
      </c>
      <c r="E1201" s="12" t="s">
        <v>78</v>
      </c>
      <c r="F1201" t="s">
        <v>126</v>
      </c>
      <c r="G1201" s="26">
        <v>10</v>
      </c>
      <c r="I1201" t="str">
        <f>IFERROR(VLOOKUP(Tabela6[[#This Row],[Descrição]],Materiais!B:C,2,0),"")</f>
        <v/>
      </c>
    </row>
    <row r="1202" spans="2:9">
      <c r="B1202" s="11">
        <f t="shared" si="102"/>
        <v>44486</v>
      </c>
      <c r="C1202" s="19">
        <f>MONTH(Tabela6[[#This Row],[Data]])</f>
        <v>10</v>
      </c>
      <c r="D1202" s="19">
        <f>YEAR(Tabela6[[#This Row],[Data]])</f>
        <v>2021</v>
      </c>
      <c r="E1202" s="12" t="s">
        <v>78</v>
      </c>
      <c r="F1202" t="s">
        <v>62</v>
      </c>
      <c r="G1202" s="26">
        <v>2</v>
      </c>
      <c r="I1202" t="str">
        <f>IFERROR(VLOOKUP(Tabela6[[#This Row],[Descrição]],Materiais!B:C,2,0),"")</f>
        <v/>
      </c>
    </row>
    <row r="1203" spans="2:9">
      <c r="B1203" s="11">
        <f t="shared" si="102"/>
        <v>44486</v>
      </c>
      <c r="C1203" s="19">
        <f>MONTH(Tabela6[[#This Row],[Data]])</f>
        <v>10</v>
      </c>
      <c r="D1203" s="19">
        <f>YEAR(Tabela6[[#This Row],[Data]])</f>
        <v>2021</v>
      </c>
      <c r="E1203" s="12" t="s">
        <v>78</v>
      </c>
      <c r="F1203" t="s">
        <v>109</v>
      </c>
      <c r="G1203" s="26">
        <v>8</v>
      </c>
      <c r="I1203" t="str">
        <f>IFERROR(VLOOKUP(Tabela6[[#This Row],[Descrição]],Materiais!B:C,2,0),"")</f>
        <v/>
      </c>
    </row>
    <row r="1204" spans="2:9">
      <c r="B1204" s="11">
        <f t="shared" si="102"/>
        <v>44486</v>
      </c>
      <c r="C1204" s="19">
        <f>MONTH(Tabela6[[#This Row],[Data]])</f>
        <v>10</v>
      </c>
      <c r="D1204" s="19">
        <f>YEAR(Tabela6[[#This Row],[Data]])</f>
        <v>2021</v>
      </c>
      <c r="E1204" s="12" t="s">
        <v>78</v>
      </c>
      <c r="F1204" t="s">
        <v>95</v>
      </c>
      <c r="G1204" s="26">
        <v>4</v>
      </c>
      <c r="I1204" t="str">
        <f>IFERROR(VLOOKUP(Tabela6[[#This Row],[Descrição]],Materiais!B:C,2,0),"")</f>
        <v/>
      </c>
    </row>
    <row r="1205" spans="2:9">
      <c r="B1205" s="11">
        <f t="shared" si="102"/>
        <v>44486</v>
      </c>
      <c r="C1205" s="19">
        <f>MONTH(Tabela6[[#This Row],[Data]])</f>
        <v>10</v>
      </c>
      <c r="D1205" s="19">
        <f>YEAR(Tabela6[[#This Row],[Data]])</f>
        <v>2021</v>
      </c>
      <c r="E1205" s="12" t="s">
        <v>78</v>
      </c>
      <c r="F1205" t="s">
        <v>117</v>
      </c>
      <c r="G1205" s="26">
        <v>6</v>
      </c>
      <c r="I1205" t="str">
        <f>IFERROR(VLOOKUP(Tabela6[[#This Row],[Descrição]],Materiais!B:C,2,0),"")</f>
        <v/>
      </c>
    </row>
    <row r="1206" spans="2:9">
      <c r="B1206" s="11">
        <f t="shared" ref="B1206:B1211" si="103">43027+(365*4)</f>
        <v>44487</v>
      </c>
      <c r="C1206" s="19">
        <f>MONTH(Tabela6[[#This Row],[Data]])</f>
        <v>10</v>
      </c>
      <c r="D1206" s="19">
        <f>YEAR(Tabela6[[#This Row],[Data]])</f>
        <v>2021</v>
      </c>
      <c r="E1206" s="12" t="s">
        <v>78</v>
      </c>
      <c r="F1206" t="s">
        <v>63</v>
      </c>
      <c r="G1206" s="26">
        <v>6</v>
      </c>
      <c r="I1206" t="str">
        <f>IFERROR(VLOOKUP(Tabela6[[#This Row],[Descrição]],Materiais!B:C,2,0),"")</f>
        <v/>
      </c>
    </row>
    <row r="1207" spans="2:9">
      <c r="B1207" s="11">
        <f t="shared" si="103"/>
        <v>44487</v>
      </c>
      <c r="C1207" s="19">
        <f>MONTH(Tabela6[[#This Row],[Data]])</f>
        <v>10</v>
      </c>
      <c r="D1207" s="19">
        <f>YEAR(Tabela6[[#This Row],[Data]])</f>
        <v>2021</v>
      </c>
      <c r="E1207" s="12" t="s">
        <v>78</v>
      </c>
      <c r="F1207" t="s">
        <v>56</v>
      </c>
      <c r="G1207" s="26">
        <v>10</v>
      </c>
      <c r="I1207" t="str">
        <f>IFERROR(VLOOKUP(Tabela6[[#This Row],[Descrição]],Materiais!B:C,2,0),"")</f>
        <v/>
      </c>
    </row>
    <row r="1208" spans="2:9">
      <c r="B1208" s="11">
        <f t="shared" si="103"/>
        <v>44487</v>
      </c>
      <c r="C1208" s="19">
        <f>MONTH(Tabela6[[#This Row],[Data]])</f>
        <v>10</v>
      </c>
      <c r="D1208" s="19">
        <f>YEAR(Tabela6[[#This Row],[Data]])</f>
        <v>2021</v>
      </c>
      <c r="E1208" s="12" t="s">
        <v>78</v>
      </c>
      <c r="F1208" t="s">
        <v>61</v>
      </c>
      <c r="G1208" s="26">
        <v>8</v>
      </c>
      <c r="I1208" t="str">
        <f>IFERROR(VLOOKUP(Tabela6[[#This Row],[Descrição]],Materiais!B:C,2,0),"")</f>
        <v/>
      </c>
    </row>
    <row r="1209" spans="2:9">
      <c r="B1209" s="11">
        <f t="shared" si="103"/>
        <v>44487</v>
      </c>
      <c r="C1209" s="19">
        <f>MONTH(Tabela6[[#This Row],[Data]])</f>
        <v>10</v>
      </c>
      <c r="D1209" s="19">
        <f>YEAR(Tabela6[[#This Row],[Data]])</f>
        <v>2021</v>
      </c>
      <c r="E1209" s="12" t="s">
        <v>78</v>
      </c>
      <c r="F1209" t="s">
        <v>126</v>
      </c>
      <c r="G1209" s="26">
        <v>8</v>
      </c>
      <c r="I1209" t="str">
        <f>IFERROR(VLOOKUP(Tabela6[[#This Row],[Descrição]],Materiais!B:C,2,0),"")</f>
        <v/>
      </c>
    </row>
    <row r="1210" spans="2:9">
      <c r="B1210" s="11">
        <f t="shared" si="103"/>
        <v>44487</v>
      </c>
      <c r="C1210" s="19">
        <f>MONTH(Tabela6[[#This Row],[Data]])</f>
        <v>10</v>
      </c>
      <c r="D1210" s="19">
        <f>YEAR(Tabela6[[#This Row],[Data]])</f>
        <v>2021</v>
      </c>
      <c r="E1210" s="12" t="s">
        <v>78</v>
      </c>
      <c r="F1210" t="s">
        <v>62</v>
      </c>
      <c r="G1210" s="26">
        <v>2</v>
      </c>
      <c r="I1210" t="str">
        <f>IFERROR(VLOOKUP(Tabela6[[#This Row],[Descrição]],Materiais!B:C,2,0),"")</f>
        <v/>
      </c>
    </row>
    <row r="1211" spans="2:9">
      <c r="B1211" s="11">
        <f t="shared" si="103"/>
        <v>44487</v>
      </c>
      <c r="C1211" s="19">
        <f>MONTH(Tabela6[[#This Row],[Data]])</f>
        <v>10</v>
      </c>
      <c r="D1211" s="19">
        <f>YEAR(Tabela6[[#This Row],[Data]])</f>
        <v>2021</v>
      </c>
      <c r="E1211" s="12" t="s">
        <v>78</v>
      </c>
      <c r="F1211" t="s">
        <v>117</v>
      </c>
      <c r="G1211" s="26">
        <v>2</v>
      </c>
      <c r="I1211" t="str">
        <f>IFERROR(VLOOKUP(Tabela6[[#This Row],[Descrição]],Materiais!B:C,2,0),"")</f>
        <v/>
      </c>
    </row>
    <row r="1212" spans="2:9">
      <c r="B1212" s="11">
        <f>43028+(365*4)</f>
        <v>44488</v>
      </c>
      <c r="C1212" s="19">
        <f>MONTH(Tabela6[[#This Row],[Data]])</f>
        <v>10</v>
      </c>
      <c r="D1212" s="19">
        <f>YEAR(Tabela6[[#This Row],[Data]])</f>
        <v>2021</v>
      </c>
      <c r="E1212" s="12" t="s">
        <v>72</v>
      </c>
      <c r="F1212" t="s">
        <v>16</v>
      </c>
      <c r="G1212" s="26">
        <v>-5.67</v>
      </c>
      <c r="I1212" t="str">
        <f>IFERROR(VLOOKUP(Tabela6[[#This Row],[Descrição]],Materiais!B:C,2,0),"")</f>
        <v>g</v>
      </c>
    </row>
    <row r="1213" spans="2:9">
      <c r="B1213" s="11">
        <f t="shared" ref="B1213:B1221" si="104">43032+(365*4)</f>
        <v>44492</v>
      </c>
      <c r="C1213" s="19">
        <f>MONTH(Tabela6[[#This Row],[Data]])</f>
        <v>10</v>
      </c>
      <c r="D1213" s="19">
        <f>YEAR(Tabela6[[#This Row],[Data]])</f>
        <v>2021</v>
      </c>
      <c r="E1213" s="12" t="s">
        <v>78</v>
      </c>
      <c r="F1213" t="s">
        <v>63</v>
      </c>
      <c r="G1213" s="26">
        <v>2</v>
      </c>
      <c r="I1213" t="str">
        <f>IFERROR(VLOOKUP(Tabela6[[#This Row],[Descrição]],Materiais!B:C,2,0),"")</f>
        <v/>
      </c>
    </row>
    <row r="1214" spans="2:9">
      <c r="B1214" s="11">
        <f t="shared" si="104"/>
        <v>44492</v>
      </c>
      <c r="C1214" s="19">
        <f>MONTH(Tabela6[[#This Row],[Data]])</f>
        <v>10</v>
      </c>
      <c r="D1214" s="19">
        <f>YEAR(Tabela6[[#This Row],[Data]])</f>
        <v>2021</v>
      </c>
      <c r="E1214" s="12" t="s">
        <v>78</v>
      </c>
      <c r="F1214" t="s">
        <v>133</v>
      </c>
      <c r="G1214" s="26">
        <v>2</v>
      </c>
      <c r="I1214" t="str">
        <f>IFERROR(VLOOKUP(Tabela6[[#This Row],[Descrição]],Materiais!B:C,2,0),"")</f>
        <v/>
      </c>
    </row>
    <row r="1215" spans="2:9">
      <c r="B1215" s="11">
        <f t="shared" si="104"/>
        <v>44492</v>
      </c>
      <c r="C1215" s="19">
        <f>MONTH(Tabela6[[#This Row],[Data]])</f>
        <v>10</v>
      </c>
      <c r="D1215" s="19">
        <f>YEAR(Tabela6[[#This Row],[Data]])</f>
        <v>2021</v>
      </c>
      <c r="E1215" s="12" t="s">
        <v>78</v>
      </c>
      <c r="F1215" t="s">
        <v>56</v>
      </c>
      <c r="G1215" s="26">
        <v>8</v>
      </c>
      <c r="I1215" t="str">
        <f>IFERROR(VLOOKUP(Tabela6[[#This Row],[Descrição]],Materiais!B:C,2,0),"")</f>
        <v/>
      </c>
    </row>
    <row r="1216" spans="2:9">
      <c r="B1216" s="11">
        <f t="shared" si="104"/>
        <v>44492</v>
      </c>
      <c r="C1216" s="19">
        <f>MONTH(Tabela6[[#This Row],[Data]])</f>
        <v>10</v>
      </c>
      <c r="D1216" s="19">
        <f>YEAR(Tabela6[[#This Row],[Data]])</f>
        <v>2021</v>
      </c>
      <c r="E1216" s="12" t="s">
        <v>78</v>
      </c>
      <c r="F1216" t="s">
        <v>100</v>
      </c>
      <c r="G1216" s="26">
        <v>6</v>
      </c>
      <c r="I1216" t="str">
        <f>IFERROR(VLOOKUP(Tabela6[[#This Row],[Descrição]],Materiais!B:C,2,0),"")</f>
        <v/>
      </c>
    </row>
    <row r="1217" spans="2:9">
      <c r="B1217" s="11">
        <f t="shared" si="104"/>
        <v>44492</v>
      </c>
      <c r="C1217" s="19">
        <f>MONTH(Tabela6[[#This Row],[Data]])</f>
        <v>10</v>
      </c>
      <c r="D1217" s="19">
        <f>YEAR(Tabela6[[#This Row],[Data]])</f>
        <v>2021</v>
      </c>
      <c r="E1217" s="12" t="s">
        <v>78</v>
      </c>
      <c r="F1217" t="s">
        <v>61</v>
      </c>
      <c r="G1217" s="26">
        <v>8</v>
      </c>
      <c r="I1217" t="str">
        <f>IFERROR(VLOOKUP(Tabela6[[#This Row],[Descrição]],Materiais!B:C,2,0),"")</f>
        <v/>
      </c>
    </row>
    <row r="1218" spans="2:9">
      <c r="B1218" s="11">
        <f t="shared" si="104"/>
        <v>44492</v>
      </c>
      <c r="C1218" s="19">
        <f>MONTH(Tabela6[[#This Row],[Data]])</f>
        <v>10</v>
      </c>
      <c r="D1218" s="19">
        <f>YEAR(Tabela6[[#This Row],[Data]])</f>
        <v>2021</v>
      </c>
      <c r="E1218" s="12" t="s">
        <v>78</v>
      </c>
      <c r="F1218" t="s">
        <v>126</v>
      </c>
      <c r="G1218" s="26">
        <v>2</v>
      </c>
      <c r="I1218" t="str">
        <f>IFERROR(VLOOKUP(Tabela6[[#This Row],[Descrição]],Materiais!B:C,2,0),"")</f>
        <v/>
      </c>
    </row>
    <row r="1219" spans="2:9">
      <c r="B1219" s="11">
        <f t="shared" si="104"/>
        <v>44492</v>
      </c>
      <c r="C1219" s="19">
        <f>MONTH(Tabela6[[#This Row],[Data]])</f>
        <v>10</v>
      </c>
      <c r="D1219" s="19">
        <f>YEAR(Tabela6[[#This Row],[Data]])</f>
        <v>2021</v>
      </c>
      <c r="E1219" s="12" t="s">
        <v>78</v>
      </c>
      <c r="F1219" t="s">
        <v>109</v>
      </c>
      <c r="G1219" s="26">
        <v>6</v>
      </c>
      <c r="I1219" t="str">
        <f>IFERROR(VLOOKUP(Tabela6[[#This Row],[Descrição]],Materiais!B:C,2,0),"")</f>
        <v/>
      </c>
    </row>
    <row r="1220" spans="2:9">
      <c r="B1220" s="11">
        <f t="shared" si="104"/>
        <v>44492</v>
      </c>
      <c r="C1220" s="19">
        <f>MONTH(Tabela6[[#This Row],[Data]])</f>
        <v>10</v>
      </c>
      <c r="D1220" s="19">
        <f>YEAR(Tabela6[[#This Row],[Data]])</f>
        <v>2021</v>
      </c>
      <c r="E1220" s="12" t="s">
        <v>78</v>
      </c>
      <c r="F1220" t="s">
        <v>58</v>
      </c>
      <c r="G1220" s="26">
        <v>10</v>
      </c>
      <c r="I1220" t="str">
        <f>IFERROR(VLOOKUP(Tabela6[[#This Row],[Descrição]],Materiais!B:C,2,0),"")</f>
        <v/>
      </c>
    </row>
    <row r="1221" spans="2:9">
      <c r="B1221" s="11">
        <f t="shared" si="104"/>
        <v>44492</v>
      </c>
      <c r="C1221" s="19">
        <f>MONTH(Tabela6[[#This Row],[Data]])</f>
        <v>10</v>
      </c>
      <c r="D1221" s="19">
        <f>YEAR(Tabela6[[#This Row],[Data]])</f>
        <v>2021</v>
      </c>
      <c r="E1221" s="12" t="s">
        <v>78</v>
      </c>
      <c r="F1221" t="s">
        <v>117</v>
      </c>
      <c r="G1221" s="26">
        <v>6</v>
      </c>
      <c r="I1221" t="str">
        <f>IFERROR(VLOOKUP(Tabela6[[#This Row],[Descrição]],Materiais!B:C,2,0),"")</f>
        <v/>
      </c>
    </row>
    <row r="1222" spans="2:9">
      <c r="B1222" s="11">
        <f t="shared" ref="B1222:B1229" si="105">43033+(365*4)</f>
        <v>44493</v>
      </c>
      <c r="C1222" s="19">
        <f>MONTH(Tabela6[[#This Row],[Data]])</f>
        <v>10</v>
      </c>
      <c r="D1222" s="19">
        <f>YEAR(Tabela6[[#This Row],[Data]])</f>
        <v>2021</v>
      </c>
      <c r="E1222" s="12" t="s">
        <v>78</v>
      </c>
      <c r="F1222" t="s">
        <v>63</v>
      </c>
      <c r="G1222" s="26">
        <v>6</v>
      </c>
      <c r="I1222" t="str">
        <f>IFERROR(VLOOKUP(Tabela6[[#This Row],[Descrição]],Materiais!B:C,2,0),"")</f>
        <v/>
      </c>
    </row>
    <row r="1223" spans="2:9">
      <c r="B1223" s="11">
        <f t="shared" si="105"/>
        <v>44493</v>
      </c>
      <c r="C1223" s="19">
        <f>MONTH(Tabela6[[#This Row],[Data]])</f>
        <v>10</v>
      </c>
      <c r="D1223" s="19">
        <f>YEAR(Tabela6[[#This Row],[Data]])</f>
        <v>2021</v>
      </c>
      <c r="E1223" s="12" t="s">
        <v>78</v>
      </c>
      <c r="F1223" t="s">
        <v>133</v>
      </c>
      <c r="G1223" s="26">
        <v>2</v>
      </c>
      <c r="I1223" t="str">
        <f>IFERROR(VLOOKUP(Tabela6[[#This Row],[Descrição]],Materiais!B:C,2,0),"")</f>
        <v/>
      </c>
    </row>
    <row r="1224" spans="2:9">
      <c r="B1224" s="11">
        <f t="shared" si="105"/>
        <v>44493</v>
      </c>
      <c r="C1224" s="19">
        <f>MONTH(Tabela6[[#This Row],[Data]])</f>
        <v>10</v>
      </c>
      <c r="D1224" s="19">
        <f>YEAR(Tabela6[[#This Row],[Data]])</f>
        <v>2021</v>
      </c>
      <c r="E1224" s="12" t="s">
        <v>78</v>
      </c>
      <c r="F1224" t="s">
        <v>56</v>
      </c>
      <c r="G1224" s="26">
        <v>8</v>
      </c>
      <c r="I1224" t="str">
        <f>IFERROR(VLOOKUP(Tabela6[[#This Row],[Descrição]],Materiais!B:C,2,0),"")</f>
        <v/>
      </c>
    </row>
    <row r="1225" spans="2:9">
      <c r="B1225" s="11">
        <f t="shared" si="105"/>
        <v>44493</v>
      </c>
      <c r="C1225" s="19">
        <f>MONTH(Tabela6[[#This Row],[Data]])</f>
        <v>10</v>
      </c>
      <c r="D1225" s="19">
        <f>YEAR(Tabela6[[#This Row],[Data]])</f>
        <v>2021</v>
      </c>
      <c r="E1225" s="12" t="s">
        <v>78</v>
      </c>
      <c r="F1225" t="s">
        <v>100</v>
      </c>
      <c r="G1225" s="26">
        <v>2</v>
      </c>
      <c r="I1225" t="str">
        <f>IFERROR(VLOOKUP(Tabela6[[#This Row],[Descrição]],Materiais!B:C,2,0),"")</f>
        <v/>
      </c>
    </row>
    <row r="1226" spans="2:9">
      <c r="B1226" s="11">
        <f t="shared" si="105"/>
        <v>44493</v>
      </c>
      <c r="C1226" s="19">
        <f>MONTH(Tabela6[[#This Row],[Data]])</f>
        <v>10</v>
      </c>
      <c r="D1226" s="19">
        <f>YEAR(Tabela6[[#This Row],[Data]])</f>
        <v>2021</v>
      </c>
      <c r="E1226" s="12" t="s">
        <v>78</v>
      </c>
      <c r="F1226" t="s">
        <v>61</v>
      </c>
      <c r="G1226" s="26">
        <v>6</v>
      </c>
      <c r="I1226" t="str">
        <f>IFERROR(VLOOKUP(Tabela6[[#This Row],[Descrição]],Materiais!B:C,2,0),"")</f>
        <v/>
      </c>
    </row>
    <row r="1227" spans="2:9">
      <c r="B1227" s="11">
        <f t="shared" si="105"/>
        <v>44493</v>
      </c>
      <c r="C1227" s="19">
        <f>MONTH(Tabela6[[#This Row],[Data]])</f>
        <v>10</v>
      </c>
      <c r="D1227" s="19">
        <f>YEAR(Tabela6[[#This Row],[Data]])</f>
        <v>2021</v>
      </c>
      <c r="E1227" s="12" t="s">
        <v>78</v>
      </c>
      <c r="F1227" t="s">
        <v>126</v>
      </c>
      <c r="G1227" s="26">
        <v>8</v>
      </c>
      <c r="I1227" t="str">
        <f>IFERROR(VLOOKUP(Tabela6[[#This Row],[Descrição]],Materiais!B:C,2,0),"")</f>
        <v/>
      </c>
    </row>
    <row r="1228" spans="2:9">
      <c r="B1228" s="11">
        <f t="shared" si="105"/>
        <v>44493</v>
      </c>
      <c r="C1228" s="19">
        <f>MONTH(Tabela6[[#This Row],[Data]])</f>
        <v>10</v>
      </c>
      <c r="D1228" s="19">
        <f>YEAR(Tabela6[[#This Row],[Data]])</f>
        <v>2021</v>
      </c>
      <c r="E1228" s="12" t="s">
        <v>78</v>
      </c>
      <c r="F1228" t="s">
        <v>58</v>
      </c>
      <c r="G1228" s="26">
        <v>2</v>
      </c>
      <c r="I1228" t="str">
        <f>IFERROR(VLOOKUP(Tabela6[[#This Row],[Descrição]],Materiais!B:C,2,0),"")</f>
        <v/>
      </c>
    </row>
    <row r="1229" spans="2:9">
      <c r="B1229" s="11">
        <f t="shared" si="105"/>
        <v>44493</v>
      </c>
      <c r="C1229" s="19">
        <f>MONTH(Tabela6[[#This Row],[Data]])</f>
        <v>10</v>
      </c>
      <c r="D1229" s="19">
        <f>YEAR(Tabela6[[#This Row],[Data]])</f>
        <v>2021</v>
      </c>
      <c r="E1229" s="12" t="s">
        <v>78</v>
      </c>
      <c r="F1229" t="s">
        <v>95</v>
      </c>
      <c r="G1229" s="26">
        <v>2</v>
      </c>
      <c r="I1229" t="str">
        <f>IFERROR(VLOOKUP(Tabela6[[#This Row],[Descrição]],Materiais!B:C,2,0),"")</f>
        <v/>
      </c>
    </row>
    <row r="1230" spans="2:9">
      <c r="B1230" s="11">
        <f t="shared" ref="B1230:B1236" si="106">43034+(365*4)</f>
        <v>44494</v>
      </c>
      <c r="C1230" s="19">
        <f>MONTH(Tabela6[[#This Row],[Data]])</f>
        <v>10</v>
      </c>
      <c r="D1230" s="19">
        <f>YEAR(Tabela6[[#This Row],[Data]])</f>
        <v>2021</v>
      </c>
      <c r="E1230" s="12" t="s">
        <v>78</v>
      </c>
      <c r="F1230" t="s">
        <v>63</v>
      </c>
      <c r="G1230" s="26">
        <v>6</v>
      </c>
      <c r="I1230" t="str">
        <f>IFERROR(VLOOKUP(Tabela6[[#This Row],[Descrição]],Materiais!B:C,2,0),"")</f>
        <v/>
      </c>
    </row>
    <row r="1231" spans="2:9">
      <c r="B1231" s="11">
        <f t="shared" si="106"/>
        <v>44494</v>
      </c>
      <c r="C1231" s="19">
        <f>MONTH(Tabela6[[#This Row],[Data]])</f>
        <v>10</v>
      </c>
      <c r="D1231" s="19">
        <f>YEAR(Tabela6[[#This Row],[Data]])</f>
        <v>2021</v>
      </c>
      <c r="E1231" s="12" t="s">
        <v>78</v>
      </c>
      <c r="F1231" t="s">
        <v>133</v>
      </c>
      <c r="G1231" s="26">
        <v>4</v>
      </c>
      <c r="I1231" t="str">
        <f>IFERROR(VLOOKUP(Tabela6[[#This Row],[Descrição]],Materiais!B:C,2,0),"")</f>
        <v/>
      </c>
    </row>
    <row r="1232" spans="2:9">
      <c r="B1232" s="11">
        <f t="shared" si="106"/>
        <v>44494</v>
      </c>
      <c r="C1232" s="19">
        <f>MONTH(Tabela6[[#This Row],[Data]])</f>
        <v>10</v>
      </c>
      <c r="D1232" s="19">
        <f>YEAR(Tabela6[[#This Row],[Data]])</f>
        <v>2021</v>
      </c>
      <c r="E1232" s="12" t="s">
        <v>78</v>
      </c>
      <c r="F1232" t="s">
        <v>56</v>
      </c>
      <c r="G1232" s="26">
        <v>22</v>
      </c>
      <c r="I1232" t="str">
        <f>IFERROR(VLOOKUP(Tabela6[[#This Row],[Descrição]],Materiais!B:C,2,0),"")</f>
        <v/>
      </c>
    </row>
    <row r="1233" spans="2:9">
      <c r="B1233" s="11">
        <f t="shared" si="106"/>
        <v>44494</v>
      </c>
      <c r="C1233" s="19">
        <f>MONTH(Tabela6[[#This Row],[Data]])</f>
        <v>10</v>
      </c>
      <c r="D1233" s="19">
        <f>YEAR(Tabela6[[#This Row],[Data]])</f>
        <v>2021</v>
      </c>
      <c r="E1233" s="12" t="s">
        <v>78</v>
      </c>
      <c r="F1233" t="s">
        <v>61</v>
      </c>
      <c r="G1233" s="26">
        <v>8</v>
      </c>
      <c r="I1233" t="str">
        <f>IFERROR(VLOOKUP(Tabela6[[#This Row],[Descrição]],Materiais!B:C,2,0),"")</f>
        <v/>
      </c>
    </row>
    <row r="1234" spans="2:9">
      <c r="B1234" s="11">
        <f t="shared" si="106"/>
        <v>44494</v>
      </c>
      <c r="C1234" s="19">
        <f>MONTH(Tabela6[[#This Row],[Data]])</f>
        <v>10</v>
      </c>
      <c r="D1234" s="19">
        <f>YEAR(Tabela6[[#This Row],[Data]])</f>
        <v>2021</v>
      </c>
      <c r="E1234" s="12" t="s">
        <v>75</v>
      </c>
      <c r="F1234" t="s">
        <v>119</v>
      </c>
      <c r="G1234" s="26">
        <v>0</v>
      </c>
      <c r="I1234" t="str">
        <f>IFERROR(VLOOKUP(Tabela6[[#This Row],[Descrição]],Materiais!B:C,2,0),"")</f>
        <v/>
      </c>
    </row>
    <row r="1235" spans="2:9">
      <c r="B1235" s="11">
        <f t="shared" si="106"/>
        <v>44494</v>
      </c>
      <c r="C1235" s="19">
        <f>MONTH(Tabela6[[#This Row],[Data]])</f>
        <v>10</v>
      </c>
      <c r="D1235" s="19">
        <f>YEAR(Tabela6[[#This Row],[Data]])</f>
        <v>2021</v>
      </c>
      <c r="E1235" s="12" t="s">
        <v>78</v>
      </c>
      <c r="F1235" t="s">
        <v>126</v>
      </c>
      <c r="G1235" s="26">
        <v>12</v>
      </c>
      <c r="I1235" t="str">
        <f>IFERROR(VLOOKUP(Tabela6[[#This Row],[Descrição]],Materiais!B:C,2,0),"")</f>
        <v/>
      </c>
    </row>
    <row r="1236" spans="2:9">
      <c r="B1236" s="11">
        <f t="shared" si="106"/>
        <v>44494</v>
      </c>
      <c r="C1236" s="19">
        <f>MONTH(Tabela6[[#This Row],[Data]])</f>
        <v>10</v>
      </c>
      <c r="D1236" s="19">
        <f>YEAR(Tabela6[[#This Row],[Data]])</f>
        <v>2021</v>
      </c>
      <c r="E1236" s="12" t="s">
        <v>78</v>
      </c>
      <c r="F1236" t="s">
        <v>58</v>
      </c>
      <c r="G1236" s="26">
        <v>8</v>
      </c>
      <c r="I1236" t="str">
        <f>IFERROR(VLOOKUP(Tabela6[[#This Row],[Descrição]],Materiais!B:C,2,0),"")</f>
        <v/>
      </c>
    </row>
    <row r="1237" spans="2:9">
      <c r="B1237" s="11">
        <f t="shared" ref="B1237:B1242" si="107">43038+(365*4)</f>
        <v>44498</v>
      </c>
      <c r="C1237" s="19">
        <f>MONTH(Tabela6[[#This Row],[Data]])</f>
        <v>10</v>
      </c>
      <c r="D1237" s="19">
        <f>YEAR(Tabela6[[#This Row],[Data]])</f>
        <v>2021</v>
      </c>
      <c r="E1237" s="12" t="s">
        <v>78</v>
      </c>
      <c r="F1237" t="s">
        <v>56</v>
      </c>
      <c r="G1237" s="26">
        <v>2</v>
      </c>
      <c r="I1237" t="str">
        <f>IFERROR(VLOOKUP(Tabela6[[#This Row],[Descrição]],Materiais!B:C,2,0),"")</f>
        <v/>
      </c>
    </row>
    <row r="1238" spans="2:9">
      <c r="B1238" s="11">
        <f t="shared" si="107"/>
        <v>44498</v>
      </c>
      <c r="C1238" s="19">
        <f>MONTH(Tabela6[[#This Row],[Data]])</f>
        <v>10</v>
      </c>
      <c r="D1238" s="19">
        <f>YEAR(Tabela6[[#This Row],[Data]])</f>
        <v>2021</v>
      </c>
      <c r="E1238" s="12" t="s">
        <v>78</v>
      </c>
      <c r="F1238" t="s">
        <v>61</v>
      </c>
      <c r="G1238" s="26">
        <v>4</v>
      </c>
      <c r="I1238" t="str">
        <f>IFERROR(VLOOKUP(Tabela6[[#This Row],[Descrição]],Materiais!B:C,2,0),"")</f>
        <v/>
      </c>
    </row>
    <row r="1239" spans="2:9">
      <c r="B1239" s="11">
        <f t="shared" si="107"/>
        <v>44498</v>
      </c>
      <c r="C1239" s="19">
        <f>MONTH(Tabela6[[#This Row],[Data]])</f>
        <v>10</v>
      </c>
      <c r="D1239" s="19">
        <f>YEAR(Tabela6[[#This Row],[Data]])</f>
        <v>2021</v>
      </c>
      <c r="E1239" s="12" t="s">
        <v>78</v>
      </c>
      <c r="F1239" t="s">
        <v>126</v>
      </c>
      <c r="G1239" s="26">
        <v>2</v>
      </c>
      <c r="I1239" t="str">
        <f>IFERROR(VLOOKUP(Tabela6[[#This Row],[Descrição]],Materiais!B:C,2,0),"")</f>
        <v/>
      </c>
    </row>
    <row r="1240" spans="2:9">
      <c r="B1240" s="11">
        <f t="shared" si="107"/>
        <v>44498</v>
      </c>
      <c r="C1240" s="19">
        <f>MONTH(Tabela6[[#This Row],[Data]])</f>
        <v>10</v>
      </c>
      <c r="D1240" s="19">
        <f>YEAR(Tabela6[[#This Row],[Data]])</f>
        <v>2021</v>
      </c>
      <c r="E1240" s="12" t="s">
        <v>78</v>
      </c>
      <c r="F1240" t="s">
        <v>109</v>
      </c>
      <c r="G1240" s="26">
        <v>6</v>
      </c>
      <c r="I1240" t="str">
        <f>IFERROR(VLOOKUP(Tabela6[[#This Row],[Descrição]],Materiais!B:C,2,0),"")</f>
        <v/>
      </c>
    </row>
    <row r="1241" spans="2:9">
      <c r="B1241" s="11">
        <f t="shared" si="107"/>
        <v>44498</v>
      </c>
      <c r="C1241" s="19">
        <f>MONTH(Tabela6[[#This Row],[Data]])</f>
        <v>10</v>
      </c>
      <c r="D1241" s="19">
        <f>YEAR(Tabela6[[#This Row],[Data]])</f>
        <v>2021</v>
      </c>
      <c r="E1241" s="12" t="s">
        <v>78</v>
      </c>
      <c r="F1241" t="s">
        <v>58</v>
      </c>
      <c r="G1241" s="26">
        <v>4</v>
      </c>
      <c r="I1241" t="str">
        <f>IFERROR(VLOOKUP(Tabela6[[#This Row],[Descrição]],Materiais!B:C,2,0),"")</f>
        <v/>
      </c>
    </row>
    <row r="1242" spans="2:9">
      <c r="B1242" s="11">
        <f t="shared" si="107"/>
        <v>44498</v>
      </c>
      <c r="C1242" s="19">
        <f>MONTH(Tabela6[[#This Row],[Data]])</f>
        <v>10</v>
      </c>
      <c r="D1242" s="19">
        <f>YEAR(Tabela6[[#This Row],[Data]])</f>
        <v>2021</v>
      </c>
      <c r="E1242" s="12" t="s">
        <v>78</v>
      </c>
      <c r="F1242" t="s">
        <v>117</v>
      </c>
      <c r="G1242" s="26">
        <v>2</v>
      </c>
      <c r="I1242" t="str">
        <f>IFERROR(VLOOKUP(Tabela6[[#This Row],[Descrição]],Materiais!B:C,2,0),"")</f>
        <v/>
      </c>
    </row>
    <row r="1243" spans="2:9">
      <c r="B1243" s="11">
        <f t="shared" ref="B1243:B1249" si="108">43039+(365*4)</f>
        <v>44499</v>
      </c>
      <c r="C1243" s="19">
        <f>MONTH(Tabela6[[#This Row],[Data]])</f>
        <v>10</v>
      </c>
      <c r="D1243" s="19">
        <f>YEAR(Tabela6[[#This Row],[Data]])</f>
        <v>2021</v>
      </c>
      <c r="E1243" s="12" t="s">
        <v>78</v>
      </c>
      <c r="F1243" t="s">
        <v>133</v>
      </c>
      <c r="G1243" s="26">
        <v>2</v>
      </c>
      <c r="I1243" t="str">
        <f>IFERROR(VLOOKUP(Tabela6[[#This Row],[Descrição]],Materiais!B:C,2,0),"")</f>
        <v/>
      </c>
    </row>
    <row r="1244" spans="2:9">
      <c r="B1244" s="11">
        <f t="shared" si="108"/>
        <v>44499</v>
      </c>
      <c r="C1244" s="19">
        <f>MONTH(Tabela6[[#This Row],[Data]])</f>
        <v>10</v>
      </c>
      <c r="D1244" s="19">
        <f>YEAR(Tabela6[[#This Row],[Data]])</f>
        <v>2021</v>
      </c>
      <c r="E1244" s="12" t="s">
        <v>78</v>
      </c>
      <c r="F1244" t="s">
        <v>56</v>
      </c>
      <c r="G1244" s="26">
        <v>4</v>
      </c>
      <c r="I1244" t="str">
        <f>IFERROR(VLOOKUP(Tabela6[[#This Row],[Descrição]],Materiais!B:C,2,0),"")</f>
        <v/>
      </c>
    </row>
    <row r="1245" spans="2:9">
      <c r="B1245" s="11">
        <f t="shared" si="108"/>
        <v>44499</v>
      </c>
      <c r="C1245" s="19">
        <f>MONTH(Tabela6[[#This Row],[Data]])</f>
        <v>10</v>
      </c>
      <c r="D1245" s="19">
        <f>YEAR(Tabela6[[#This Row],[Data]])</f>
        <v>2021</v>
      </c>
      <c r="E1245" s="12" t="s">
        <v>78</v>
      </c>
      <c r="F1245" t="s">
        <v>100</v>
      </c>
      <c r="G1245" s="26">
        <v>4</v>
      </c>
      <c r="I1245" t="str">
        <f>IFERROR(VLOOKUP(Tabela6[[#This Row],[Descrição]],Materiais!B:C,2,0),"")</f>
        <v/>
      </c>
    </row>
    <row r="1246" spans="2:9">
      <c r="B1246" s="11">
        <f t="shared" si="108"/>
        <v>44499</v>
      </c>
      <c r="C1246" s="19">
        <f>MONTH(Tabela6[[#This Row],[Data]])</f>
        <v>10</v>
      </c>
      <c r="D1246" s="19">
        <f>YEAR(Tabela6[[#This Row],[Data]])</f>
        <v>2021</v>
      </c>
      <c r="E1246" s="12" t="s">
        <v>78</v>
      </c>
      <c r="F1246" t="s">
        <v>61</v>
      </c>
      <c r="G1246" s="26">
        <v>6</v>
      </c>
      <c r="I1246" t="str">
        <f>IFERROR(VLOOKUP(Tabela6[[#This Row],[Descrição]],Materiais!B:C,2,0),"")</f>
        <v/>
      </c>
    </row>
    <row r="1247" spans="2:9">
      <c r="B1247" s="11">
        <f t="shared" si="108"/>
        <v>44499</v>
      </c>
      <c r="C1247" s="19">
        <f>MONTH(Tabela6[[#This Row],[Data]])</f>
        <v>10</v>
      </c>
      <c r="D1247" s="19">
        <f>YEAR(Tabela6[[#This Row],[Data]])</f>
        <v>2021</v>
      </c>
      <c r="E1247" s="12" t="s">
        <v>78</v>
      </c>
      <c r="F1247" t="s">
        <v>126</v>
      </c>
      <c r="G1247" s="26">
        <v>2</v>
      </c>
      <c r="I1247" t="str">
        <f>IFERROR(VLOOKUP(Tabela6[[#This Row],[Descrição]],Materiais!B:C,2,0),"")</f>
        <v/>
      </c>
    </row>
    <row r="1248" spans="2:9">
      <c r="B1248" s="11">
        <f t="shared" si="108"/>
        <v>44499</v>
      </c>
      <c r="C1248" s="19">
        <f>MONTH(Tabela6[[#This Row],[Data]])</f>
        <v>10</v>
      </c>
      <c r="D1248" s="19">
        <f>YEAR(Tabela6[[#This Row],[Data]])</f>
        <v>2021</v>
      </c>
      <c r="E1248" s="12" t="s">
        <v>78</v>
      </c>
      <c r="F1248" t="s">
        <v>109</v>
      </c>
      <c r="G1248" s="26">
        <v>2</v>
      </c>
      <c r="I1248" t="str">
        <f>IFERROR(VLOOKUP(Tabela6[[#This Row],[Descrição]],Materiais!B:C,2,0),"")</f>
        <v/>
      </c>
    </row>
    <row r="1249" spans="2:9">
      <c r="B1249" s="11">
        <f t="shared" si="108"/>
        <v>44499</v>
      </c>
      <c r="C1249" s="19">
        <f>MONTH(Tabela6[[#This Row],[Data]])</f>
        <v>10</v>
      </c>
      <c r="D1249" s="19">
        <f>YEAR(Tabela6[[#This Row],[Data]])</f>
        <v>2021</v>
      </c>
      <c r="E1249" s="12" t="s">
        <v>78</v>
      </c>
      <c r="F1249" t="s">
        <v>58</v>
      </c>
      <c r="G1249" s="26">
        <v>4</v>
      </c>
      <c r="I1249" t="str">
        <f>IFERROR(VLOOKUP(Tabela6[[#This Row],[Descrição]],Materiais!B:C,2,0),"")</f>
        <v/>
      </c>
    </row>
    <row r="1250" spans="2:9">
      <c r="B1250" s="11">
        <f t="shared" ref="B1250:B1256" si="109">43040+(365*4)</f>
        <v>44500</v>
      </c>
      <c r="C1250" s="19">
        <f>MONTH(Tabela6[[#This Row],[Data]])</f>
        <v>10</v>
      </c>
      <c r="D1250" s="19">
        <f>YEAR(Tabela6[[#This Row],[Data]])</f>
        <v>2021</v>
      </c>
      <c r="E1250" s="12" t="s">
        <v>78</v>
      </c>
      <c r="F1250" t="s">
        <v>133</v>
      </c>
      <c r="G1250" s="26">
        <v>4</v>
      </c>
      <c r="I1250" t="str">
        <f>IFERROR(VLOOKUP(Tabela6[[#This Row],[Descrição]],Materiais!B:C,2,0),"")</f>
        <v/>
      </c>
    </row>
    <row r="1251" spans="2:9">
      <c r="B1251" s="11">
        <f t="shared" si="109"/>
        <v>44500</v>
      </c>
      <c r="C1251" s="19">
        <f>MONTH(Tabela6[[#This Row],[Data]])</f>
        <v>10</v>
      </c>
      <c r="D1251" s="19">
        <f>YEAR(Tabela6[[#This Row],[Data]])</f>
        <v>2021</v>
      </c>
      <c r="E1251" s="12" t="s">
        <v>78</v>
      </c>
      <c r="F1251" t="s">
        <v>56</v>
      </c>
      <c r="G1251" s="26">
        <v>12</v>
      </c>
      <c r="I1251" t="str">
        <f>IFERROR(VLOOKUP(Tabela6[[#This Row],[Descrição]],Materiais!B:C,2,0),"")</f>
        <v/>
      </c>
    </row>
    <row r="1252" spans="2:9">
      <c r="B1252" s="11">
        <f t="shared" si="109"/>
        <v>44500</v>
      </c>
      <c r="C1252" s="19">
        <f>MONTH(Tabela6[[#This Row],[Data]])</f>
        <v>10</v>
      </c>
      <c r="D1252" s="19">
        <f>YEAR(Tabela6[[#This Row],[Data]])</f>
        <v>2021</v>
      </c>
      <c r="E1252" s="12" t="s">
        <v>78</v>
      </c>
      <c r="F1252" t="s">
        <v>100</v>
      </c>
      <c r="G1252" s="26">
        <v>2</v>
      </c>
      <c r="I1252" t="str">
        <f>IFERROR(VLOOKUP(Tabela6[[#This Row],[Descrição]],Materiais!B:C,2,0),"")</f>
        <v/>
      </c>
    </row>
    <row r="1253" spans="2:9">
      <c r="B1253" s="11">
        <f t="shared" si="109"/>
        <v>44500</v>
      </c>
      <c r="C1253" s="19">
        <f>MONTH(Tabela6[[#This Row],[Data]])</f>
        <v>10</v>
      </c>
      <c r="D1253" s="19">
        <f>YEAR(Tabela6[[#This Row],[Data]])</f>
        <v>2021</v>
      </c>
      <c r="E1253" s="12" t="s">
        <v>78</v>
      </c>
      <c r="F1253" t="s">
        <v>61</v>
      </c>
      <c r="G1253" s="26" t="s">
        <v>141</v>
      </c>
      <c r="I1253" t="str">
        <f>IFERROR(VLOOKUP(Tabela6[[#This Row],[Descrição]],Materiais!B:C,2,0),"")</f>
        <v/>
      </c>
    </row>
    <row r="1254" spans="2:9">
      <c r="B1254" s="11">
        <f t="shared" si="109"/>
        <v>44500</v>
      </c>
      <c r="C1254" s="19">
        <f>MONTH(Tabela6[[#This Row],[Data]])</f>
        <v>10</v>
      </c>
      <c r="D1254" s="19">
        <f>YEAR(Tabela6[[#This Row],[Data]])</f>
        <v>2021</v>
      </c>
      <c r="E1254" s="12" t="s">
        <v>78</v>
      </c>
      <c r="F1254" t="s">
        <v>126</v>
      </c>
      <c r="G1254" s="26">
        <v>6</v>
      </c>
      <c r="I1254" t="str">
        <f>IFERROR(VLOOKUP(Tabela6[[#This Row],[Descrição]],Materiais!B:C,2,0),"")</f>
        <v/>
      </c>
    </row>
    <row r="1255" spans="2:9">
      <c r="B1255" s="11">
        <f t="shared" si="109"/>
        <v>44500</v>
      </c>
      <c r="C1255" s="19">
        <f>MONTH(Tabela6[[#This Row],[Data]])</f>
        <v>10</v>
      </c>
      <c r="D1255" s="19">
        <f>YEAR(Tabela6[[#This Row],[Data]])</f>
        <v>2021</v>
      </c>
      <c r="E1255" s="12" t="s">
        <v>78</v>
      </c>
      <c r="F1255" t="s">
        <v>58</v>
      </c>
      <c r="G1255" s="26">
        <v>2</v>
      </c>
      <c r="I1255" t="str">
        <f>IFERROR(VLOOKUP(Tabela6[[#This Row],[Descrição]],Materiais!B:C,2,0),"")</f>
        <v/>
      </c>
    </row>
    <row r="1256" spans="2:9">
      <c r="B1256" s="11">
        <f t="shared" si="109"/>
        <v>44500</v>
      </c>
      <c r="C1256" s="19">
        <f>MONTH(Tabela6[[#This Row],[Data]])</f>
        <v>10</v>
      </c>
      <c r="D1256" s="19">
        <f>YEAR(Tabela6[[#This Row],[Data]])</f>
        <v>2021</v>
      </c>
      <c r="E1256" s="12" t="s">
        <v>78</v>
      </c>
      <c r="F1256" t="s">
        <v>95</v>
      </c>
      <c r="G1256" s="26">
        <v>4</v>
      </c>
      <c r="I1256" t="str">
        <f>IFERROR(VLOOKUP(Tabela6[[#This Row],[Descrição]],Materiais!B:C,2,0),"")</f>
        <v/>
      </c>
    </row>
    <row r="1257" spans="2:9">
      <c r="B1257" s="11">
        <f>43042+(365*4)</f>
        <v>44502</v>
      </c>
      <c r="C1257" s="19">
        <f>MONTH(Tabela6[[#This Row],[Data]])</f>
        <v>11</v>
      </c>
      <c r="D1257" s="19">
        <f>YEAR(Tabela6[[#This Row],[Data]])</f>
        <v>2021</v>
      </c>
      <c r="E1257" s="12" t="s">
        <v>72</v>
      </c>
      <c r="F1257" t="s">
        <v>17</v>
      </c>
      <c r="G1257" s="26">
        <v>-11.94</v>
      </c>
      <c r="I1257" t="str">
        <f>IFERROR(VLOOKUP(Tabela6[[#This Row],[Descrição]],Materiais!B:C,2,0),"")</f>
        <v>g</v>
      </c>
    </row>
    <row r="1258" spans="2:9">
      <c r="B1258" s="11">
        <f>43042+(365*4)</f>
        <v>44502</v>
      </c>
      <c r="C1258" s="19">
        <f>MONTH(Tabela6[[#This Row],[Data]])</f>
        <v>11</v>
      </c>
      <c r="D1258" s="19">
        <f>YEAR(Tabela6[[#This Row],[Data]])</f>
        <v>2021</v>
      </c>
      <c r="E1258" s="12" t="s">
        <v>72</v>
      </c>
      <c r="F1258" t="s">
        <v>20</v>
      </c>
      <c r="G1258" s="26">
        <v>-19.950000000000003</v>
      </c>
      <c r="I1258" t="str">
        <f>IFERROR(VLOOKUP(Tabela6[[#This Row],[Descrição]],Materiais!B:C,2,0),"")</f>
        <v>g</v>
      </c>
    </row>
    <row r="1259" spans="2:9">
      <c r="B1259" s="11">
        <f>43042+(365*4)</f>
        <v>44502</v>
      </c>
      <c r="C1259" s="19">
        <f>MONTH(Tabela6[[#This Row],[Data]])</f>
        <v>11</v>
      </c>
      <c r="D1259" s="19">
        <f>YEAR(Tabela6[[#This Row],[Data]])</f>
        <v>2021</v>
      </c>
      <c r="E1259" s="12" t="s">
        <v>72</v>
      </c>
      <c r="F1259" t="s">
        <v>132</v>
      </c>
      <c r="G1259" s="26">
        <v>-7.99</v>
      </c>
      <c r="I1259" t="str">
        <f>IFERROR(VLOOKUP(Tabela6[[#This Row],[Descrição]],Materiais!B:C,2,0),"")</f>
        <v/>
      </c>
    </row>
    <row r="1260" spans="2:9">
      <c r="B1260" s="11">
        <f>43042+(365*4)</f>
        <v>44502</v>
      </c>
      <c r="C1260" s="19">
        <f>MONTH(Tabela6[[#This Row],[Data]])</f>
        <v>11</v>
      </c>
      <c r="D1260" s="19">
        <f>YEAR(Tabela6[[#This Row],[Data]])</f>
        <v>2021</v>
      </c>
      <c r="E1260" s="12" t="s">
        <v>72</v>
      </c>
      <c r="F1260" t="s">
        <v>21</v>
      </c>
      <c r="G1260" s="26">
        <v>-1.34</v>
      </c>
      <c r="I1260" t="str">
        <f>IFERROR(VLOOKUP(Tabela6[[#This Row],[Descrição]],Materiais!B:C,2,0),"")</f>
        <v>g</v>
      </c>
    </row>
    <row r="1261" spans="2:9">
      <c r="B1261" s="11">
        <f>43042+(365*4)</f>
        <v>44502</v>
      </c>
      <c r="C1261" s="19">
        <f>MONTH(Tabela6[[#This Row],[Data]])</f>
        <v>11</v>
      </c>
      <c r="D1261" s="19">
        <f>YEAR(Tabela6[[#This Row],[Data]])</f>
        <v>2021</v>
      </c>
      <c r="E1261" s="12" t="s">
        <v>72</v>
      </c>
      <c r="F1261" t="s">
        <v>82</v>
      </c>
      <c r="G1261" s="26">
        <v>-7.25</v>
      </c>
      <c r="I1261" t="str">
        <f>IFERROR(VLOOKUP(Tabela6[[#This Row],[Descrição]],Materiais!B:C,2,0),"")</f>
        <v/>
      </c>
    </row>
    <row r="1262" spans="2:9">
      <c r="B1262" s="11">
        <f>43043+(365*4)</f>
        <v>44503</v>
      </c>
      <c r="C1262" s="19">
        <f>MONTH(Tabela6[[#This Row],[Data]])</f>
        <v>11</v>
      </c>
      <c r="D1262" s="19">
        <f>YEAR(Tabela6[[#This Row],[Data]])</f>
        <v>2021</v>
      </c>
      <c r="E1262" s="12" t="s">
        <v>72</v>
      </c>
      <c r="F1262" t="s">
        <v>74</v>
      </c>
      <c r="G1262" s="26">
        <v>-52.9</v>
      </c>
      <c r="I1262" t="str">
        <f>IFERROR(VLOOKUP(Tabela6[[#This Row],[Descrição]],Materiais!B:C,2,0),"")</f>
        <v/>
      </c>
    </row>
    <row r="1263" spans="2:9">
      <c r="B1263" s="11">
        <f>43043+(365*4)</f>
        <v>44503</v>
      </c>
      <c r="C1263" s="19">
        <f>MONTH(Tabela6[[#This Row],[Data]])</f>
        <v>11</v>
      </c>
      <c r="D1263" s="19">
        <f>YEAR(Tabela6[[#This Row],[Data]])</f>
        <v>2021</v>
      </c>
      <c r="E1263" s="12" t="s">
        <v>72</v>
      </c>
      <c r="F1263" t="s">
        <v>131</v>
      </c>
      <c r="G1263" s="26">
        <v>-6.7</v>
      </c>
      <c r="I1263" t="str">
        <f>IFERROR(VLOOKUP(Tabela6[[#This Row],[Descrição]],Materiais!B:C,2,0),"")</f>
        <v/>
      </c>
    </row>
    <row r="1264" spans="2:9">
      <c r="B1264" s="11">
        <f>43043+(365*4)</f>
        <v>44503</v>
      </c>
      <c r="C1264" s="19">
        <f>MONTH(Tabela6[[#This Row],[Data]])</f>
        <v>11</v>
      </c>
      <c r="D1264" s="19">
        <f>YEAR(Tabela6[[#This Row],[Data]])</f>
        <v>2021</v>
      </c>
      <c r="E1264" s="12" t="s">
        <v>72</v>
      </c>
      <c r="F1264" t="s">
        <v>16</v>
      </c>
      <c r="G1264" s="26">
        <v>-26.5</v>
      </c>
      <c r="I1264" t="str">
        <f>IFERROR(VLOOKUP(Tabela6[[#This Row],[Descrição]],Materiais!B:C,2,0),"")</f>
        <v>g</v>
      </c>
    </row>
    <row r="1265" spans="2:9">
      <c r="B1265" s="11">
        <f>43043+(365*4)</f>
        <v>44503</v>
      </c>
      <c r="C1265" s="19">
        <f>MONTH(Tabela6[[#This Row],[Data]])</f>
        <v>11</v>
      </c>
      <c r="D1265" s="19">
        <f>YEAR(Tabela6[[#This Row],[Data]])</f>
        <v>2021</v>
      </c>
      <c r="E1265" s="12" t="s">
        <v>75</v>
      </c>
      <c r="F1265" t="s">
        <v>76</v>
      </c>
      <c r="G1265" s="26">
        <v>-16.5</v>
      </c>
      <c r="I1265" t="str">
        <f>IFERROR(VLOOKUP(Tabela6[[#This Row],[Descrição]],Materiais!B:C,2,0),"")</f>
        <v/>
      </c>
    </row>
    <row r="1266" spans="2:9">
      <c r="B1266" s="11">
        <f>43043+(365*4)</f>
        <v>44503</v>
      </c>
      <c r="C1266" s="19">
        <f>MONTH(Tabela6[[#This Row],[Data]])</f>
        <v>11</v>
      </c>
      <c r="D1266" s="19">
        <f>YEAR(Tabela6[[#This Row],[Data]])</f>
        <v>2021</v>
      </c>
      <c r="E1266" s="12" t="s">
        <v>72</v>
      </c>
      <c r="F1266" t="s">
        <v>77</v>
      </c>
      <c r="G1266" s="26">
        <v>-17.2</v>
      </c>
      <c r="I1266" t="str">
        <f>IFERROR(VLOOKUP(Tabela6[[#This Row],[Descrição]],Materiais!B:C,2,0),"")</f>
        <v/>
      </c>
    </row>
    <row r="1267" spans="2:9">
      <c r="B1267" s="11">
        <f>43044+(365*4)</f>
        <v>44504</v>
      </c>
      <c r="C1267" s="19">
        <f>MONTH(Tabela6[[#This Row],[Data]])</f>
        <v>11</v>
      </c>
      <c r="D1267" s="19">
        <f>YEAR(Tabela6[[#This Row],[Data]])</f>
        <v>2021</v>
      </c>
      <c r="E1267" s="12" t="s">
        <v>78</v>
      </c>
      <c r="F1267" t="s">
        <v>56</v>
      </c>
      <c r="G1267" s="26">
        <v>35</v>
      </c>
      <c r="I1267" t="str">
        <f>IFERROR(VLOOKUP(Tabela6[[#This Row],[Descrição]],Materiais!B:C,2,0),"")</f>
        <v/>
      </c>
    </row>
    <row r="1268" spans="2:9">
      <c r="B1268" s="11">
        <f t="shared" ref="B1268:B1275" si="110">43045+(365*4)</f>
        <v>44505</v>
      </c>
      <c r="C1268" s="19">
        <f>MONTH(Tabela6[[#This Row],[Data]])</f>
        <v>11</v>
      </c>
      <c r="D1268" s="19">
        <f>YEAR(Tabela6[[#This Row],[Data]])</f>
        <v>2021</v>
      </c>
      <c r="E1268" s="12" t="s">
        <v>78</v>
      </c>
      <c r="F1268" t="s">
        <v>63</v>
      </c>
      <c r="G1268" s="26">
        <v>2</v>
      </c>
      <c r="I1268" t="str">
        <f>IFERROR(VLOOKUP(Tabela6[[#This Row],[Descrição]],Materiais!B:C,2,0),"")</f>
        <v/>
      </c>
    </row>
    <row r="1269" spans="2:9">
      <c r="B1269" s="11">
        <f t="shared" si="110"/>
        <v>44505</v>
      </c>
      <c r="C1269" s="19">
        <f>MONTH(Tabela6[[#This Row],[Data]])</f>
        <v>11</v>
      </c>
      <c r="D1269" s="19">
        <f>YEAR(Tabela6[[#This Row],[Data]])</f>
        <v>2021</v>
      </c>
      <c r="E1269" s="12" t="s">
        <v>78</v>
      </c>
      <c r="F1269" t="s">
        <v>56</v>
      </c>
      <c r="G1269" s="26">
        <v>6</v>
      </c>
      <c r="I1269" t="str">
        <f>IFERROR(VLOOKUP(Tabela6[[#This Row],[Descrição]],Materiais!B:C,2,0),"")</f>
        <v/>
      </c>
    </row>
    <row r="1270" spans="2:9">
      <c r="B1270" s="11">
        <f t="shared" si="110"/>
        <v>44505</v>
      </c>
      <c r="C1270" s="19">
        <f>MONTH(Tabela6[[#This Row],[Data]])</f>
        <v>11</v>
      </c>
      <c r="D1270" s="19">
        <f>YEAR(Tabela6[[#This Row],[Data]])</f>
        <v>2021</v>
      </c>
      <c r="E1270" s="12" t="s">
        <v>75</v>
      </c>
      <c r="F1270" t="s">
        <v>135</v>
      </c>
      <c r="G1270" s="26">
        <v>-8</v>
      </c>
      <c r="I1270" t="str">
        <f>IFERROR(VLOOKUP(Tabela6[[#This Row],[Descrição]],Materiais!B:C,2,0),"")</f>
        <v/>
      </c>
    </row>
    <row r="1271" spans="2:9">
      <c r="B1271" s="11">
        <f t="shared" si="110"/>
        <v>44505</v>
      </c>
      <c r="C1271" s="19">
        <f>MONTH(Tabela6[[#This Row],[Data]])</f>
        <v>11</v>
      </c>
      <c r="D1271" s="19">
        <f>YEAR(Tabela6[[#This Row],[Data]])</f>
        <v>2021</v>
      </c>
      <c r="E1271" s="12" t="s">
        <v>78</v>
      </c>
      <c r="F1271" t="s">
        <v>61</v>
      </c>
      <c r="G1271" s="26">
        <v>4</v>
      </c>
      <c r="I1271" t="str">
        <f>IFERROR(VLOOKUP(Tabela6[[#This Row],[Descrição]],Materiais!B:C,2,0),"")</f>
        <v/>
      </c>
    </row>
    <row r="1272" spans="2:9">
      <c r="B1272" s="11">
        <f t="shared" si="110"/>
        <v>44505</v>
      </c>
      <c r="C1272" s="19">
        <f>MONTH(Tabela6[[#This Row],[Data]])</f>
        <v>11</v>
      </c>
      <c r="D1272" s="19">
        <f>YEAR(Tabela6[[#This Row],[Data]])</f>
        <v>2021</v>
      </c>
      <c r="E1272" s="12" t="s">
        <v>78</v>
      </c>
      <c r="F1272" t="s">
        <v>142</v>
      </c>
      <c r="G1272" s="26">
        <v>4</v>
      </c>
      <c r="I1272" t="str">
        <f>IFERROR(VLOOKUP(Tabela6[[#This Row],[Descrição]],Materiais!B:C,2,0),"")</f>
        <v/>
      </c>
    </row>
    <row r="1273" spans="2:9">
      <c r="B1273" s="11">
        <f t="shared" si="110"/>
        <v>44505</v>
      </c>
      <c r="C1273" s="19">
        <f>MONTH(Tabela6[[#This Row],[Data]])</f>
        <v>11</v>
      </c>
      <c r="D1273" s="19">
        <f>YEAR(Tabela6[[#This Row],[Data]])</f>
        <v>2021</v>
      </c>
      <c r="E1273" s="12" t="s">
        <v>78</v>
      </c>
      <c r="F1273" t="s">
        <v>109</v>
      </c>
      <c r="G1273" s="26">
        <v>2</v>
      </c>
      <c r="I1273" t="str">
        <f>IFERROR(VLOOKUP(Tabela6[[#This Row],[Descrição]],Materiais!B:C,2,0),"")</f>
        <v/>
      </c>
    </row>
    <row r="1274" spans="2:9">
      <c r="B1274" s="11">
        <f t="shared" si="110"/>
        <v>44505</v>
      </c>
      <c r="C1274" s="19">
        <f>MONTH(Tabela6[[#This Row],[Data]])</f>
        <v>11</v>
      </c>
      <c r="D1274" s="19">
        <f>YEAR(Tabela6[[#This Row],[Data]])</f>
        <v>2021</v>
      </c>
      <c r="E1274" s="12" t="s">
        <v>78</v>
      </c>
      <c r="F1274" t="s">
        <v>58</v>
      </c>
      <c r="G1274" s="26">
        <v>2</v>
      </c>
      <c r="I1274" t="str">
        <f>IFERROR(VLOOKUP(Tabela6[[#This Row],[Descrição]],Materiais!B:C,2,0),"")</f>
        <v/>
      </c>
    </row>
    <row r="1275" spans="2:9">
      <c r="B1275" s="11">
        <f t="shared" si="110"/>
        <v>44505</v>
      </c>
      <c r="C1275" s="19">
        <f>MONTH(Tabela6[[#This Row],[Data]])</f>
        <v>11</v>
      </c>
      <c r="D1275" s="19">
        <f>YEAR(Tabela6[[#This Row],[Data]])</f>
        <v>2021</v>
      </c>
      <c r="E1275" s="12" t="s">
        <v>78</v>
      </c>
      <c r="F1275" t="s">
        <v>95</v>
      </c>
      <c r="G1275" s="26">
        <v>2</v>
      </c>
      <c r="I1275" t="str">
        <f>IFERROR(VLOOKUP(Tabela6[[#This Row],[Descrição]],Materiais!B:C,2,0),"")</f>
        <v/>
      </c>
    </row>
    <row r="1276" spans="2:9">
      <c r="B1276" s="11">
        <f t="shared" ref="B1276:B1285" si="111">43046+(365*4)</f>
        <v>44506</v>
      </c>
      <c r="C1276" s="19">
        <f>MONTH(Tabela6[[#This Row],[Data]])</f>
        <v>11</v>
      </c>
      <c r="D1276" s="19">
        <f>YEAR(Tabela6[[#This Row],[Data]])</f>
        <v>2021</v>
      </c>
      <c r="E1276" s="12" t="s">
        <v>78</v>
      </c>
      <c r="F1276" t="s">
        <v>63</v>
      </c>
      <c r="G1276" s="26">
        <v>2</v>
      </c>
      <c r="I1276" t="str">
        <f>IFERROR(VLOOKUP(Tabela6[[#This Row],[Descrição]],Materiais!B:C,2,0),"")</f>
        <v/>
      </c>
    </row>
    <row r="1277" spans="2:9">
      <c r="B1277" s="11">
        <f t="shared" si="111"/>
        <v>44506</v>
      </c>
      <c r="C1277" s="19">
        <f>MONTH(Tabela6[[#This Row],[Data]])</f>
        <v>11</v>
      </c>
      <c r="D1277" s="19">
        <f>YEAR(Tabela6[[#This Row],[Data]])</f>
        <v>2021</v>
      </c>
      <c r="E1277" s="12" t="s">
        <v>78</v>
      </c>
      <c r="F1277" t="s">
        <v>133</v>
      </c>
      <c r="G1277" s="26">
        <v>4</v>
      </c>
      <c r="I1277" t="str">
        <f>IFERROR(VLOOKUP(Tabela6[[#This Row],[Descrição]],Materiais!B:C,2,0),"")</f>
        <v/>
      </c>
    </row>
    <row r="1278" spans="2:9">
      <c r="B1278" s="11">
        <f t="shared" si="111"/>
        <v>44506</v>
      </c>
      <c r="C1278" s="19">
        <f>MONTH(Tabela6[[#This Row],[Data]])</f>
        <v>11</v>
      </c>
      <c r="D1278" s="19">
        <f>YEAR(Tabela6[[#This Row],[Data]])</f>
        <v>2021</v>
      </c>
      <c r="E1278" s="12" t="s">
        <v>78</v>
      </c>
      <c r="F1278" t="s">
        <v>56</v>
      </c>
      <c r="G1278" s="26">
        <v>8</v>
      </c>
      <c r="I1278" t="str">
        <f>IFERROR(VLOOKUP(Tabela6[[#This Row],[Descrição]],Materiais!B:C,2,0),"")</f>
        <v/>
      </c>
    </row>
    <row r="1279" spans="2:9">
      <c r="B1279" s="11">
        <f t="shared" si="111"/>
        <v>44506</v>
      </c>
      <c r="C1279" s="19">
        <f>MONTH(Tabela6[[#This Row],[Data]])</f>
        <v>11</v>
      </c>
      <c r="D1279" s="19">
        <f>YEAR(Tabela6[[#This Row],[Data]])</f>
        <v>2021</v>
      </c>
      <c r="E1279" s="12" t="s">
        <v>78</v>
      </c>
      <c r="F1279" t="s">
        <v>100</v>
      </c>
      <c r="G1279" s="26">
        <v>2</v>
      </c>
      <c r="I1279" t="str">
        <f>IFERROR(VLOOKUP(Tabela6[[#This Row],[Descrição]],Materiais!B:C,2,0),"")</f>
        <v/>
      </c>
    </row>
    <row r="1280" spans="2:9">
      <c r="B1280" s="11">
        <f t="shared" si="111"/>
        <v>44506</v>
      </c>
      <c r="C1280" s="19">
        <f>MONTH(Tabela6[[#This Row],[Data]])</f>
        <v>11</v>
      </c>
      <c r="D1280" s="19">
        <f>YEAR(Tabela6[[#This Row],[Data]])</f>
        <v>2021</v>
      </c>
      <c r="E1280" s="12" t="s">
        <v>78</v>
      </c>
      <c r="F1280" t="s">
        <v>61</v>
      </c>
      <c r="G1280" s="26">
        <v>6</v>
      </c>
      <c r="I1280" t="str">
        <f>IFERROR(VLOOKUP(Tabela6[[#This Row],[Descrição]],Materiais!B:C,2,0),"")</f>
        <v/>
      </c>
    </row>
    <row r="1281" spans="2:9">
      <c r="B1281" s="11">
        <f t="shared" si="111"/>
        <v>44506</v>
      </c>
      <c r="C1281" s="19">
        <f>MONTH(Tabela6[[#This Row],[Data]])</f>
        <v>11</v>
      </c>
      <c r="D1281" s="19">
        <f>YEAR(Tabela6[[#This Row],[Data]])</f>
        <v>2021</v>
      </c>
      <c r="E1281" s="12" t="s">
        <v>78</v>
      </c>
      <c r="F1281" t="s">
        <v>126</v>
      </c>
      <c r="G1281" s="26">
        <v>4</v>
      </c>
      <c r="I1281" t="str">
        <f>IFERROR(VLOOKUP(Tabela6[[#This Row],[Descrição]],Materiais!B:C,2,0),"")</f>
        <v/>
      </c>
    </row>
    <row r="1282" spans="2:9">
      <c r="B1282" s="11">
        <f t="shared" si="111"/>
        <v>44506</v>
      </c>
      <c r="C1282" s="19">
        <f>MONTH(Tabela6[[#This Row],[Data]])</f>
        <v>11</v>
      </c>
      <c r="D1282" s="19">
        <f>YEAR(Tabela6[[#This Row],[Data]])</f>
        <v>2021</v>
      </c>
      <c r="E1282" s="12" t="s">
        <v>78</v>
      </c>
      <c r="F1282" t="s">
        <v>142</v>
      </c>
      <c r="G1282" s="26">
        <v>2</v>
      </c>
      <c r="I1282" t="str">
        <f>IFERROR(VLOOKUP(Tabela6[[#This Row],[Descrição]],Materiais!B:C,2,0),"")</f>
        <v/>
      </c>
    </row>
    <row r="1283" spans="2:9">
      <c r="B1283" s="11">
        <f t="shared" si="111"/>
        <v>44506</v>
      </c>
      <c r="C1283" s="19">
        <f>MONTH(Tabela6[[#This Row],[Data]])</f>
        <v>11</v>
      </c>
      <c r="D1283" s="19">
        <f>YEAR(Tabela6[[#This Row],[Data]])</f>
        <v>2021</v>
      </c>
      <c r="E1283" s="12" t="s">
        <v>78</v>
      </c>
      <c r="F1283" t="s">
        <v>109</v>
      </c>
      <c r="G1283" s="26">
        <v>2</v>
      </c>
      <c r="I1283" t="str">
        <f>IFERROR(VLOOKUP(Tabela6[[#This Row],[Descrição]],Materiais!B:C,2,0),"")</f>
        <v/>
      </c>
    </row>
    <row r="1284" spans="2:9">
      <c r="B1284" s="11">
        <f t="shared" si="111"/>
        <v>44506</v>
      </c>
      <c r="C1284" s="19">
        <f>MONTH(Tabela6[[#This Row],[Data]])</f>
        <v>11</v>
      </c>
      <c r="D1284" s="19">
        <f>YEAR(Tabela6[[#This Row],[Data]])</f>
        <v>2021</v>
      </c>
      <c r="E1284" s="12" t="s">
        <v>78</v>
      </c>
      <c r="F1284" t="s">
        <v>58</v>
      </c>
      <c r="G1284" s="26">
        <v>6</v>
      </c>
      <c r="I1284" t="str">
        <f>IFERROR(VLOOKUP(Tabela6[[#This Row],[Descrição]],Materiais!B:C,2,0),"")</f>
        <v/>
      </c>
    </row>
    <row r="1285" spans="2:9">
      <c r="B1285" s="11">
        <f t="shared" si="111"/>
        <v>44506</v>
      </c>
      <c r="C1285" s="19">
        <f>MONTH(Tabela6[[#This Row],[Data]])</f>
        <v>11</v>
      </c>
      <c r="D1285" s="19">
        <f>YEAR(Tabela6[[#This Row],[Data]])</f>
        <v>2021</v>
      </c>
      <c r="E1285" s="12" t="s">
        <v>78</v>
      </c>
      <c r="F1285" t="s">
        <v>117</v>
      </c>
      <c r="G1285" s="26">
        <v>2</v>
      </c>
      <c r="I1285" t="str">
        <f>IFERROR(VLOOKUP(Tabela6[[#This Row],[Descrição]],Materiais!B:C,2,0),"")</f>
        <v/>
      </c>
    </row>
    <row r="1286" spans="2:9">
      <c r="B1286" s="11">
        <f t="shared" ref="B1286:B1295" si="112">43047+(365*4)</f>
        <v>44507</v>
      </c>
      <c r="C1286" s="19">
        <f>MONTH(Tabela6[[#This Row],[Data]])</f>
        <v>11</v>
      </c>
      <c r="D1286" s="19">
        <f>YEAR(Tabela6[[#This Row],[Data]])</f>
        <v>2021</v>
      </c>
      <c r="E1286" s="12" t="s">
        <v>78</v>
      </c>
      <c r="F1286" t="s">
        <v>56</v>
      </c>
      <c r="G1286" s="26">
        <v>2</v>
      </c>
      <c r="I1286" t="str">
        <f>IFERROR(VLOOKUP(Tabela6[[#This Row],[Descrição]],Materiais!B:C,2,0),"")</f>
        <v/>
      </c>
    </row>
    <row r="1287" spans="2:9">
      <c r="B1287" s="11">
        <f t="shared" si="112"/>
        <v>44507</v>
      </c>
      <c r="C1287" s="19">
        <f>MONTH(Tabela6[[#This Row],[Data]])</f>
        <v>11</v>
      </c>
      <c r="D1287" s="19">
        <f>YEAR(Tabela6[[#This Row],[Data]])</f>
        <v>2021</v>
      </c>
      <c r="E1287" s="12" t="s">
        <v>78</v>
      </c>
      <c r="F1287" t="s">
        <v>56</v>
      </c>
      <c r="G1287" s="26">
        <v>8</v>
      </c>
      <c r="I1287" t="str">
        <f>IFERROR(VLOOKUP(Tabela6[[#This Row],[Descrição]],Materiais!B:C,2,0),"")</f>
        <v/>
      </c>
    </row>
    <row r="1288" spans="2:9">
      <c r="B1288" s="11">
        <f t="shared" si="112"/>
        <v>44507</v>
      </c>
      <c r="C1288" s="19">
        <f>MONTH(Tabela6[[#This Row],[Data]])</f>
        <v>11</v>
      </c>
      <c r="D1288" s="19">
        <f>YEAR(Tabela6[[#This Row],[Data]])</f>
        <v>2021</v>
      </c>
      <c r="E1288" s="12" t="s">
        <v>78</v>
      </c>
      <c r="F1288" t="s">
        <v>100</v>
      </c>
      <c r="G1288" s="26">
        <v>2</v>
      </c>
      <c r="I1288" t="str">
        <f>IFERROR(VLOOKUP(Tabela6[[#This Row],[Descrição]],Materiais!B:C,2,0),"")</f>
        <v/>
      </c>
    </row>
    <row r="1289" spans="2:9">
      <c r="B1289" s="11">
        <f t="shared" si="112"/>
        <v>44507</v>
      </c>
      <c r="C1289" s="19">
        <f>MONTH(Tabela6[[#This Row],[Data]])</f>
        <v>11</v>
      </c>
      <c r="D1289" s="19">
        <f>YEAR(Tabela6[[#This Row],[Data]])</f>
        <v>2021</v>
      </c>
      <c r="E1289" s="12" t="s">
        <v>78</v>
      </c>
      <c r="F1289" t="s">
        <v>61</v>
      </c>
      <c r="G1289" s="26">
        <v>6</v>
      </c>
      <c r="I1289" t="str">
        <f>IFERROR(VLOOKUP(Tabela6[[#This Row],[Descrição]],Materiais!B:C,2,0),"")</f>
        <v/>
      </c>
    </row>
    <row r="1290" spans="2:9">
      <c r="B1290" s="11">
        <f t="shared" si="112"/>
        <v>44507</v>
      </c>
      <c r="C1290" s="19">
        <f>MONTH(Tabela6[[#This Row],[Data]])</f>
        <v>11</v>
      </c>
      <c r="D1290" s="19">
        <f>YEAR(Tabela6[[#This Row],[Data]])</f>
        <v>2021</v>
      </c>
      <c r="E1290" s="12" t="s">
        <v>78</v>
      </c>
      <c r="F1290" t="s">
        <v>126</v>
      </c>
      <c r="G1290" s="26">
        <v>6</v>
      </c>
      <c r="I1290" t="str">
        <f>IFERROR(VLOOKUP(Tabela6[[#This Row],[Descrição]],Materiais!B:C,2,0),"")</f>
        <v/>
      </c>
    </row>
    <row r="1291" spans="2:9">
      <c r="B1291" s="11">
        <f t="shared" si="112"/>
        <v>44507</v>
      </c>
      <c r="C1291" s="19">
        <f>MONTH(Tabela6[[#This Row],[Data]])</f>
        <v>11</v>
      </c>
      <c r="D1291" s="19">
        <f>YEAR(Tabela6[[#This Row],[Data]])</f>
        <v>2021</v>
      </c>
      <c r="E1291" s="12" t="s">
        <v>78</v>
      </c>
      <c r="F1291" t="s">
        <v>142</v>
      </c>
      <c r="G1291" s="26">
        <v>4</v>
      </c>
      <c r="I1291" t="str">
        <f>IFERROR(VLOOKUP(Tabela6[[#This Row],[Descrição]],Materiais!B:C,2,0),"")</f>
        <v/>
      </c>
    </row>
    <row r="1292" spans="2:9">
      <c r="B1292" s="11">
        <f t="shared" si="112"/>
        <v>44507</v>
      </c>
      <c r="C1292" s="19">
        <f>MONTH(Tabela6[[#This Row],[Data]])</f>
        <v>11</v>
      </c>
      <c r="D1292" s="19">
        <f>YEAR(Tabela6[[#This Row],[Data]])</f>
        <v>2021</v>
      </c>
      <c r="E1292" s="12" t="s">
        <v>78</v>
      </c>
      <c r="F1292" t="s">
        <v>109</v>
      </c>
      <c r="G1292" s="26">
        <v>4</v>
      </c>
      <c r="I1292" t="str">
        <f>IFERROR(VLOOKUP(Tabela6[[#This Row],[Descrição]],Materiais!B:C,2,0),"")</f>
        <v/>
      </c>
    </row>
    <row r="1293" spans="2:9">
      <c r="B1293" s="11">
        <f t="shared" si="112"/>
        <v>44507</v>
      </c>
      <c r="C1293" s="19">
        <f>MONTH(Tabela6[[#This Row],[Data]])</f>
        <v>11</v>
      </c>
      <c r="D1293" s="19">
        <f>YEAR(Tabela6[[#This Row],[Data]])</f>
        <v>2021</v>
      </c>
      <c r="E1293" s="12" t="s">
        <v>78</v>
      </c>
      <c r="F1293" t="s">
        <v>58</v>
      </c>
      <c r="G1293" s="26">
        <v>6</v>
      </c>
      <c r="I1293" t="str">
        <f>IFERROR(VLOOKUP(Tabela6[[#This Row],[Descrição]],Materiais!B:C,2,0),"")</f>
        <v/>
      </c>
    </row>
    <row r="1294" spans="2:9">
      <c r="B1294" s="11">
        <f t="shared" si="112"/>
        <v>44507</v>
      </c>
      <c r="C1294" s="19">
        <f>MONTH(Tabela6[[#This Row],[Data]])</f>
        <v>11</v>
      </c>
      <c r="D1294" s="19">
        <f>YEAR(Tabela6[[#This Row],[Data]])</f>
        <v>2021</v>
      </c>
      <c r="E1294" s="12" t="s">
        <v>78</v>
      </c>
      <c r="F1294" t="s">
        <v>95</v>
      </c>
      <c r="G1294" s="26">
        <v>2</v>
      </c>
      <c r="I1294" t="str">
        <f>IFERROR(VLOOKUP(Tabela6[[#This Row],[Descrição]],Materiais!B:C,2,0),"")</f>
        <v/>
      </c>
    </row>
    <row r="1295" spans="2:9">
      <c r="B1295" s="11">
        <f t="shared" si="112"/>
        <v>44507</v>
      </c>
      <c r="C1295" s="19">
        <f>MONTH(Tabela6[[#This Row],[Data]])</f>
        <v>11</v>
      </c>
      <c r="D1295" s="19">
        <f>YEAR(Tabela6[[#This Row],[Data]])</f>
        <v>2021</v>
      </c>
      <c r="E1295" s="12" t="s">
        <v>78</v>
      </c>
      <c r="F1295" t="s">
        <v>117</v>
      </c>
      <c r="G1295" s="26">
        <v>4</v>
      </c>
      <c r="I1295" t="str">
        <f>IFERROR(VLOOKUP(Tabela6[[#This Row],[Descrição]],Materiais!B:C,2,0),"")</f>
        <v/>
      </c>
    </row>
    <row r="1296" spans="2:9">
      <c r="B1296" s="11">
        <f t="shared" ref="B1296:B1301" si="113">43048+(365*4)</f>
        <v>44508</v>
      </c>
      <c r="C1296" s="19">
        <f>MONTH(Tabela6[[#This Row],[Data]])</f>
        <v>11</v>
      </c>
      <c r="D1296" s="19">
        <f>YEAR(Tabela6[[#This Row],[Data]])</f>
        <v>2021</v>
      </c>
      <c r="E1296" s="12" t="s">
        <v>78</v>
      </c>
      <c r="F1296" t="s">
        <v>63</v>
      </c>
      <c r="G1296" s="26">
        <v>4</v>
      </c>
      <c r="I1296" t="str">
        <f>IFERROR(VLOOKUP(Tabela6[[#This Row],[Descrição]],Materiais!B:C,2,0),"")</f>
        <v/>
      </c>
    </row>
    <row r="1297" spans="2:9">
      <c r="B1297" s="11">
        <f t="shared" si="113"/>
        <v>44508</v>
      </c>
      <c r="C1297" s="19">
        <f>MONTH(Tabela6[[#This Row],[Data]])</f>
        <v>11</v>
      </c>
      <c r="D1297" s="19">
        <f>YEAR(Tabela6[[#This Row],[Data]])</f>
        <v>2021</v>
      </c>
      <c r="E1297" s="12" t="s">
        <v>78</v>
      </c>
      <c r="F1297" t="s">
        <v>56</v>
      </c>
      <c r="G1297" s="26">
        <v>6</v>
      </c>
      <c r="I1297" t="str">
        <f>IFERROR(VLOOKUP(Tabela6[[#This Row],[Descrição]],Materiais!B:C,2,0),"")</f>
        <v/>
      </c>
    </row>
    <row r="1298" spans="2:9">
      <c r="B1298" s="11">
        <f t="shared" si="113"/>
        <v>44508</v>
      </c>
      <c r="C1298" s="19">
        <f>MONTH(Tabela6[[#This Row],[Data]])</f>
        <v>11</v>
      </c>
      <c r="D1298" s="19">
        <f>YEAR(Tabela6[[#This Row],[Data]])</f>
        <v>2021</v>
      </c>
      <c r="E1298" s="12" t="s">
        <v>78</v>
      </c>
      <c r="F1298" t="s">
        <v>61</v>
      </c>
      <c r="G1298" s="26">
        <v>8</v>
      </c>
      <c r="I1298" t="str">
        <f>IFERROR(VLOOKUP(Tabela6[[#This Row],[Descrição]],Materiais!B:C,2,0),"")</f>
        <v/>
      </c>
    </row>
    <row r="1299" spans="2:9">
      <c r="B1299" s="11">
        <f t="shared" si="113"/>
        <v>44508</v>
      </c>
      <c r="C1299" s="19">
        <f>MONTH(Tabela6[[#This Row],[Data]])</f>
        <v>11</v>
      </c>
      <c r="D1299" s="19">
        <f>YEAR(Tabela6[[#This Row],[Data]])</f>
        <v>2021</v>
      </c>
      <c r="E1299" s="12" t="s">
        <v>78</v>
      </c>
      <c r="F1299" t="s">
        <v>126</v>
      </c>
      <c r="G1299" s="26">
        <v>4</v>
      </c>
      <c r="I1299" t="str">
        <f>IFERROR(VLOOKUP(Tabela6[[#This Row],[Descrição]],Materiais!B:C,2,0),"")</f>
        <v/>
      </c>
    </row>
    <row r="1300" spans="2:9">
      <c r="B1300" s="11">
        <f t="shared" si="113"/>
        <v>44508</v>
      </c>
      <c r="C1300" s="19">
        <f>MONTH(Tabela6[[#This Row],[Data]])</f>
        <v>11</v>
      </c>
      <c r="D1300" s="19">
        <f>YEAR(Tabela6[[#This Row],[Data]])</f>
        <v>2021</v>
      </c>
      <c r="E1300" s="12" t="s">
        <v>78</v>
      </c>
      <c r="F1300" t="s">
        <v>142</v>
      </c>
      <c r="G1300" s="26">
        <v>4</v>
      </c>
      <c r="I1300" t="str">
        <f>IFERROR(VLOOKUP(Tabela6[[#This Row],[Descrição]],Materiais!B:C,2,0),"")</f>
        <v/>
      </c>
    </row>
    <row r="1301" spans="2:9">
      <c r="B1301" s="11">
        <f t="shared" si="113"/>
        <v>44508</v>
      </c>
      <c r="C1301" s="19">
        <f>MONTH(Tabela6[[#This Row],[Data]])</f>
        <v>11</v>
      </c>
      <c r="D1301" s="19">
        <f>YEAR(Tabela6[[#This Row],[Data]])</f>
        <v>2021</v>
      </c>
      <c r="E1301" s="12" t="s">
        <v>78</v>
      </c>
      <c r="F1301" t="s">
        <v>58</v>
      </c>
      <c r="G1301" s="26">
        <v>8</v>
      </c>
      <c r="I1301" t="str">
        <f>IFERROR(VLOOKUP(Tabela6[[#This Row],[Descrição]],Materiais!B:C,2,0),"")</f>
        <v/>
      </c>
    </row>
    <row r="1302" spans="2:9">
      <c r="B1302" s="11">
        <f>43050+(365*4)</f>
        <v>44510</v>
      </c>
      <c r="C1302" s="19">
        <f>MONTH(Tabela6[[#This Row],[Data]])</f>
        <v>11</v>
      </c>
      <c r="D1302" s="19">
        <f>YEAR(Tabela6[[#This Row],[Data]])</f>
        <v>2021</v>
      </c>
      <c r="E1302" s="12" t="s">
        <v>75</v>
      </c>
      <c r="F1302" t="s">
        <v>143</v>
      </c>
      <c r="G1302" s="26">
        <v>-1.95</v>
      </c>
      <c r="I1302" t="str">
        <f>IFERROR(VLOOKUP(Tabela6[[#This Row],[Descrição]],Materiais!B:C,2,0),"")</f>
        <v/>
      </c>
    </row>
    <row r="1303" spans="2:9">
      <c r="B1303" s="11">
        <f>43050+(365*4)</f>
        <v>44510</v>
      </c>
      <c r="C1303" s="19">
        <f>MONTH(Tabela6[[#This Row],[Data]])</f>
        <v>11</v>
      </c>
      <c r="D1303" s="19">
        <f>YEAR(Tabela6[[#This Row],[Data]])</f>
        <v>2021</v>
      </c>
      <c r="E1303" s="12" t="s">
        <v>72</v>
      </c>
      <c r="F1303" t="s">
        <v>105</v>
      </c>
      <c r="G1303" s="26">
        <v>-13.5</v>
      </c>
      <c r="I1303" t="str">
        <f>IFERROR(VLOOKUP(Tabela6[[#This Row],[Descrição]],Materiais!B:C,2,0),"")</f>
        <v/>
      </c>
    </row>
    <row r="1304" spans="2:9">
      <c r="B1304" s="11">
        <f>43050+(365*4)</f>
        <v>44510</v>
      </c>
      <c r="C1304" s="19">
        <f>MONTH(Tabela6[[#This Row],[Data]])</f>
        <v>11</v>
      </c>
      <c r="D1304" s="19">
        <f>YEAR(Tabela6[[#This Row],[Data]])</f>
        <v>2021</v>
      </c>
      <c r="E1304" s="12" t="s">
        <v>75</v>
      </c>
      <c r="F1304" t="s">
        <v>144</v>
      </c>
      <c r="G1304" s="26">
        <v>-6.2</v>
      </c>
      <c r="I1304" t="str">
        <f>IFERROR(VLOOKUP(Tabela6[[#This Row],[Descrição]],Materiais!B:C,2,0),"")</f>
        <v/>
      </c>
    </row>
    <row r="1305" spans="2:9">
      <c r="B1305" s="11">
        <f t="shared" ref="B1305:B1314" si="114">43052+(365*4)</f>
        <v>44512</v>
      </c>
      <c r="C1305" s="19">
        <f>MONTH(Tabela6[[#This Row],[Data]])</f>
        <v>11</v>
      </c>
      <c r="D1305" s="19">
        <f>YEAR(Tabela6[[#This Row],[Data]])</f>
        <v>2021</v>
      </c>
      <c r="E1305" s="12" t="s">
        <v>78</v>
      </c>
      <c r="F1305" t="s">
        <v>63</v>
      </c>
      <c r="G1305" s="26">
        <v>6</v>
      </c>
      <c r="I1305" t="str">
        <f>IFERROR(VLOOKUP(Tabela6[[#This Row],[Descrição]],Materiais!B:C,2,0),"")</f>
        <v/>
      </c>
    </row>
    <row r="1306" spans="2:9">
      <c r="B1306" s="11">
        <f t="shared" si="114"/>
        <v>44512</v>
      </c>
      <c r="C1306" s="19">
        <f>MONTH(Tabela6[[#This Row],[Data]])</f>
        <v>11</v>
      </c>
      <c r="D1306" s="19">
        <f>YEAR(Tabela6[[#This Row],[Data]])</f>
        <v>2021</v>
      </c>
      <c r="E1306" s="12" t="s">
        <v>78</v>
      </c>
      <c r="F1306" t="s">
        <v>56</v>
      </c>
      <c r="G1306" s="26">
        <v>6</v>
      </c>
      <c r="I1306" t="str">
        <f>IFERROR(VLOOKUP(Tabela6[[#This Row],[Descrição]],Materiais!B:C,2,0),"")</f>
        <v/>
      </c>
    </row>
    <row r="1307" spans="2:9">
      <c r="B1307" s="11">
        <f t="shared" si="114"/>
        <v>44512</v>
      </c>
      <c r="C1307" s="19">
        <f>MONTH(Tabela6[[#This Row],[Data]])</f>
        <v>11</v>
      </c>
      <c r="D1307" s="19">
        <f>YEAR(Tabela6[[#This Row],[Data]])</f>
        <v>2021</v>
      </c>
      <c r="E1307" s="12" t="s">
        <v>78</v>
      </c>
      <c r="F1307" t="s">
        <v>100</v>
      </c>
      <c r="G1307" s="26">
        <v>4</v>
      </c>
      <c r="I1307" t="str">
        <f>IFERROR(VLOOKUP(Tabela6[[#This Row],[Descrição]],Materiais!B:C,2,0),"")</f>
        <v/>
      </c>
    </row>
    <row r="1308" spans="2:9">
      <c r="B1308" s="11">
        <f t="shared" si="114"/>
        <v>44512</v>
      </c>
      <c r="C1308" s="19">
        <f>MONTH(Tabela6[[#This Row],[Data]])</f>
        <v>11</v>
      </c>
      <c r="D1308" s="19">
        <f>YEAR(Tabela6[[#This Row],[Data]])</f>
        <v>2021</v>
      </c>
      <c r="E1308" s="12" t="s">
        <v>78</v>
      </c>
      <c r="F1308" t="s">
        <v>61</v>
      </c>
      <c r="G1308" s="26">
        <v>8</v>
      </c>
      <c r="I1308" t="str">
        <f>IFERROR(VLOOKUP(Tabela6[[#This Row],[Descrição]],Materiais!B:C,2,0),"")</f>
        <v/>
      </c>
    </row>
    <row r="1309" spans="2:9">
      <c r="B1309" s="11">
        <f t="shared" si="114"/>
        <v>44512</v>
      </c>
      <c r="C1309" s="19">
        <f>MONTH(Tabela6[[#This Row],[Data]])</f>
        <v>11</v>
      </c>
      <c r="D1309" s="19">
        <f>YEAR(Tabela6[[#This Row],[Data]])</f>
        <v>2021</v>
      </c>
      <c r="E1309" s="12" t="s">
        <v>78</v>
      </c>
      <c r="F1309" t="s">
        <v>126</v>
      </c>
      <c r="G1309" s="26">
        <v>6</v>
      </c>
      <c r="I1309" t="str">
        <f>IFERROR(VLOOKUP(Tabela6[[#This Row],[Descrição]],Materiais!B:C,2,0),"")</f>
        <v/>
      </c>
    </row>
    <row r="1310" spans="2:9">
      <c r="B1310" s="11">
        <f t="shared" si="114"/>
        <v>44512</v>
      </c>
      <c r="C1310" s="19">
        <f>MONTH(Tabela6[[#This Row],[Data]])</f>
        <v>11</v>
      </c>
      <c r="D1310" s="19">
        <f>YEAR(Tabela6[[#This Row],[Data]])</f>
        <v>2021</v>
      </c>
      <c r="E1310" s="12" t="s">
        <v>78</v>
      </c>
      <c r="F1310" t="s">
        <v>142</v>
      </c>
      <c r="G1310" s="26">
        <v>2</v>
      </c>
      <c r="I1310" t="str">
        <f>IFERROR(VLOOKUP(Tabela6[[#This Row],[Descrição]],Materiais!B:C,2,0),"")</f>
        <v/>
      </c>
    </row>
    <row r="1311" spans="2:9">
      <c r="B1311" s="11">
        <f t="shared" si="114"/>
        <v>44512</v>
      </c>
      <c r="C1311" s="19">
        <f>MONTH(Tabela6[[#This Row],[Data]])</f>
        <v>11</v>
      </c>
      <c r="D1311" s="19">
        <f>YEAR(Tabela6[[#This Row],[Data]])</f>
        <v>2021</v>
      </c>
      <c r="E1311" s="12" t="s">
        <v>78</v>
      </c>
      <c r="F1311" t="s">
        <v>109</v>
      </c>
      <c r="G1311" s="26">
        <v>4</v>
      </c>
      <c r="I1311" t="str">
        <f>IFERROR(VLOOKUP(Tabela6[[#This Row],[Descrição]],Materiais!B:C,2,0),"")</f>
        <v/>
      </c>
    </row>
    <row r="1312" spans="2:9">
      <c r="B1312" s="11">
        <f t="shared" si="114"/>
        <v>44512</v>
      </c>
      <c r="C1312" s="19">
        <f>MONTH(Tabela6[[#This Row],[Data]])</f>
        <v>11</v>
      </c>
      <c r="D1312" s="19">
        <f>YEAR(Tabela6[[#This Row],[Data]])</f>
        <v>2021</v>
      </c>
      <c r="E1312" s="12" t="s">
        <v>78</v>
      </c>
      <c r="F1312" t="s">
        <v>58</v>
      </c>
      <c r="G1312" s="26">
        <v>6</v>
      </c>
      <c r="I1312" t="str">
        <f>IFERROR(VLOOKUP(Tabela6[[#This Row],[Descrição]],Materiais!B:C,2,0),"")</f>
        <v/>
      </c>
    </row>
    <row r="1313" spans="2:9">
      <c r="B1313" s="11">
        <f t="shared" si="114"/>
        <v>44512</v>
      </c>
      <c r="C1313" s="19">
        <f>MONTH(Tabela6[[#This Row],[Data]])</f>
        <v>11</v>
      </c>
      <c r="D1313" s="19">
        <f>YEAR(Tabela6[[#This Row],[Data]])</f>
        <v>2021</v>
      </c>
      <c r="E1313" s="12" t="s">
        <v>78</v>
      </c>
      <c r="F1313" t="s">
        <v>95</v>
      </c>
      <c r="G1313" s="26">
        <v>4</v>
      </c>
      <c r="I1313" t="str">
        <f>IFERROR(VLOOKUP(Tabela6[[#This Row],[Descrição]],Materiais!B:C,2,0),"")</f>
        <v/>
      </c>
    </row>
    <row r="1314" spans="2:9">
      <c r="B1314" s="11">
        <f t="shared" si="114"/>
        <v>44512</v>
      </c>
      <c r="C1314" s="19">
        <f>MONTH(Tabela6[[#This Row],[Data]])</f>
        <v>11</v>
      </c>
      <c r="D1314" s="19">
        <f>YEAR(Tabela6[[#This Row],[Data]])</f>
        <v>2021</v>
      </c>
      <c r="E1314" s="12" t="s">
        <v>78</v>
      </c>
      <c r="F1314" t="s">
        <v>117</v>
      </c>
      <c r="G1314" s="26">
        <v>2</v>
      </c>
      <c r="I1314" t="str">
        <f>IFERROR(VLOOKUP(Tabela6[[#This Row],[Descrição]],Materiais!B:C,2,0),"")</f>
        <v/>
      </c>
    </row>
    <row r="1315" spans="2:9">
      <c r="B1315" s="11">
        <f t="shared" ref="B1315:B1325" si="115">43053+(365*4)</f>
        <v>44513</v>
      </c>
      <c r="C1315" s="19">
        <f>MONTH(Tabela6[[#This Row],[Data]])</f>
        <v>11</v>
      </c>
      <c r="D1315" s="19">
        <f>YEAR(Tabela6[[#This Row],[Data]])</f>
        <v>2021</v>
      </c>
      <c r="E1315" s="12" t="s">
        <v>78</v>
      </c>
      <c r="F1315" t="s">
        <v>63</v>
      </c>
      <c r="G1315" s="26">
        <v>6</v>
      </c>
      <c r="I1315" t="str">
        <f>IFERROR(VLOOKUP(Tabela6[[#This Row],[Descrição]],Materiais!B:C,2,0),"")</f>
        <v/>
      </c>
    </row>
    <row r="1316" spans="2:9">
      <c r="B1316" s="11">
        <f t="shared" si="115"/>
        <v>44513</v>
      </c>
      <c r="C1316" s="19">
        <f>MONTH(Tabela6[[#This Row],[Data]])</f>
        <v>11</v>
      </c>
      <c r="D1316" s="19">
        <f>YEAR(Tabela6[[#This Row],[Data]])</f>
        <v>2021</v>
      </c>
      <c r="E1316" s="12" t="s">
        <v>78</v>
      </c>
      <c r="F1316" t="s">
        <v>133</v>
      </c>
      <c r="G1316" s="26">
        <v>70</v>
      </c>
      <c r="I1316" t="str">
        <f>IFERROR(VLOOKUP(Tabela6[[#This Row],[Descrição]],Materiais!B:C,2,0),"")</f>
        <v/>
      </c>
    </row>
    <row r="1317" spans="2:9">
      <c r="B1317" s="11">
        <f t="shared" si="115"/>
        <v>44513</v>
      </c>
      <c r="C1317" s="19">
        <f>MONTH(Tabela6[[#This Row],[Data]])</f>
        <v>11</v>
      </c>
      <c r="D1317" s="19">
        <f>YEAR(Tabela6[[#This Row],[Data]])</f>
        <v>2021</v>
      </c>
      <c r="E1317" s="12" t="s">
        <v>78</v>
      </c>
      <c r="F1317" t="s">
        <v>56</v>
      </c>
      <c r="G1317" s="26">
        <v>70</v>
      </c>
      <c r="I1317" t="str">
        <f>IFERROR(VLOOKUP(Tabela6[[#This Row],[Descrição]],Materiais!B:C,2,0),"")</f>
        <v/>
      </c>
    </row>
    <row r="1318" spans="2:9">
      <c r="B1318" s="11">
        <f t="shared" si="115"/>
        <v>44513</v>
      </c>
      <c r="C1318" s="19">
        <f>MONTH(Tabela6[[#This Row],[Data]])</f>
        <v>11</v>
      </c>
      <c r="D1318" s="19">
        <f>YEAR(Tabela6[[#This Row],[Data]])</f>
        <v>2021</v>
      </c>
      <c r="E1318" s="12" t="s">
        <v>78</v>
      </c>
      <c r="F1318" t="s">
        <v>56</v>
      </c>
      <c r="G1318" s="26">
        <v>12</v>
      </c>
      <c r="I1318" t="str">
        <f>IFERROR(VLOOKUP(Tabela6[[#This Row],[Descrição]],Materiais!B:C,2,0),"")</f>
        <v/>
      </c>
    </row>
    <row r="1319" spans="2:9">
      <c r="B1319" s="11">
        <f t="shared" si="115"/>
        <v>44513</v>
      </c>
      <c r="C1319" s="19">
        <f>MONTH(Tabela6[[#This Row],[Data]])</f>
        <v>11</v>
      </c>
      <c r="D1319" s="19">
        <f>YEAR(Tabela6[[#This Row],[Data]])</f>
        <v>2021</v>
      </c>
      <c r="E1319" s="12" t="s">
        <v>78</v>
      </c>
      <c r="F1319" t="s">
        <v>100</v>
      </c>
      <c r="G1319" s="26">
        <v>2</v>
      </c>
      <c r="I1319" t="str">
        <f>IFERROR(VLOOKUP(Tabela6[[#This Row],[Descrição]],Materiais!B:C,2,0),"")</f>
        <v/>
      </c>
    </row>
    <row r="1320" spans="2:9">
      <c r="B1320" s="11">
        <f t="shared" si="115"/>
        <v>44513</v>
      </c>
      <c r="C1320" s="19">
        <f>MONTH(Tabela6[[#This Row],[Data]])</f>
        <v>11</v>
      </c>
      <c r="D1320" s="19">
        <f>YEAR(Tabela6[[#This Row],[Data]])</f>
        <v>2021</v>
      </c>
      <c r="E1320" s="12" t="s">
        <v>78</v>
      </c>
      <c r="F1320" t="s">
        <v>100</v>
      </c>
      <c r="G1320" s="26">
        <v>70</v>
      </c>
      <c r="I1320" t="str">
        <f>IFERROR(VLOOKUP(Tabela6[[#This Row],[Descrição]],Materiais!B:C,2,0),"")</f>
        <v/>
      </c>
    </row>
    <row r="1321" spans="2:9">
      <c r="B1321" s="11">
        <f t="shared" si="115"/>
        <v>44513</v>
      </c>
      <c r="C1321" s="19">
        <f>MONTH(Tabela6[[#This Row],[Data]])</f>
        <v>11</v>
      </c>
      <c r="D1321" s="19">
        <f>YEAR(Tabela6[[#This Row],[Data]])</f>
        <v>2021</v>
      </c>
      <c r="E1321" s="12" t="s">
        <v>78</v>
      </c>
      <c r="F1321" t="s">
        <v>116</v>
      </c>
      <c r="G1321" s="26">
        <v>70</v>
      </c>
      <c r="I1321" t="str">
        <f>IFERROR(VLOOKUP(Tabela6[[#This Row],[Descrição]],Materiais!B:C,2,0),"")</f>
        <v/>
      </c>
    </row>
    <row r="1322" spans="2:9">
      <c r="B1322" s="11">
        <f t="shared" si="115"/>
        <v>44513</v>
      </c>
      <c r="C1322" s="19">
        <f>MONTH(Tabela6[[#This Row],[Data]])</f>
        <v>11</v>
      </c>
      <c r="D1322" s="19">
        <f>YEAR(Tabela6[[#This Row],[Data]])</f>
        <v>2021</v>
      </c>
      <c r="E1322" s="12" t="s">
        <v>78</v>
      </c>
      <c r="F1322" t="s">
        <v>126</v>
      </c>
      <c r="G1322" s="26">
        <v>6</v>
      </c>
      <c r="I1322" t="str">
        <f>IFERROR(VLOOKUP(Tabela6[[#This Row],[Descrição]],Materiais!B:C,2,0),"")</f>
        <v/>
      </c>
    </row>
    <row r="1323" spans="2:9">
      <c r="B1323" s="11">
        <f t="shared" si="115"/>
        <v>44513</v>
      </c>
      <c r="C1323" s="19">
        <f>MONTH(Tabela6[[#This Row],[Data]])</f>
        <v>11</v>
      </c>
      <c r="D1323" s="19">
        <f>YEAR(Tabela6[[#This Row],[Data]])</f>
        <v>2021</v>
      </c>
      <c r="E1323" s="12" t="s">
        <v>78</v>
      </c>
      <c r="F1323" t="s">
        <v>126</v>
      </c>
      <c r="G1323" s="26">
        <v>70</v>
      </c>
      <c r="I1323" t="str">
        <f>IFERROR(VLOOKUP(Tabela6[[#This Row],[Descrição]],Materiais!B:C,2,0),"")</f>
        <v/>
      </c>
    </row>
    <row r="1324" spans="2:9">
      <c r="B1324" s="11">
        <f t="shared" si="115"/>
        <v>44513</v>
      </c>
      <c r="C1324" s="19">
        <f>MONTH(Tabela6[[#This Row],[Data]])</f>
        <v>11</v>
      </c>
      <c r="D1324" s="19">
        <f>YEAR(Tabela6[[#This Row],[Data]])</f>
        <v>2021</v>
      </c>
      <c r="E1324" s="12" t="s">
        <v>78</v>
      </c>
      <c r="F1324" t="s">
        <v>58</v>
      </c>
      <c r="G1324" s="26">
        <v>8</v>
      </c>
      <c r="I1324" t="str">
        <f>IFERROR(VLOOKUP(Tabela6[[#This Row],[Descrição]],Materiais!B:C,2,0),"")</f>
        <v/>
      </c>
    </row>
    <row r="1325" spans="2:9">
      <c r="B1325" s="11">
        <f t="shared" si="115"/>
        <v>44513</v>
      </c>
      <c r="C1325" s="19">
        <f>MONTH(Tabela6[[#This Row],[Data]])</f>
        <v>11</v>
      </c>
      <c r="D1325" s="19">
        <f>YEAR(Tabela6[[#This Row],[Data]])</f>
        <v>2021</v>
      </c>
      <c r="E1325" s="12" t="s">
        <v>78</v>
      </c>
      <c r="F1325" t="s">
        <v>117</v>
      </c>
      <c r="G1325" s="26">
        <v>2</v>
      </c>
      <c r="I1325" t="str">
        <f>IFERROR(VLOOKUP(Tabela6[[#This Row],[Descrição]],Materiais!B:C,2,0),"")</f>
        <v/>
      </c>
    </row>
    <row r="1326" spans="2:9">
      <c r="B1326" s="11">
        <f t="shared" ref="B1326:B1332" si="116">43055+(365*4)</f>
        <v>44515</v>
      </c>
      <c r="C1326" s="19">
        <f>MONTH(Tabela6[[#This Row],[Data]])</f>
        <v>11</v>
      </c>
      <c r="D1326" s="19">
        <f>YEAR(Tabela6[[#This Row],[Data]])</f>
        <v>2021</v>
      </c>
      <c r="E1326" s="12" t="s">
        <v>78</v>
      </c>
      <c r="F1326" t="s">
        <v>63</v>
      </c>
      <c r="G1326" s="26">
        <v>6</v>
      </c>
      <c r="I1326" t="str">
        <f>IFERROR(VLOOKUP(Tabela6[[#This Row],[Descrição]],Materiais!B:C,2,0),"")</f>
        <v/>
      </c>
    </row>
    <row r="1327" spans="2:9">
      <c r="B1327" s="11">
        <f t="shared" si="116"/>
        <v>44515</v>
      </c>
      <c r="C1327" s="19">
        <f>MONTH(Tabela6[[#This Row],[Data]])</f>
        <v>11</v>
      </c>
      <c r="D1327" s="19">
        <f>YEAR(Tabela6[[#This Row],[Data]])</f>
        <v>2021</v>
      </c>
      <c r="E1327" s="12" t="s">
        <v>78</v>
      </c>
      <c r="F1327" t="s">
        <v>56</v>
      </c>
      <c r="G1327" s="26">
        <v>12</v>
      </c>
      <c r="I1327" t="str">
        <f>IFERROR(VLOOKUP(Tabela6[[#This Row],[Descrição]],Materiais!B:C,2,0),"")</f>
        <v/>
      </c>
    </row>
    <row r="1328" spans="2:9">
      <c r="B1328" s="11">
        <f t="shared" si="116"/>
        <v>44515</v>
      </c>
      <c r="C1328" s="19">
        <f>MONTH(Tabela6[[#This Row],[Data]])</f>
        <v>11</v>
      </c>
      <c r="D1328" s="19">
        <f>YEAR(Tabela6[[#This Row],[Data]])</f>
        <v>2021</v>
      </c>
      <c r="E1328" s="12" t="s">
        <v>78</v>
      </c>
      <c r="F1328" t="s">
        <v>100</v>
      </c>
      <c r="G1328" s="26">
        <v>6</v>
      </c>
      <c r="I1328" t="str">
        <f>IFERROR(VLOOKUP(Tabela6[[#This Row],[Descrição]],Materiais!B:C,2,0),"")</f>
        <v/>
      </c>
    </row>
    <row r="1329" spans="2:9">
      <c r="B1329" s="11">
        <f t="shared" si="116"/>
        <v>44515</v>
      </c>
      <c r="C1329" s="19">
        <f>MONTH(Tabela6[[#This Row],[Data]])</f>
        <v>11</v>
      </c>
      <c r="D1329" s="19">
        <f>YEAR(Tabela6[[#This Row],[Data]])</f>
        <v>2021</v>
      </c>
      <c r="E1329" s="12" t="s">
        <v>78</v>
      </c>
      <c r="F1329" t="s">
        <v>59</v>
      </c>
      <c r="G1329" s="26">
        <v>4</v>
      </c>
      <c r="I1329" t="str">
        <f>IFERROR(VLOOKUP(Tabela6[[#This Row],[Descrição]],Materiais!B:C,2,0),"")</f>
        <v/>
      </c>
    </row>
    <row r="1330" spans="2:9">
      <c r="B1330" s="11">
        <f t="shared" si="116"/>
        <v>44515</v>
      </c>
      <c r="C1330" s="19">
        <f>MONTH(Tabela6[[#This Row],[Data]])</f>
        <v>11</v>
      </c>
      <c r="D1330" s="19">
        <f>YEAR(Tabela6[[#This Row],[Data]])</f>
        <v>2021</v>
      </c>
      <c r="E1330" s="12" t="s">
        <v>78</v>
      </c>
      <c r="F1330" t="s">
        <v>58</v>
      </c>
      <c r="G1330" s="26">
        <v>10</v>
      </c>
      <c r="I1330" t="str">
        <f>IFERROR(VLOOKUP(Tabela6[[#This Row],[Descrição]],Materiais!B:C,2,0),"")</f>
        <v/>
      </c>
    </row>
    <row r="1331" spans="2:9">
      <c r="B1331" s="11">
        <f t="shared" si="116"/>
        <v>44515</v>
      </c>
      <c r="C1331" s="19">
        <f>MONTH(Tabela6[[#This Row],[Data]])</f>
        <v>11</v>
      </c>
      <c r="D1331" s="19">
        <f>YEAR(Tabela6[[#This Row],[Data]])</f>
        <v>2021</v>
      </c>
      <c r="E1331" s="12" t="s">
        <v>78</v>
      </c>
      <c r="F1331" t="s">
        <v>95</v>
      </c>
      <c r="G1331" s="26">
        <v>4</v>
      </c>
      <c r="I1331" t="str">
        <f>IFERROR(VLOOKUP(Tabela6[[#This Row],[Descrição]],Materiais!B:C,2,0),"")</f>
        <v/>
      </c>
    </row>
    <row r="1332" spans="2:9">
      <c r="B1332" s="11">
        <f t="shared" si="116"/>
        <v>44515</v>
      </c>
      <c r="C1332" s="19">
        <f>MONTH(Tabela6[[#This Row],[Data]])</f>
        <v>11</v>
      </c>
      <c r="D1332" s="19">
        <f>YEAR(Tabela6[[#This Row],[Data]])</f>
        <v>2021</v>
      </c>
      <c r="E1332" s="12" t="s">
        <v>78</v>
      </c>
      <c r="F1332" t="s">
        <v>117</v>
      </c>
      <c r="G1332" s="26">
        <v>4</v>
      </c>
      <c r="I1332" t="str">
        <f>IFERROR(VLOOKUP(Tabela6[[#This Row],[Descrição]],Materiais!B:C,2,0),"")</f>
        <v/>
      </c>
    </row>
    <row r="1333" spans="2:9">
      <c r="B1333" s="11">
        <f t="shared" ref="B1333:B1342" si="117">43056+(365*4)</f>
        <v>44516</v>
      </c>
      <c r="C1333" s="19">
        <f>MONTH(Tabela6[[#This Row],[Data]])</f>
        <v>11</v>
      </c>
      <c r="D1333" s="19">
        <f>YEAR(Tabela6[[#This Row],[Data]])</f>
        <v>2021</v>
      </c>
      <c r="E1333" s="12" t="s">
        <v>78</v>
      </c>
      <c r="F1333" t="s">
        <v>63</v>
      </c>
      <c r="G1333" s="26">
        <v>2</v>
      </c>
      <c r="I1333" t="str">
        <f>IFERROR(VLOOKUP(Tabela6[[#This Row],[Descrição]],Materiais!B:C,2,0),"")</f>
        <v/>
      </c>
    </row>
    <row r="1334" spans="2:9">
      <c r="B1334" s="11">
        <f t="shared" si="117"/>
        <v>44516</v>
      </c>
      <c r="C1334" s="19">
        <f>MONTH(Tabela6[[#This Row],[Data]])</f>
        <v>11</v>
      </c>
      <c r="D1334" s="19">
        <f>YEAR(Tabela6[[#This Row],[Data]])</f>
        <v>2021</v>
      </c>
      <c r="E1334" s="12" t="s">
        <v>75</v>
      </c>
      <c r="F1334" t="s">
        <v>143</v>
      </c>
      <c r="G1334" s="26">
        <v>-3.9</v>
      </c>
      <c r="I1334" t="str">
        <f>IFERROR(VLOOKUP(Tabela6[[#This Row],[Descrição]],Materiais!B:C,2,0),"")</f>
        <v/>
      </c>
    </row>
    <row r="1335" spans="2:9">
      <c r="B1335" s="11">
        <f t="shared" si="117"/>
        <v>44516</v>
      </c>
      <c r="C1335" s="19">
        <f>MONTH(Tabela6[[#This Row],[Data]])</f>
        <v>11</v>
      </c>
      <c r="D1335" s="19">
        <f>YEAR(Tabela6[[#This Row],[Data]])</f>
        <v>2021</v>
      </c>
      <c r="E1335" s="12" t="s">
        <v>78</v>
      </c>
      <c r="F1335" t="s">
        <v>133</v>
      </c>
      <c r="G1335" s="26">
        <v>2</v>
      </c>
      <c r="I1335" t="str">
        <f>IFERROR(VLOOKUP(Tabela6[[#This Row],[Descrição]],Materiais!B:C,2,0),"")</f>
        <v/>
      </c>
    </row>
    <row r="1336" spans="2:9">
      <c r="B1336" s="11">
        <f t="shared" si="117"/>
        <v>44516</v>
      </c>
      <c r="C1336" s="19">
        <f>MONTH(Tabela6[[#This Row],[Data]])</f>
        <v>11</v>
      </c>
      <c r="D1336" s="19">
        <f>YEAR(Tabela6[[#This Row],[Data]])</f>
        <v>2021</v>
      </c>
      <c r="E1336" s="12" t="s">
        <v>78</v>
      </c>
      <c r="F1336" t="s">
        <v>56</v>
      </c>
      <c r="G1336" s="26">
        <v>4</v>
      </c>
      <c r="I1336" t="str">
        <f>IFERROR(VLOOKUP(Tabela6[[#This Row],[Descrição]],Materiais!B:C,2,0),"")</f>
        <v/>
      </c>
    </row>
    <row r="1337" spans="2:9">
      <c r="B1337" s="11">
        <f t="shared" si="117"/>
        <v>44516</v>
      </c>
      <c r="C1337" s="19">
        <f>MONTH(Tabela6[[#This Row],[Data]])</f>
        <v>11</v>
      </c>
      <c r="D1337" s="19">
        <f>YEAR(Tabela6[[#This Row],[Data]])</f>
        <v>2021</v>
      </c>
      <c r="E1337" s="12" t="s">
        <v>78</v>
      </c>
      <c r="F1337" t="s">
        <v>100</v>
      </c>
      <c r="G1337" s="26">
        <v>2</v>
      </c>
      <c r="I1337" t="str">
        <f>IFERROR(VLOOKUP(Tabela6[[#This Row],[Descrição]],Materiais!B:C,2,0),"")</f>
        <v/>
      </c>
    </row>
    <row r="1338" spans="2:9">
      <c r="B1338" s="11">
        <f t="shared" si="117"/>
        <v>44516</v>
      </c>
      <c r="C1338" s="19">
        <f>MONTH(Tabela6[[#This Row],[Data]])</f>
        <v>11</v>
      </c>
      <c r="D1338" s="19">
        <f>YEAR(Tabela6[[#This Row],[Data]])</f>
        <v>2021</v>
      </c>
      <c r="E1338" s="12" t="s">
        <v>78</v>
      </c>
      <c r="F1338" t="s">
        <v>61</v>
      </c>
      <c r="G1338" s="26">
        <v>2</v>
      </c>
      <c r="I1338" t="str">
        <f>IFERROR(VLOOKUP(Tabela6[[#This Row],[Descrição]],Materiais!B:C,2,0),"")</f>
        <v/>
      </c>
    </row>
    <row r="1339" spans="2:9">
      <c r="B1339" s="11">
        <f t="shared" si="117"/>
        <v>44516</v>
      </c>
      <c r="C1339" s="19">
        <f>MONTH(Tabela6[[#This Row],[Data]])</f>
        <v>11</v>
      </c>
      <c r="D1339" s="19">
        <f>YEAR(Tabela6[[#This Row],[Data]])</f>
        <v>2021</v>
      </c>
      <c r="E1339" s="12" t="s">
        <v>78</v>
      </c>
      <c r="F1339" t="s">
        <v>61</v>
      </c>
      <c r="G1339" s="26">
        <v>2</v>
      </c>
      <c r="I1339" t="str">
        <f>IFERROR(VLOOKUP(Tabela6[[#This Row],[Descrição]],Materiais!B:C,2,0),"")</f>
        <v/>
      </c>
    </row>
    <row r="1340" spans="2:9">
      <c r="B1340" s="11">
        <f t="shared" si="117"/>
        <v>44516</v>
      </c>
      <c r="C1340" s="19">
        <f>MONTH(Tabela6[[#This Row],[Data]])</f>
        <v>11</v>
      </c>
      <c r="D1340" s="19">
        <f>YEAR(Tabela6[[#This Row],[Data]])</f>
        <v>2021</v>
      </c>
      <c r="E1340" s="12" t="s">
        <v>75</v>
      </c>
      <c r="F1340" t="s">
        <v>119</v>
      </c>
      <c r="G1340" s="26">
        <v>-7.5</v>
      </c>
      <c r="I1340" t="str">
        <f>IFERROR(VLOOKUP(Tabela6[[#This Row],[Descrição]],Materiais!B:C,2,0),"")</f>
        <v/>
      </c>
    </row>
    <row r="1341" spans="2:9">
      <c r="B1341" s="11">
        <f t="shared" si="117"/>
        <v>44516</v>
      </c>
      <c r="C1341" s="19">
        <f>MONTH(Tabela6[[#This Row],[Data]])</f>
        <v>11</v>
      </c>
      <c r="D1341" s="19">
        <f>YEAR(Tabela6[[#This Row],[Data]])</f>
        <v>2021</v>
      </c>
      <c r="E1341" s="12" t="s">
        <v>72</v>
      </c>
      <c r="F1341" t="s">
        <v>20</v>
      </c>
      <c r="G1341" s="26">
        <v>-13.96</v>
      </c>
      <c r="I1341" t="str">
        <f>IFERROR(VLOOKUP(Tabela6[[#This Row],[Descrição]],Materiais!B:C,2,0),"")</f>
        <v>g</v>
      </c>
    </row>
    <row r="1342" spans="2:9">
      <c r="B1342" s="11">
        <f t="shared" si="117"/>
        <v>44516</v>
      </c>
      <c r="C1342" s="19">
        <f>MONTH(Tabela6[[#This Row],[Data]])</f>
        <v>11</v>
      </c>
      <c r="D1342" s="19">
        <f>YEAR(Tabela6[[#This Row],[Data]])</f>
        <v>2021</v>
      </c>
      <c r="E1342" s="12" t="s">
        <v>72</v>
      </c>
      <c r="F1342" t="s">
        <v>82</v>
      </c>
      <c r="G1342" s="26">
        <v>-10.95</v>
      </c>
      <c r="I1342" t="str">
        <f>IFERROR(VLOOKUP(Tabela6[[#This Row],[Descrição]],Materiais!B:C,2,0),"")</f>
        <v/>
      </c>
    </row>
    <row r="1343" spans="2:9">
      <c r="B1343" s="11">
        <f>43057+(365*4)</f>
        <v>44517</v>
      </c>
      <c r="C1343" s="19">
        <f>MONTH(Tabela6[[#This Row],[Data]])</f>
        <v>11</v>
      </c>
      <c r="D1343" s="19">
        <f>YEAR(Tabela6[[#This Row],[Data]])</f>
        <v>2021</v>
      </c>
      <c r="E1343" s="12" t="s">
        <v>75</v>
      </c>
      <c r="F1343" t="s">
        <v>113</v>
      </c>
      <c r="G1343" s="26">
        <v>-22</v>
      </c>
      <c r="I1343" t="str">
        <f>IFERROR(VLOOKUP(Tabela6[[#This Row],[Descrição]],Materiais!B:C,2,0),"")</f>
        <v/>
      </c>
    </row>
    <row r="1344" spans="2:9">
      <c r="B1344" s="11">
        <f>43057+(365*4)</f>
        <v>44517</v>
      </c>
      <c r="C1344" s="19">
        <f>MONTH(Tabela6[[#This Row],[Data]])</f>
        <v>11</v>
      </c>
      <c r="D1344" s="19">
        <f>YEAR(Tabela6[[#This Row],[Data]])</f>
        <v>2021</v>
      </c>
      <c r="E1344" s="12" t="s">
        <v>75</v>
      </c>
      <c r="F1344" t="s">
        <v>145</v>
      </c>
      <c r="G1344" s="26">
        <v>-18.2</v>
      </c>
      <c r="I1344" t="str">
        <f>IFERROR(VLOOKUP(Tabela6[[#This Row],[Descrição]],Materiais!B:C,2,0),"")</f>
        <v/>
      </c>
    </row>
    <row r="1345" spans="2:9">
      <c r="B1345" s="11">
        <f>43057+(365*4)</f>
        <v>44517</v>
      </c>
      <c r="C1345" s="19">
        <f>MONTH(Tabela6[[#This Row],[Data]])</f>
        <v>11</v>
      </c>
      <c r="D1345" s="19">
        <f>YEAR(Tabela6[[#This Row],[Data]])</f>
        <v>2021</v>
      </c>
      <c r="E1345" s="12" t="s">
        <v>75</v>
      </c>
      <c r="F1345" t="s">
        <v>119</v>
      </c>
      <c r="G1345" s="26">
        <v>-5.05</v>
      </c>
      <c r="I1345" t="str">
        <f>IFERROR(VLOOKUP(Tabela6[[#This Row],[Descrição]],Materiais!B:C,2,0),"")</f>
        <v/>
      </c>
    </row>
    <row r="1346" spans="2:9">
      <c r="B1346" s="11">
        <f>43057+(365*4)</f>
        <v>44517</v>
      </c>
      <c r="C1346" s="19">
        <f>MONTH(Tabela6[[#This Row],[Data]])</f>
        <v>11</v>
      </c>
      <c r="D1346" s="19">
        <f>YEAR(Tabela6[[#This Row],[Data]])</f>
        <v>2021</v>
      </c>
      <c r="E1346" s="12" t="s">
        <v>75</v>
      </c>
      <c r="F1346" t="s">
        <v>138</v>
      </c>
      <c r="G1346" s="26">
        <v>-14</v>
      </c>
      <c r="I1346" t="str">
        <f>IFERROR(VLOOKUP(Tabela6[[#This Row],[Descrição]],Materiais!B:C,2,0),"")</f>
        <v/>
      </c>
    </row>
    <row r="1347" spans="2:9">
      <c r="B1347" s="11">
        <f>43060+(365*4)</f>
        <v>44520</v>
      </c>
      <c r="C1347" s="19">
        <f>MONTH(Tabela6[[#This Row],[Data]])</f>
        <v>11</v>
      </c>
      <c r="D1347" s="19">
        <f>YEAR(Tabela6[[#This Row],[Data]])</f>
        <v>2021</v>
      </c>
      <c r="E1347" s="12" t="s">
        <v>78</v>
      </c>
      <c r="F1347" t="s">
        <v>56</v>
      </c>
      <c r="G1347" s="26">
        <v>6</v>
      </c>
      <c r="I1347" t="str">
        <f>IFERROR(VLOOKUP(Tabela6[[#This Row],[Descrição]],Materiais!B:C,2,0),"")</f>
        <v/>
      </c>
    </row>
    <row r="1348" spans="2:9">
      <c r="B1348" s="11">
        <f>43060+(365*4)</f>
        <v>44520</v>
      </c>
      <c r="C1348" s="19">
        <f>MONTH(Tabela6[[#This Row],[Data]])</f>
        <v>11</v>
      </c>
      <c r="D1348" s="19">
        <f>YEAR(Tabela6[[#This Row],[Data]])</f>
        <v>2021</v>
      </c>
      <c r="E1348" s="12" t="s">
        <v>78</v>
      </c>
      <c r="F1348" t="s">
        <v>61</v>
      </c>
      <c r="G1348" s="26">
        <v>6</v>
      </c>
      <c r="I1348" t="str">
        <f>IFERROR(VLOOKUP(Tabela6[[#This Row],[Descrição]],Materiais!B:C,2,0),"")</f>
        <v/>
      </c>
    </row>
    <row r="1349" spans="2:9">
      <c r="B1349" s="11">
        <f>43060+(365*4)</f>
        <v>44520</v>
      </c>
      <c r="C1349" s="19">
        <f>MONTH(Tabela6[[#This Row],[Data]])</f>
        <v>11</v>
      </c>
      <c r="D1349" s="19">
        <f>YEAR(Tabela6[[#This Row],[Data]])</f>
        <v>2021</v>
      </c>
      <c r="E1349" s="12" t="s">
        <v>78</v>
      </c>
      <c r="F1349" t="s">
        <v>109</v>
      </c>
      <c r="G1349" s="26">
        <v>2</v>
      </c>
      <c r="I1349" t="str">
        <f>IFERROR(VLOOKUP(Tabela6[[#This Row],[Descrição]],Materiais!B:C,2,0),"")</f>
        <v/>
      </c>
    </row>
    <row r="1350" spans="2:9">
      <c r="B1350" s="11">
        <f>43060+(365*4)</f>
        <v>44520</v>
      </c>
      <c r="C1350" s="19">
        <f>MONTH(Tabela6[[#This Row],[Data]])</f>
        <v>11</v>
      </c>
      <c r="D1350" s="19">
        <f>YEAR(Tabela6[[#This Row],[Data]])</f>
        <v>2021</v>
      </c>
      <c r="E1350" s="12" t="s">
        <v>78</v>
      </c>
      <c r="F1350" t="s">
        <v>58</v>
      </c>
      <c r="G1350" s="26">
        <v>6</v>
      </c>
      <c r="I1350" t="str">
        <f>IFERROR(VLOOKUP(Tabela6[[#This Row],[Descrição]],Materiais!B:C,2,0),"")</f>
        <v/>
      </c>
    </row>
    <row r="1351" spans="2:9">
      <c r="B1351" s="11">
        <f>43060+(365*4)</f>
        <v>44520</v>
      </c>
      <c r="C1351" s="19">
        <f>MONTH(Tabela6[[#This Row],[Data]])</f>
        <v>11</v>
      </c>
      <c r="D1351" s="19">
        <f>YEAR(Tabela6[[#This Row],[Data]])</f>
        <v>2021</v>
      </c>
      <c r="E1351" s="12" t="s">
        <v>78</v>
      </c>
      <c r="F1351" t="s">
        <v>95</v>
      </c>
      <c r="G1351" s="26">
        <v>4</v>
      </c>
      <c r="I1351" t="str">
        <f>IFERROR(VLOOKUP(Tabela6[[#This Row],[Descrição]],Materiais!B:C,2,0),"")</f>
        <v/>
      </c>
    </row>
    <row r="1352" spans="2:9">
      <c r="B1352" s="11">
        <f t="shared" ref="B1352:B1357" si="118">43062+(365*4)</f>
        <v>44522</v>
      </c>
      <c r="C1352" s="19">
        <f>MONTH(Tabela6[[#This Row],[Data]])</f>
        <v>11</v>
      </c>
      <c r="D1352" s="19">
        <f>YEAR(Tabela6[[#This Row],[Data]])</f>
        <v>2021</v>
      </c>
      <c r="E1352" s="12" t="s">
        <v>78</v>
      </c>
      <c r="F1352" t="s">
        <v>56</v>
      </c>
      <c r="G1352" s="26">
        <v>16</v>
      </c>
      <c r="I1352" t="str">
        <f>IFERROR(VLOOKUP(Tabela6[[#This Row],[Descrição]],Materiais!B:C,2,0),"")</f>
        <v/>
      </c>
    </row>
    <row r="1353" spans="2:9">
      <c r="B1353" s="11">
        <f t="shared" si="118"/>
        <v>44522</v>
      </c>
      <c r="C1353" s="19">
        <f>MONTH(Tabela6[[#This Row],[Data]])</f>
        <v>11</v>
      </c>
      <c r="D1353" s="19">
        <f>YEAR(Tabela6[[#This Row],[Data]])</f>
        <v>2021</v>
      </c>
      <c r="E1353" s="12" t="s">
        <v>78</v>
      </c>
      <c r="F1353" t="s">
        <v>100</v>
      </c>
      <c r="G1353" s="26">
        <v>4</v>
      </c>
      <c r="I1353" t="str">
        <f>IFERROR(VLOOKUP(Tabela6[[#This Row],[Descrição]],Materiais!B:C,2,0),"")</f>
        <v/>
      </c>
    </row>
    <row r="1354" spans="2:9">
      <c r="B1354" s="11">
        <f t="shared" si="118"/>
        <v>44522</v>
      </c>
      <c r="C1354" s="19">
        <f>MONTH(Tabela6[[#This Row],[Data]])</f>
        <v>11</v>
      </c>
      <c r="D1354" s="19">
        <f>YEAR(Tabela6[[#This Row],[Data]])</f>
        <v>2021</v>
      </c>
      <c r="E1354" s="12" t="s">
        <v>78</v>
      </c>
      <c r="F1354" t="s">
        <v>61</v>
      </c>
      <c r="G1354" s="26">
        <v>8</v>
      </c>
      <c r="I1354" t="str">
        <f>IFERROR(VLOOKUP(Tabela6[[#This Row],[Descrição]],Materiais!B:C,2,0),"")</f>
        <v/>
      </c>
    </row>
    <row r="1355" spans="2:9">
      <c r="B1355" s="11">
        <f t="shared" si="118"/>
        <v>44522</v>
      </c>
      <c r="C1355" s="19">
        <f>MONTH(Tabela6[[#This Row],[Data]])</f>
        <v>11</v>
      </c>
      <c r="D1355" s="19">
        <f>YEAR(Tabela6[[#This Row],[Data]])</f>
        <v>2021</v>
      </c>
      <c r="E1355" s="12" t="s">
        <v>78</v>
      </c>
      <c r="F1355" t="s">
        <v>126</v>
      </c>
      <c r="G1355" s="26">
        <v>4</v>
      </c>
      <c r="I1355" t="str">
        <f>IFERROR(VLOOKUP(Tabela6[[#This Row],[Descrição]],Materiais!B:C,2,0),"")</f>
        <v/>
      </c>
    </row>
    <row r="1356" spans="2:9">
      <c r="B1356" s="11">
        <f t="shared" si="118"/>
        <v>44522</v>
      </c>
      <c r="C1356" s="19">
        <f>MONTH(Tabela6[[#This Row],[Data]])</f>
        <v>11</v>
      </c>
      <c r="D1356" s="19">
        <f>YEAR(Tabela6[[#This Row],[Data]])</f>
        <v>2021</v>
      </c>
      <c r="E1356" s="12" t="s">
        <v>78</v>
      </c>
      <c r="F1356" t="s">
        <v>109</v>
      </c>
      <c r="G1356" s="26">
        <v>6</v>
      </c>
      <c r="I1356" t="str">
        <f>IFERROR(VLOOKUP(Tabela6[[#This Row],[Descrição]],Materiais!B:C,2,0),"")</f>
        <v/>
      </c>
    </row>
    <row r="1357" spans="2:9">
      <c r="B1357" s="11">
        <f t="shared" si="118"/>
        <v>44522</v>
      </c>
      <c r="C1357" s="19">
        <f>MONTH(Tabela6[[#This Row],[Data]])</f>
        <v>11</v>
      </c>
      <c r="D1357" s="19">
        <f>YEAR(Tabela6[[#This Row],[Data]])</f>
        <v>2021</v>
      </c>
      <c r="E1357" s="12" t="s">
        <v>78</v>
      </c>
      <c r="F1357" t="s">
        <v>95</v>
      </c>
      <c r="G1357" s="26">
        <v>4</v>
      </c>
      <c r="I1357" t="str">
        <f>IFERROR(VLOOKUP(Tabela6[[#This Row],[Descrição]],Materiais!B:C,2,0),"")</f>
        <v/>
      </c>
    </row>
    <row r="1358" spans="2:9">
      <c r="B1358" s="11">
        <f t="shared" ref="B1358:B1365" si="119">43063+(365*4)</f>
        <v>44523</v>
      </c>
      <c r="C1358" s="19">
        <f>MONTH(Tabela6[[#This Row],[Data]])</f>
        <v>11</v>
      </c>
      <c r="D1358" s="19">
        <f>YEAR(Tabela6[[#This Row],[Data]])</f>
        <v>2021</v>
      </c>
      <c r="E1358" s="12" t="s">
        <v>72</v>
      </c>
      <c r="F1358" t="s">
        <v>74</v>
      </c>
      <c r="G1358" s="26">
        <v>-52.9</v>
      </c>
      <c r="I1358" t="str">
        <f>IFERROR(VLOOKUP(Tabela6[[#This Row],[Descrição]],Materiais!B:C,2,0),"")</f>
        <v/>
      </c>
    </row>
    <row r="1359" spans="2:9">
      <c r="B1359" s="11">
        <f t="shared" si="119"/>
        <v>44523</v>
      </c>
      <c r="C1359" s="19">
        <f>MONTH(Tabela6[[#This Row],[Data]])</f>
        <v>11</v>
      </c>
      <c r="D1359" s="19">
        <f>YEAR(Tabela6[[#This Row],[Data]])</f>
        <v>2021</v>
      </c>
      <c r="E1359" s="12" t="s">
        <v>78</v>
      </c>
      <c r="F1359" t="s">
        <v>56</v>
      </c>
      <c r="G1359" s="26">
        <v>70</v>
      </c>
      <c r="I1359" t="str">
        <f>IFERROR(VLOOKUP(Tabela6[[#This Row],[Descrição]],Materiais!B:C,2,0),"")</f>
        <v/>
      </c>
    </row>
    <row r="1360" spans="2:9">
      <c r="B1360" s="11">
        <f t="shared" si="119"/>
        <v>44523</v>
      </c>
      <c r="C1360" s="19">
        <f>MONTH(Tabela6[[#This Row],[Data]])</f>
        <v>11</v>
      </c>
      <c r="D1360" s="19">
        <f>YEAR(Tabela6[[#This Row],[Data]])</f>
        <v>2021</v>
      </c>
      <c r="E1360" s="12" t="s">
        <v>75</v>
      </c>
      <c r="F1360" t="s">
        <v>111</v>
      </c>
      <c r="G1360" s="26">
        <v>-10.4</v>
      </c>
      <c r="I1360" t="str">
        <f>IFERROR(VLOOKUP(Tabela6[[#This Row],[Descrição]],Materiais!B:C,2,0),"")</f>
        <v/>
      </c>
    </row>
    <row r="1361" spans="2:9">
      <c r="B1361" s="11">
        <f t="shared" si="119"/>
        <v>44523</v>
      </c>
      <c r="C1361" s="19">
        <f>MONTH(Tabela6[[#This Row],[Data]])</f>
        <v>11</v>
      </c>
      <c r="D1361" s="19">
        <f>YEAR(Tabela6[[#This Row],[Data]])</f>
        <v>2021</v>
      </c>
      <c r="E1361" s="12" t="s">
        <v>78</v>
      </c>
      <c r="F1361" t="s">
        <v>61</v>
      </c>
      <c r="G1361" s="26">
        <v>2</v>
      </c>
      <c r="I1361" t="str">
        <f>IFERROR(VLOOKUP(Tabela6[[#This Row],[Descrição]],Materiais!B:C,2,0),"")</f>
        <v/>
      </c>
    </row>
    <row r="1362" spans="2:9">
      <c r="B1362" s="11">
        <f t="shared" si="119"/>
        <v>44523</v>
      </c>
      <c r="C1362" s="19">
        <f>MONTH(Tabela6[[#This Row],[Data]])</f>
        <v>11</v>
      </c>
      <c r="D1362" s="19">
        <f>YEAR(Tabela6[[#This Row],[Data]])</f>
        <v>2021</v>
      </c>
      <c r="E1362" s="12" t="s">
        <v>72</v>
      </c>
      <c r="F1362" t="s">
        <v>14</v>
      </c>
      <c r="G1362" s="26">
        <v>-8.1</v>
      </c>
      <c r="I1362" t="str">
        <f>IFERROR(VLOOKUP(Tabela6[[#This Row],[Descrição]],Materiais!B:C,2,0),"")</f>
        <v>g</v>
      </c>
    </row>
    <row r="1363" spans="2:9">
      <c r="B1363" s="11">
        <f t="shared" si="119"/>
        <v>44523</v>
      </c>
      <c r="C1363" s="19">
        <f>MONTH(Tabela6[[#This Row],[Data]])</f>
        <v>11</v>
      </c>
      <c r="D1363" s="19">
        <f>YEAR(Tabela6[[#This Row],[Data]])</f>
        <v>2021</v>
      </c>
      <c r="E1363" s="12" t="s">
        <v>72</v>
      </c>
      <c r="F1363" t="s">
        <v>77</v>
      </c>
      <c r="G1363" s="26">
        <v>-8.6</v>
      </c>
      <c r="I1363" t="str">
        <f>IFERROR(VLOOKUP(Tabela6[[#This Row],[Descrição]],Materiais!B:C,2,0),"")</f>
        <v/>
      </c>
    </row>
    <row r="1364" spans="2:9">
      <c r="B1364" s="11">
        <f t="shared" si="119"/>
        <v>44523</v>
      </c>
      <c r="C1364" s="19">
        <f>MONTH(Tabela6[[#This Row],[Data]])</f>
        <v>11</v>
      </c>
      <c r="D1364" s="19">
        <f>YEAR(Tabela6[[#This Row],[Data]])</f>
        <v>2021</v>
      </c>
      <c r="E1364" s="12" t="s">
        <v>78</v>
      </c>
      <c r="F1364" t="s">
        <v>58</v>
      </c>
      <c r="G1364" s="26">
        <v>4</v>
      </c>
      <c r="I1364" t="str">
        <f>IFERROR(VLOOKUP(Tabela6[[#This Row],[Descrição]],Materiais!B:C,2,0),"")</f>
        <v/>
      </c>
    </row>
    <row r="1365" spans="2:9">
      <c r="B1365" s="11">
        <f t="shared" si="119"/>
        <v>44523</v>
      </c>
      <c r="C1365" s="19">
        <f>MONTH(Tabela6[[#This Row],[Data]])</f>
        <v>11</v>
      </c>
      <c r="D1365" s="19">
        <f>YEAR(Tabela6[[#This Row],[Data]])</f>
        <v>2021</v>
      </c>
      <c r="E1365" s="12" t="s">
        <v>78</v>
      </c>
      <c r="F1365" t="s">
        <v>95</v>
      </c>
      <c r="G1365" s="26">
        <v>4</v>
      </c>
      <c r="I1365" t="str">
        <f>IFERROR(VLOOKUP(Tabela6[[#This Row],[Descrição]],Materiais!B:C,2,0),"")</f>
        <v/>
      </c>
    </row>
    <row r="1366" spans="2:9">
      <c r="B1366" s="11">
        <f t="shared" ref="B1366:B1376" si="120">43066+(365*4)</f>
        <v>44526</v>
      </c>
      <c r="C1366" s="19">
        <f>MONTH(Tabela6[[#This Row],[Data]])</f>
        <v>11</v>
      </c>
      <c r="D1366" s="19">
        <f>YEAR(Tabela6[[#This Row],[Data]])</f>
        <v>2021</v>
      </c>
      <c r="E1366" s="12" t="s">
        <v>78</v>
      </c>
      <c r="F1366" t="s">
        <v>63</v>
      </c>
      <c r="G1366" s="26">
        <v>6</v>
      </c>
      <c r="I1366" t="str">
        <f>IFERROR(VLOOKUP(Tabela6[[#This Row],[Descrição]],Materiais!B:C,2,0),"")</f>
        <v/>
      </c>
    </row>
    <row r="1367" spans="2:9">
      <c r="B1367" s="11">
        <f t="shared" si="120"/>
        <v>44526</v>
      </c>
      <c r="C1367" s="19">
        <f>MONTH(Tabela6[[#This Row],[Data]])</f>
        <v>11</v>
      </c>
      <c r="D1367" s="19">
        <f>YEAR(Tabela6[[#This Row],[Data]])</f>
        <v>2021</v>
      </c>
      <c r="E1367" s="12" t="s">
        <v>78</v>
      </c>
      <c r="F1367" t="s">
        <v>146</v>
      </c>
      <c r="G1367" s="26">
        <v>4</v>
      </c>
      <c r="I1367" t="str">
        <f>IFERROR(VLOOKUP(Tabela6[[#This Row],[Descrição]],Materiais!B:C,2,0),"")</f>
        <v/>
      </c>
    </row>
    <row r="1368" spans="2:9">
      <c r="B1368" s="11">
        <f t="shared" si="120"/>
        <v>44526</v>
      </c>
      <c r="C1368" s="19">
        <f>MONTH(Tabela6[[#This Row],[Data]])</f>
        <v>11</v>
      </c>
      <c r="D1368" s="19">
        <f>YEAR(Tabela6[[#This Row],[Data]])</f>
        <v>2021</v>
      </c>
      <c r="E1368" s="12" t="s">
        <v>78</v>
      </c>
      <c r="F1368" t="s">
        <v>56</v>
      </c>
      <c r="G1368" s="26">
        <v>4</v>
      </c>
      <c r="I1368" t="str">
        <f>IFERROR(VLOOKUP(Tabela6[[#This Row],[Descrição]],Materiais!B:C,2,0),"")</f>
        <v/>
      </c>
    </row>
    <row r="1369" spans="2:9">
      <c r="B1369" s="11">
        <f t="shared" si="120"/>
        <v>44526</v>
      </c>
      <c r="C1369" s="19">
        <f>MONTH(Tabela6[[#This Row],[Data]])</f>
        <v>11</v>
      </c>
      <c r="D1369" s="19">
        <f>YEAR(Tabela6[[#This Row],[Data]])</f>
        <v>2021</v>
      </c>
      <c r="E1369" s="12" t="s">
        <v>78</v>
      </c>
      <c r="F1369" t="s">
        <v>147</v>
      </c>
      <c r="G1369" s="26">
        <v>2</v>
      </c>
      <c r="I1369" t="str">
        <f>IFERROR(VLOOKUP(Tabela6[[#This Row],[Descrição]],Materiais!B:C,2,0),"")</f>
        <v/>
      </c>
    </row>
    <row r="1370" spans="2:9">
      <c r="B1370" s="11">
        <f t="shared" si="120"/>
        <v>44526</v>
      </c>
      <c r="C1370" s="19">
        <f>MONTH(Tabela6[[#This Row],[Data]])</f>
        <v>11</v>
      </c>
      <c r="D1370" s="19">
        <f>YEAR(Tabela6[[#This Row],[Data]])</f>
        <v>2021</v>
      </c>
      <c r="E1370" s="12" t="s">
        <v>78</v>
      </c>
      <c r="F1370" t="s">
        <v>61</v>
      </c>
      <c r="G1370" s="26">
        <v>10</v>
      </c>
      <c r="I1370" t="str">
        <f>IFERROR(VLOOKUP(Tabela6[[#This Row],[Descrição]],Materiais!B:C,2,0),"")</f>
        <v/>
      </c>
    </row>
    <row r="1371" spans="2:9">
      <c r="B1371" s="11">
        <f t="shared" si="120"/>
        <v>44526</v>
      </c>
      <c r="C1371" s="19">
        <f>MONTH(Tabela6[[#This Row],[Data]])</f>
        <v>11</v>
      </c>
      <c r="D1371" s="19">
        <f>YEAR(Tabela6[[#This Row],[Data]])</f>
        <v>2021</v>
      </c>
      <c r="E1371" s="12" t="s">
        <v>78</v>
      </c>
      <c r="F1371" t="s">
        <v>148</v>
      </c>
      <c r="G1371" s="26">
        <v>4</v>
      </c>
      <c r="I1371" t="str">
        <f>IFERROR(VLOOKUP(Tabela6[[#This Row],[Descrição]],Materiais!B:C,2,0),"")</f>
        <v/>
      </c>
    </row>
    <row r="1372" spans="2:9">
      <c r="B1372" s="11">
        <f t="shared" si="120"/>
        <v>44526</v>
      </c>
      <c r="C1372" s="19">
        <f>MONTH(Tabela6[[#This Row],[Data]])</f>
        <v>11</v>
      </c>
      <c r="D1372" s="19">
        <f>YEAR(Tabela6[[#This Row],[Data]])</f>
        <v>2021</v>
      </c>
      <c r="E1372" s="12" t="s">
        <v>72</v>
      </c>
      <c r="F1372" t="s">
        <v>20</v>
      </c>
      <c r="G1372" s="26">
        <v>-374.76000000000005</v>
      </c>
      <c r="I1372" t="str">
        <f>IFERROR(VLOOKUP(Tabela6[[#This Row],[Descrição]],Materiais!B:C,2,0),"")</f>
        <v>g</v>
      </c>
    </row>
    <row r="1373" spans="2:9">
      <c r="B1373" s="11">
        <f t="shared" si="120"/>
        <v>44526</v>
      </c>
      <c r="C1373" s="19">
        <f>MONTH(Tabela6[[#This Row],[Data]])</f>
        <v>11</v>
      </c>
      <c r="D1373" s="19">
        <f>YEAR(Tabela6[[#This Row],[Data]])</f>
        <v>2021</v>
      </c>
      <c r="E1373" s="12" t="s">
        <v>72</v>
      </c>
      <c r="F1373" t="s">
        <v>22</v>
      </c>
      <c r="G1373" s="26">
        <v>-37.400000000000006</v>
      </c>
      <c r="I1373" t="str">
        <f>IFERROR(VLOOKUP(Tabela6[[#This Row],[Descrição]],Materiais!B:C,2,0),"")</f>
        <v>g</v>
      </c>
    </row>
    <row r="1374" spans="2:9">
      <c r="B1374" s="11">
        <f t="shared" si="120"/>
        <v>44526</v>
      </c>
      <c r="C1374" s="19">
        <f>MONTH(Tabela6[[#This Row],[Data]])</f>
        <v>11</v>
      </c>
      <c r="D1374" s="19">
        <f>YEAR(Tabela6[[#This Row],[Data]])</f>
        <v>2021</v>
      </c>
      <c r="E1374" s="12" t="s">
        <v>78</v>
      </c>
      <c r="F1374" t="s">
        <v>142</v>
      </c>
      <c r="G1374" s="26">
        <v>4</v>
      </c>
      <c r="I1374" t="str">
        <f>IFERROR(VLOOKUP(Tabela6[[#This Row],[Descrição]],Materiais!B:C,2,0),"")</f>
        <v/>
      </c>
    </row>
    <row r="1375" spans="2:9">
      <c r="B1375" s="11">
        <f t="shared" si="120"/>
        <v>44526</v>
      </c>
      <c r="C1375" s="19">
        <f>MONTH(Tabela6[[#This Row],[Data]])</f>
        <v>11</v>
      </c>
      <c r="D1375" s="19">
        <f>YEAR(Tabela6[[#This Row],[Data]])</f>
        <v>2021</v>
      </c>
      <c r="E1375" s="12" t="s">
        <v>78</v>
      </c>
      <c r="F1375" t="s">
        <v>58</v>
      </c>
      <c r="G1375" s="26">
        <v>2</v>
      </c>
      <c r="I1375" t="str">
        <f>IFERROR(VLOOKUP(Tabela6[[#This Row],[Descrição]],Materiais!B:C,2,0),"")</f>
        <v/>
      </c>
    </row>
    <row r="1376" spans="2:9">
      <c r="B1376" s="11">
        <f t="shared" si="120"/>
        <v>44526</v>
      </c>
      <c r="C1376" s="19">
        <f>MONTH(Tabela6[[#This Row],[Data]])</f>
        <v>11</v>
      </c>
      <c r="D1376" s="19">
        <f>YEAR(Tabela6[[#This Row],[Data]])</f>
        <v>2021</v>
      </c>
      <c r="E1376" s="12" t="s">
        <v>78</v>
      </c>
      <c r="F1376" t="s">
        <v>95</v>
      </c>
      <c r="G1376" s="26">
        <v>2</v>
      </c>
      <c r="I1376" t="str">
        <f>IFERROR(VLOOKUP(Tabela6[[#This Row],[Descrição]],Materiais!B:C,2,0),"")</f>
        <v/>
      </c>
    </row>
    <row r="1377" spans="2:9">
      <c r="B1377" s="11">
        <f t="shared" ref="B1377:B1386" si="121">43067+(365*4)</f>
        <v>44527</v>
      </c>
      <c r="C1377" s="19">
        <f>MONTH(Tabela6[[#This Row],[Data]])</f>
        <v>11</v>
      </c>
      <c r="D1377" s="19">
        <f>YEAR(Tabela6[[#This Row],[Data]])</f>
        <v>2021</v>
      </c>
      <c r="E1377" s="12" t="s">
        <v>78</v>
      </c>
      <c r="F1377" t="s">
        <v>56</v>
      </c>
      <c r="G1377" s="26">
        <v>150</v>
      </c>
      <c r="I1377" t="str">
        <f>IFERROR(VLOOKUP(Tabela6[[#This Row],[Descrição]],Materiais!B:C,2,0),"")</f>
        <v/>
      </c>
    </row>
    <row r="1378" spans="2:9">
      <c r="B1378" s="11">
        <f t="shared" si="121"/>
        <v>44527</v>
      </c>
      <c r="C1378" s="19">
        <f>MONTH(Tabela6[[#This Row],[Data]])</f>
        <v>11</v>
      </c>
      <c r="D1378" s="19">
        <f>YEAR(Tabela6[[#This Row],[Data]])</f>
        <v>2021</v>
      </c>
      <c r="E1378" s="12" t="s">
        <v>78</v>
      </c>
      <c r="F1378" t="s">
        <v>56</v>
      </c>
      <c r="G1378" s="26">
        <v>14</v>
      </c>
      <c r="I1378" t="str">
        <f>IFERROR(VLOOKUP(Tabela6[[#This Row],[Descrição]],Materiais!B:C,2,0),"")</f>
        <v/>
      </c>
    </row>
    <row r="1379" spans="2:9">
      <c r="B1379" s="11">
        <f t="shared" si="121"/>
        <v>44527</v>
      </c>
      <c r="C1379" s="19">
        <f>MONTH(Tabela6[[#This Row],[Data]])</f>
        <v>11</v>
      </c>
      <c r="D1379" s="19">
        <f>YEAR(Tabela6[[#This Row],[Data]])</f>
        <v>2021</v>
      </c>
      <c r="E1379" s="12" t="s">
        <v>78</v>
      </c>
      <c r="F1379" t="s">
        <v>147</v>
      </c>
      <c r="G1379" s="26">
        <v>2</v>
      </c>
      <c r="I1379" t="str">
        <f>IFERROR(VLOOKUP(Tabela6[[#This Row],[Descrição]],Materiais!B:C,2,0),"")</f>
        <v/>
      </c>
    </row>
    <row r="1380" spans="2:9">
      <c r="B1380" s="11">
        <f t="shared" si="121"/>
        <v>44527</v>
      </c>
      <c r="C1380" s="19">
        <f>MONTH(Tabela6[[#This Row],[Data]])</f>
        <v>11</v>
      </c>
      <c r="D1380" s="19">
        <f>YEAR(Tabela6[[#This Row],[Data]])</f>
        <v>2021</v>
      </c>
      <c r="E1380" s="12" t="s">
        <v>78</v>
      </c>
      <c r="F1380" t="s">
        <v>61</v>
      </c>
      <c r="G1380" s="26">
        <v>8</v>
      </c>
      <c r="I1380" t="str">
        <f>IFERROR(VLOOKUP(Tabela6[[#This Row],[Descrição]],Materiais!B:C,2,0),"")</f>
        <v/>
      </c>
    </row>
    <row r="1381" spans="2:9">
      <c r="B1381" s="11">
        <f t="shared" si="121"/>
        <v>44527</v>
      </c>
      <c r="C1381" s="19">
        <f>MONTH(Tabela6[[#This Row],[Data]])</f>
        <v>11</v>
      </c>
      <c r="D1381" s="19">
        <f>YEAR(Tabela6[[#This Row],[Data]])</f>
        <v>2021</v>
      </c>
      <c r="E1381" s="12" t="s">
        <v>78</v>
      </c>
      <c r="F1381" t="s">
        <v>148</v>
      </c>
      <c r="G1381" s="26">
        <v>2</v>
      </c>
      <c r="I1381" t="str">
        <f>IFERROR(VLOOKUP(Tabela6[[#This Row],[Descrição]],Materiais!B:C,2,0),"")</f>
        <v/>
      </c>
    </row>
    <row r="1382" spans="2:9">
      <c r="B1382" s="11">
        <f t="shared" si="121"/>
        <v>44527</v>
      </c>
      <c r="C1382" s="19">
        <f>MONTH(Tabela6[[#This Row],[Data]])</f>
        <v>11</v>
      </c>
      <c r="D1382" s="19">
        <f>YEAR(Tabela6[[#This Row],[Data]])</f>
        <v>2021</v>
      </c>
      <c r="E1382" s="12" t="s">
        <v>78</v>
      </c>
      <c r="F1382" t="s">
        <v>142</v>
      </c>
      <c r="G1382" s="26">
        <v>2</v>
      </c>
      <c r="I1382" t="str">
        <f>IFERROR(VLOOKUP(Tabela6[[#This Row],[Descrição]],Materiais!B:C,2,0),"")</f>
        <v/>
      </c>
    </row>
    <row r="1383" spans="2:9">
      <c r="B1383" s="11">
        <f t="shared" si="121"/>
        <v>44527</v>
      </c>
      <c r="C1383" s="19">
        <f>MONTH(Tabela6[[#This Row],[Data]])</f>
        <v>11</v>
      </c>
      <c r="D1383" s="19">
        <f>YEAR(Tabela6[[#This Row],[Data]])</f>
        <v>2021</v>
      </c>
      <c r="E1383" s="12" t="s">
        <v>78</v>
      </c>
      <c r="F1383" t="s">
        <v>149</v>
      </c>
      <c r="G1383" s="26">
        <v>2</v>
      </c>
      <c r="I1383" t="str">
        <f>IFERROR(VLOOKUP(Tabela6[[#This Row],[Descrição]],Materiais!B:C,2,0),"")</f>
        <v/>
      </c>
    </row>
    <row r="1384" spans="2:9">
      <c r="B1384" s="11">
        <f t="shared" si="121"/>
        <v>44527</v>
      </c>
      <c r="C1384" s="19">
        <f>MONTH(Tabela6[[#This Row],[Data]])</f>
        <v>11</v>
      </c>
      <c r="D1384" s="19">
        <f>YEAR(Tabela6[[#This Row],[Data]])</f>
        <v>2021</v>
      </c>
      <c r="E1384" s="12" t="s">
        <v>78</v>
      </c>
      <c r="F1384" t="s">
        <v>58</v>
      </c>
      <c r="G1384" s="26">
        <v>6</v>
      </c>
      <c r="I1384" t="str">
        <f>IFERROR(VLOOKUP(Tabela6[[#This Row],[Descrição]],Materiais!B:C,2,0),"")</f>
        <v/>
      </c>
    </row>
    <row r="1385" spans="2:9">
      <c r="B1385" s="11">
        <f t="shared" si="121"/>
        <v>44527</v>
      </c>
      <c r="C1385" s="19">
        <f>MONTH(Tabela6[[#This Row],[Data]])</f>
        <v>11</v>
      </c>
      <c r="D1385" s="19">
        <f>YEAR(Tabela6[[#This Row],[Data]])</f>
        <v>2021</v>
      </c>
      <c r="E1385" s="12" t="s">
        <v>78</v>
      </c>
      <c r="F1385" t="s">
        <v>95</v>
      </c>
      <c r="G1385" s="26">
        <v>2</v>
      </c>
      <c r="I1385" t="str">
        <f>IFERROR(VLOOKUP(Tabela6[[#This Row],[Descrição]],Materiais!B:C,2,0),"")</f>
        <v/>
      </c>
    </row>
    <row r="1386" spans="2:9">
      <c r="B1386" s="11">
        <f t="shared" si="121"/>
        <v>44527</v>
      </c>
      <c r="C1386" s="19">
        <f>MONTH(Tabela6[[#This Row],[Data]])</f>
        <v>11</v>
      </c>
      <c r="D1386" s="19">
        <f>YEAR(Tabela6[[#This Row],[Data]])</f>
        <v>2021</v>
      </c>
      <c r="E1386" s="12" t="s">
        <v>78</v>
      </c>
      <c r="F1386" t="s">
        <v>117</v>
      </c>
      <c r="G1386" s="26">
        <v>4</v>
      </c>
      <c r="I1386" t="str">
        <f>IFERROR(VLOOKUP(Tabela6[[#This Row],[Descrição]],Materiais!B:C,2,0),"")</f>
        <v/>
      </c>
    </row>
    <row r="1387" spans="2:9">
      <c r="B1387" s="11">
        <f t="shared" ref="B1387:B1393" si="122">43068+(365*4)</f>
        <v>44528</v>
      </c>
      <c r="C1387" s="19">
        <f>MONTH(Tabela6[[#This Row],[Data]])</f>
        <v>11</v>
      </c>
      <c r="D1387" s="19">
        <f>YEAR(Tabela6[[#This Row],[Data]])</f>
        <v>2021</v>
      </c>
      <c r="E1387" s="12" t="s">
        <v>78</v>
      </c>
      <c r="F1387" t="s">
        <v>133</v>
      </c>
      <c r="G1387" s="26">
        <v>2</v>
      </c>
      <c r="I1387" t="str">
        <f>IFERROR(VLOOKUP(Tabela6[[#This Row],[Descrição]],Materiais!B:C,2,0),"")</f>
        <v/>
      </c>
    </row>
    <row r="1388" spans="2:9">
      <c r="B1388" s="11">
        <f t="shared" si="122"/>
        <v>44528</v>
      </c>
      <c r="C1388" s="19">
        <f>MONTH(Tabela6[[#This Row],[Data]])</f>
        <v>11</v>
      </c>
      <c r="D1388" s="19">
        <f>YEAR(Tabela6[[#This Row],[Data]])</f>
        <v>2021</v>
      </c>
      <c r="E1388" s="12" t="s">
        <v>78</v>
      </c>
      <c r="F1388" t="s">
        <v>56</v>
      </c>
      <c r="G1388" s="26">
        <v>11</v>
      </c>
      <c r="I1388" t="str">
        <f>IFERROR(VLOOKUP(Tabela6[[#This Row],[Descrição]],Materiais!B:C,2,0),"")</f>
        <v/>
      </c>
    </row>
    <row r="1389" spans="2:9">
      <c r="B1389" s="11">
        <f t="shared" si="122"/>
        <v>44528</v>
      </c>
      <c r="C1389" s="19">
        <f>MONTH(Tabela6[[#This Row],[Data]])</f>
        <v>11</v>
      </c>
      <c r="D1389" s="19">
        <f>YEAR(Tabela6[[#This Row],[Data]])</f>
        <v>2021</v>
      </c>
      <c r="E1389" s="12" t="s">
        <v>78</v>
      </c>
      <c r="F1389" t="s">
        <v>147</v>
      </c>
      <c r="G1389" s="26">
        <v>2</v>
      </c>
      <c r="I1389" t="str">
        <f>IFERROR(VLOOKUP(Tabela6[[#This Row],[Descrição]],Materiais!B:C,2,0),"")</f>
        <v/>
      </c>
    </row>
    <row r="1390" spans="2:9">
      <c r="B1390" s="11">
        <f t="shared" si="122"/>
        <v>44528</v>
      </c>
      <c r="C1390" s="19">
        <f>MONTH(Tabela6[[#This Row],[Data]])</f>
        <v>11</v>
      </c>
      <c r="D1390" s="19">
        <f>YEAR(Tabela6[[#This Row],[Data]])</f>
        <v>2021</v>
      </c>
      <c r="E1390" s="12" t="s">
        <v>78</v>
      </c>
      <c r="F1390" t="s">
        <v>61</v>
      </c>
      <c r="G1390" s="26">
        <v>4</v>
      </c>
      <c r="I1390" t="str">
        <f>IFERROR(VLOOKUP(Tabela6[[#This Row],[Descrição]],Materiais!B:C,2,0),"")</f>
        <v/>
      </c>
    </row>
    <row r="1391" spans="2:9">
      <c r="B1391" s="11">
        <f t="shared" si="122"/>
        <v>44528</v>
      </c>
      <c r="C1391" s="19">
        <f>MONTH(Tabela6[[#This Row],[Data]])</f>
        <v>11</v>
      </c>
      <c r="D1391" s="19">
        <f>YEAR(Tabela6[[#This Row],[Data]])</f>
        <v>2021</v>
      </c>
      <c r="E1391" s="12" t="s">
        <v>78</v>
      </c>
      <c r="F1391" t="s">
        <v>121</v>
      </c>
      <c r="G1391" s="26">
        <v>1</v>
      </c>
      <c r="I1391" t="str">
        <f>IFERROR(VLOOKUP(Tabela6[[#This Row],[Descrição]],Materiais!B:C,2,0),"")</f>
        <v/>
      </c>
    </row>
    <row r="1392" spans="2:9">
      <c r="B1392" s="11">
        <f t="shared" si="122"/>
        <v>44528</v>
      </c>
      <c r="C1392" s="19">
        <f>MONTH(Tabela6[[#This Row],[Data]])</f>
        <v>11</v>
      </c>
      <c r="D1392" s="19">
        <f>YEAR(Tabela6[[#This Row],[Data]])</f>
        <v>2021</v>
      </c>
      <c r="E1392" s="12" t="s">
        <v>78</v>
      </c>
      <c r="F1392" t="s">
        <v>148</v>
      </c>
      <c r="G1392" s="26">
        <v>2</v>
      </c>
      <c r="I1392" t="str">
        <f>IFERROR(VLOOKUP(Tabela6[[#This Row],[Descrição]],Materiais!B:C,2,0),"")</f>
        <v/>
      </c>
    </row>
    <row r="1393" spans="2:9">
      <c r="B1393" s="11">
        <f t="shared" si="122"/>
        <v>44528</v>
      </c>
      <c r="C1393" s="19">
        <f>MONTH(Tabela6[[#This Row],[Data]])</f>
        <v>11</v>
      </c>
      <c r="D1393" s="19">
        <f>YEAR(Tabela6[[#This Row],[Data]])</f>
        <v>2021</v>
      </c>
      <c r="E1393" s="12" t="s">
        <v>78</v>
      </c>
      <c r="F1393" t="s">
        <v>149</v>
      </c>
      <c r="G1393" s="26">
        <v>2</v>
      </c>
      <c r="I1393" t="str">
        <f>IFERROR(VLOOKUP(Tabela6[[#This Row],[Descrição]],Materiais!B:C,2,0),"")</f>
        <v/>
      </c>
    </row>
    <row r="1394" spans="2:9">
      <c r="B1394" s="11">
        <f t="shared" ref="B1394:B1401" si="123">43069+(365*4)</f>
        <v>44529</v>
      </c>
      <c r="C1394" s="19">
        <f>MONTH(Tabela6[[#This Row],[Data]])</f>
        <v>11</v>
      </c>
      <c r="D1394" s="19">
        <f>YEAR(Tabela6[[#This Row],[Data]])</f>
        <v>2021</v>
      </c>
      <c r="E1394" s="12" t="s">
        <v>78</v>
      </c>
      <c r="F1394" t="s">
        <v>63</v>
      </c>
      <c r="G1394" s="26">
        <v>6</v>
      </c>
      <c r="I1394" t="str">
        <f>IFERROR(VLOOKUP(Tabela6[[#This Row],[Descrição]],Materiais!B:C,2,0),"")</f>
        <v/>
      </c>
    </row>
    <row r="1395" spans="2:9">
      <c r="B1395" s="11">
        <f t="shared" si="123"/>
        <v>44529</v>
      </c>
      <c r="C1395" s="19">
        <f>MONTH(Tabela6[[#This Row],[Data]])</f>
        <v>11</v>
      </c>
      <c r="D1395" s="19">
        <f>YEAR(Tabela6[[#This Row],[Data]])</f>
        <v>2021</v>
      </c>
      <c r="E1395" s="12" t="s">
        <v>78</v>
      </c>
      <c r="F1395" t="s">
        <v>56</v>
      </c>
      <c r="G1395" s="26">
        <v>70</v>
      </c>
      <c r="I1395" t="str">
        <f>IFERROR(VLOOKUP(Tabela6[[#This Row],[Descrição]],Materiais!B:C,2,0),"")</f>
        <v/>
      </c>
    </row>
    <row r="1396" spans="2:9">
      <c r="B1396" s="11">
        <f t="shared" si="123"/>
        <v>44529</v>
      </c>
      <c r="C1396" s="19">
        <f>MONTH(Tabela6[[#This Row],[Data]])</f>
        <v>11</v>
      </c>
      <c r="D1396" s="19">
        <f>YEAR(Tabela6[[#This Row],[Data]])</f>
        <v>2021</v>
      </c>
      <c r="E1396" s="12" t="s">
        <v>78</v>
      </c>
      <c r="F1396" t="s">
        <v>56</v>
      </c>
      <c r="G1396" s="26">
        <v>12</v>
      </c>
      <c r="I1396" t="str">
        <f>IFERROR(VLOOKUP(Tabela6[[#This Row],[Descrição]],Materiais!B:C,2,0),"")</f>
        <v/>
      </c>
    </row>
    <row r="1397" spans="2:9">
      <c r="B1397" s="11">
        <f t="shared" si="123"/>
        <v>44529</v>
      </c>
      <c r="C1397" s="19">
        <f>MONTH(Tabela6[[#This Row],[Data]])</f>
        <v>11</v>
      </c>
      <c r="D1397" s="19">
        <f>YEAR(Tabela6[[#This Row],[Data]])</f>
        <v>2021</v>
      </c>
      <c r="E1397" s="12" t="s">
        <v>78</v>
      </c>
      <c r="F1397" t="s">
        <v>61</v>
      </c>
      <c r="G1397" s="26">
        <v>10</v>
      </c>
      <c r="I1397" t="str">
        <f>IFERROR(VLOOKUP(Tabela6[[#This Row],[Descrição]],Materiais!B:C,2,0),"")</f>
        <v/>
      </c>
    </row>
    <row r="1398" spans="2:9">
      <c r="B1398" s="11">
        <f t="shared" si="123"/>
        <v>44529</v>
      </c>
      <c r="C1398" s="19">
        <f>MONTH(Tabela6[[#This Row],[Data]])</f>
        <v>11</v>
      </c>
      <c r="D1398" s="19">
        <f>YEAR(Tabela6[[#This Row],[Data]])</f>
        <v>2021</v>
      </c>
      <c r="E1398" s="12" t="s">
        <v>78</v>
      </c>
      <c r="F1398" t="s">
        <v>148</v>
      </c>
      <c r="G1398" s="26">
        <v>2</v>
      </c>
      <c r="I1398" t="str">
        <f>IFERROR(VLOOKUP(Tabela6[[#This Row],[Descrição]],Materiais!B:C,2,0),"")</f>
        <v/>
      </c>
    </row>
    <row r="1399" spans="2:9">
      <c r="B1399" s="11">
        <f t="shared" si="123"/>
        <v>44529</v>
      </c>
      <c r="C1399" s="19">
        <f>MONTH(Tabela6[[#This Row],[Data]])</f>
        <v>11</v>
      </c>
      <c r="D1399" s="19">
        <f>YEAR(Tabela6[[#This Row],[Data]])</f>
        <v>2021</v>
      </c>
      <c r="E1399" s="12" t="s">
        <v>78</v>
      </c>
      <c r="F1399" t="s">
        <v>142</v>
      </c>
      <c r="G1399" s="26">
        <v>6</v>
      </c>
      <c r="I1399" t="str">
        <f>IFERROR(VLOOKUP(Tabela6[[#This Row],[Descrição]],Materiais!B:C,2,0),"")</f>
        <v/>
      </c>
    </row>
    <row r="1400" spans="2:9">
      <c r="B1400" s="11">
        <f t="shared" si="123"/>
        <v>44529</v>
      </c>
      <c r="C1400" s="19">
        <f>MONTH(Tabela6[[#This Row],[Data]])</f>
        <v>11</v>
      </c>
      <c r="D1400" s="19">
        <f>YEAR(Tabela6[[#This Row],[Data]])</f>
        <v>2021</v>
      </c>
      <c r="E1400" s="12" t="s">
        <v>78</v>
      </c>
      <c r="F1400" t="s">
        <v>95</v>
      </c>
      <c r="G1400" s="26">
        <v>4</v>
      </c>
      <c r="I1400" t="str">
        <f>IFERROR(VLOOKUP(Tabela6[[#This Row],[Descrição]],Materiais!B:C,2,0),"")</f>
        <v/>
      </c>
    </row>
    <row r="1401" spans="2:9">
      <c r="B1401" s="11">
        <f t="shared" si="123"/>
        <v>44529</v>
      </c>
      <c r="C1401" s="19">
        <f>MONTH(Tabela6[[#This Row],[Data]])</f>
        <v>11</v>
      </c>
      <c r="D1401" s="19">
        <f>YEAR(Tabela6[[#This Row],[Data]])</f>
        <v>2021</v>
      </c>
      <c r="E1401" s="12" t="s">
        <v>78</v>
      </c>
      <c r="F1401" t="s">
        <v>117</v>
      </c>
      <c r="G1401" s="26">
        <v>6</v>
      </c>
      <c r="I1401" t="str">
        <f>IFERROR(VLOOKUP(Tabela6[[#This Row],[Descrição]],Materiais!B:C,2,0),"")</f>
        <v/>
      </c>
    </row>
    <row r="1402" spans="2:9">
      <c r="B1402" s="11">
        <f t="shared" ref="B1402:B1411" si="124">43070+(365*4)</f>
        <v>44530</v>
      </c>
      <c r="C1402" s="19">
        <f>MONTH(Tabela6[[#This Row],[Data]])</f>
        <v>11</v>
      </c>
      <c r="D1402" s="19">
        <f>YEAR(Tabela6[[#This Row],[Data]])</f>
        <v>2021</v>
      </c>
      <c r="E1402" s="12" t="s">
        <v>78</v>
      </c>
      <c r="F1402" t="s">
        <v>63</v>
      </c>
      <c r="G1402" s="26">
        <v>8</v>
      </c>
      <c r="I1402" t="str">
        <f>IFERROR(VLOOKUP(Tabela6[[#This Row],[Descrição]],Materiais!B:C,2,0),"")</f>
        <v/>
      </c>
    </row>
    <row r="1403" spans="2:9">
      <c r="B1403" s="11">
        <f t="shared" si="124"/>
        <v>44530</v>
      </c>
      <c r="C1403" s="19">
        <f>MONTH(Tabela6[[#This Row],[Data]])</f>
        <v>11</v>
      </c>
      <c r="D1403" s="19">
        <f>YEAR(Tabela6[[#This Row],[Data]])</f>
        <v>2021</v>
      </c>
      <c r="E1403" s="12" t="s">
        <v>75</v>
      </c>
      <c r="F1403" t="s">
        <v>143</v>
      </c>
      <c r="G1403" s="26">
        <v>-5.85</v>
      </c>
      <c r="I1403" t="str">
        <f>IFERROR(VLOOKUP(Tabela6[[#This Row],[Descrição]],Materiais!B:C,2,0),"")</f>
        <v/>
      </c>
    </row>
    <row r="1404" spans="2:9">
      <c r="B1404" s="11">
        <f t="shared" si="124"/>
        <v>44530</v>
      </c>
      <c r="C1404" s="19">
        <f>MONTH(Tabela6[[#This Row],[Data]])</f>
        <v>11</v>
      </c>
      <c r="D1404" s="19">
        <f>YEAR(Tabela6[[#This Row],[Data]])</f>
        <v>2021</v>
      </c>
      <c r="E1404" s="12" t="s">
        <v>78</v>
      </c>
      <c r="F1404" t="s">
        <v>56</v>
      </c>
      <c r="G1404" s="26">
        <v>16</v>
      </c>
      <c r="I1404" t="str">
        <f>IFERROR(VLOOKUP(Tabela6[[#This Row],[Descrição]],Materiais!B:C,2,0),"")</f>
        <v/>
      </c>
    </row>
    <row r="1405" spans="2:9">
      <c r="B1405" s="11">
        <f t="shared" si="124"/>
        <v>44530</v>
      </c>
      <c r="C1405" s="19">
        <f>MONTH(Tabela6[[#This Row],[Data]])</f>
        <v>11</v>
      </c>
      <c r="D1405" s="19">
        <f>YEAR(Tabela6[[#This Row],[Data]])</f>
        <v>2021</v>
      </c>
      <c r="E1405" s="12" t="s">
        <v>78</v>
      </c>
      <c r="F1405" t="s">
        <v>61</v>
      </c>
      <c r="G1405" s="26">
        <v>8</v>
      </c>
      <c r="I1405" t="str">
        <f>IFERROR(VLOOKUP(Tabela6[[#This Row],[Descrição]],Materiais!B:C,2,0),"")</f>
        <v/>
      </c>
    </row>
    <row r="1406" spans="2:9">
      <c r="B1406" s="11">
        <f t="shared" si="124"/>
        <v>44530</v>
      </c>
      <c r="C1406" s="19">
        <f>MONTH(Tabela6[[#This Row],[Data]])</f>
        <v>11</v>
      </c>
      <c r="D1406" s="19">
        <f>YEAR(Tabela6[[#This Row],[Data]])</f>
        <v>2021</v>
      </c>
      <c r="E1406" s="12" t="s">
        <v>72</v>
      </c>
      <c r="F1406" t="s">
        <v>15</v>
      </c>
      <c r="G1406" s="26">
        <v>-8.66</v>
      </c>
      <c r="I1406" t="str">
        <f>IFERROR(VLOOKUP(Tabela6[[#This Row],[Descrição]],Materiais!B:C,2,0),"")</f>
        <v>g</v>
      </c>
    </row>
    <row r="1407" spans="2:9">
      <c r="B1407" s="11">
        <f t="shared" si="124"/>
        <v>44530</v>
      </c>
      <c r="C1407" s="19">
        <f>MONTH(Tabela6[[#This Row],[Data]])</f>
        <v>11</v>
      </c>
      <c r="D1407" s="19">
        <f>YEAR(Tabela6[[#This Row],[Data]])</f>
        <v>2021</v>
      </c>
      <c r="E1407" s="12" t="s">
        <v>75</v>
      </c>
      <c r="F1407" t="s">
        <v>119</v>
      </c>
      <c r="G1407" s="26">
        <v>-3.8</v>
      </c>
      <c r="I1407" t="str">
        <f>IFERROR(VLOOKUP(Tabela6[[#This Row],[Descrição]],Materiais!B:C,2,0),"")</f>
        <v/>
      </c>
    </row>
    <row r="1408" spans="2:9">
      <c r="B1408" s="11">
        <f t="shared" si="124"/>
        <v>44530</v>
      </c>
      <c r="C1408" s="19">
        <f>MONTH(Tabela6[[#This Row],[Data]])</f>
        <v>11</v>
      </c>
      <c r="D1408" s="19">
        <f>YEAR(Tabela6[[#This Row],[Data]])</f>
        <v>2021</v>
      </c>
      <c r="E1408" s="12" t="s">
        <v>78</v>
      </c>
      <c r="F1408" t="s">
        <v>126</v>
      </c>
      <c r="G1408" s="26">
        <v>4</v>
      </c>
      <c r="I1408" t="str">
        <f>IFERROR(VLOOKUP(Tabela6[[#This Row],[Descrição]],Materiais!B:C,2,0),"")</f>
        <v/>
      </c>
    </row>
    <row r="1409" spans="2:9">
      <c r="B1409" s="11">
        <f t="shared" si="124"/>
        <v>44530</v>
      </c>
      <c r="C1409" s="19">
        <f>MONTH(Tabela6[[#This Row],[Data]])</f>
        <v>11</v>
      </c>
      <c r="D1409" s="19">
        <f>YEAR(Tabela6[[#This Row],[Data]])</f>
        <v>2021</v>
      </c>
      <c r="E1409" s="12" t="s">
        <v>78</v>
      </c>
      <c r="F1409" t="s">
        <v>149</v>
      </c>
      <c r="G1409" s="26">
        <v>4</v>
      </c>
      <c r="I1409" t="str">
        <f>IFERROR(VLOOKUP(Tabela6[[#This Row],[Descrição]],Materiais!B:C,2,0),"")</f>
        <v/>
      </c>
    </row>
    <row r="1410" spans="2:9">
      <c r="B1410" s="11">
        <f t="shared" si="124"/>
        <v>44530</v>
      </c>
      <c r="C1410" s="19">
        <f>MONTH(Tabela6[[#This Row],[Data]])</f>
        <v>11</v>
      </c>
      <c r="D1410" s="19">
        <f>YEAR(Tabela6[[#This Row],[Data]])</f>
        <v>2021</v>
      </c>
      <c r="E1410" s="12" t="s">
        <v>78</v>
      </c>
      <c r="F1410" t="s">
        <v>95</v>
      </c>
      <c r="G1410" s="26">
        <v>6</v>
      </c>
      <c r="I1410" t="str">
        <f>IFERROR(VLOOKUP(Tabela6[[#This Row],[Descrição]],Materiais!B:C,2,0),"")</f>
        <v/>
      </c>
    </row>
    <row r="1411" spans="2:9">
      <c r="B1411" s="11">
        <f t="shared" si="124"/>
        <v>44530</v>
      </c>
      <c r="C1411" s="19">
        <f>MONTH(Tabela6[[#This Row],[Data]])</f>
        <v>11</v>
      </c>
      <c r="D1411" s="19">
        <f>YEAR(Tabela6[[#This Row],[Data]])</f>
        <v>2021</v>
      </c>
      <c r="E1411" s="12" t="s">
        <v>78</v>
      </c>
      <c r="F1411" t="s">
        <v>117</v>
      </c>
      <c r="G1411" s="26">
        <v>4</v>
      </c>
      <c r="I1411" t="str">
        <f>IFERROR(VLOOKUP(Tabela6[[#This Row],[Descrição]],Materiais!B:C,2,0),"")</f>
        <v/>
      </c>
    </row>
    <row r="1412" spans="2:9">
      <c r="B1412" s="11">
        <f>43071+(365*4)</f>
        <v>44531</v>
      </c>
      <c r="C1412" s="19">
        <f>MONTH(Tabela6[[#This Row],[Data]])</f>
        <v>12</v>
      </c>
      <c r="D1412" s="19">
        <f>YEAR(Tabela6[[#This Row],[Data]])</f>
        <v>2021</v>
      </c>
      <c r="E1412" s="12" t="s">
        <v>78</v>
      </c>
      <c r="F1412" t="s">
        <v>56</v>
      </c>
      <c r="G1412" s="26">
        <v>70</v>
      </c>
      <c r="I1412" t="str">
        <f>IFERROR(VLOOKUP(Tabela6[[#This Row],[Descrição]],Materiais!B:C,2,0),"")</f>
        <v/>
      </c>
    </row>
    <row r="1413" spans="2:9">
      <c r="B1413" s="11">
        <f>43072+(365*4)</f>
        <v>44532</v>
      </c>
      <c r="C1413" s="19">
        <f>MONTH(Tabela6[[#This Row],[Data]])</f>
        <v>12</v>
      </c>
      <c r="D1413" s="19">
        <f>YEAR(Tabela6[[#This Row],[Data]])</f>
        <v>2021</v>
      </c>
      <c r="E1413" s="12" t="s">
        <v>78</v>
      </c>
      <c r="F1413" t="s">
        <v>56</v>
      </c>
      <c r="G1413" s="26">
        <v>70</v>
      </c>
      <c r="I1413" t="str">
        <f>IFERROR(VLOOKUP(Tabela6[[#This Row],[Descrição]],Materiais!B:C,2,0),"")</f>
        <v/>
      </c>
    </row>
    <row r="1414" spans="2:9">
      <c r="B1414" s="11">
        <f t="shared" ref="B1414:B1419" si="125">43073+(365*4)</f>
        <v>44533</v>
      </c>
      <c r="C1414" s="19">
        <f>MONTH(Tabela6[[#This Row],[Data]])</f>
        <v>12</v>
      </c>
      <c r="D1414" s="19">
        <f>YEAR(Tabela6[[#This Row],[Data]])</f>
        <v>2021</v>
      </c>
      <c r="E1414" s="12" t="s">
        <v>78</v>
      </c>
      <c r="F1414" t="s">
        <v>63</v>
      </c>
      <c r="G1414" s="26">
        <v>2</v>
      </c>
      <c r="I1414" t="str">
        <f>IFERROR(VLOOKUP(Tabela6[[#This Row],[Descrição]],Materiais!B:C,2,0),"")</f>
        <v/>
      </c>
    </row>
    <row r="1415" spans="2:9">
      <c r="B1415" s="11">
        <f t="shared" si="125"/>
        <v>44533</v>
      </c>
      <c r="C1415" s="19">
        <f>MONTH(Tabela6[[#This Row],[Data]])</f>
        <v>12</v>
      </c>
      <c r="D1415" s="19">
        <f>YEAR(Tabela6[[#This Row],[Data]])</f>
        <v>2021</v>
      </c>
      <c r="E1415" s="12" t="s">
        <v>78</v>
      </c>
      <c r="F1415" t="s">
        <v>56</v>
      </c>
      <c r="G1415" s="26">
        <v>4</v>
      </c>
      <c r="I1415" t="str">
        <f>IFERROR(VLOOKUP(Tabela6[[#This Row],[Descrição]],Materiais!B:C,2,0),"")</f>
        <v/>
      </c>
    </row>
    <row r="1416" spans="2:9">
      <c r="B1416" s="11">
        <f t="shared" si="125"/>
        <v>44533</v>
      </c>
      <c r="C1416" s="19">
        <f>MONTH(Tabela6[[#This Row],[Data]])</f>
        <v>12</v>
      </c>
      <c r="D1416" s="19">
        <f>YEAR(Tabela6[[#This Row],[Data]])</f>
        <v>2021</v>
      </c>
      <c r="E1416" s="12" t="s">
        <v>78</v>
      </c>
      <c r="F1416" t="s">
        <v>61</v>
      </c>
      <c r="G1416" s="26">
        <v>10</v>
      </c>
      <c r="I1416" t="str">
        <f>IFERROR(VLOOKUP(Tabela6[[#This Row],[Descrição]],Materiais!B:C,2,0),"")</f>
        <v/>
      </c>
    </row>
    <row r="1417" spans="2:9">
      <c r="B1417" s="11">
        <f t="shared" si="125"/>
        <v>44533</v>
      </c>
      <c r="C1417" s="19">
        <f>MONTH(Tabela6[[#This Row],[Data]])</f>
        <v>12</v>
      </c>
      <c r="D1417" s="19">
        <f>YEAR(Tabela6[[#This Row],[Data]])</f>
        <v>2021</v>
      </c>
      <c r="E1417" s="12" t="s">
        <v>78</v>
      </c>
      <c r="F1417" t="s">
        <v>149</v>
      </c>
      <c r="G1417" s="26">
        <v>2</v>
      </c>
      <c r="I1417" t="str">
        <f>IFERROR(VLOOKUP(Tabela6[[#This Row],[Descrição]],Materiais!B:C,2,0),"")</f>
        <v/>
      </c>
    </row>
    <row r="1418" spans="2:9">
      <c r="B1418" s="11">
        <f t="shared" si="125"/>
        <v>44533</v>
      </c>
      <c r="C1418" s="19">
        <f>MONTH(Tabela6[[#This Row],[Data]])</f>
        <v>12</v>
      </c>
      <c r="D1418" s="19">
        <f>YEAR(Tabela6[[#This Row],[Data]])</f>
        <v>2021</v>
      </c>
      <c r="E1418" s="12" t="s">
        <v>78</v>
      </c>
      <c r="F1418" t="s">
        <v>58</v>
      </c>
      <c r="G1418" s="26">
        <v>4</v>
      </c>
      <c r="I1418" t="str">
        <f>IFERROR(VLOOKUP(Tabela6[[#This Row],[Descrição]],Materiais!B:C,2,0),"")</f>
        <v/>
      </c>
    </row>
    <row r="1419" spans="2:9">
      <c r="B1419" s="11">
        <f t="shared" si="125"/>
        <v>44533</v>
      </c>
      <c r="C1419" s="19">
        <f>MONTH(Tabela6[[#This Row],[Data]])</f>
        <v>12</v>
      </c>
      <c r="D1419" s="19">
        <f>YEAR(Tabela6[[#This Row],[Data]])</f>
        <v>2021</v>
      </c>
      <c r="E1419" s="12" t="s">
        <v>78</v>
      </c>
      <c r="F1419" t="s">
        <v>95</v>
      </c>
      <c r="G1419" s="26">
        <v>2</v>
      </c>
      <c r="I1419" t="str">
        <f>IFERROR(VLOOKUP(Tabela6[[#This Row],[Descrição]],Materiais!B:C,2,0),"")</f>
        <v/>
      </c>
    </row>
    <row r="1420" spans="2:9">
      <c r="B1420" s="11">
        <f t="shared" ref="B1420:B1430" si="126">43074+(365*4)</f>
        <v>44534</v>
      </c>
      <c r="C1420" s="19">
        <f>MONTH(Tabela6[[#This Row],[Data]])</f>
        <v>12</v>
      </c>
      <c r="D1420" s="19">
        <f>YEAR(Tabela6[[#This Row],[Data]])</f>
        <v>2021</v>
      </c>
      <c r="E1420" s="12" t="s">
        <v>78</v>
      </c>
      <c r="F1420" t="s">
        <v>63</v>
      </c>
      <c r="G1420" s="26">
        <v>6</v>
      </c>
      <c r="I1420" t="str">
        <f>IFERROR(VLOOKUP(Tabela6[[#This Row],[Descrição]],Materiais!B:C,2,0),"")</f>
        <v/>
      </c>
    </row>
    <row r="1421" spans="2:9">
      <c r="B1421" s="11">
        <f t="shared" si="126"/>
        <v>44534</v>
      </c>
      <c r="C1421" s="19">
        <f>MONTH(Tabela6[[#This Row],[Data]])</f>
        <v>12</v>
      </c>
      <c r="D1421" s="19">
        <f>YEAR(Tabela6[[#This Row],[Data]])</f>
        <v>2021</v>
      </c>
      <c r="E1421" s="12" t="s">
        <v>78</v>
      </c>
      <c r="F1421" t="s">
        <v>56</v>
      </c>
      <c r="G1421" s="26">
        <v>6</v>
      </c>
      <c r="I1421" t="str">
        <f>IFERROR(VLOOKUP(Tabela6[[#This Row],[Descrição]],Materiais!B:C,2,0),"")</f>
        <v/>
      </c>
    </row>
    <row r="1422" spans="2:9">
      <c r="B1422" s="11">
        <f t="shared" si="126"/>
        <v>44534</v>
      </c>
      <c r="C1422" s="19">
        <f>MONTH(Tabela6[[#This Row],[Data]])</f>
        <v>12</v>
      </c>
      <c r="D1422" s="19">
        <f>YEAR(Tabela6[[#This Row],[Data]])</f>
        <v>2021</v>
      </c>
      <c r="E1422" s="12" t="s">
        <v>78</v>
      </c>
      <c r="F1422" t="s">
        <v>147</v>
      </c>
      <c r="G1422" s="26">
        <v>4</v>
      </c>
      <c r="I1422" t="str">
        <f>IFERROR(VLOOKUP(Tabela6[[#This Row],[Descrição]],Materiais!B:C,2,0),"")</f>
        <v/>
      </c>
    </row>
    <row r="1423" spans="2:9">
      <c r="B1423" s="11">
        <f t="shared" si="126"/>
        <v>44534</v>
      </c>
      <c r="C1423" s="19">
        <f>MONTH(Tabela6[[#This Row],[Data]])</f>
        <v>12</v>
      </c>
      <c r="D1423" s="19">
        <f>YEAR(Tabela6[[#This Row],[Data]])</f>
        <v>2021</v>
      </c>
      <c r="E1423" s="12" t="s">
        <v>78</v>
      </c>
      <c r="F1423" t="s">
        <v>61</v>
      </c>
      <c r="G1423" s="26">
        <v>2</v>
      </c>
      <c r="I1423" t="str">
        <f>IFERROR(VLOOKUP(Tabela6[[#This Row],[Descrição]],Materiais!B:C,2,0),"")</f>
        <v/>
      </c>
    </row>
    <row r="1424" spans="2:9">
      <c r="B1424" s="11">
        <f t="shared" si="126"/>
        <v>44534</v>
      </c>
      <c r="C1424" s="19">
        <f>MONTH(Tabela6[[#This Row],[Data]])</f>
        <v>12</v>
      </c>
      <c r="D1424" s="19">
        <f>YEAR(Tabela6[[#This Row],[Data]])</f>
        <v>2021</v>
      </c>
      <c r="E1424" s="12" t="s">
        <v>78</v>
      </c>
      <c r="F1424" t="s">
        <v>126</v>
      </c>
      <c r="G1424" s="26">
        <v>6</v>
      </c>
      <c r="I1424" t="str">
        <f>IFERROR(VLOOKUP(Tabela6[[#This Row],[Descrição]],Materiais!B:C,2,0),"")</f>
        <v/>
      </c>
    </row>
    <row r="1425" spans="2:9">
      <c r="B1425" s="11">
        <f t="shared" si="126"/>
        <v>44534</v>
      </c>
      <c r="C1425" s="19">
        <f>MONTH(Tabela6[[#This Row],[Data]])</f>
        <v>12</v>
      </c>
      <c r="D1425" s="19">
        <f>YEAR(Tabela6[[#This Row],[Data]])</f>
        <v>2021</v>
      </c>
      <c r="E1425" s="12" t="s">
        <v>78</v>
      </c>
      <c r="F1425" t="s">
        <v>142</v>
      </c>
      <c r="G1425" s="26">
        <v>6</v>
      </c>
      <c r="I1425" t="str">
        <f>IFERROR(VLOOKUP(Tabela6[[#This Row],[Descrição]],Materiais!B:C,2,0),"")</f>
        <v/>
      </c>
    </row>
    <row r="1426" spans="2:9">
      <c r="B1426" s="11">
        <f t="shared" si="126"/>
        <v>44534</v>
      </c>
      <c r="C1426" s="19">
        <f>MONTH(Tabela6[[#This Row],[Data]])</f>
        <v>12</v>
      </c>
      <c r="D1426" s="19">
        <f>YEAR(Tabela6[[#This Row],[Data]])</f>
        <v>2021</v>
      </c>
      <c r="E1426" s="12" t="s">
        <v>78</v>
      </c>
      <c r="F1426" t="s">
        <v>62</v>
      </c>
      <c r="G1426" s="26">
        <v>2</v>
      </c>
      <c r="I1426" t="str">
        <f>IFERROR(VLOOKUP(Tabela6[[#This Row],[Descrição]],Materiais!B:C,2,0),"")</f>
        <v/>
      </c>
    </row>
    <row r="1427" spans="2:9">
      <c r="B1427" s="11">
        <f t="shared" si="126"/>
        <v>44534</v>
      </c>
      <c r="C1427" s="19">
        <f>MONTH(Tabela6[[#This Row],[Data]])</f>
        <v>12</v>
      </c>
      <c r="D1427" s="19">
        <f>YEAR(Tabela6[[#This Row],[Data]])</f>
        <v>2021</v>
      </c>
      <c r="E1427" s="12" t="s">
        <v>78</v>
      </c>
      <c r="F1427" t="s">
        <v>149</v>
      </c>
      <c r="G1427" s="26">
        <v>2</v>
      </c>
      <c r="I1427" t="str">
        <f>IFERROR(VLOOKUP(Tabela6[[#This Row],[Descrição]],Materiais!B:C,2,0),"")</f>
        <v/>
      </c>
    </row>
    <row r="1428" spans="2:9">
      <c r="B1428" s="11">
        <f t="shared" si="126"/>
        <v>44534</v>
      </c>
      <c r="C1428" s="19">
        <f>MONTH(Tabela6[[#This Row],[Data]])</f>
        <v>12</v>
      </c>
      <c r="D1428" s="19">
        <f>YEAR(Tabela6[[#This Row],[Data]])</f>
        <v>2021</v>
      </c>
      <c r="E1428" s="12" t="s">
        <v>78</v>
      </c>
      <c r="F1428" t="s">
        <v>58</v>
      </c>
      <c r="G1428" s="26">
        <v>4</v>
      </c>
      <c r="I1428" t="str">
        <f>IFERROR(VLOOKUP(Tabela6[[#This Row],[Descrição]],Materiais!B:C,2,0),"")</f>
        <v/>
      </c>
    </row>
    <row r="1429" spans="2:9">
      <c r="B1429" s="11">
        <f t="shared" si="126"/>
        <v>44534</v>
      </c>
      <c r="C1429" s="19">
        <f>MONTH(Tabela6[[#This Row],[Data]])</f>
        <v>12</v>
      </c>
      <c r="D1429" s="19">
        <f>YEAR(Tabela6[[#This Row],[Data]])</f>
        <v>2021</v>
      </c>
      <c r="E1429" s="12" t="s">
        <v>78</v>
      </c>
      <c r="F1429" t="s">
        <v>95</v>
      </c>
      <c r="G1429" s="26">
        <v>2</v>
      </c>
      <c r="I1429" t="str">
        <f>IFERROR(VLOOKUP(Tabela6[[#This Row],[Descrição]],Materiais!B:C,2,0),"")</f>
        <v/>
      </c>
    </row>
    <row r="1430" spans="2:9">
      <c r="B1430" s="11">
        <f t="shared" si="126"/>
        <v>44534</v>
      </c>
      <c r="C1430" s="19">
        <f>MONTH(Tabela6[[#This Row],[Data]])</f>
        <v>12</v>
      </c>
      <c r="D1430" s="19">
        <f>YEAR(Tabela6[[#This Row],[Data]])</f>
        <v>2021</v>
      </c>
      <c r="E1430" s="12" t="s">
        <v>78</v>
      </c>
      <c r="F1430" t="s">
        <v>117</v>
      </c>
      <c r="G1430" s="26">
        <v>2</v>
      </c>
      <c r="I1430" t="str">
        <f>IFERROR(VLOOKUP(Tabela6[[#This Row],[Descrição]],Materiais!B:C,2,0),"")</f>
        <v/>
      </c>
    </row>
    <row r="1431" spans="2:9">
      <c r="B1431" s="11">
        <f t="shared" ref="B1431:B1439" si="127">43075+(365*4)</f>
        <v>44535</v>
      </c>
      <c r="C1431" s="19">
        <f>MONTH(Tabela6[[#This Row],[Data]])</f>
        <v>12</v>
      </c>
      <c r="D1431" s="19">
        <f>YEAR(Tabela6[[#This Row],[Data]])</f>
        <v>2021</v>
      </c>
      <c r="E1431" s="12" t="s">
        <v>78</v>
      </c>
      <c r="F1431" t="s">
        <v>63</v>
      </c>
      <c r="G1431" s="26">
        <v>2</v>
      </c>
      <c r="I1431" t="str">
        <f>IFERROR(VLOOKUP(Tabela6[[#This Row],[Descrição]],Materiais!B:C,2,0),"")</f>
        <v/>
      </c>
    </row>
    <row r="1432" spans="2:9">
      <c r="B1432" s="11">
        <f t="shared" si="127"/>
        <v>44535</v>
      </c>
      <c r="C1432" s="19">
        <f>MONTH(Tabela6[[#This Row],[Data]])</f>
        <v>12</v>
      </c>
      <c r="D1432" s="19">
        <f>YEAR(Tabela6[[#This Row],[Data]])</f>
        <v>2021</v>
      </c>
      <c r="E1432" s="12" t="s">
        <v>78</v>
      </c>
      <c r="F1432" t="s">
        <v>56</v>
      </c>
      <c r="G1432" s="26">
        <v>70</v>
      </c>
      <c r="I1432" t="str">
        <f>IFERROR(VLOOKUP(Tabela6[[#This Row],[Descrição]],Materiais!B:C,2,0),"")</f>
        <v/>
      </c>
    </row>
    <row r="1433" spans="2:9">
      <c r="B1433" s="11">
        <f t="shared" si="127"/>
        <v>44535</v>
      </c>
      <c r="C1433" s="19">
        <f>MONTH(Tabela6[[#This Row],[Data]])</f>
        <v>12</v>
      </c>
      <c r="D1433" s="19">
        <f>YEAR(Tabela6[[#This Row],[Data]])</f>
        <v>2021</v>
      </c>
      <c r="E1433" s="12" t="s">
        <v>78</v>
      </c>
      <c r="F1433" t="s">
        <v>56</v>
      </c>
      <c r="G1433" s="26">
        <v>4</v>
      </c>
      <c r="I1433" t="str">
        <f>IFERROR(VLOOKUP(Tabela6[[#This Row],[Descrição]],Materiais!B:C,2,0),"")</f>
        <v/>
      </c>
    </row>
    <row r="1434" spans="2:9">
      <c r="B1434" s="11">
        <f t="shared" si="127"/>
        <v>44535</v>
      </c>
      <c r="C1434" s="19">
        <f>MONTH(Tabela6[[#This Row],[Data]])</f>
        <v>12</v>
      </c>
      <c r="D1434" s="19">
        <f>YEAR(Tabela6[[#This Row],[Data]])</f>
        <v>2021</v>
      </c>
      <c r="E1434" s="12" t="s">
        <v>78</v>
      </c>
      <c r="F1434" t="s">
        <v>100</v>
      </c>
      <c r="G1434" s="26">
        <v>2</v>
      </c>
      <c r="I1434" t="str">
        <f>IFERROR(VLOOKUP(Tabela6[[#This Row],[Descrição]],Materiais!B:C,2,0),"")</f>
        <v/>
      </c>
    </row>
    <row r="1435" spans="2:9">
      <c r="B1435" s="11">
        <f t="shared" si="127"/>
        <v>44535</v>
      </c>
      <c r="C1435" s="19">
        <f>MONTH(Tabela6[[#This Row],[Data]])</f>
        <v>12</v>
      </c>
      <c r="D1435" s="19">
        <f>YEAR(Tabela6[[#This Row],[Data]])</f>
        <v>2021</v>
      </c>
      <c r="E1435" s="12" t="s">
        <v>78</v>
      </c>
      <c r="F1435" t="s">
        <v>61</v>
      </c>
      <c r="G1435" s="26">
        <v>6</v>
      </c>
      <c r="I1435" t="str">
        <f>IFERROR(VLOOKUP(Tabela6[[#This Row],[Descrição]],Materiais!B:C,2,0),"")</f>
        <v/>
      </c>
    </row>
    <row r="1436" spans="2:9">
      <c r="B1436" s="11">
        <f t="shared" si="127"/>
        <v>44535</v>
      </c>
      <c r="C1436" s="19">
        <f>MONTH(Tabela6[[#This Row],[Data]])</f>
        <v>12</v>
      </c>
      <c r="D1436" s="19">
        <f>YEAR(Tabela6[[#This Row],[Data]])</f>
        <v>2021</v>
      </c>
      <c r="E1436" s="12" t="s">
        <v>78</v>
      </c>
      <c r="F1436" t="s">
        <v>126</v>
      </c>
      <c r="G1436" s="26">
        <v>4</v>
      </c>
      <c r="I1436" t="str">
        <f>IFERROR(VLOOKUP(Tabela6[[#This Row],[Descrição]],Materiais!B:C,2,0),"")</f>
        <v/>
      </c>
    </row>
    <row r="1437" spans="2:9">
      <c r="B1437" s="11">
        <f t="shared" si="127"/>
        <v>44535</v>
      </c>
      <c r="C1437" s="19">
        <f>MONTH(Tabela6[[#This Row],[Data]])</f>
        <v>12</v>
      </c>
      <c r="D1437" s="19">
        <f>YEAR(Tabela6[[#This Row],[Data]])</f>
        <v>2021</v>
      </c>
      <c r="E1437" s="12" t="s">
        <v>78</v>
      </c>
      <c r="F1437" t="s">
        <v>142</v>
      </c>
      <c r="G1437" s="26">
        <v>4</v>
      </c>
      <c r="I1437" t="str">
        <f>IFERROR(VLOOKUP(Tabela6[[#This Row],[Descrição]],Materiais!B:C,2,0),"")</f>
        <v/>
      </c>
    </row>
    <row r="1438" spans="2:9">
      <c r="B1438" s="11">
        <f t="shared" si="127"/>
        <v>44535</v>
      </c>
      <c r="C1438" s="19">
        <f>MONTH(Tabela6[[#This Row],[Data]])</f>
        <v>12</v>
      </c>
      <c r="D1438" s="19">
        <f>YEAR(Tabela6[[#This Row],[Data]])</f>
        <v>2021</v>
      </c>
      <c r="E1438" s="12" t="s">
        <v>78</v>
      </c>
      <c r="F1438" t="s">
        <v>62</v>
      </c>
      <c r="G1438" s="26">
        <v>2</v>
      </c>
      <c r="I1438" t="str">
        <f>IFERROR(VLOOKUP(Tabela6[[#This Row],[Descrição]],Materiais!B:C,2,0),"")</f>
        <v/>
      </c>
    </row>
    <row r="1439" spans="2:9">
      <c r="B1439" s="11">
        <f t="shared" si="127"/>
        <v>44535</v>
      </c>
      <c r="C1439" s="19">
        <f>MONTH(Tabela6[[#This Row],[Data]])</f>
        <v>12</v>
      </c>
      <c r="D1439" s="19">
        <f>YEAR(Tabela6[[#This Row],[Data]])</f>
        <v>2021</v>
      </c>
      <c r="E1439" s="12" t="s">
        <v>78</v>
      </c>
      <c r="F1439" t="s">
        <v>58</v>
      </c>
      <c r="G1439" s="26">
        <v>8</v>
      </c>
      <c r="I1439" t="str">
        <f>IFERROR(VLOOKUP(Tabela6[[#This Row],[Descrição]],Materiais!B:C,2,0),"")</f>
        <v/>
      </c>
    </row>
    <row r="1440" spans="2:9">
      <c r="B1440" s="11">
        <f t="shared" ref="B1440:B1447" si="128">43076+(365*4)</f>
        <v>44536</v>
      </c>
      <c r="C1440" s="19">
        <f>MONTH(Tabela6[[#This Row],[Data]])</f>
        <v>12</v>
      </c>
      <c r="D1440" s="19">
        <f>YEAR(Tabela6[[#This Row],[Data]])</f>
        <v>2021</v>
      </c>
      <c r="E1440" s="12" t="s">
        <v>78</v>
      </c>
      <c r="F1440" t="s">
        <v>63</v>
      </c>
      <c r="G1440" s="26">
        <v>6</v>
      </c>
      <c r="I1440" t="str">
        <f>IFERROR(VLOOKUP(Tabela6[[#This Row],[Descrição]],Materiais!B:C,2,0),"")</f>
        <v/>
      </c>
    </row>
    <row r="1441" spans="2:9">
      <c r="B1441" s="11">
        <f t="shared" si="128"/>
        <v>44536</v>
      </c>
      <c r="C1441" s="19">
        <f>MONTH(Tabela6[[#This Row],[Data]])</f>
        <v>12</v>
      </c>
      <c r="D1441" s="19">
        <f>YEAR(Tabela6[[#This Row],[Data]])</f>
        <v>2021</v>
      </c>
      <c r="E1441" s="12" t="s">
        <v>78</v>
      </c>
      <c r="F1441" t="s">
        <v>56</v>
      </c>
      <c r="G1441" s="26">
        <v>6</v>
      </c>
      <c r="I1441" t="str">
        <f>IFERROR(VLOOKUP(Tabela6[[#This Row],[Descrição]],Materiais!B:C,2,0),"")</f>
        <v/>
      </c>
    </row>
    <row r="1442" spans="2:9">
      <c r="B1442" s="11">
        <f t="shared" si="128"/>
        <v>44536</v>
      </c>
      <c r="C1442" s="19">
        <f>MONTH(Tabela6[[#This Row],[Data]])</f>
        <v>12</v>
      </c>
      <c r="D1442" s="19">
        <f>YEAR(Tabela6[[#This Row],[Data]])</f>
        <v>2021</v>
      </c>
      <c r="E1442" s="12" t="s">
        <v>78</v>
      </c>
      <c r="F1442" t="s">
        <v>147</v>
      </c>
      <c r="G1442" s="26">
        <v>6</v>
      </c>
      <c r="I1442" t="str">
        <f>IFERROR(VLOOKUP(Tabela6[[#This Row],[Descrição]],Materiais!B:C,2,0),"")</f>
        <v/>
      </c>
    </row>
    <row r="1443" spans="2:9">
      <c r="B1443" s="11">
        <f t="shared" si="128"/>
        <v>44536</v>
      </c>
      <c r="C1443" s="19">
        <f>MONTH(Tabela6[[#This Row],[Data]])</f>
        <v>12</v>
      </c>
      <c r="D1443" s="19">
        <f>YEAR(Tabela6[[#This Row],[Data]])</f>
        <v>2021</v>
      </c>
      <c r="E1443" s="12" t="s">
        <v>78</v>
      </c>
      <c r="F1443" t="s">
        <v>61</v>
      </c>
      <c r="G1443" s="26">
        <v>2</v>
      </c>
      <c r="I1443" t="str">
        <f>IFERROR(VLOOKUP(Tabela6[[#This Row],[Descrição]],Materiais!B:C,2,0),"")</f>
        <v/>
      </c>
    </row>
    <row r="1444" spans="2:9">
      <c r="B1444" s="11">
        <f t="shared" si="128"/>
        <v>44536</v>
      </c>
      <c r="C1444" s="19">
        <f>MONTH(Tabela6[[#This Row],[Data]])</f>
        <v>12</v>
      </c>
      <c r="D1444" s="19">
        <f>YEAR(Tabela6[[#This Row],[Data]])</f>
        <v>2021</v>
      </c>
      <c r="E1444" s="12" t="s">
        <v>78</v>
      </c>
      <c r="F1444" t="s">
        <v>126</v>
      </c>
      <c r="G1444" s="26">
        <v>2</v>
      </c>
      <c r="I1444" t="str">
        <f>IFERROR(VLOOKUP(Tabela6[[#This Row],[Descrição]],Materiais!B:C,2,0),"")</f>
        <v/>
      </c>
    </row>
    <row r="1445" spans="2:9">
      <c r="B1445" s="11">
        <f t="shared" si="128"/>
        <v>44536</v>
      </c>
      <c r="C1445" s="19">
        <f>MONTH(Tabela6[[#This Row],[Data]])</f>
        <v>12</v>
      </c>
      <c r="D1445" s="19">
        <f>YEAR(Tabela6[[#This Row],[Data]])</f>
        <v>2021</v>
      </c>
      <c r="E1445" s="12" t="s">
        <v>78</v>
      </c>
      <c r="F1445" t="s">
        <v>142</v>
      </c>
      <c r="G1445" s="26">
        <v>4</v>
      </c>
      <c r="I1445" t="str">
        <f>IFERROR(VLOOKUP(Tabela6[[#This Row],[Descrição]],Materiais!B:C,2,0),"")</f>
        <v/>
      </c>
    </row>
    <row r="1446" spans="2:9">
      <c r="B1446" s="11">
        <f t="shared" si="128"/>
        <v>44536</v>
      </c>
      <c r="C1446" s="19">
        <f>MONTH(Tabela6[[#This Row],[Data]])</f>
        <v>12</v>
      </c>
      <c r="D1446" s="19">
        <f>YEAR(Tabela6[[#This Row],[Data]])</f>
        <v>2021</v>
      </c>
      <c r="E1446" s="12" t="s">
        <v>78</v>
      </c>
      <c r="F1446" t="s">
        <v>58</v>
      </c>
      <c r="G1446" s="26">
        <v>6</v>
      </c>
      <c r="I1446" t="str">
        <f>IFERROR(VLOOKUP(Tabela6[[#This Row],[Descrição]],Materiais!B:C,2,0),"")</f>
        <v/>
      </c>
    </row>
    <row r="1447" spans="2:9">
      <c r="B1447" s="11">
        <f t="shared" si="128"/>
        <v>44536</v>
      </c>
      <c r="C1447" s="19">
        <f>MONTH(Tabela6[[#This Row],[Data]])</f>
        <v>12</v>
      </c>
      <c r="D1447" s="19">
        <f>YEAR(Tabela6[[#This Row],[Data]])</f>
        <v>2021</v>
      </c>
      <c r="E1447" s="12" t="s">
        <v>78</v>
      </c>
      <c r="F1447" t="s">
        <v>95</v>
      </c>
      <c r="G1447" s="26">
        <v>6</v>
      </c>
      <c r="I1447" t="str">
        <f>IFERROR(VLOOKUP(Tabela6[[#This Row],[Descrição]],Materiais!B:C,2,0),"")</f>
        <v/>
      </c>
    </row>
    <row r="1448" spans="2:9">
      <c r="B1448" s="11">
        <f t="shared" ref="B1448:B1456" si="129">43080+(365*4)</f>
        <v>44540</v>
      </c>
      <c r="C1448" s="19">
        <f>MONTH(Tabela6[[#This Row],[Data]])</f>
        <v>12</v>
      </c>
      <c r="D1448" s="19">
        <f>YEAR(Tabela6[[#This Row],[Data]])</f>
        <v>2021</v>
      </c>
      <c r="E1448" s="12" t="s">
        <v>78</v>
      </c>
      <c r="F1448" t="s">
        <v>63</v>
      </c>
      <c r="G1448" s="26">
        <v>6</v>
      </c>
      <c r="I1448" t="str">
        <f>IFERROR(VLOOKUP(Tabela6[[#This Row],[Descrição]],Materiais!B:C,2,0),"")</f>
        <v/>
      </c>
    </row>
    <row r="1449" spans="2:9">
      <c r="B1449" s="11">
        <f t="shared" si="129"/>
        <v>44540</v>
      </c>
      <c r="C1449" s="19">
        <f>MONTH(Tabela6[[#This Row],[Data]])</f>
        <v>12</v>
      </c>
      <c r="D1449" s="19">
        <f>YEAR(Tabela6[[#This Row],[Data]])</f>
        <v>2021</v>
      </c>
      <c r="E1449" s="12" t="s">
        <v>78</v>
      </c>
      <c r="F1449" t="s">
        <v>133</v>
      </c>
      <c r="G1449" s="26">
        <v>6</v>
      </c>
      <c r="I1449" t="str">
        <f>IFERROR(VLOOKUP(Tabela6[[#This Row],[Descrição]],Materiais!B:C,2,0),"")</f>
        <v/>
      </c>
    </row>
    <row r="1450" spans="2:9">
      <c r="B1450" s="11">
        <f t="shared" si="129"/>
        <v>44540</v>
      </c>
      <c r="C1450" s="19">
        <f>MONTH(Tabela6[[#This Row],[Data]])</f>
        <v>12</v>
      </c>
      <c r="D1450" s="19">
        <f>YEAR(Tabela6[[#This Row],[Data]])</f>
        <v>2021</v>
      </c>
      <c r="E1450" s="12" t="s">
        <v>78</v>
      </c>
      <c r="F1450" t="s">
        <v>56</v>
      </c>
      <c r="G1450" s="26">
        <v>16</v>
      </c>
      <c r="I1450" t="str">
        <f>IFERROR(VLOOKUP(Tabela6[[#This Row],[Descrição]],Materiais!B:C,2,0),"")</f>
        <v/>
      </c>
    </row>
    <row r="1451" spans="2:9">
      <c r="B1451" s="11">
        <f t="shared" si="129"/>
        <v>44540</v>
      </c>
      <c r="C1451" s="19">
        <f>MONTH(Tabela6[[#This Row],[Data]])</f>
        <v>12</v>
      </c>
      <c r="D1451" s="19">
        <f>YEAR(Tabela6[[#This Row],[Data]])</f>
        <v>2021</v>
      </c>
      <c r="E1451" s="12" t="s">
        <v>78</v>
      </c>
      <c r="F1451" t="s">
        <v>61</v>
      </c>
      <c r="G1451" s="26">
        <v>12</v>
      </c>
      <c r="I1451" t="str">
        <f>IFERROR(VLOOKUP(Tabela6[[#This Row],[Descrição]],Materiais!B:C,2,0),"")</f>
        <v/>
      </c>
    </row>
    <row r="1452" spans="2:9">
      <c r="B1452" s="11">
        <f t="shared" si="129"/>
        <v>44540</v>
      </c>
      <c r="C1452" s="19">
        <f>MONTH(Tabela6[[#This Row],[Data]])</f>
        <v>12</v>
      </c>
      <c r="D1452" s="19">
        <f>YEAR(Tabela6[[#This Row],[Data]])</f>
        <v>2021</v>
      </c>
      <c r="E1452" s="12" t="s">
        <v>78</v>
      </c>
      <c r="F1452" t="s">
        <v>126</v>
      </c>
      <c r="G1452" s="26">
        <v>2</v>
      </c>
      <c r="I1452" t="str">
        <f>IFERROR(VLOOKUP(Tabela6[[#This Row],[Descrição]],Materiais!B:C,2,0),"")</f>
        <v/>
      </c>
    </row>
    <row r="1453" spans="2:9">
      <c r="B1453" s="11">
        <f t="shared" si="129"/>
        <v>44540</v>
      </c>
      <c r="C1453" s="19">
        <f>MONTH(Tabela6[[#This Row],[Data]])</f>
        <v>12</v>
      </c>
      <c r="D1453" s="19">
        <f>YEAR(Tabela6[[#This Row],[Data]])</f>
        <v>2021</v>
      </c>
      <c r="E1453" s="12" t="s">
        <v>78</v>
      </c>
      <c r="F1453" t="s">
        <v>142</v>
      </c>
      <c r="G1453" s="26">
        <v>4</v>
      </c>
      <c r="I1453" t="str">
        <f>IFERROR(VLOOKUP(Tabela6[[#This Row],[Descrição]],Materiais!B:C,2,0),"")</f>
        <v/>
      </c>
    </row>
    <row r="1454" spans="2:9">
      <c r="B1454" s="11">
        <f t="shared" si="129"/>
        <v>44540</v>
      </c>
      <c r="C1454" s="19">
        <f>MONTH(Tabela6[[#This Row],[Data]])</f>
        <v>12</v>
      </c>
      <c r="D1454" s="19">
        <f>YEAR(Tabela6[[#This Row],[Data]])</f>
        <v>2021</v>
      </c>
      <c r="E1454" s="12" t="s">
        <v>78</v>
      </c>
      <c r="F1454" t="s">
        <v>149</v>
      </c>
      <c r="G1454" s="26">
        <v>4</v>
      </c>
      <c r="I1454" t="str">
        <f>IFERROR(VLOOKUP(Tabela6[[#This Row],[Descrição]],Materiais!B:C,2,0),"")</f>
        <v/>
      </c>
    </row>
    <row r="1455" spans="2:9">
      <c r="B1455" s="11">
        <f t="shared" si="129"/>
        <v>44540</v>
      </c>
      <c r="C1455" s="19">
        <f>MONTH(Tabela6[[#This Row],[Data]])</f>
        <v>12</v>
      </c>
      <c r="D1455" s="19">
        <f>YEAR(Tabela6[[#This Row],[Data]])</f>
        <v>2021</v>
      </c>
      <c r="E1455" s="12" t="s">
        <v>78</v>
      </c>
      <c r="F1455" t="s">
        <v>58</v>
      </c>
      <c r="G1455" s="26">
        <v>8</v>
      </c>
      <c r="I1455" t="str">
        <f>IFERROR(VLOOKUP(Tabela6[[#This Row],[Descrição]],Materiais!B:C,2,0),"")</f>
        <v/>
      </c>
    </row>
    <row r="1456" spans="2:9">
      <c r="B1456" s="11">
        <f t="shared" si="129"/>
        <v>44540</v>
      </c>
      <c r="C1456" s="19">
        <f>MONTH(Tabela6[[#This Row],[Data]])</f>
        <v>12</v>
      </c>
      <c r="D1456" s="19">
        <f>YEAR(Tabela6[[#This Row],[Data]])</f>
        <v>2021</v>
      </c>
      <c r="E1456" s="12" t="s">
        <v>78</v>
      </c>
      <c r="F1456" t="s">
        <v>95</v>
      </c>
      <c r="G1456" s="26">
        <v>4</v>
      </c>
      <c r="I1456" t="str">
        <f>IFERROR(VLOOKUP(Tabela6[[#This Row],[Descrição]],Materiais!B:C,2,0),"")</f>
        <v/>
      </c>
    </row>
    <row r="1457" spans="2:9">
      <c r="B1457" s="11">
        <f t="shared" ref="B1457:B1465" si="130">43081+(365*4)</f>
        <v>44541</v>
      </c>
      <c r="C1457" s="19">
        <f>MONTH(Tabela6[[#This Row],[Data]])</f>
        <v>12</v>
      </c>
      <c r="D1457" s="19">
        <f>YEAR(Tabela6[[#This Row],[Data]])</f>
        <v>2021</v>
      </c>
      <c r="E1457" s="12" t="s">
        <v>78</v>
      </c>
      <c r="F1457" t="s">
        <v>63</v>
      </c>
      <c r="G1457" s="26">
        <v>2</v>
      </c>
      <c r="I1457" t="str">
        <f>IFERROR(VLOOKUP(Tabela6[[#This Row],[Descrição]],Materiais!B:C,2,0),"")</f>
        <v/>
      </c>
    </row>
    <row r="1458" spans="2:9">
      <c r="B1458" s="11">
        <f t="shared" si="130"/>
        <v>44541</v>
      </c>
      <c r="C1458" s="19">
        <f>MONTH(Tabela6[[#This Row],[Data]])</f>
        <v>12</v>
      </c>
      <c r="D1458" s="19">
        <f>YEAR(Tabela6[[#This Row],[Data]])</f>
        <v>2021</v>
      </c>
      <c r="E1458" s="12" t="s">
        <v>72</v>
      </c>
      <c r="F1458" t="s">
        <v>18</v>
      </c>
      <c r="G1458" s="26">
        <v>-6.8</v>
      </c>
      <c r="I1458" t="str">
        <f>IFERROR(VLOOKUP(Tabela6[[#This Row],[Descrição]],Materiais!B:C,2,0),"")</f>
        <v>g</v>
      </c>
    </row>
    <row r="1459" spans="2:9">
      <c r="B1459" s="11">
        <f t="shared" si="130"/>
        <v>44541</v>
      </c>
      <c r="C1459" s="19">
        <f>MONTH(Tabela6[[#This Row],[Data]])</f>
        <v>12</v>
      </c>
      <c r="D1459" s="19">
        <f>YEAR(Tabela6[[#This Row],[Data]])</f>
        <v>2021</v>
      </c>
      <c r="E1459" s="12" t="s">
        <v>72</v>
      </c>
      <c r="F1459" t="s">
        <v>105</v>
      </c>
      <c r="G1459" s="26">
        <v>-13.95</v>
      </c>
      <c r="I1459" t="str">
        <f>IFERROR(VLOOKUP(Tabela6[[#This Row],[Descrição]],Materiais!B:C,2,0),"")</f>
        <v/>
      </c>
    </row>
    <row r="1460" spans="2:9">
      <c r="B1460" s="11">
        <f t="shared" si="130"/>
        <v>44541</v>
      </c>
      <c r="C1460" s="19">
        <f>MONTH(Tabela6[[#This Row],[Data]])</f>
        <v>12</v>
      </c>
      <c r="D1460" s="19">
        <f>YEAR(Tabela6[[#This Row],[Data]])</f>
        <v>2021</v>
      </c>
      <c r="E1460" s="12" t="s">
        <v>72</v>
      </c>
      <c r="F1460" t="s">
        <v>77</v>
      </c>
      <c r="G1460" s="26">
        <v>-17.2</v>
      </c>
      <c r="I1460" t="str">
        <f>IFERROR(VLOOKUP(Tabela6[[#This Row],[Descrição]],Materiais!B:C,2,0),"")</f>
        <v/>
      </c>
    </row>
    <row r="1461" spans="2:9">
      <c r="B1461" s="11">
        <f t="shared" si="130"/>
        <v>44541</v>
      </c>
      <c r="C1461" s="19">
        <f>MONTH(Tabela6[[#This Row],[Data]])</f>
        <v>12</v>
      </c>
      <c r="D1461" s="19">
        <f>YEAR(Tabela6[[#This Row],[Data]])</f>
        <v>2021</v>
      </c>
      <c r="E1461" s="12" t="s">
        <v>78</v>
      </c>
      <c r="F1461" t="s">
        <v>126</v>
      </c>
      <c r="G1461" s="26">
        <v>6</v>
      </c>
      <c r="I1461" t="str">
        <f>IFERROR(VLOOKUP(Tabela6[[#This Row],[Descrição]],Materiais!B:C,2,0),"")</f>
        <v/>
      </c>
    </row>
    <row r="1462" spans="2:9">
      <c r="B1462" s="11">
        <f t="shared" si="130"/>
        <v>44541</v>
      </c>
      <c r="C1462" s="19">
        <f>MONTH(Tabela6[[#This Row],[Data]])</f>
        <v>12</v>
      </c>
      <c r="D1462" s="19">
        <f>YEAR(Tabela6[[#This Row],[Data]])</f>
        <v>2021</v>
      </c>
      <c r="E1462" s="12" t="s">
        <v>78</v>
      </c>
      <c r="F1462" t="s">
        <v>142</v>
      </c>
      <c r="G1462" s="26">
        <v>2</v>
      </c>
      <c r="I1462" t="str">
        <f>IFERROR(VLOOKUP(Tabela6[[#This Row],[Descrição]],Materiais!B:C,2,0),"")</f>
        <v/>
      </c>
    </row>
    <row r="1463" spans="2:9">
      <c r="B1463" s="11">
        <f t="shared" si="130"/>
        <v>44541</v>
      </c>
      <c r="C1463" s="19">
        <f>MONTH(Tabela6[[#This Row],[Data]])</f>
        <v>12</v>
      </c>
      <c r="D1463" s="19">
        <f>YEAR(Tabela6[[#This Row],[Data]])</f>
        <v>2021</v>
      </c>
      <c r="E1463" s="12" t="s">
        <v>78</v>
      </c>
      <c r="F1463" t="s">
        <v>149</v>
      </c>
      <c r="G1463" s="26">
        <v>2</v>
      </c>
      <c r="I1463" t="str">
        <f>IFERROR(VLOOKUP(Tabela6[[#This Row],[Descrição]],Materiais!B:C,2,0),"")</f>
        <v/>
      </c>
    </row>
    <row r="1464" spans="2:9">
      <c r="B1464" s="11">
        <f t="shared" si="130"/>
        <v>44541</v>
      </c>
      <c r="C1464" s="19">
        <f>MONTH(Tabela6[[#This Row],[Data]])</f>
        <v>12</v>
      </c>
      <c r="D1464" s="19">
        <f>YEAR(Tabela6[[#This Row],[Data]])</f>
        <v>2021</v>
      </c>
      <c r="E1464" s="12" t="s">
        <v>78</v>
      </c>
      <c r="F1464" t="s">
        <v>58</v>
      </c>
      <c r="G1464" s="26">
        <v>4</v>
      </c>
      <c r="I1464" t="str">
        <f>IFERROR(VLOOKUP(Tabela6[[#This Row],[Descrição]],Materiais!B:C,2,0),"")</f>
        <v/>
      </c>
    </row>
    <row r="1465" spans="2:9">
      <c r="B1465" s="11">
        <f t="shared" si="130"/>
        <v>44541</v>
      </c>
      <c r="C1465" s="19">
        <f>MONTH(Tabela6[[#This Row],[Data]])</f>
        <v>12</v>
      </c>
      <c r="D1465" s="19">
        <f>YEAR(Tabela6[[#This Row],[Data]])</f>
        <v>2021</v>
      </c>
      <c r="E1465" s="12" t="s">
        <v>78</v>
      </c>
      <c r="F1465" t="s">
        <v>95</v>
      </c>
      <c r="G1465" s="26">
        <v>2</v>
      </c>
      <c r="I1465" t="str">
        <f>IFERROR(VLOOKUP(Tabela6[[#This Row],[Descrição]],Materiais!B:C,2,0),"")</f>
        <v/>
      </c>
    </row>
    <row r="1466" spans="2:9">
      <c r="B1466" s="11">
        <f t="shared" ref="B1466:B1474" si="131">43082+(365*4)</f>
        <v>44542</v>
      </c>
      <c r="C1466" s="19">
        <f>MONTH(Tabela6[[#This Row],[Data]])</f>
        <v>12</v>
      </c>
      <c r="D1466" s="19">
        <f>YEAR(Tabela6[[#This Row],[Data]])</f>
        <v>2021</v>
      </c>
      <c r="E1466" s="12" t="s">
        <v>78</v>
      </c>
      <c r="F1466" t="s">
        <v>63</v>
      </c>
      <c r="G1466" s="26">
        <v>8</v>
      </c>
      <c r="I1466" t="str">
        <f>IFERROR(VLOOKUP(Tabela6[[#This Row],[Descrição]],Materiais!B:C,2,0),"")</f>
        <v/>
      </c>
    </row>
    <row r="1467" spans="2:9">
      <c r="B1467" s="11">
        <f t="shared" si="131"/>
        <v>44542</v>
      </c>
      <c r="C1467" s="19">
        <f>MONTH(Tabela6[[#This Row],[Data]])</f>
        <v>12</v>
      </c>
      <c r="D1467" s="19">
        <f>YEAR(Tabela6[[#This Row],[Data]])</f>
        <v>2021</v>
      </c>
      <c r="E1467" s="12" t="s">
        <v>78</v>
      </c>
      <c r="F1467" t="s">
        <v>133</v>
      </c>
      <c r="G1467" s="26">
        <v>6</v>
      </c>
      <c r="I1467" t="str">
        <f>IFERROR(VLOOKUP(Tabela6[[#This Row],[Descrição]],Materiais!B:C,2,0),"")</f>
        <v/>
      </c>
    </row>
    <row r="1468" spans="2:9">
      <c r="B1468" s="11">
        <f t="shared" si="131"/>
        <v>44542</v>
      </c>
      <c r="C1468" s="19">
        <f>MONTH(Tabela6[[#This Row],[Data]])</f>
        <v>12</v>
      </c>
      <c r="D1468" s="19">
        <f>YEAR(Tabela6[[#This Row],[Data]])</f>
        <v>2021</v>
      </c>
      <c r="E1468" s="12" t="s">
        <v>78</v>
      </c>
      <c r="F1468" t="s">
        <v>56</v>
      </c>
      <c r="G1468" s="26">
        <v>70</v>
      </c>
      <c r="I1468" t="str">
        <f>IFERROR(VLOOKUP(Tabela6[[#This Row],[Descrição]],Materiais!B:C,2,0),"")</f>
        <v/>
      </c>
    </row>
    <row r="1469" spans="2:9">
      <c r="B1469" s="11">
        <f t="shared" si="131"/>
        <v>44542</v>
      </c>
      <c r="C1469" s="19">
        <f>MONTH(Tabela6[[#This Row],[Data]])</f>
        <v>12</v>
      </c>
      <c r="D1469" s="19">
        <f>YEAR(Tabela6[[#This Row],[Data]])</f>
        <v>2021</v>
      </c>
      <c r="E1469" s="12" t="s">
        <v>78</v>
      </c>
      <c r="F1469" t="s">
        <v>56</v>
      </c>
      <c r="G1469" s="26">
        <v>12</v>
      </c>
      <c r="I1469" t="str">
        <f>IFERROR(VLOOKUP(Tabela6[[#This Row],[Descrição]],Materiais!B:C,2,0),"")</f>
        <v/>
      </c>
    </row>
    <row r="1470" spans="2:9">
      <c r="B1470" s="11">
        <f t="shared" si="131"/>
        <v>44542</v>
      </c>
      <c r="C1470" s="19">
        <f>MONTH(Tabela6[[#This Row],[Data]])</f>
        <v>12</v>
      </c>
      <c r="D1470" s="19">
        <f>YEAR(Tabela6[[#This Row],[Data]])</f>
        <v>2021</v>
      </c>
      <c r="E1470" s="12" t="s">
        <v>78</v>
      </c>
      <c r="F1470" t="s">
        <v>61</v>
      </c>
      <c r="G1470" s="26">
        <v>10</v>
      </c>
      <c r="I1470" t="str">
        <f>IFERROR(VLOOKUP(Tabela6[[#This Row],[Descrição]],Materiais!B:C,2,0),"")</f>
        <v/>
      </c>
    </row>
    <row r="1471" spans="2:9">
      <c r="B1471" s="11">
        <f t="shared" si="131"/>
        <v>44542</v>
      </c>
      <c r="C1471" s="19">
        <f>MONTH(Tabela6[[#This Row],[Data]])</f>
        <v>12</v>
      </c>
      <c r="D1471" s="19">
        <f>YEAR(Tabela6[[#This Row],[Data]])</f>
        <v>2021</v>
      </c>
      <c r="E1471" s="12" t="s">
        <v>78</v>
      </c>
      <c r="F1471" t="s">
        <v>126</v>
      </c>
      <c r="G1471" s="26">
        <v>6</v>
      </c>
      <c r="I1471" t="str">
        <f>IFERROR(VLOOKUP(Tabela6[[#This Row],[Descrição]],Materiais!B:C,2,0),"")</f>
        <v/>
      </c>
    </row>
    <row r="1472" spans="2:9">
      <c r="B1472" s="11">
        <f t="shared" si="131"/>
        <v>44542</v>
      </c>
      <c r="C1472" s="19">
        <f>MONTH(Tabela6[[#This Row],[Data]])</f>
        <v>12</v>
      </c>
      <c r="D1472" s="19">
        <f>YEAR(Tabela6[[#This Row],[Data]])</f>
        <v>2021</v>
      </c>
      <c r="E1472" s="12" t="s">
        <v>78</v>
      </c>
      <c r="F1472" t="s">
        <v>142</v>
      </c>
      <c r="G1472" s="26">
        <v>4</v>
      </c>
      <c r="I1472" t="str">
        <f>IFERROR(VLOOKUP(Tabela6[[#This Row],[Descrição]],Materiais!B:C,2,0),"")</f>
        <v/>
      </c>
    </row>
    <row r="1473" spans="2:9">
      <c r="B1473" s="11">
        <f t="shared" si="131"/>
        <v>44542</v>
      </c>
      <c r="C1473" s="19">
        <f>MONTH(Tabela6[[#This Row],[Data]])</f>
        <v>12</v>
      </c>
      <c r="D1473" s="19">
        <f>YEAR(Tabela6[[#This Row],[Data]])</f>
        <v>2021</v>
      </c>
      <c r="E1473" s="12" t="s">
        <v>78</v>
      </c>
      <c r="F1473" t="s">
        <v>58</v>
      </c>
      <c r="G1473" s="26">
        <v>8</v>
      </c>
      <c r="I1473" t="str">
        <f>IFERROR(VLOOKUP(Tabela6[[#This Row],[Descrição]],Materiais!B:C,2,0),"")</f>
        <v/>
      </c>
    </row>
    <row r="1474" spans="2:9">
      <c r="B1474" s="11">
        <f t="shared" si="131"/>
        <v>44542</v>
      </c>
      <c r="C1474" s="19">
        <f>MONTH(Tabela6[[#This Row],[Data]])</f>
        <v>12</v>
      </c>
      <c r="D1474" s="19">
        <f>YEAR(Tabela6[[#This Row],[Data]])</f>
        <v>2021</v>
      </c>
      <c r="E1474" s="12" t="s">
        <v>78</v>
      </c>
      <c r="F1474" t="s">
        <v>95</v>
      </c>
      <c r="G1474" s="26">
        <v>4</v>
      </c>
      <c r="I1474" t="str">
        <f>IFERROR(VLOOKUP(Tabela6[[#This Row],[Descrição]],Materiais!B:C,2,0),"")</f>
        <v/>
      </c>
    </row>
    <row r="1475" spans="2:9">
      <c r="B1475" s="11">
        <f t="shared" ref="B1475:B1480" si="132">43083+(365*4)</f>
        <v>44543</v>
      </c>
      <c r="C1475" s="19">
        <f>MONTH(Tabela6[[#This Row],[Data]])</f>
        <v>12</v>
      </c>
      <c r="D1475" s="19">
        <f>YEAR(Tabela6[[#This Row],[Data]])</f>
        <v>2021</v>
      </c>
      <c r="E1475" s="12" t="s">
        <v>78</v>
      </c>
      <c r="F1475" t="s">
        <v>63</v>
      </c>
      <c r="G1475" s="26">
        <v>6</v>
      </c>
      <c r="I1475" t="str">
        <f>IFERROR(VLOOKUP(Tabela6[[#This Row],[Descrição]],Materiais!B:C,2,0),"")</f>
        <v/>
      </c>
    </row>
    <row r="1476" spans="2:9">
      <c r="B1476" s="11">
        <f t="shared" si="132"/>
        <v>44543</v>
      </c>
      <c r="C1476" s="19">
        <f>MONTH(Tabela6[[#This Row],[Data]])</f>
        <v>12</v>
      </c>
      <c r="D1476" s="19">
        <f>YEAR(Tabela6[[#This Row],[Data]])</f>
        <v>2021</v>
      </c>
      <c r="E1476" s="12" t="s">
        <v>78</v>
      </c>
      <c r="F1476" t="s">
        <v>133</v>
      </c>
      <c r="G1476" s="26">
        <v>2</v>
      </c>
      <c r="I1476" t="str">
        <f>IFERROR(VLOOKUP(Tabela6[[#This Row],[Descrição]],Materiais!B:C,2,0),"")</f>
        <v/>
      </c>
    </row>
    <row r="1477" spans="2:9">
      <c r="B1477" s="11">
        <f t="shared" si="132"/>
        <v>44543</v>
      </c>
      <c r="C1477" s="19">
        <f>MONTH(Tabela6[[#This Row],[Data]])</f>
        <v>12</v>
      </c>
      <c r="D1477" s="19">
        <f>YEAR(Tabela6[[#This Row],[Data]])</f>
        <v>2021</v>
      </c>
      <c r="E1477" s="12" t="s">
        <v>78</v>
      </c>
      <c r="F1477" t="s">
        <v>56</v>
      </c>
      <c r="G1477" s="26">
        <v>8</v>
      </c>
      <c r="I1477" t="str">
        <f>IFERROR(VLOOKUP(Tabela6[[#This Row],[Descrição]],Materiais!B:C,2,0),"")</f>
        <v/>
      </c>
    </row>
    <row r="1478" spans="2:9">
      <c r="B1478" s="11">
        <f t="shared" si="132"/>
        <v>44543</v>
      </c>
      <c r="C1478" s="19">
        <f>MONTH(Tabela6[[#This Row],[Data]])</f>
        <v>12</v>
      </c>
      <c r="D1478" s="19">
        <f>YEAR(Tabela6[[#This Row],[Data]])</f>
        <v>2021</v>
      </c>
      <c r="E1478" s="12" t="s">
        <v>78</v>
      </c>
      <c r="F1478" t="s">
        <v>61</v>
      </c>
      <c r="G1478" s="26">
        <v>10</v>
      </c>
      <c r="I1478" t="str">
        <f>IFERROR(VLOOKUP(Tabela6[[#This Row],[Descrição]],Materiais!B:C,2,0),"")</f>
        <v/>
      </c>
    </row>
    <row r="1479" spans="2:9">
      <c r="B1479" s="11">
        <f t="shared" si="132"/>
        <v>44543</v>
      </c>
      <c r="C1479" s="19">
        <f>MONTH(Tabela6[[#This Row],[Data]])</f>
        <v>12</v>
      </c>
      <c r="D1479" s="19">
        <f>YEAR(Tabela6[[#This Row],[Data]])</f>
        <v>2021</v>
      </c>
      <c r="E1479" s="12" t="s">
        <v>78</v>
      </c>
      <c r="F1479" t="s">
        <v>126</v>
      </c>
      <c r="G1479" s="26">
        <v>6</v>
      </c>
      <c r="I1479" t="str">
        <f>IFERROR(VLOOKUP(Tabela6[[#This Row],[Descrição]],Materiais!B:C,2,0),"")</f>
        <v/>
      </c>
    </row>
    <row r="1480" spans="2:9">
      <c r="B1480" s="11">
        <f t="shared" si="132"/>
        <v>44543</v>
      </c>
      <c r="C1480" s="19">
        <f>MONTH(Tabela6[[#This Row],[Data]])</f>
        <v>12</v>
      </c>
      <c r="D1480" s="19">
        <f>YEAR(Tabela6[[#This Row],[Data]])</f>
        <v>2021</v>
      </c>
      <c r="E1480" s="12" t="s">
        <v>78</v>
      </c>
      <c r="F1480" t="s">
        <v>58</v>
      </c>
      <c r="G1480" s="26">
        <v>6</v>
      </c>
      <c r="I1480" t="str">
        <f>IFERROR(VLOOKUP(Tabela6[[#This Row],[Descrição]],Materiais!B:C,2,0),"")</f>
        <v/>
      </c>
    </row>
    <row r="1481" spans="2:9">
      <c r="B1481" s="11">
        <f>43084+(365*4)</f>
        <v>44544</v>
      </c>
      <c r="C1481" s="19">
        <f>MONTH(Tabela6[[#This Row],[Data]])</f>
        <v>12</v>
      </c>
      <c r="D1481" s="19">
        <f>YEAR(Tabela6[[#This Row],[Data]])</f>
        <v>2021</v>
      </c>
      <c r="E1481" s="12" t="s">
        <v>72</v>
      </c>
      <c r="F1481" t="s">
        <v>127</v>
      </c>
      <c r="G1481" s="26">
        <v>-2.79</v>
      </c>
      <c r="I1481" t="str">
        <f>IFERROR(VLOOKUP(Tabela6[[#This Row],[Descrição]],Materiais!B:C,2,0),"")</f>
        <v/>
      </c>
    </row>
    <row r="1482" spans="2:9">
      <c r="B1482" s="11">
        <f>43084+(365*4)</f>
        <v>44544</v>
      </c>
      <c r="C1482" s="19">
        <f>MONTH(Tabela6[[#This Row],[Data]])</f>
        <v>12</v>
      </c>
      <c r="D1482" s="19">
        <f>YEAR(Tabela6[[#This Row],[Data]])</f>
        <v>2021</v>
      </c>
      <c r="E1482" s="12" t="s">
        <v>78</v>
      </c>
      <c r="F1482" t="s">
        <v>150</v>
      </c>
      <c r="G1482" s="26">
        <v>2.5</v>
      </c>
      <c r="I1482" t="str">
        <f>IFERROR(VLOOKUP(Tabela6[[#This Row],[Descrição]],Materiais!B:C,2,0),"")</f>
        <v/>
      </c>
    </row>
    <row r="1483" spans="2:9">
      <c r="B1483" s="11">
        <f>43084+(365*4)</f>
        <v>44544</v>
      </c>
      <c r="C1483" s="19">
        <f>MONTH(Tabela6[[#This Row],[Data]])</f>
        <v>12</v>
      </c>
      <c r="D1483" s="19">
        <f>YEAR(Tabela6[[#This Row],[Data]])</f>
        <v>2021</v>
      </c>
      <c r="E1483" s="12" t="s">
        <v>78</v>
      </c>
      <c r="F1483" t="s">
        <v>150</v>
      </c>
      <c r="G1483" s="26">
        <v>2.5</v>
      </c>
      <c r="I1483" t="str">
        <f>IFERROR(VLOOKUP(Tabela6[[#This Row],[Descrição]],Materiais!B:C,2,0),"")</f>
        <v/>
      </c>
    </row>
    <row r="1484" spans="2:9">
      <c r="B1484" s="11">
        <f t="shared" ref="B1484:B1493" si="133">43087+(365*4)</f>
        <v>44547</v>
      </c>
      <c r="C1484" s="19">
        <f>MONTH(Tabela6[[#This Row],[Data]])</f>
        <v>12</v>
      </c>
      <c r="D1484" s="19">
        <f>YEAR(Tabela6[[#This Row],[Data]])</f>
        <v>2021</v>
      </c>
      <c r="E1484" s="12" t="s">
        <v>78</v>
      </c>
      <c r="F1484" t="s">
        <v>63</v>
      </c>
      <c r="G1484" s="26">
        <v>6</v>
      </c>
      <c r="I1484" t="str">
        <f>IFERROR(VLOOKUP(Tabela6[[#This Row],[Descrição]],Materiais!B:C,2,0),"")</f>
        <v/>
      </c>
    </row>
    <row r="1485" spans="2:9">
      <c r="B1485" s="11">
        <f t="shared" si="133"/>
        <v>44547</v>
      </c>
      <c r="C1485" s="19">
        <f>MONTH(Tabela6[[#This Row],[Data]])</f>
        <v>12</v>
      </c>
      <c r="D1485" s="19">
        <f>YEAR(Tabela6[[#This Row],[Data]])</f>
        <v>2021</v>
      </c>
      <c r="E1485" s="12" t="s">
        <v>78</v>
      </c>
      <c r="F1485" t="s">
        <v>133</v>
      </c>
      <c r="G1485" s="26">
        <v>6</v>
      </c>
      <c r="I1485" t="str">
        <f>IFERROR(VLOOKUP(Tabela6[[#This Row],[Descrição]],Materiais!B:C,2,0),"")</f>
        <v/>
      </c>
    </row>
    <row r="1486" spans="2:9">
      <c r="B1486" s="11">
        <f t="shared" si="133"/>
        <v>44547</v>
      </c>
      <c r="C1486" s="19">
        <f>MONTH(Tabela6[[#This Row],[Data]])</f>
        <v>12</v>
      </c>
      <c r="D1486" s="19">
        <f>YEAR(Tabela6[[#This Row],[Data]])</f>
        <v>2021</v>
      </c>
      <c r="E1486" s="12" t="s">
        <v>78</v>
      </c>
      <c r="F1486" t="s">
        <v>56</v>
      </c>
      <c r="G1486" s="26">
        <v>10</v>
      </c>
      <c r="I1486" t="str">
        <f>IFERROR(VLOOKUP(Tabela6[[#This Row],[Descrição]],Materiais!B:C,2,0),"")</f>
        <v/>
      </c>
    </row>
    <row r="1487" spans="2:9">
      <c r="B1487" s="11">
        <f t="shared" si="133"/>
        <v>44547</v>
      </c>
      <c r="C1487" s="19">
        <f>MONTH(Tabela6[[#This Row],[Data]])</f>
        <v>12</v>
      </c>
      <c r="D1487" s="19">
        <f>YEAR(Tabela6[[#This Row],[Data]])</f>
        <v>2021</v>
      </c>
      <c r="E1487" s="12" t="s">
        <v>78</v>
      </c>
      <c r="F1487" t="s">
        <v>147</v>
      </c>
      <c r="G1487" s="26">
        <v>6</v>
      </c>
      <c r="I1487" t="str">
        <f>IFERROR(VLOOKUP(Tabela6[[#This Row],[Descrição]],Materiais!B:C,2,0),"")</f>
        <v/>
      </c>
    </row>
    <row r="1488" spans="2:9">
      <c r="B1488" s="11">
        <f t="shared" si="133"/>
        <v>44547</v>
      </c>
      <c r="C1488" s="19">
        <f>MONTH(Tabela6[[#This Row],[Data]])</f>
        <v>12</v>
      </c>
      <c r="D1488" s="19">
        <f>YEAR(Tabela6[[#This Row],[Data]])</f>
        <v>2021</v>
      </c>
      <c r="E1488" s="12" t="s">
        <v>78</v>
      </c>
      <c r="F1488" t="s">
        <v>61</v>
      </c>
      <c r="G1488" s="26">
        <v>8</v>
      </c>
      <c r="I1488" t="str">
        <f>IFERROR(VLOOKUP(Tabela6[[#This Row],[Descrição]],Materiais!B:C,2,0),"")</f>
        <v/>
      </c>
    </row>
    <row r="1489" spans="2:9">
      <c r="B1489" s="11">
        <f t="shared" si="133"/>
        <v>44547</v>
      </c>
      <c r="C1489" s="19">
        <f>MONTH(Tabela6[[#This Row],[Data]])</f>
        <v>12</v>
      </c>
      <c r="D1489" s="19">
        <f>YEAR(Tabela6[[#This Row],[Data]])</f>
        <v>2021</v>
      </c>
      <c r="E1489" s="12" t="s">
        <v>78</v>
      </c>
      <c r="F1489" t="s">
        <v>126</v>
      </c>
      <c r="G1489" s="26">
        <v>8</v>
      </c>
      <c r="I1489" t="str">
        <f>IFERROR(VLOOKUP(Tabela6[[#This Row],[Descrição]],Materiais!B:C,2,0),"")</f>
        <v/>
      </c>
    </row>
    <row r="1490" spans="2:9">
      <c r="B1490" s="11">
        <f t="shared" si="133"/>
        <v>44547</v>
      </c>
      <c r="C1490" s="19">
        <f>MONTH(Tabela6[[#This Row],[Data]])</f>
        <v>12</v>
      </c>
      <c r="D1490" s="19">
        <f>YEAR(Tabela6[[#This Row],[Data]])</f>
        <v>2021</v>
      </c>
      <c r="E1490" s="12" t="s">
        <v>78</v>
      </c>
      <c r="F1490" t="s">
        <v>142</v>
      </c>
      <c r="G1490" s="26">
        <v>6</v>
      </c>
      <c r="I1490" t="str">
        <f>IFERROR(VLOOKUP(Tabela6[[#This Row],[Descrição]],Materiais!B:C,2,0),"")</f>
        <v/>
      </c>
    </row>
    <row r="1491" spans="2:9">
      <c r="B1491" s="11">
        <f t="shared" si="133"/>
        <v>44547</v>
      </c>
      <c r="C1491" s="19">
        <f>MONTH(Tabela6[[#This Row],[Data]])</f>
        <v>12</v>
      </c>
      <c r="D1491" s="19">
        <f>YEAR(Tabela6[[#This Row],[Data]])</f>
        <v>2021</v>
      </c>
      <c r="E1491" s="12" t="s">
        <v>78</v>
      </c>
      <c r="F1491" t="s">
        <v>109</v>
      </c>
      <c r="G1491" s="26">
        <v>4</v>
      </c>
      <c r="I1491" t="str">
        <f>IFERROR(VLOOKUP(Tabela6[[#This Row],[Descrição]],Materiais!B:C,2,0),"")</f>
        <v/>
      </c>
    </row>
    <row r="1492" spans="2:9">
      <c r="B1492" s="11">
        <f t="shared" si="133"/>
        <v>44547</v>
      </c>
      <c r="C1492" s="19">
        <f>MONTH(Tabela6[[#This Row],[Data]])</f>
        <v>12</v>
      </c>
      <c r="D1492" s="19">
        <f>YEAR(Tabela6[[#This Row],[Data]])</f>
        <v>2021</v>
      </c>
      <c r="E1492" s="12" t="s">
        <v>78</v>
      </c>
      <c r="F1492" t="s">
        <v>58</v>
      </c>
      <c r="G1492" s="26">
        <v>10</v>
      </c>
      <c r="I1492" t="str">
        <f>IFERROR(VLOOKUP(Tabela6[[#This Row],[Descrição]],Materiais!B:C,2,0),"")</f>
        <v/>
      </c>
    </row>
    <row r="1493" spans="2:9">
      <c r="B1493" s="11">
        <f t="shared" si="133"/>
        <v>44547</v>
      </c>
      <c r="C1493" s="19">
        <f>MONTH(Tabela6[[#This Row],[Data]])</f>
        <v>12</v>
      </c>
      <c r="D1493" s="19">
        <f>YEAR(Tabela6[[#This Row],[Data]])</f>
        <v>2021</v>
      </c>
      <c r="E1493" s="12" t="s">
        <v>78</v>
      </c>
      <c r="F1493" t="s">
        <v>95</v>
      </c>
      <c r="G1493" s="26">
        <v>4</v>
      </c>
      <c r="I1493" t="str">
        <f>IFERROR(VLOOKUP(Tabela6[[#This Row],[Descrição]],Materiais!B:C,2,0),"")</f>
        <v/>
      </c>
    </row>
    <row r="1494" spans="2:9">
      <c r="B1494" s="11">
        <f>43088+(365*4)</f>
        <v>44548</v>
      </c>
      <c r="C1494" s="19">
        <f>MONTH(Tabela6[[#This Row],[Data]])</f>
        <v>12</v>
      </c>
      <c r="D1494" s="19">
        <f>YEAR(Tabela6[[#This Row],[Data]])</f>
        <v>2021</v>
      </c>
      <c r="E1494" s="12" t="s">
        <v>78</v>
      </c>
      <c r="F1494" t="s">
        <v>63</v>
      </c>
      <c r="G1494" s="26">
        <v>4</v>
      </c>
      <c r="I1494" t="str">
        <f>IFERROR(VLOOKUP(Tabela6[[#This Row],[Descrição]],Materiais!B:C,2,0),"")</f>
        <v/>
      </c>
    </row>
    <row r="1495" spans="2:9">
      <c r="B1495" s="11">
        <f>43088+(365*4)</f>
        <v>44548</v>
      </c>
      <c r="C1495" s="19">
        <f>MONTH(Tabela6[[#This Row],[Data]])</f>
        <v>12</v>
      </c>
      <c r="D1495" s="19">
        <f>YEAR(Tabela6[[#This Row],[Data]])</f>
        <v>2021</v>
      </c>
      <c r="E1495" s="12" t="s">
        <v>78</v>
      </c>
      <c r="F1495" t="s">
        <v>56</v>
      </c>
      <c r="G1495" s="26">
        <v>6</v>
      </c>
      <c r="I1495" t="str">
        <f>IFERROR(VLOOKUP(Tabela6[[#This Row],[Descrição]],Materiais!B:C,2,0),"")</f>
        <v/>
      </c>
    </row>
    <row r="1496" spans="2:9">
      <c r="B1496" s="11">
        <f>43088+(365*4)</f>
        <v>44548</v>
      </c>
      <c r="C1496" s="19">
        <f>MONTH(Tabela6[[#This Row],[Data]])</f>
        <v>12</v>
      </c>
      <c r="D1496" s="19">
        <f>YEAR(Tabela6[[#This Row],[Data]])</f>
        <v>2021</v>
      </c>
      <c r="E1496" s="12" t="s">
        <v>78</v>
      </c>
      <c r="F1496" t="s">
        <v>61</v>
      </c>
      <c r="G1496" s="26">
        <v>4</v>
      </c>
      <c r="I1496" t="str">
        <f>IFERROR(VLOOKUP(Tabela6[[#This Row],[Descrição]],Materiais!B:C,2,0),"")</f>
        <v/>
      </c>
    </row>
    <row r="1497" spans="2:9">
      <c r="B1497" s="11">
        <f>43088+(365*4)</f>
        <v>44548</v>
      </c>
      <c r="C1497" s="19">
        <f>MONTH(Tabela6[[#This Row],[Data]])</f>
        <v>12</v>
      </c>
      <c r="D1497" s="19">
        <f>YEAR(Tabela6[[#This Row],[Data]])</f>
        <v>2021</v>
      </c>
      <c r="E1497" s="12" t="s">
        <v>78</v>
      </c>
      <c r="F1497" t="s">
        <v>58</v>
      </c>
      <c r="G1497" s="26">
        <v>2</v>
      </c>
      <c r="I1497" t="str">
        <f>IFERROR(VLOOKUP(Tabela6[[#This Row],[Descrição]],Materiais!B:C,2,0),"")</f>
        <v/>
      </c>
    </row>
    <row r="1498" spans="2:9">
      <c r="B1498" s="11">
        <f>43088+(365*4)</f>
        <v>44548</v>
      </c>
      <c r="C1498" s="19">
        <f>MONTH(Tabela6[[#This Row],[Data]])</f>
        <v>12</v>
      </c>
      <c r="D1498" s="19">
        <f>YEAR(Tabela6[[#This Row],[Data]])</f>
        <v>2021</v>
      </c>
      <c r="E1498" s="12" t="s">
        <v>78</v>
      </c>
      <c r="F1498" t="s">
        <v>95</v>
      </c>
      <c r="G1498" s="26">
        <v>2</v>
      </c>
      <c r="I1498" t="str">
        <f>IFERROR(VLOOKUP(Tabela6[[#This Row],[Descrição]],Materiais!B:C,2,0),"")</f>
        <v/>
      </c>
    </row>
    <row r="1499" spans="2:9">
      <c r="B1499" s="11">
        <f t="shared" ref="B1499:B1509" si="134">43089+(365*4)</f>
        <v>44549</v>
      </c>
      <c r="C1499" s="19">
        <f>MONTH(Tabela6[[#This Row],[Data]])</f>
        <v>12</v>
      </c>
      <c r="D1499" s="19">
        <f>YEAR(Tabela6[[#This Row],[Data]])</f>
        <v>2021</v>
      </c>
      <c r="E1499" s="12" t="s">
        <v>72</v>
      </c>
      <c r="F1499" t="s">
        <v>7</v>
      </c>
      <c r="G1499" s="26">
        <v>-2.44</v>
      </c>
      <c r="I1499" t="str">
        <f>IFERROR(VLOOKUP(Tabela6[[#This Row],[Descrição]],Materiais!B:C,2,0),"")</f>
        <v>g</v>
      </c>
    </row>
    <row r="1500" spans="2:9">
      <c r="B1500" s="11">
        <f t="shared" si="134"/>
        <v>44549</v>
      </c>
      <c r="C1500" s="19">
        <f>MONTH(Tabela6[[#This Row],[Data]])</f>
        <v>12</v>
      </c>
      <c r="D1500" s="19">
        <f>YEAR(Tabela6[[#This Row],[Data]])</f>
        <v>2021</v>
      </c>
      <c r="E1500" s="12" t="s">
        <v>78</v>
      </c>
      <c r="F1500" t="s">
        <v>63</v>
      </c>
      <c r="G1500" s="26">
        <v>4</v>
      </c>
      <c r="I1500" t="str">
        <f>IFERROR(VLOOKUP(Tabela6[[#This Row],[Descrição]],Materiais!B:C,2,0),"")</f>
        <v/>
      </c>
    </row>
    <row r="1501" spans="2:9">
      <c r="B1501" s="11">
        <f t="shared" si="134"/>
        <v>44549</v>
      </c>
      <c r="C1501" s="19">
        <f>MONTH(Tabela6[[#This Row],[Data]])</f>
        <v>12</v>
      </c>
      <c r="D1501" s="19">
        <f>YEAR(Tabela6[[#This Row],[Data]])</f>
        <v>2021</v>
      </c>
      <c r="E1501" s="12" t="s">
        <v>78</v>
      </c>
      <c r="F1501" t="s">
        <v>133</v>
      </c>
      <c r="G1501" s="26">
        <v>4</v>
      </c>
      <c r="I1501" t="str">
        <f>IFERROR(VLOOKUP(Tabela6[[#This Row],[Descrição]],Materiais!B:C,2,0),"")</f>
        <v/>
      </c>
    </row>
    <row r="1502" spans="2:9">
      <c r="B1502" s="11">
        <f t="shared" si="134"/>
        <v>44549</v>
      </c>
      <c r="C1502" s="19">
        <f>MONTH(Tabela6[[#This Row],[Data]])</f>
        <v>12</v>
      </c>
      <c r="D1502" s="19">
        <f>YEAR(Tabela6[[#This Row],[Data]])</f>
        <v>2021</v>
      </c>
      <c r="E1502" s="12" t="s">
        <v>78</v>
      </c>
      <c r="F1502" t="s">
        <v>56</v>
      </c>
      <c r="G1502" s="26">
        <v>70</v>
      </c>
      <c r="I1502" t="str">
        <f>IFERROR(VLOOKUP(Tabela6[[#This Row],[Descrição]],Materiais!B:C,2,0),"")</f>
        <v/>
      </c>
    </row>
    <row r="1503" spans="2:9">
      <c r="B1503" s="11">
        <f t="shared" si="134"/>
        <v>44549</v>
      </c>
      <c r="C1503" s="19">
        <f>MONTH(Tabela6[[#This Row],[Data]])</f>
        <v>12</v>
      </c>
      <c r="D1503" s="19">
        <f>YEAR(Tabela6[[#This Row],[Data]])</f>
        <v>2021</v>
      </c>
      <c r="E1503" s="12" t="s">
        <v>78</v>
      </c>
      <c r="F1503" t="s">
        <v>56</v>
      </c>
      <c r="G1503" s="26">
        <v>12</v>
      </c>
      <c r="I1503" t="str">
        <f>IFERROR(VLOOKUP(Tabela6[[#This Row],[Descrição]],Materiais!B:C,2,0),"")</f>
        <v/>
      </c>
    </row>
    <row r="1504" spans="2:9">
      <c r="B1504" s="11">
        <f t="shared" si="134"/>
        <v>44549</v>
      </c>
      <c r="C1504" s="19">
        <f>MONTH(Tabela6[[#This Row],[Data]])</f>
        <v>12</v>
      </c>
      <c r="D1504" s="19">
        <f>YEAR(Tabela6[[#This Row],[Data]])</f>
        <v>2021</v>
      </c>
      <c r="E1504" s="12" t="s">
        <v>72</v>
      </c>
      <c r="F1504" t="s">
        <v>11</v>
      </c>
      <c r="G1504" s="26">
        <v>-19.600000000000001</v>
      </c>
      <c r="I1504" t="str">
        <f>IFERROR(VLOOKUP(Tabela6[[#This Row],[Descrição]],Materiais!B:C,2,0),"")</f>
        <v>g</v>
      </c>
    </row>
    <row r="1505" spans="2:9">
      <c r="B1505" s="11">
        <f t="shared" si="134"/>
        <v>44549</v>
      </c>
      <c r="C1505" s="19">
        <f>MONTH(Tabela6[[#This Row],[Data]])</f>
        <v>12</v>
      </c>
      <c r="D1505" s="19">
        <f>YEAR(Tabela6[[#This Row],[Data]])</f>
        <v>2021</v>
      </c>
      <c r="E1505" s="12" t="s">
        <v>78</v>
      </c>
      <c r="F1505" t="s">
        <v>147</v>
      </c>
      <c r="G1505" s="26">
        <v>4</v>
      </c>
      <c r="I1505" t="str">
        <f>IFERROR(VLOOKUP(Tabela6[[#This Row],[Descrição]],Materiais!B:C,2,0),"")</f>
        <v/>
      </c>
    </row>
    <row r="1506" spans="2:9">
      <c r="B1506" s="11">
        <f t="shared" si="134"/>
        <v>44549</v>
      </c>
      <c r="C1506" s="19">
        <f>MONTH(Tabela6[[#This Row],[Data]])</f>
        <v>12</v>
      </c>
      <c r="D1506" s="19">
        <f>YEAR(Tabela6[[#This Row],[Data]])</f>
        <v>2021</v>
      </c>
      <c r="E1506" s="12" t="s">
        <v>78</v>
      </c>
      <c r="F1506" t="s">
        <v>61</v>
      </c>
      <c r="G1506" s="26">
        <v>8</v>
      </c>
      <c r="I1506" t="str">
        <f>IFERROR(VLOOKUP(Tabela6[[#This Row],[Descrição]],Materiais!B:C,2,0),"")</f>
        <v/>
      </c>
    </row>
    <row r="1507" spans="2:9">
      <c r="B1507" s="11">
        <f t="shared" si="134"/>
        <v>44549</v>
      </c>
      <c r="C1507" s="19">
        <f>MONTH(Tabela6[[#This Row],[Data]])</f>
        <v>12</v>
      </c>
      <c r="D1507" s="19">
        <f>YEAR(Tabela6[[#This Row],[Data]])</f>
        <v>2021</v>
      </c>
      <c r="E1507" s="12" t="s">
        <v>78</v>
      </c>
      <c r="F1507" t="s">
        <v>142</v>
      </c>
      <c r="G1507" s="26">
        <v>2</v>
      </c>
      <c r="I1507" t="str">
        <f>IFERROR(VLOOKUP(Tabela6[[#This Row],[Descrição]],Materiais!B:C,2,0),"")</f>
        <v/>
      </c>
    </row>
    <row r="1508" spans="2:9">
      <c r="B1508" s="11">
        <f t="shared" si="134"/>
        <v>44549</v>
      </c>
      <c r="C1508" s="19">
        <f>MONTH(Tabela6[[#This Row],[Data]])</f>
        <v>12</v>
      </c>
      <c r="D1508" s="19">
        <f>YEAR(Tabela6[[#This Row],[Data]])</f>
        <v>2021</v>
      </c>
      <c r="E1508" s="12" t="s">
        <v>78</v>
      </c>
      <c r="F1508" t="s">
        <v>58</v>
      </c>
      <c r="G1508" s="26">
        <v>4</v>
      </c>
      <c r="I1508" t="str">
        <f>IFERROR(VLOOKUP(Tabela6[[#This Row],[Descrição]],Materiais!B:C,2,0),"")</f>
        <v/>
      </c>
    </row>
    <row r="1509" spans="2:9">
      <c r="B1509" s="11">
        <f t="shared" si="134"/>
        <v>44549</v>
      </c>
      <c r="C1509" s="19">
        <f>MONTH(Tabela6[[#This Row],[Data]])</f>
        <v>12</v>
      </c>
      <c r="D1509" s="19">
        <f>YEAR(Tabela6[[#This Row],[Data]])</f>
        <v>2021</v>
      </c>
      <c r="E1509" s="12" t="s">
        <v>78</v>
      </c>
      <c r="F1509" t="s">
        <v>95</v>
      </c>
      <c r="G1509" s="26">
        <v>4</v>
      </c>
      <c r="I1509" t="str">
        <f>IFERROR(VLOOKUP(Tabela6[[#This Row],[Descrição]],Materiais!B:C,2,0),"")</f>
        <v/>
      </c>
    </row>
    <row r="1510" spans="2:9">
      <c r="B1510" s="11">
        <f>43090+(365*4)</f>
        <v>44550</v>
      </c>
      <c r="C1510" s="19">
        <f>MONTH(Tabela6[[#This Row],[Data]])</f>
        <v>12</v>
      </c>
      <c r="D1510" s="19">
        <f>YEAR(Tabela6[[#This Row],[Data]])</f>
        <v>2021</v>
      </c>
      <c r="E1510" s="12" t="s">
        <v>78</v>
      </c>
      <c r="F1510" t="s">
        <v>63</v>
      </c>
      <c r="G1510" s="26">
        <v>2</v>
      </c>
      <c r="I1510" t="str">
        <f>IFERROR(VLOOKUP(Tabela6[[#This Row],[Descrição]],Materiais!B:C,2,0),"")</f>
        <v/>
      </c>
    </row>
    <row r="1511" spans="2:9">
      <c r="B1511" s="11">
        <f>43090+(365*4)</f>
        <v>44550</v>
      </c>
      <c r="C1511" s="19">
        <f>MONTH(Tabela6[[#This Row],[Data]])</f>
        <v>12</v>
      </c>
      <c r="D1511" s="19">
        <f>YEAR(Tabela6[[#This Row],[Data]])</f>
        <v>2021</v>
      </c>
      <c r="E1511" s="12" t="s">
        <v>78</v>
      </c>
      <c r="F1511" t="s">
        <v>61</v>
      </c>
      <c r="G1511" s="26">
        <v>2</v>
      </c>
      <c r="I1511" t="str">
        <f>IFERROR(VLOOKUP(Tabela6[[#This Row],[Descrição]],Materiais!B:C,2,0),"")</f>
        <v/>
      </c>
    </row>
    <row r="1512" spans="2:9">
      <c r="B1512" s="11">
        <f>43090+(365*4)</f>
        <v>44550</v>
      </c>
      <c r="C1512" s="19">
        <f>MONTH(Tabela6[[#This Row],[Data]])</f>
        <v>12</v>
      </c>
      <c r="D1512" s="19">
        <f>YEAR(Tabela6[[#This Row],[Data]])</f>
        <v>2021</v>
      </c>
      <c r="E1512" s="12" t="s">
        <v>78</v>
      </c>
      <c r="F1512" t="s">
        <v>126</v>
      </c>
      <c r="G1512" s="26">
        <v>4</v>
      </c>
      <c r="I1512" t="str">
        <f>IFERROR(VLOOKUP(Tabela6[[#This Row],[Descrição]],Materiais!B:C,2,0),"")</f>
        <v/>
      </c>
    </row>
    <row r="1513" spans="2:9">
      <c r="B1513" s="11">
        <f>43090+(365*4)</f>
        <v>44550</v>
      </c>
      <c r="C1513" s="19">
        <f>MONTH(Tabela6[[#This Row],[Data]])</f>
        <v>12</v>
      </c>
      <c r="D1513" s="19">
        <f>YEAR(Tabela6[[#This Row],[Data]])</f>
        <v>2021</v>
      </c>
      <c r="E1513" s="12" t="s">
        <v>78</v>
      </c>
      <c r="F1513" t="s">
        <v>142</v>
      </c>
      <c r="G1513" s="26">
        <v>2</v>
      </c>
      <c r="I1513" t="str">
        <f>IFERROR(VLOOKUP(Tabela6[[#This Row],[Descrição]],Materiais!B:C,2,0),"")</f>
        <v/>
      </c>
    </row>
    <row r="1514" spans="2:9">
      <c r="B1514" s="11">
        <f>43090+(365*4)</f>
        <v>44550</v>
      </c>
      <c r="C1514" s="19">
        <f>MONTH(Tabela6[[#This Row],[Data]])</f>
        <v>12</v>
      </c>
      <c r="D1514" s="19">
        <f>YEAR(Tabela6[[#This Row],[Data]])</f>
        <v>2021</v>
      </c>
      <c r="E1514" s="12" t="s">
        <v>78</v>
      </c>
      <c r="F1514" t="s">
        <v>58</v>
      </c>
      <c r="G1514" s="26">
        <v>2</v>
      </c>
      <c r="I1514" t="str">
        <f>IFERROR(VLOOKUP(Tabela6[[#This Row],[Descrição]],Materiais!B:C,2,0),"")</f>
        <v/>
      </c>
    </row>
    <row r="1515" spans="2:9">
      <c r="B1515" s="11">
        <f>43092+(365*4)</f>
        <v>44552</v>
      </c>
      <c r="C1515" s="19">
        <f>MONTH(Tabela6[[#This Row],[Data]])</f>
        <v>12</v>
      </c>
      <c r="D1515" s="19">
        <f>YEAR(Tabela6[[#This Row],[Data]])</f>
        <v>2021</v>
      </c>
      <c r="E1515" s="12" t="s">
        <v>72</v>
      </c>
      <c r="F1515" t="s">
        <v>5</v>
      </c>
      <c r="G1515" s="26">
        <v>-3.89</v>
      </c>
      <c r="I1515" t="str">
        <f>IFERROR(VLOOKUP(Tabela6[[#This Row],[Descrição]],Materiais!B:C,2,0),"")</f>
        <v>g</v>
      </c>
    </row>
    <row r="1516" spans="2:9">
      <c r="B1516" s="11">
        <f>43092+(365*4)</f>
        <v>44552</v>
      </c>
      <c r="C1516" s="19">
        <f>MONTH(Tabela6[[#This Row],[Data]])</f>
        <v>12</v>
      </c>
      <c r="D1516" s="19">
        <f>YEAR(Tabela6[[#This Row],[Data]])</f>
        <v>2021</v>
      </c>
      <c r="E1516" s="12" t="s">
        <v>78</v>
      </c>
      <c r="F1516" t="s">
        <v>56</v>
      </c>
      <c r="G1516" s="26">
        <v>35</v>
      </c>
      <c r="I1516" t="str">
        <f>IFERROR(VLOOKUP(Tabela6[[#This Row],[Descrição]],Materiais!B:C,2,0),"")</f>
        <v/>
      </c>
    </row>
    <row r="1517" spans="2:9">
      <c r="B1517" s="11">
        <f>43092+(365*4)</f>
        <v>44552</v>
      </c>
      <c r="C1517" s="19">
        <f>MONTH(Tabela6[[#This Row],[Data]])</f>
        <v>12</v>
      </c>
      <c r="D1517" s="19">
        <f>YEAR(Tabela6[[#This Row],[Data]])</f>
        <v>2021</v>
      </c>
      <c r="E1517" s="12" t="s">
        <v>72</v>
      </c>
      <c r="F1517" t="s">
        <v>21</v>
      </c>
      <c r="G1517" s="26">
        <v>-3.72</v>
      </c>
      <c r="I1517" t="str">
        <f>IFERROR(VLOOKUP(Tabela6[[#This Row],[Descrição]],Materiais!B:C,2,0),"")</f>
        <v>g</v>
      </c>
    </row>
    <row r="1518" spans="2:9">
      <c r="B1518" s="11">
        <f>43093+(365*4)</f>
        <v>44553</v>
      </c>
      <c r="C1518" s="19">
        <f>MONTH(Tabela6[[#This Row],[Data]])</f>
        <v>12</v>
      </c>
      <c r="D1518" s="19">
        <f>YEAR(Tabela6[[#This Row],[Data]])</f>
        <v>2021</v>
      </c>
      <c r="E1518" s="12" t="s">
        <v>78</v>
      </c>
      <c r="F1518" t="s">
        <v>56</v>
      </c>
      <c r="G1518" s="26">
        <v>8</v>
      </c>
      <c r="I1518" t="str">
        <f>IFERROR(VLOOKUP(Tabela6[[#This Row],[Descrição]],Materiais!B:C,2,0),"")</f>
        <v/>
      </c>
    </row>
    <row r="1519" spans="2:9">
      <c r="B1519" s="11">
        <f>43093+(365*4)</f>
        <v>44553</v>
      </c>
      <c r="C1519" s="19">
        <f>MONTH(Tabela6[[#This Row],[Data]])</f>
        <v>12</v>
      </c>
      <c r="D1519" s="19">
        <f>YEAR(Tabela6[[#This Row],[Data]])</f>
        <v>2021</v>
      </c>
      <c r="E1519" s="12" t="s">
        <v>78</v>
      </c>
      <c r="F1519" t="s">
        <v>109</v>
      </c>
      <c r="G1519" s="26">
        <v>8</v>
      </c>
      <c r="I1519" t="str">
        <f>IFERROR(VLOOKUP(Tabela6[[#This Row],[Descrição]],Materiais!B:C,2,0),"")</f>
        <v/>
      </c>
    </row>
    <row r="1520" spans="2:9">
      <c r="B1520" s="11">
        <f>43093+(365*4)</f>
        <v>44553</v>
      </c>
      <c r="C1520" s="19">
        <f>MONTH(Tabela6[[#This Row],[Data]])</f>
        <v>12</v>
      </c>
      <c r="D1520" s="19">
        <f>YEAR(Tabela6[[#This Row],[Data]])</f>
        <v>2021</v>
      </c>
      <c r="E1520" s="12" t="s">
        <v>78</v>
      </c>
      <c r="F1520" t="s">
        <v>58</v>
      </c>
      <c r="G1520" s="26">
        <v>8</v>
      </c>
      <c r="I1520" t="str">
        <f>IFERROR(VLOOKUP(Tabela6[[#This Row],[Descrição]],Materiais!B:C,2,0),"")</f>
        <v/>
      </c>
    </row>
    <row r="1521" spans="2:9">
      <c r="B1521" s="11">
        <f>43097+(365*4)</f>
        <v>44557</v>
      </c>
      <c r="C1521" s="19">
        <f>MONTH(Tabela6[[#This Row],[Data]])</f>
        <v>12</v>
      </c>
      <c r="D1521" s="19">
        <f>YEAR(Tabela6[[#This Row],[Data]])</f>
        <v>2021</v>
      </c>
      <c r="E1521" s="12" t="s">
        <v>78</v>
      </c>
      <c r="F1521" t="s">
        <v>56</v>
      </c>
      <c r="G1521" s="26">
        <v>70</v>
      </c>
      <c r="I1521" t="str">
        <f>IFERROR(VLOOKUP(Tabela6[[#This Row],[Descrição]],Materiais!B:C,2,0),"")</f>
        <v/>
      </c>
    </row>
    <row r="1522" spans="2:9">
      <c r="B1522" s="11">
        <f t="shared" ref="B1522:B1527" si="135">43102+(365*4)</f>
        <v>44562</v>
      </c>
      <c r="C1522" s="19">
        <f>MONTH(Tabela6[[#This Row],[Data]])</f>
        <v>1</v>
      </c>
      <c r="D1522" s="19">
        <f>YEAR(Tabela6[[#This Row],[Data]])</f>
        <v>2022</v>
      </c>
      <c r="E1522" s="12" t="s">
        <v>78</v>
      </c>
      <c r="F1522" t="s">
        <v>133</v>
      </c>
      <c r="G1522" s="26">
        <v>6</v>
      </c>
      <c r="I1522" t="str">
        <f>IFERROR(VLOOKUP(Tabela6[[#This Row],[Descrição]],Materiais!B:C,2,0),"")</f>
        <v/>
      </c>
    </row>
    <row r="1523" spans="2:9">
      <c r="B1523" s="11">
        <f t="shared" si="135"/>
        <v>44562</v>
      </c>
      <c r="C1523" s="19">
        <f>MONTH(Tabela6[[#This Row],[Data]])</f>
        <v>1</v>
      </c>
      <c r="D1523" s="19">
        <f>YEAR(Tabela6[[#This Row],[Data]])</f>
        <v>2022</v>
      </c>
      <c r="E1523" s="12" t="s">
        <v>78</v>
      </c>
      <c r="F1523" t="s">
        <v>56</v>
      </c>
      <c r="G1523" s="26">
        <v>2</v>
      </c>
      <c r="I1523" t="str">
        <f>IFERROR(VLOOKUP(Tabela6[[#This Row],[Descrição]],Materiais!B:C,2,0),"")</f>
        <v/>
      </c>
    </row>
    <row r="1524" spans="2:9">
      <c r="B1524" s="11">
        <f t="shared" si="135"/>
        <v>44562</v>
      </c>
      <c r="C1524" s="19">
        <f>MONTH(Tabela6[[#This Row],[Data]])</f>
        <v>1</v>
      </c>
      <c r="D1524" s="19">
        <f>YEAR(Tabela6[[#This Row],[Data]])</f>
        <v>2022</v>
      </c>
      <c r="E1524" s="12" t="s">
        <v>78</v>
      </c>
      <c r="F1524" t="s">
        <v>61</v>
      </c>
      <c r="G1524" s="26">
        <v>2</v>
      </c>
      <c r="I1524" t="str">
        <f>IFERROR(VLOOKUP(Tabela6[[#This Row],[Descrição]],Materiais!B:C,2,0),"")</f>
        <v/>
      </c>
    </row>
    <row r="1525" spans="2:9">
      <c r="B1525" s="11">
        <f t="shared" si="135"/>
        <v>44562</v>
      </c>
      <c r="C1525" s="19">
        <f>MONTH(Tabela6[[#This Row],[Data]])</f>
        <v>1</v>
      </c>
      <c r="D1525" s="19">
        <f>YEAR(Tabela6[[#This Row],[Data]])</f>
        <v>2022</v>
      </c>
      <c r="E1525" s="12" t="s">
        <v>78</v>
      </c>
      <c r="F1525" t="s">
        <v>126</v>
      </c>
      <c r="G1525" s="26">
        <v>2</v>
      </c>
      <c r="I1525" t="str">
        <f>IFERROR(VLOOKUP(Tabela6[[#This Row],[Descrição]],Materiais!B:C,2,0),"")</f>
        <v/>
      </c>
    </row>
    <row r="1526" spans="2:9">
      <c r="B1526" s="11">
        <f t="shared" si="135"/>
        <v>44562</v>
      </c>
      <c r="C1526" s="19">
        <f>MONTH(Tabela6[[#This Row],[Data]])</f>
        <v>1</v>
      </c>
      <c r="D1526" s="19">
        <f>YEAR(Tabela6[[#This Row],[Data]])</f>
        <v>2022</v>
      </c>
      <c r="E1526" s="12" t="s">
        <v>78</v>
      </c>
      <c r="F1526" t="s">
        <v>58</v>
      </c>
      <c r="G1526" s="26">
        <v>4</v>
      </c>
      <c r="I1526" t="str">
        <f>IFERROR(VLOOKUP(Tabela6[[#This Row],[Descrição]],Materiais!B:C,2,0),"")</f>
        <v/>
      </c>
    </row>
    <row r="1527" spans="2:9">
      <c r="B1527" s="11">
        <f t="shared" si="135"/>
        <v>44562</v>
      </c>
      <c r="C1527" s="19">
        <f>MONTH(Tabela6[[#This Row],[Data]])</f>
        <v>1</v>
      </c>
      <c r="D1527" s="19">
        <f>YEAR(Tabela6[[#This Row],[Data]])</f>
        <v>2022</v>
      </c>
      <c r="E1527" s="12" t="s">
        <v>78</v>
      </c>
      <c r="F1527" t="s">
        <v>117</v>
      </c>
      <c r="G1527" s="26">
        <v>2</v>
      </c>
      <c r="I1527" t="str">
        <f>IFERROR(VLOOKUP(Tabela6[[#This Row],[Descrição]],Materiais!B:C,2,0),"")</f>
        <v/>
      </c>
    </row>
    <row r="1528" spans="2:9">
      <c r="B1528" s="11">
        <f t="shared" ref="B1528:B1536" si="136">43103+(365*4)</f>
        <v>44563</v>
      </c>
      <c r="C1528" s="19">
        <f>MONTH(Tabela6[[#This Row],[Data]])</f>
        <v>1</v>
      </c>
      <c r="D1528" s="19">
        <f>YEAR(Tabela6[[#This Row],[Data]])</f>
        <v>2022</v>
      </c>
      <c r="E1528" s="12" t="s">
        <v>78</v>
      </c>
      <c r="F1528" t="s">
        <v>63</v>
      </c>
      <c r="G1528" s="26">
        <v>2</v>
      </c>
      <c r="I1528" t="str">
        <f>IFERROR(VLOOKUP(Tabela6[[#This Row],[Descrição]],Materiais!B:C,2,0),"")</f>
        <v/>
      </c>
    </row>
    <row r="1529" spans="2:9">
      <c r="B1529" s="11">
        <f t="shared" si="136"/>
        <v>44563</v>
      </c>
      <c r="C1529" s="19">
        <f>MONTH(Tabela6[[#This Row],[Data]])</f>
        <v>1</v>
      </c>
      <c r="D1529" s="19">
        <f>YEAR(Tabela6[[#This Row],[Data]])</f>
        <v>2022</v>
      </c>
      <c r="E1529" s="12" t="s">
        <v>78</v>
      </c>
      <c r="F1529" t="s">
        <v>56</v>
      </c>
      <c r="G1529" s="26">
        <v>16</v>
      </c>
      <c r="I1529" t="str">
        <f>IFERROR(VLOOKUP(Tabela6[[#This Row],[Descrição]],Materiais!B:C,2,0),"")</f>
        <v/>
      </c>
    </row>
    <row r="1530" spans="2:9">
      <c r="B1530" s="11">
        <f t="shared" si="136"/>
        <v>44563</v>
      </c>
      <c r="C1530" s="19">
        <f>MONTH(Tabela6[[#This Row],[Data]])</f>
        <v>1</v>
      </c>
      <c r="D1530" s="19">
        <f>YEAR(Tabela6[[#This Row],[Data]])</f>
        <v>2022</v>
      </c>
      <c r="E1530" s="12" t="s">
        <v>75</v>
      </c>
      <c r="F1530" t="s">
        <v>112</v>
      </c>
      <c r="G1530" s="26">
        <v>-6.7</v>
      </c>
      <c r="I1530" t="str">
        <f>IFERROR(VLOOKUP(Tabela6[[#This Row],[Descrição]],Materiais!B:C,2,0),"")</f>
        <v/>
      </c>
    </row>
    <row r="1531" spans="2:9">
      <c r="B1531" s="11">
        <f t="shared" si="136"/>
        <v>44563</v>
      </c>
      <c r="C1531" s="19">
        <f>MONTH(Tabela6[[#This Row],[Data]])</f>
        <v>1</v>
      </c>
      <c r="D1531" s="19">
        <f>YEAR(Tabela6[[#This Row],[Data]])</f>
        <v>2022</v>
      </c>
      <c r="E1531" s="12" t="s">
        <v>78</v>
      </c>
      <c r="F1531" t="s">
        <v>100</v>
      </c>
      <c r="G1531" s="26">
        <v>4</v>
      </c>
      <c r="I1531" t="str">
        <f>IFERROR(VLOOKUP(Tabela6[[#This Row],[Descrição]],Materiais!B:C,2,0),"")</f>
        <v/>
      </c>
    </row>
    <row r="1532" spans="2:9">
      <c r="B1532" s="11">
        <f t="shared" si="136"/>
        <v>44563</v>
      </c>
      <c r="C1532" s="19">
        <f>MONTH(Tabela6[[#This Row],[Data]])</f>
        <v>1</v>
      </c>
      <c r="D1532" s="19">
        <f>YEAR(Tabela6[[#This Row],[Data]])</f>
        <v>2022</v>
      </c>
      <c r="E1532" s="12" t="s">
        <v>78</v>
      </c>
      <c r="F1532" t="s">
        <v>61</v>
      </c>
      <c r="G1532" s="26">
        <v>8</v>
      </c>
      <c r="I1532" t="str">
        <f>IFERROR(VLOOKUP(Tabela6[[#This Row],[Descrição]],Materiais!B:C,2,0),"")</f>
        <v/>
      </c>
    </row>
    <row r="1533" spans="2:9">
      <c r="B1533" s="11">
        <f t="shared" si="136"/>
        <v>44563</v>
      </c>
      <c r="C1533" s="19">
        <f>MONTH(Tabela6[[#This Row],[Data]])</f>
        <v>1</v>
      </c>
      <c r="D1533" s="19">
        <f>YEAR(Tabela6[[#This Row],[Data]])</f>
        <v>2022</v>
      </c>
      <c r="E1533" s="12" t="s">
        <v>78</v>
      </c>
      <c r="F1533" t="s">
        <v>126</v>
      </c>
      <c r="G1533" s="26">
        <v>6</v>
      </c>
      <c r="I1533" t="str">
        <f>IFERROR(VLOOKUP(Tabela6[[#This Row],[Descrição]],Materiais!B:C,2,0),"")</f>
        <v/>
      </c>
    </row>
    <row r="1534" spans="2:9">
      <c r="B1534" s="11">
        <f t="shared" si="136"/>
        <v>44563</v>
      </c>
      <c r="C1534" s="19">
        <f>MONTH(Tabela6[[#This Row],[Data]])</f>
        <v>1</v>
      </c>
      <c r="D1534" s="19">
        <f>YEAR(Tabela6[[#This Row],[Data]])</f>
        <v>2022</v>
      </c>
      <c r="E1534" s="12" t="s">
        <v>78</v>
      </c>
      <c r="F1534" t="s">
        <v>58</v>
      </c>
      <c r="G1534" s="26">
        <v>2</v>
      </c>
      <c r="I1534" t="str">
        <f>IFERROR(VLOOKUP(Tabela6[[#This Row],[Descrição]],Materiais!B:C,2,0),"")</f>
        <v/>
      </c>
    </row>
    <row r="1535" spans="2:9">
      <c r="B1535" s="11">
        <f t="shared" si="136"/>
        <v>44563</v>
      </c>
      <c r="C1535" s="19">
        <f>MONTH(Tabela6[[#This Row],[Data]])</f>
        <v>1</v>
      </c>
      <c r="D1535" s="19">
        <f>YEAR(Tabela6[[#This Row],[Data]])</f>
        <v>2022</v>
      </c>
      <c r="E1535" s="12" t="s">
        <v>78</v>
      </c>
      <c r="F1535" t="s">
        <v>95</v>
      </c>
      <c r="G1535" s="26">
        <v>2</v>
      </c>
      <c r="I1535" t="str">
        <f>IFERROR(VLOOKUP(Tabela6[[#This Row],[Descrição]],Materiais!B:C,2,0),"")</f>
        <v/>
      </c>
    </row>
    <row r="1536" spans="2:9">
      <c r="B1536" s="11">
        <f t="shared" si="136"/>
        <v>44563</v>
      </c>
      <c r="C1536" s="19">
        <f>MONTH(Tabela6[[#This Row],[Data]])</f>
        <v>1</v>
      </c>
      <c r="D1536" s="19">
        <f>YEAR(Tabela6[[#This Row],[Data]])</f>
        <v>2022</v>
      </c>
      <c r="E1536" s="12" t="s">
        <v>78</v>
      </c>
      <c r="F1536" t="s">
        <v>117</v>
      </c>
      <c r="G1536" s="26">
        <v>2</v>
      </c>
      <c r="I1536" t="str">
        <f>IFERROR(VLOOKUP(Tabela6[[#This Row],[Descrição]],Materiais!B:C,2,0),"")</f>
        <v/>
      </c>
    </row>
    <row r="1537" spans="2:9">
      <c r="B1537" s="11">
        <f>43104+(365*4)</f>
        <v>44564</v>
      </c>
      <c r="C1537" s="19">
        <f>MONTH(Tabela6[[#This Row],[Data]])</f>
        <v>1</v>
      </c>
      <c r="D1537" s="19">
        <f>YEAR(Tabela6[[#This Row],[Data]])</f>
        <v>2022</v>
      </c>
      <c r="E1537" s="12" t="s">
        <v>78</v>
      </c>
      <c r="F1537" t="s">
        <v>63</v>
      </c>
      <c r="G1537" s="26">
        <v>2</v>
      </c>
      <c r="I1537" t="str">
        <f>IFERROR(VLOOKUP(Tabela6[[#This Row],[Descrição]],Materiais!B:C,2,0),"")</f>
        <v/>
      </c>
    </row>
    <row r="1538" spans="2:9">
      <c r="B1538" s="11">
        <f>43105+(365*4)</f>
        <v>44565</v>
      </c>
      <c r="C1538" s="19">
        <f>MONTH(Tabela6[[#This Row],[Data]])</f>
        <v>1</v>
      </c>
      <c r="D1538" s="19">
        <f>YEAR(Tabela6[[#This Row],[Data]])</f>
        <v>2022</v>
      </c>
      <c r="E1538" s="12" t="s">
        <v>72</v>
      </c>
      <c r="F1538" t="s">
        <v>17</v>
      </c>
      <c r="G1538" s="26">
        <v>-2</v>
      </c>
      <c r="I1538" t="str">
        <f>IFERROR(VLOOKUP(Tabela6[[#This Row],[Descrição]],Materiais!B:C,2,0),"")</f>
        <v>g</v>
      </c>
    </row>
    <row r="1539" spans="2:9">
      <c r="B1539" s="11">
        <f t="shared" ref="B1539:B1544" si="137">43106+(365*4)</f>
        <v>44566</v>
      </c>
      <c r="C1539" s="19">
        <f>MONTH(Tabela6[[#This Row],[Data]])</f>
        <v>1</v>
      </c>
      <c r="D1539" s="19">
        <f>YEAR(Tabela6[[#This Row],[Data]])</f>
        <v>2022</v>
      </c>
      <c r="E1539" s="12" t="s">
        <v>78</v>
      </c>
      <c r="F1539" t="s">
        <v>63</v>
      </c>
      <c r="G1539" s="26">
        <v>21</v>
      </c>
      <c r="I1539" t="str">
        <f>IFERROR(VLOOKUP(Tabela6[[#This Row],[Descrição]],Materiais!B:C,2,0),"")</f>
        <v/>
      </c>
    </row>
    <row r="1540" spans="2:9">
      <c r="B1540" s="11">
        <f t="shared" si="137"/>
        <v>44566</v>
      </c>
      <c r="C1540" s="19">
        <f>MONTH(Tabela6[[#This Row],[Data]])</f>
        <v>1</v>
      </c>
      <c r="D1540" s="19">
        <f>YEAR(Tabela6[[#This Row],[Data]])</f>
        <v>2022</v>
      </c>
      <c r="E1540" s="12" t="s">
        <v>78</v>
      </c>
      <c r="F1540" t="s">
        <v>56</v>
      </c>
      <c r="G1540" s="26">
        <v>45.5</v>
      </c>
      <c r="I1540" t="str">
        <f>IFERROR(VLOOKUP(Tabela6[[#This Row],[Descrição]],Materiais!B:C,2,0),"")</f>
        <v/>
      </c>
    </row>
    <row r="1541" spans="2:9">
      <c r="B1541" s="11">
        <f t="shared" si="137"/>
        <v>44566</v>
      </c>
      <c r="C1541" s="19">
        <f>MONTH(Tabela6[[#This Row],[Data]])</f>
        <v>1</v>
      </c>
      <c r="D1541" s="19">
        <f>YEAR(Tabela6[[#This Row],[Data]])</f>
        <v>2022</v>
      </c>
      <c r="E1541" s="12" t="s">
        <v>78</v>
      </c>
      <c r="F1541" t="s">
        <v>100</v>
      </c>
      <c r="G1541" s="26">
        <v>35</v>
      </c>
      <c r="I1541" t="str">
        <f>IFERROR(VLOOKUP(Tabela6[[#This Row],[Descrição]],Materiais!B:C,2,0),"")</f>
        <v/>
      </c>
    </row>
    <row r="1542" spans="2:9">
      <c r="B1542" s="11">
        <f t="shared" si="137"/>
        <v>44566</v>
      </c>
      <c r="C1542" s="19">
        <f>MONTH(Tabela6[[#This Row],[Data]])</f>
        <v>1</v>
      </c>
      <c r="D1542" s="19">
        <f>YEAR(Tabela6[[#This Row],[Data]])</f>
        <v>2022</v>
      </c>
      <c r="E1542" s="12" t="s">
        <v>78</v>
      </c>
      <c r="F1542" t="s">
        <v>116</v>
      </c>
      <c r="G1542" s="26">
        <v>45.5</v>
      </c>
      <c r="I1542" t="str">
        <f>IFERROR(VLOOKUP(Tabela6[[#This Row],[Descrição]],Materiais!B:C,2,0),"")</f>
        <v/>
      </c>
    </row>
    <row r="1543" spans="2:9">
      <c r="B1543" s="11">
        <f t="shared" si="137"/>
        <v>44566</v>
      </c>
      <c r="C1543" s="19">
        <f>MONTH(Tabela6[[#This Row],[Data]])</f>
        <v>1</v>
      </c>
      <c r="D1543" s="19">
        <f>YEAR(Tabela6[[#This Row],[Data]])</f>
        <v>2022</v>
      </c>
      <c r="E1543" s="12" t="s">
        <v>78</v>
      </c>
      <c r="F1543" t="s">
        <v>121</v>
      </c>
      <c r="G1543" s="26">
        <v>42</v>
      </c>
      <c r="I1543" t="str">
        <f>IFERROR(VLOOKUP(Tabela6[[#This Row],[Descrição]],Materiais!B:C,2,0),"")</f>
        <v/>
      </c>
    </row>
    <row r="1544" spans="2:9">
      <c r="B1544" s="11">
        <f t="shared" si="137"/>
        <v>44566</v>
      </c>
      <c r="C1544" s="19">
        <f>MONTH(Tabela6[[#This Row],[Data]])</f>
        <v>1</v>
      </c>
      <c r="D1544" s="19">
        <f>YEAR(Tabela6[[#This Row],[Data]])</f>
        <v>2022</v>
      </c>
      <c r="E1544" s="12" t="s">
        <v>78</v>
      </c>
      <c r="F1544" t="s">
        <v>109</v>
      </c>
      <c r="G1544" s="26">
        <v>21</v>
      </c>
      <c r="I1544" t="str">
        <f>IFERROR(VLOOKUP(Tabela6[[#This Row],[Descrição]],Materiais!B:C,2,0),"")</f>
        <v/>
      </c>
    </row>
    <row r="1545" spans="2:9">
      <c r="B1545" s="11">
        <f>43109+(365*4)</f>
        <v>44569</v>
      </c>
      <c r="C1545" s="19">
        <f>MONTH(Tabela6[[#This Row],[Data]])</f>
        <v>1</v>
      </c>
      <c r="D1545" s="19">
        <f>YEAR(Tabela6[[#This Row],[Data]])</f>
        <v>2022</v>
      </c>
      <c r="E1545" s="12" t="s">
        <v>78</v>
      </c>
      <c r="F1545" t="s">
        <v>63</v>
      </c>
      <c r="G1545" s="26">
        <v>4</v>
      </c>
      <c r="I1545" t="str">
        <f>IFERROR(VLOOKUP(Tabela6[[#This Row],[Descrição]],Materiais!B:C,2,0),"")</f>
        <v/>
      </c>
    </row>
    <row r="1546" spans="2:9">
      <c r="B1546" s="11">
        <f>43109+(365*4)</f>
        <v>44569</v>
      </c>
      <c r="C1546" s="19">
        <f>MONTH(Tabela6[[#This Row],[Data]])</f>
        <v>1</v>
      </c>
      <c r="D1546" s="19">
        <f>YEAR(Tabela6[[#This Row],[Data]])</f>
        <v>2022</v>
      </c>
      <c r="E1546" s="12" t="s">
        <v>78</v>
      </c>
      <c r="F1546" t="s">
        <v>133</v>
      </c>
      <c r="G1546" s="26">
        <v>4</v>
      </c>
      <c r="I1546" t="str">
        <f>IFERROR(VLOOKUP(Tabela6[[#This Row],[Descrição]],Materiais!B:C,2,0),"")</f>
        <v/>
      </c>
    </row>
    <row r="1547" spans="2:9">
      <c r="B1547" s="11">
        <f>43109+(365*4)</f>
        <v>44569</v>
      </c>
      <c r="C1547" s="19">
        <f>MONTH(Tabela6[[#This Row],[Data]])</f>
        <v>1</v>
      </c>
      <c r="D1547" s="19">
        <f>YEAR(Tabela6[[#This Row],[Data]])</f>
        <v>2022</v>
      </c>
      <c r="E1547" s="12" t="s">
        <v>78</v>
      </c>
      <c r="F1547" t="s">
        <v>56</v>
      </c>
      <c r="G1547" s="26">
        <v>4</v>
      </c>
      <c r="I1547" t="str">
        <f>IFERROR(VLOOKUP(Tabela6[[#This Row],[Descrição]],Materiais!B:C,2,0),"")</f>
        <v/>
      </c>
    </row>
    <row r="1548" spans="2:9">
      <c r="B1548" s="11">
        <f>43109+(365*4)</f>
        <v>44569</v>
      </c>
      <c r="C1548" s="19">
        <f>MONTH(Tabela6[[#This Row],[Data]])</f>
        <v>1</v>
      </c>
      <c r="D1548" s="19">
        <f>YEAR(Tabela6[[#This Row],[Data]])</f>
        <v>2022</v>
      </c>
      <c r="E1548" s="12" t="s">
        <v>78</v>
      </c>
      <c r="F1548" t="s">
        <v>61</v>
      </c>
      <c r="G1548" s="26">
        <v>4</v>
      </c>
      <c r="I1548" t="str">
        <f>IFERROR(VLOOKUP(Tabela6[[#This Row],[Descrição]],Materiais!B:C,2,0),"")</f>
        <v/>
      </c>
    </row>
    <row r="1549" spans="2:9">
      <c r="B1549" s="11">
        <f>43109+(365*4)</f>
        <v>44569</v>
      </c>
      <c r="C1549" s="19">
        <f>MONTH(Tabela6[[#This Row],[Data]])</f>
        <v>1</v>
      </c>
      <c r="D1549" s="19">
        <f>YEAR(Tabela6[[#This Row],[Data]])</f>
        <v>2022</v>
      </c>
      <c r="E1549" s="12" t="s">
        <v>78</v>
      </c>
      <c r="F1549" t="s">
        <v>58</v>
      </c>
      <c r="G1549" s="26">
        <v>2</v>
      </c>
      <c r="I1549" t="str">
        <f>IFERROR(VLOOKUP(Tabela6[[#This Row],[Descrição]],Materiais!B:C,2,0),"")</f>
        <v/>
      </c>
    </row>
    <row r="1550" spans="2:9">
      <c r="B1550" s="11">
        <f t="shared" ref="B1550:B1564" si="138">43110+(365*4)</f>
        <v>44570</v>
      </c>
      <c r="C1550" s="19">
        <f>MONTH(Tabela6[[#This Row],[Data]])</f>
        <v>1</v>
      </c>
      <c r="D1550" s="19">
        <f>YEAR(Tabela6[[#This Row],[Data]])</f>
        <v>2022</v>
      </c>
      <c r="E1550" s="12" t="s">
        <v>78</v>
      </c>
      <c r="F1550" t="s">
        <v>63</v>
      </c>
      <c r="G1550" s="26">
        <v>2</v>
      </c>
      <c r="I1550" t="str">
        <f>IFERROR(VLOOKUP(Tabela6[[#This Row],[Descrição]],Materiais!B:C,2,0),"")</f>
        <v/>
      </c>
    </row>
    <row r="1551" spans="2:9">
      <c r="B1551" s="11">
        <f t="shared" si="138"/>
        <v>44570</v>
      </c>
      <c r="C1551" s="19">
        <f>MONTH(Tabela6[[#This Row],[Data]])</f>
        <v>1</v>
      </c>
      <c r="D1551" s="19">
        <f>YEAR(Tabela6[[#This Row],[Data]])</f>
        <v>2022</v>
      </c>
      <c r="E1551" s="12" t="s">
        <v>78</v>
      </c>
      <c r="F1551" t="s">
        <v>63</v>
      </c>
      <c r="G1551" s="26">
        <v>35</v>
      </c>
      <c r="I1551" t="str">
        <f>IFERROR(VLOOKUP(Tabela6[[#This Row],[Descrição]],Materiais!B:C,2,0),"")</f>
        <v/>
      </c>
    </row>
    <row r="1552" spans="2:9">
      <c r="B1552" s="11">
        <f t="shared" si="138"/>
        <v>44570</v>
      </c>
      <c r="C1552" s="19">
        <f>MONTH(Tabela6[[#This Row],[Data]])</f>
        <v>1</v>
      </c>
      <c r="D1552" s="19">
        <f>YEAR(Tabela6[[#This Row],[Data]])</f>
        <v>2022</v>
      </c>
      <c r="E1552" s="12" t="s">
        <v>78</v>
      </c>
      <c r="F1552" t="s">
        <v>133</v>
      </c>
      <c r="G1552" s="26">
        <v>2</v>
      </c>
      <c r="I1552" t="str">
        <f>IFERROR(VLOOKUP(Tabela6[[#This Row],[Descrição]],Materiais!B:C,2,0),"")</f>
        <v/>
      </c>
    </row>
    <row r="1553" spans="2:9">
      <c r="B1553" s="11">
        <f t="shared" si="138"/>
        <v>44570</v>
      </c>
      <c r="C1553" s="19">
        <f>MONTH(Tabela6[[#This Row],[Data]])</f>
        <v>1</v>
      </c>
      <c r="D1553" s="19">
        <f>YEAR(Tabela6[[#This Row],[Data]])</f>
        <v>2022</v>
      </c>
      <c r="E1553" s="12" t="s">
        <v>78</v>
      </c>
      <c r="F1553" t="s">
        <v>56</v>
      </c>
      <c r="G1553" s="26">
        <v>35</v>
      </c>
      <c r="I1553" t="str">
        <f>IFERROR(VLOOKUP(Tabela6[[#This Row],[Descrição]],Materiais!B:C,2,0),"")</f>
        <v/>
      </c>
    </row>
    <row r="1554" spans="2:9">
      <c r="B1554" s="11">
        <f t="shared" si="138"/>
        <v>44570</v>
      </c>
      <c r="C1554" s="19">
        <f>MONTH(Tabela6[[#This Row],[Data]])</f>
        <v>1</v>
      </c>
      <c r="D1554" s="19">
        <f>YEAR(Tabela6[[#This Row],[Data]])</f>
        <v>2022</v>
      </c>
      <c r="E1554" s="12" t="s">
        <v>78</v>
      </c>
      <c r="F1554" t="s">
        <v>56</v>
      </c>
      <c r="G1554" s="26">
        <v>12</v>
      </c>
      <c r="I1554" t="str">
        <f>IFERROR(VLOOKUP(Tabela6[[#This Row],[Descrição]],Materiais!B:C,2,0),"")</f>
        <v/>
      </c>
    </row>
    <row r="1555" spans="2:9">
      <c r="B1555" s="11">
        <f t="shared" si="138"/>
        <v>44570</v>
      </c>
      <c r="C1555" s="19">
        <f>MONTH(Tabela6[[#This Row],[Data]])</f>
        <v>1</v>
      </c>
      <c r="D1555" s="19">
        <f>YEAR(Tabela6[[#This Row],[Data]])</f>
        <v>2022</v>
      </c>
      <c r="E1555" s="12" t="s">
        <v>78</v>
      </c>
      <c r="F1555" t="s">
        <v>147</v>
      </c>
      <c r="G1555" s="26">
        <v>2</v>
      </c>
      <c r="I1555" t="str">
        <f>IFERROR(VLOOKUP(Tabela6[[#This Row],[Descrição]],Materiais!B:C,2,0),"")</f>
        <v/>
      </c>
    </row>
    <row r="1556" spans="2:9">
      <c r="B1556" s="11">
        <f t="shared" si="138"/>
        <v>44570</v>
      </c>
      <c r="C1556" s="19">
        <f>MONTH(Tabela6[[#This Row],[Data]])</f>
        <v>1</v>
      </c>
      <c r="D1556" s="19">
        <f>YEAR(Tabela6[[#This Row],[Data]])</f>
        <v>2022</v>
      </c>
      <c r="E1556" s="12" t="s">
        <v>78</v>
      </c>
      <c r="F1556" t="s">
        <v>100</v>
      </c>
      <c r="G1556" s="26">
        <v>35</v>
      </c>
      <c r="I1556" t="str">
        <f>IFERROR(VLOOKUP(Tabela6[[#This Row],[Descrição]],Materiais!B:C,2,0),"")</f>
        <v/>
      </c>
    </row>
    <row r="1557" spans="2:9">
      <c r="B1557" s="11">
        <f t="shared" si="138"/>
        <v>44570</v>
      </c>
      <c r="C1557" s="19">
        <f>MONTH(Tabela6[[#This Row],[Data]])</f>
        <v>1</v>
      </c>
      <c r="D1557" s="19">
        <f>YEAR(Tabela6[[#This Row],[Data]])</f>
        <v>2022</v>
      </c>
      <c r="E1557" s="12" t="s">
        <v>78</v>
      </c>
      <c r="F1557" t="s">
        <v>61</v>
      </c>
      <c r="G1557" s="26">
        <v>8</v>
      </c>
      <c r="I1557" t="str">
        <f>IFERROR(VLOOKUP(Tabela6[[#This Row],[Descrição]],Materiais!B:C,2,0),"")</f>
        <v/>
      </c>
    </row>
    <row r="1558" spans="2:9">
      <c r="B1558" s="11">
        <f t="shared" si="138"/>
        <v>44570</v>
      </c>
      <c r="C1558" s="19">
        <f>MONTH(Tabela6[[#This Row],[Data]])</f>
        <v>1</v>
      </c>
      <c r="D1558" s="19">
        <f>YEAR(Tabela6[[#This Row],[Data]])</f>
        <v>2022</v>
      </c>
      <c r="E1558" s="12" t="s">
        <v>78</v>
      </c>
      <c r="F1558" t="s">
        <v>116</v>
      </c>
      <c r="G1558" s="26">
        <v>35</v>
      </c>
      <c r="I1558" t="str">
        <f>IFERROR(VLOOKUP(Tabela6[[#This Row],[Descrição]],Materiais!B:C,2,0),"")</f>
        <v/>
      </c>
    </row>
    <row r="1559" spans="2:9">
      <c r="B1559" s="11">
        <f t="shared" si="138"/>
        <v>44570</v>
      </c>
      <c r="C1559" s="19">
        <f>MONTH(Tabela6[[#This Row],[Data]])</f>
        <v>1</v>
      </c>
      <c r="D1559" s="19">
        <f>YEAR(Tabela6[[#This Row],[Data]])</f>
        <v>2022</v>
      </c>
      <c r="E1559" s="12" t="s">
        <v>78</v>
      </c>
      <c r="F1559" t="s">
        <v>126</v>
      </c>
      <c r="G1559" s="26">
        <v>8</v>
      </c>
      <c r="I1559" t="str">
        <f>IFERROR(VLOOKUP(Tabela6[[#This Row],[Descrição]],Materiais!B:C,2,0),"")</f>
        <v/>
      </c>
    </row>
    <row r="1560" spans="2:9">
      <c r="B1560" s="11">
        <f t="shared" si="138"/>
        <v>44570</v>
      </c>
      <c r="C1560" s="19">
        <f>MONTH(Tabela6[[#This Row],[Data]])</f>
        <v>1</v>
      </c>
      <c r="D1560" s="19">
        <f>YEAR(Tabela6[[#This Row],[Data]])</f>
        <v>2022</v>
      </c>
      <c r="E1560" s="12" t="s">
        <v>78</v>
      </c>
      <c r="F1560" t="s">
        <v>126</v>
      </c>
      <c r="G1560" s="26">
        <v>35</v>
      </c>
      <c r="I1560" t="str">
        <f>IFERROR(VLOOKUP(Tabela6[[#This Row],[Descrição]],Materiais!B:C,2,0),"")</f>
        <v/>
      </c>
    </row>
    <row r="1561" spans="2:9">
      <c r="B1561" s="11">
        <f t="shared" si="138"/>
        <v>44570</v>
      </c>
      <c r="C1561" s="19">
        <f>MONTH(Tabela6[[#This Row],[Data]])</f>
        <v>1</v>
      </c>
      <c r="D1561" s="19">
        <f>YEAR(Tabela6[[#This Row],[Data]])</f>
        <v>2022</v>
      </c>
      <c r="E1561" s="12" t="s">
        <v>78</v>
      </c>
      <c r="F1561" t="s">
        <v>109</v>
      </c>
      <c r="G1561" s="26">
        <v>4</v>
      </c>
      <c r="I1561" t="str">
        <f>IFERROR(VLOOKUP(Tabela6[[#This Row],[Descrição]],Materiais!B:C,2,0),"")</f>
        <v/>
      </c>
    </row>
    <row r="1562" spans="2:9">
      <c r="B1562" s="11">
        <f t="shared" si="138"/>
        <v>44570</v>
      </c>
      <c r="C1562" s="19">
        <f>MONTH(Tabela6[[#This Row],[Data]])</f>
        <v>1</v>
      </c>
      <c r="D1562" s="19">
        <f>YEAR(Tabela6[[#This Row],[Data]])</f>
        <v>2022</v>
      </c>
      <c r="E1562" s="12" t="s">
        <v>78</v>
      </c>
      <c r="F1562" t="s">
        <v>109</v>
      </c>
      <c r="G1562" s="26">
        <v>35</v>
      </c>
      <c r="I1562" t="str">
        <f>IFERROR(VLOOKUP(Tabela6[[#This Row],[Descrição]],Materiais!B:C,2,0),"")</f>
        <v/>
      </c>
    </row>
    <row r="1563" spans="2:9">
      <c r="B1563" s="11">
        <f t="shared" si="138"/>
        <v>44570</v>
      </c>
      <c r="C1563" s="19">
        <f>MONTH(Tabela6[[#This Row],[Data]])</f>
        <v>1</v>
      </c>
      <c r="D1563" s="19">
        <f>YEAR(Tabela6[[#This Row],[Data]])</f>
        <v>2022</v>
      </c>
      <c r="E1563" s="12" t="s">
        <v>78</v>
      </c>
      <c r="F1563" t="s">
        <v>58</v>
      </c>
      <c r="G1563" s="26">
        <v>6</v>
      </c>
      <c r="I1563" t="str">
        <f>IFERROR(VLOOKUP(Tabela6[[#This Row],[Descrição]],Materiais!B:C,2,0),"")</f>
        <v/>
      </c>
    </row>
    <row r="1564" spans="2:9">
      <c r="B1564" s="11">
        <f t="shared" si="138"/>
        <v>44570</v>
      </c>
      <c r="C1564" s="19">
        <f>MONTH(Tabela6[[#This Row],[Data]])</f>
        <v>1</v>
      </c>
      <c r="D1564" s="19">
        <f>YEAR(Tabela6[[#This Row],[Data]])</f>
        <v>2022</v>
      </c>
      <c r="E1564" s="12" t="s">
        <v>78</v>
      </c>
      <c r="F1564" t="s">
        <v>95</v>
      </c>
      <c r="G1564" s="26">
        <v>4</v>
      </c>
      <c r="I1564" t="str">
        <f>IFERROR(VLOOKUP(Tabela6[[#This Row],[Descrição]],Materiais!B:C,2,0),"")</f>
        <v/>
      </c>
    </row>
    <row r="1565" spans="2:9">
      <c r="B1565" s="11">
        <f>43111+(365*4)</f>
        <v>44571</v>
      </c>
      <c r="C1565" s="19">
        <f>MONTH(Tabela6[[#This Row],[Data]])</f>
        <v>1</v>
      </c>
      <c r="D1565" s="19">
        <f>YEAR(Tabela6[[#This Row],[Data]])</f>
        <v>2022</v>
      </c>
      <c r="E1565" s="12" t="s">
        <v>78</v>
      </c>
      <c r="F1565" t="s">
        <v>63</v>
      </c>
      <c r="G1565" s="26">
        <v>6</v>
      </c>
      <c r="I1565" t="str">
        <f>IFERROR(VLOOKUP(Tabela6[[#This Row],[Descrição]],Materiais!B:C,2,0),"")</f>
        <v/>
      </c>
    </row>
    <row r="1566" spans="2:9">
      <c r="B1566" s="11">
        <f>43111+(365*4)</f>
        <v>44571</v>
      </c>
      <c r="C1566" s="19">
        <f>MONTH(Tabela6[[#This Row],[Data]])</f>
        <v>1</v>
      </c>
      <c r="D1566" s="19">
        <f>YEAR(Tabela6[[#This Row],[Data]])</f>
        <v>2022</v>
      </c>
      <c r="E1566" s="12" t="s">
        <v>78</v>
      </c>
      <c r="F1566" t="s">
        <v>133</v>
      </c>
      <c r="G1566" s="26">
        <v>6</v>
      </c>
      <c r="I1566" t="str">
        <f>IFERROR(VLOOKUP(Tabela6[[#This Row],[Descrição]],Materiais!B:C,2,0),"")</f>
        <v/>
      </c>
    </row>
    <row r="1567" spans="2:9">
      <c r="B1567" s="11">
        <f>43111+(365*4)</f>
        <v>44571</v>
      </c>
      <c r="C1567" s="19">
        <f>MONTH(Tabela6[[#This Row],[Data]])</f>
        <v>1</v>
      </c>
      <c r="D1567" s="19">
        <f>YEAR(Tabela6[[#This Row],[Data]])</f>
        <v>2022</v>
      </c>
      <c r="E1567" s="12" t="s">
        <v>78</v>
      </c>
      <c r="F1567" t="s">
        <v>56</v>
      </c>
      <c r="G1567" s="26">
        <v>12</v>
      </c>
      <c r="I1567" t="str">
        <f>IFERROR(VLOOKUP(Tabela6[[#This Row],[Descrição]],Materiais!B:C,2,0),"")</f>
        <v/>
      </c>
    </row>
    <row r="1568" spans="2:9">
      <c r="B1568" s="11">
        <f>43111+(365*4)</f>
        <v>44571</v>
      </c>
      <c r="C1568" s="19">
        <f>MONTH(Tabela6[[#This Row],[Data]])</f>
        <v>1</v>
      </c>
      <c r="D1568" s="19">
        <f>YEAR(Tabela6[[#This Row],[Data]])</f>
        <v>2022</v>
      </c>
      <c r="E1568" s="12" t="s">
        <v>78</v>
      </c>
      <c r="F1568" t="s">
        <v>58</v>
      </c>
      <c r="G1568" s="26">
        <v>6</v>
      </c>
      <c r="I1568" t="str">
        <f>IFERROR(VLOOKUP(Tabela6[[#This Row],[Descrição]],Materiais!B:C,2,0),"")</f>
        <v/>
      </c>
    </row>
    <row r="1569" spans="2:9">
      <c r="B1569" s="11">
        <f>43114+(365*4)</f>
        <v>44574</v>
      </c>
      <c r="C1569" s="19">
        <f>MONTH(Tabela6[[#This Row],[Data]])</f>
        <v>1</v>
      </c>
      <c r="D1569" s="19">
        <f>YEAR(Tabela6[[#This Row],[Data]])</f>
        <v>2022</v>
      </c>
      <c r="E1569" s="12" t="s">
        <v>78</v>
      </c>
      <c r="F1569" t="s">
        <v>63</v>
      </c>
      <c r="G1569" s="26">
        <v>28</v>
      </c>
      <c r="I1569" t="str">
        <f>IFERROR(VLOOKUP(Tabela6[[#This Row],[Descrição]],Materiais!B:C,2,0),"")</f>
        <v/>
      </c>
    </row>
    <row r="1570" spans="2:9">
      <c r="B1570" s="11">
        <f>43114+(365*4)</f>
        <v>44574</v>
      </c>
      <c r="C1570" s="19">
        <f>MONTH(Tabela6[[#This Row],[Data]])</f>
        <v>1</v>
      </c>
      <c r="D1570" s="19">
        <f>YEAR(Tabela6[[#This Row],[Data]])</f>
        <v>2022</v>
      </c>
      <c r="E1570" s="12" t="s">
        <v>78</v>
      </c>
      <c r="F1570" t="s">
        <v>151</v>
      </c>
      <c r="G1570" s="26">
        <v>28</v>
      </c>
      <c r="I1570" t="str">
        <f>IFERROR(VLOOKUP(Tabela6[[#This Row],[Descrição]],Materiais!B:C,2,0),"")</f>
        <v/>
      </c>
    </row>
    <row r="1571" spans="2:9">
      <c r="B1571" s="11">
        <f>43114+(365*4)</f>
        <v>44574</v>
      </c>
      <c r="C1571" s="19">
        <f>MONTH(Tabela6[[#This Row],[Data]])</f>
        <v>1</v>
      </c>
      <c r="D1571" s="19">
        <f>YEAR(Tabela6[[#This Row],[Data]])</f>
        <v>2022</v>
      </c>
      <c r="E1571" s="12" t="s">
        <v>78</v>
      </c>
      <c r="F1571" t="s">
        <v>116</v>
      </c>
      <c r="G1571" s="26">
        <v>28</v>
      </c>
      <c r="I1571" t="str">
        <f>IFERROR(VLOOKUP(Tabela6[[#This Row],[Descrição]],Materiais!B:C,2,0),"")</f>
        <v/>
      </c>
    </row>
    <row r="1572" spans="2:9">
      <c r="B1572" s="11">
        <f>43114+(365*4)</f>
        <v>44574</v>
      </c>
      <c r="C1572" s="19">
        <f>MONTH(Tabela6[[#This Row],[Data]])</f>
        <v>1</v>
      </c>
      <c r="D1572" s="19">
        <f>YEAR(Tabela6[[#This Row],[Data]])</f>
        <v>2022</v>
      </c>
      <c r="E1572" s="12" t="s">
        <v>78</v>
      </c>
      <c r="F1572" t="s">
        <v>126</v>
      </c>
      <c r="G1572" s="26">
        <v>28</v>
      </c>
      <c r="I1572" t="str">
        <f>IFERROR(VLOOKUP(Tabela6[[#This Row],[Descrição]],Materiais!B:C,2,0),"")</f>
        <v/>
      </c>
    </row>
    <row r="1573" spans="2:9">
      <c r="B1573" s="11">
        <f>43114+(365*4)</f>
        <v>44574</v>
      </c>
      <c r="C1573" s="19">
        <f>MONTH(Tabela6[[#This Row],[Data]])</f>
        <v>1</v>
      </c>
      <c r="D1573" s="19">
        <f>YEAR(Tabela6[[#This Row],[Data]])</f>
        <v>2022</v>
      </c>
      <c r="E1573" s="12" t="s">
        <v>78</v>
      </c>
      <c r="F1573" t="s">
        <v>109</v>
      </c>
      <c r="G1573" s="26">
        <v>28</v>
      </c>
      <c r="I1573" t="str">
        <f>IFERROR(VLOOKUP(Tabela6[[#This Row],[Descrição]],Materiais!B:C,2,0),"")</f>
        <v/>
      </c>
    </row>
    <row r="1574" spans="2:9">
      <c r="B1574" s="11">
        <f t="shared" ref="B1574:B1579" si="139">43115+(365*4)</f>
        <v>44575</v>
      </c>
      <c r="C1574" s="19">
        <f>MONTH(Tabela6[[#This Row],[Data]])</f>
        <v>1</v>
      </c>
      <c r="D1574" s="19">
        <f>YEAR(Tabela6[[#This Row],[Data]])</f>
        <v>2022</v>
      </c>
      <c r="E1574" s="12" t="s">
        <v>78</v>
      </c>
      <c r="F1574" t="s">
        <v>56</v>
      </c>
      <c r="G1574" s="26">
        <v>10</v>
      </c>
      <c r="I1574" t="str">
        <f>IFERROR(VLOOKUP(Tabela6[[#This Row],[Descrição]],Materiais!B:C,2,0),"")</f>
        <v/>
      </c>
    </row>
    <row r="1575" spans="2:9">
      <c r="B1575" s="11">
        <f t="shared" si="139"/>
        <v>44575</v>
      </c>
      <c r="C1575" s="19">
        <f>MONTH(Tabela6[[#This Row],[Data]])</f>
        <v>1</v>
      </c>
      <c r="D1575" s="19">
        <f>YEAR(Tabela6[[#This Row],[Data]])</f>
        <v>2022</v>
      </c>
      <c r="E1575" s="12" t="s">
        <v>78</v>
      </c>
      <c r="F1575" t="s">
        <v>147</v>
      </c>
      <c r="G1575" s="26">
        <v>2</v>
      </c>
      <c r="I1575" t="str">
        <f>IFERROR(VLOOKUP(Tabela6[[#This Row],[Descrição]],Materiais!B:C,2,0),"")</f>
        <v/>
      </c>
    </row>
    <row r="1576" spans="2:9">
      <c r="B1576" s="11">
        <f t="shared" si="139"/>
        <v>44575</v>
      </c>
      <c r="C1576" s="19">
        <f>MONTH(Tabela6[[#This Row],[Data]])</f>
        <v>1</v>
      </c>
      <c r="D1576" s="19">
        <f>YEAR(Tabela6[[#This Row],[Data]])</f>
        <v>2022</v>
      </c>
      <c r="E1576" s="12" t="s">
        <v>78</v>
      </c>
      <c r="F1576" t="s">
        <v>61</v>
      </c>
      <c r="G1576" s="26">
        <v>4</v>
      </c>
      <c r="I1576" t="str">
        <f>IFERROR(VLOOKUP(Tabela6[[#This Row],[Descrição]],Materiais!B:C,2,0),"")</f>
        <v/>
      </c>
    </row>
    <row r="1577" spans="2:9">
      <c r="B1577" s="11">
        <f t="shared" si="139"/>
        <v>44575</v>
      </c>
      <c r="C1577" s="19">
        <f>MONTH(Tabela6[[#This Row],[Data]])</f>
        <v>1</v>
      </c>
      <c r="D1577" s="19">
        <f>YEAR(Tabela6[[#This Row],[Data]])</f>
        <v>2022</v>
      </c>
      <c r="E1577" s="12" t="s">
        <v>78</v>
      </c>
      <c r="F1577" t="s">
        <v>126</v>
      </c>
      <c r="G1577" s="26">
        <v>4</v>
      </c>
      <c r="I1577" t="str">
        <f>IFERROR(VLOOKUP(Tabela6[[#This Row],[Descrição]],Materiais!B:C,2,0),"")</f>
        <v/>
      </c>
    </row>
    <row r="1578" spans="2:9">
      <c r="B1578" s="11">
        <f t="shared" si="139"/>
        <v>44575</v>
      </c>
      <c r="C1578" s="19">
        <f>MONTH(Tabela6[[#This Row],[Data]])</f>
        <v>1</v>
      </c>
      <c r="D1578" s="19">
        <f>YEAR(Tabela6[[#This Row],[Data]])</f>
        <v>2022</v>
      </c>
      <c r="E1578" s="12" t="s">
        <v>78</v>
      </c>
      <c r="F1578" t="s">
        <v>109</v>
      </c>
      <c r="G1578" s="26">
        <v>2</v>
      </c>
      <c r="I1578" t="str">
        <f>IFERROR(VLOOKUP(Tabela6[[#This Row],[Descrição]],Materiais!B:C,2,0),"")</f>
        <v/>
      </c>
    </row>
    <row r="1579" spans="2:9">
      <c r="B1579" s="11">
        <f t="shared" si="139"/>
        <v>44575</v>
      </c>
      <c r="C1579" s="19">
        <f>MONTH(Tabela6[[#This Row],[Data]])</f>
        <v>1</v>
      </c>
      <c r="D1579" s="19">
        <f>YEAR(Tabela6[[#This Row],[Data]])</f>
        <v>2022</v>
      </c>
      <c r="E1579" s="12" t="s">
        <v>78</v>
      </c>
      <c r="F1579" t="s">
        <v>58</v>
      </c>
      <c r="G1579" s="26">
        <v>2</v>
      </c>
      <c r="I1579" t="str">
        <f>IFERROR(VLOOKUP(Tabela6[[#This Row],[Descrição]],Materiais!B:C,2,0),"")</f>
        <v/>
      </c>
    </row>
    <row r="1580" spans="2:9">
      <c r="B1580" s="11">
        <f t="shared" ref="B1580:B1587" si="140">43116+(365*4)</f>
        <v>44576</v>
      </c>
      <c r="C1580" s="19">
        <f>MONTH(Tabela6[[#This Row],[Data]])</f>
        <v>1</v>
      </c>
      <c r="D1580" s="19">
        <f>YEAR(Tabela6[[#This Row],[Data]])</f>
        <v>2022</v>
      </c>
      <c r="E1580" s="12" t="s">
        <v>78</v>
      </c>
      <c r="F1580" t="s">
        <v>63</v>
      </c>
      <c r="G1580" s="26">
        <v>2</v>
      </c>
      <c r="I1580" t="str">
        <f>IFERROR(VLOOKUP(Tabela6[[#This Row],[Descrição]],Materiais!B:C,2,0),"")</f>
        <v/>
      </c>
    </row>
    <row r="1581" spans="2:9">
      <c r="B1581" s="11">
        <f t="shared" si="140"/>
        <v>44576</v>
      </c>
      <c r="C1581" s="19">
        <f>MONTH(Tabela6[[#This Row],[Data]])</f>
        <v>1</v>
      </c>
      <c r="D1581" s="19">
        <f>YEAR(Tabela6[[#This Row],[Data]])</f>
        <v>2022</v>
      </c>
      <c r="E1581" s="12" t="s">
        <v>78</v>
      </c>
      <c r="F1581" t="s">
        <v>133</v>
      </c>
      <c r="G1581" s="26">
        <v>4</v>
      </c>
      <c r="I1581" t="str">
        <f>IFERROR(VLOOKUP(Tabela6[[#This Row],[Descrição]],Materiais!B:C,2,0),"")</f>
        <v/>
      </c>
    </row>
    <row r="1582" spans="2:9">
      <c r="B1582" s="11">
        <f t="shared" si="140"/>
        <v>44576</v>
      </c>
      <c r="C1582" s="19">
        <f>MONTH(Tabela6[[#This Row],[Data]])</f>
        <v>1</v>
      </c>
      <c r="D1582" s="19">
        <f>YEAR(Tabela6[[#This Row],[Data]])</f>
        <v>2022</v>
      </c>
      <c r="E1582" s="12" t="s">
        <v>78</v>
      </c>
      <c r="F1582" t="s">
        <v>56</v>
      </c>
      <c r="G1582" s="26">
        <v>6</v>
      </c>
      <c r="I1582" t="str">
        <f>IFERROR(VLOOKUP(Tabela6[[#This Row],[Descrição]],Materiais!B:C,2,0),"")</f>
        <v/>
      </c>
    </row>
    <row r="1583" spans="2:9">
      <c r="B1583" s="11">
        <f t="shared" si="140"/>
        <v>44576</v>
      </c>
      <c r="C1583" s="19">
        <f>MONTH(Tabela6[[#This Row],[Data]])</f>
        <v>1</v>
      </c>
      <c r="D1583" s="19">
        <f>YEAR(Tabela6[[#This Row],[Data]])</f>
        <v>2022</v>
      </c>
      <c r="E1583" s="12" t="s">
        <v>78</v>
      </c>
      <c r="F1583" t="s">
        <v>61</v>
      </c>
      <c r="G1583" s="26">
        <v>8</v>
      </c>
      <c r="I1583" t="str">
        <f>IFERROR(VLOOKUP(Tabela6[[#This Row],[Descrição]],Materiais!B:C,2,0),"")</f>
        <v/>
      </c>
    </row>
    <row r="1584" spans="2:9">
      <c r="B1584" s="11">
        <f t="shared" si="140"/>
        <v>44576</v>
      </c>
      <c r="C1584" s="19">
        <f>MONTH(Tabela6[[#This Row],[Data]])</f>
        <v>1</v>
      </c>
      <c r="D1584" s="19">
        <f>YEAR(Tabela6[[#This Row],[Data]])</f>
        <v>2022</v>
      </c>
      <c r="E1584" s="12" t="s">
        <v>78</v>
      </c>
      <c r="F1584" t="s">
        <v>126</v>
      </c>
      <c r="G1584" s="26">
        <v>2</v>
      </c>
      <c r="I1584" t="str">
        <f>IFERROR(VLOOKUP(Tabela6[[#This Row],[Descrição]],Materiais!B:C,2,0),"")</f>
        <v/>
      </c>
    </row>
    <row r="1585" spans="2:9">
      <c r="B1585" s="11">
        <f t="shared" si="140"/>
        <v>44576</v>
      </c>
      <c r="C1585" s="19">
        <f>MONTH(Tabela6[[#This Row],[Data]])</f>
        <v>1</v>
      </c>
      <c r="D1585" s="19">
        <f>YEAR(Tabela6[[#This Row],[Data]])</f>
        <v>2022</v>
      </c>
      <c r="E1585" s="12" t="s">
        <v>78</v>
      </c>
      <c r="F1585" t="s">
        <v>109</v>
      </c>
      <c r="G1585" s="26">
        <v>4</v>
      </c>
      <c r="I1585" t="str">
        <f>IFERROR(VLOOKUP(Tabela6[[#This Row],[Descrição]],Materiais!B:C,2,0),"")</f>
        <v/>
      </c>
    </row>
    <row r="1586" spans="2:9">
      <c r="B1586" s="11">
        <f t="shared" si="140"/>
        <v>44576</v>
      </c>
      <c r="C1586" s="19">
        <f>MONTH(Tabela6[[#This Row],[Data]])</f>
        <v>1</v>
      </c>
      <c r="D1586" s="19">
        <f>YEAR(Tabela6[[#This Row],[Data]])</f>
        <v>2022</v>
      </c>
      <c r="E1586" s="12" t="s">
        <v>78</v>
      </c>
      <c r="F1586" t="s">
        <v>58</v>
      </c>
      <c r="G1586" s="26">
        <v>2</v>
      </c>
      <c r="I1586" t="str">
        <f>IFERROR(VLOOKUP(Tabela6[[#This Row],[Descrição]],Materiais!B:C,2,0),"")</f>
        <v/>
      </c>
    </row>
    <row r="1587" spans="2:9">
      <c r="B1587" s="11">
        <f t="shared" si="140"/>
        <v>44576</v>
      </c>
      <c r="C1587" s="19">
        <f>MONTH(Tabela6[[#This Row],[Data]])</f>
        <v>1</v>
      </c>
      <c r="D1587" s="19">
        <f>YEAR(Tabela6[[#This Row],[Data]])</f>
        <v>2022</v>
      </c>
      <c r="E1587" s="12" t="s">
        <v>78</v>
      </c>
      <c r="F1587" t="s">
        <v>95</v>
      </c>
      <c r="G1587" s="26">
        <v>2</v>
      </c>
      <c r="I1587" t="str">
        <f>IFERROR(VLOOKUP(Tabela6[[#This Row],[Descrição]],Materiais!B:C,2,0),"")</f>
        <v/>
      </c>
    </row>
    <row r="1588" spans="2:9">
      <c r="B1588" s="11">
        <f t="shared" ref="B1588:B1596" si="141">43117+(365*4)</f>
        <v>44577</v>
      </c>
      <c r="C1588" s="19">
        <f>MONTH(Tabela6[[#This Row],[Data]])</f>
        <v>1</v>
      </c>
      <c r="D1588" s="19">
        <f>YEAR(Tabela6[[#This Row],[Data]])</f>
        <v>2022</v>
      </c>
      <c r="E1588" s="12" t="s">
        <v>78</v>
      </c>
      <c r="F1588" t="s">
        <v>63</v>
      </c>
      <c r="G1588" s="26">
        <v>6</v>
      </c>
      <c r="I1588" t="str">
        <f>IFERROR(VLOOKUP(Tabela6[[#This Row],[Descrição]],Materiais!B:C,2,0),"")</f>
        <v/>
      </c>
    </row>
    <row r="1589" spans="2:9">
      <c r="B1589" s="11">
        <f t="shared" si="141"/>
        <v>44577</v>
      </c>
      <c r="C1589" s="19">
        <f>MONTH(Tabela6[[#This Row],[Data]])</f>
        <v>1</v>
      </c>
      <c r="D1589" s="19">
        <f>YEAR(Tabela6[[#This Row],[Data]])</f>
        <v>2022</v>
      </c>
      <c r="E1589" s="12" t="s">
        <v>78</v>
      </c>
      <c r="F1589" t="s">
        <v>133</v>
      </c>
      <c r="G1589" s="26">
        <v>6</v>
      </c>
      <c r="I1589" t="str">
        <f>IFERROR(VLOOKUP(Tabela6[[#This Row],[Descrição]],Materiais!B:C,2,0),"")</f>
        <v/>
      </c>
    </row>
    <row r="1590" spans="2:9">
      <c r="B1590" s="11">
        <f t="shared" si="141"/>
        <v>44577</v>
      </c>
      <c r="C1590" s="19">
        <f>MONTH(Tabela6[[#This Row],[Data]])</f>
        <v>1</v>
      </c>
      <c r="D1590" s="19">
        <f>YEAR(Tabela6[[#This Row],[Data]])</f>
        <v>2022</v>
      </c>
      <c r="E1590" s="12" t="s">
        <v>78</v>
      </c>
      <c r="F1590" t="s">
        <v>56</v>
      </c>
      <c r="G1590" s="26">
        <v>10</v>
      </c>
      <c r="I1590" t="str">
        <f>IFERROR(VLOOKUP(Tabela6[[#This Row],[Descrição]],Materiais!B:C,2,0),"")</f>
        <v/>
      </c>
    </row>
    <row r="1591" spans="2:9">
      <c r="B1591" s="11">
        <f t="shared" si="141"/>
        <v>44577</v>
      </c>
      <c r="C1591" s="19">
        <f>MONTH(Tabela6[[#This Row],[Data]])</f>
        <v>1</v>
      </c>
      <c r="D1591" s="19">
        <f>YEAR(Tabela6[[#This Row],[Data]])</f>
        <v>2022</v>
      </c>
      <c r="E1591" s="12" t="s">
        <v>78</v>
      </c>
      <c r="F1591" t="s">
        <v>147</v>
      </c>
      <c r="G1591" s="26">
        <v>6</v>
      </c>
      <c r="I1591" t="str">
        <f>IFERROR(VLOOKUP(Tabela6[[#This Row],[Descrição]],Materiais!B:C,2,0),"")</f>
        <v/>
      </c>
    </row>
    <row r="1592" spans="2:9">
      <c r="B1592" s="11">
        <f t="shared" si="141"/>
        <v>44577</v>
      </c>
      <c r="C1592" s="19">
        <f>MONTH(Tabela6[[#This Row],[Data]])</f>
        <v>1</v>
      </c>
      <c r="D1592" s="19">
        <f>YEAR(Tabela6[[#This Row],[Data]])</f>
        <v>2022</v>
      </c>
      <c r="E1592" s="12" t="s">
        <v>78</v>
      </c>
      <c r="F1592" t="s">
        <v>61</v>
      </c>
      <c r="G1592" s="26">
        <v>2</v>
      </c>
      <c r="I1592" t="str">
        <f>IFERROR(VLOOKUP(Tabela6[[#This Row],[Descrição]],Materiais!B:C,2,0),"")</f>
        <v/>
      </c>
    </row>
    <row r="1593" spans="2:9">
      <c r="B1593" s="11">
        <f t="shared" si="141"/>
        <v>44577</v>
      </c>
      <c r="C1593" s="19">
        <f>MONTH(Tabela6[[#This Row],[Data]])</f>
        <v>1</v>
      </c>
      <c r="D1593" s="19">
        <f>YEAR(Tabela6[[#This Row],[Data]])</f>
        <v>2022</v>
      </c>
      <c r="E1593" s="12" t="s">
        <v>78</v>
      </c>
      <c r="F1593" t="s">
        <v>126</v>
      </c>
      <c r="G1593" s="26">
        <v>8</v>
      </c>
      <c r="I1593" t="str">
        <f>IFERROR(VLOOKUP(Tabela6[[#This Row],[Descrição]],Materiais!B:C,2,0),"")</f>
        <v/>
      </c>
    </row>
    <row r="1594" spans="2:9">
      <c r="B1594" s="11">
        <f t="shared" si="141"/>
        <v>44577</v>
      </c>
      <c r="C1594" s="19">
        <f>MONTH(Tabela6[[#This Row],[Data]])</f>
        <v>1</v>
      </c>
      <c r="D1594" s="19">
        <f>YEAR(Tabela6[[#This Row],[Data]])</f>
        <v>2022</v>
      </c>
      <c r="E1594" s="12" t="s">
        <v>78</v>
      </c>
      <c r="F1594" t="s">
        <v>109</v>
      </c>
      <c r="G1594" s="26">
        <v>6</v>
      </c>
      <c r="I1594" t="str">
        <f>IFERROR(VLOOKUP(Tabela6[[#This Row],[Descrição]],Materiais!B:C,2,0),"")</f>
        <v/>
      </c>
    </row>
    <row r="1595" spans="2:9">
      <c r="B1595" s="11">
        <f t="shared" si="141"/>
        <v>44577</v>
      </c>
      <c r="C1595" s="19">
        <f>MONTH(Tabela6[[#This Row],[Data]])</f>
        <v>1</v>
      </c>
      <c r="D1595" s="19">
        <f>YEAR(Tabela6[[#This Row],[Data]])</f>
        <v>2022</v>
      </c>
      <c r="E1595" s="12" t="s">
        <v>78</v>
      </c>
      <c r="F1595" t="s">
        <v>58</v>
      </c>
      <c r="G1595" s="26">
        <v>6</v>
      </c>
      <c r="I1595" t="str">
        <f>IFERROR(VLOOKUP(Tabela6[[#This Row],[Descrição]],Materiais!B:C,2,0),"")</f>
        <v/>
      </c>
    </row>
    <row r="1596" spans="2:9">
      <c r="B1596" s="11">
        <f t="shared" si="141"/>
        <v>44577</v>
      </c>
      <c r="C1596" s="19">
        <f>MONTH(Tabela6[[#This Row],[Data]])</f>
        <v>1</v>
      </c>
      <c r="D1596" s="19">
        <f>YEAR(Tabela6[[#This Row],[Data]])</f>
        <v>2022</v>
      </c>
      <c r="E1596" s="12" t="s">
        <v>78</v>
      </c>
      <c r="F1596" t="s">
        <v>95</v>
      </c>
      <c r="G1596" s="26">
        <v>2</v>
      </c>
      <c r="I1596" t="str">
        <f>IFERROR(VLOOKUP(Tabela6[[#This Row],[Descrição]],Materiais!B:C,2,0),"")</f>
        <v/>
      </c>
    </row>
    <row r="1597" spans="2:9">
      <c r="B1597" s="11">
        <f t="shared" ref="B1597:B1608" si="142">43118+(365*4)</f>
        <v>44578</v>
      </c>
      <c r="C1597" s="19">
        <f>MONTH(Tabela6[[#This Row],[Data]])</f>
        <v>1</v>
      </c>
      <c r="D1597" s="19">
        <f>YEAR(Tabela6[[#This Row],[Data]])</f>
        <v>2022</v>
      </c>
      <c r="E1597" s="12" t="s">
        <v>72</v>
      </c>
      <c r="F1597" t="s">
        <v>9</v>
      </c>
      <c r="G1597" s="26">
        <v>-28.5</v>
      </c>
      <c r="I1597" t="str">
        <f>IFERROR(VLOOKUP(Tabela6[[#This Row],[Descrição]],Materiais!B:C,2,0),"")</f>
        <v>g</v>
      </c>
    </row>
    <row r="1598" spans="2:9">
      <c r="B1598" s="11">
        <f t="shared" si="142"/>
        <v>44578</v>
      </c>
      <c r="C1598" s="19">
        <f>MONTH(Tabela6[[#This Row],[Data]])</f>
        <v>1</v>
      </c>
      <c r="D1598" s="19">
        <f>YEAR(Tabela6[[#This Row],[Data]])</f>
        <v>2022</v>
      </c>
      <c r="E1598" s="12" t="s">
        <v>72</v>
      </c>
      <c r="F1598" t="s">
        <v>74</v>
      </c>
      <c r="G1598" s="26">
        <v>-52.5</v>
      </c>
      <c r="I1598" t="str">
        <f>IFERROR(VLOOKUP(Tabela6[[#This Row],[Descrição]],Materiais!B:C,2,0),"")</f>
        <v/>
      </c>
    </row>
    <row r="1599" spans="2:9">
      <c r="B1599" s="11">
        <f t="shared" si="142"/>
        <v>44578</v>
      </c>
      <c r="C1599" s="19">
        <f>MONTH(Tabela6[[#This Row],[Data]])</f>
        <v>1</v>
      </c>
      <c r="D1599" s="19">
        <f>YEAR(Tabela6[[#This Row],[Data]])</f>
        <v>2022</v>
      </c>
      <c r="E1599" s="12" t="s">
        <v>72</v>
      </c>
      <c r="F1599" t="s">
        <v>10</v>
      </c>
      <c r="G1599" s="26">
        <v>-58.5</v>
      </c>
      <c r="I1599" t="str">
        <f>IFERROR(VLOOKUP(Tabela6[[#This Row],[Descrição]],Materiais!B:C,2,0),"")</f>
        <v>g</v>
      </c>
    </row>
    <row r="1600" spans="2:9">
      <c r="B1600" s="11">
        <f t="shared" si="142"/>
        <v>44578</v>
      </c>
      <c r="C1600" s="19">
        <f>MONTH(Tabela6[[#This Row],[Data]])</f>
        <v>1</v>
      </c>
      <c r="D1600" s="19">
        <f>YEAR(Tabela6[[#This Row],[Data]])</f>
        <v>2022</v>
      </c>
      <c r="E1600" s="12" t="s">
        <v>78</v>
      </c>
      <c r="F1600" t="s">
        <v>56</v>
      </c>
      <c r="G1600" s="26">
        <v>6</v>
      </c>
      <c r="I1600" t="str">
        <f>IFERROR(VLOOKUP(Tabela6[[#This Row],[Descrição]],Materiais!B:C,2,0),"")</f>
        <v/>
      </c>
    </row>
    <row r="1601" spans="2:9">
      <c r="B1601" s="11">
        <f t="shared" si="142"/>
        <v>44578</v>
      </c>
      <c r="C1601" s="19">
        <f>MONTH(Tabela6[[#This Row],[Data]])</f>
        <v>1</v>
      </c>
      <c r="D1601" s="19">
        <f>YEAR(Tabela6[[#This Row],[Data]])</f>
        <v>2022</v>
      </c>
      <c r="E1601" s="12" t="s">
        <v>78</v>
      </c>
      <c r="F1601" t="s">
        <v>147</v>
      </c>
      <c r="G1601" s="26">
        <v>4</v>
      </c>
      <c r="I1601" t="str">
        <f>IFERROR(VLOOKUP(Tabela6[[#This Row],[Descrição]],Materiais!B:C,2,0),"")</f>
        <v/>
      </c>
    </row>
    <row r="1602" spans="2:9">
      <c r="B1602" s="11">
        <f t="shared" si="142"/>
        <v>44578</v>
      </c>
      <c r="C1602" s="19">
        <f>MONTH(Tabela6[[#This Row],[Data]])</f>
        <v>1</v>
      </c>
      <c r="D1602" s="19">
        <f>YEAR(Tabela6[[#This Row],[Data]])</f>
        <v>2022</v>
      </c>
      <c r="E1602" s="12" t="s">
        <v>72</v>
      </c>
      <c r="F1602" t="s">
        <v>131</v>
      </c>
      <c r="G1602" s="26">
        <v>-6.7</v>
      </c>
      <c r="I1602" t="str">
        <f>IFERROR(VLOOKUP(Tabela6[[#This Row],[Descrição]],Materiais!B:C,2,0),"")</f>
        <v/>
      </c>
    </row>
    <row r="1603" spans="2:9">
      <c r="B1603" s="11">
        <f t="shared" si="142"/>
        <v>44578</v>
      </c>
      <c r="C1603" s="19">
        <f>MONTH(Tabela6[[#This Row],[Data]])</f>
        <v>1</v>
      </c>
      <c r="D1603" s="19">
        <f>YEAR(Tabela6[[#This Row],[Data]])</f>
        <v>2022</v>
      </c>
      <c r="E1603" s="12" t="s">
        <v>72</v>
      </c>
      <c r="F1603" t="s">
        <v>105</v>
      </c>
      <c r="G1603" s="26">
        <v>-13.95</v>
      </c>
      <c r="I1603" t="str">
        <f>IFERROR(VLOOKUP(Tabela6[[#This Row],[Descrição]],Materiais!B:C,2,0),"")</f>
        <v/>
      </c>
    </row>
    <row r="1604" spans="2:9">
      <c r="B1604" s="11">
        <f t="shared" si="142"/>
        <v>44578</v>
      </c>
      <c r="C1604" s="19">
        <f>MONTH(Tabela6[[#This Row],[Data]])</f>
        <v>1</v>
      </c>
      <c r="D1604" s="19">
        <f>YEAR(Tabela6[[#This Row],[Data]])</f>
        <v>2022</v>
      </c>
      <c r="E1604" s="12" t="s">
        <v>75</v>
      </c>
      <c r="F1604" t="s">
        <v>119</v>
      </c>
      <c r="G1604" s="26">
        <v>-2.9699999999999998</v>
      </c>
      <c r="I1604" t="str">
        <f>IFERROR(VLOOKUP(Tabela6[[#This Row],[Descrição]],Materiais!B:C,2,0),"")</f>
        <v/>
      </c>
    </row>
    <row r="1605" spans="2:9">
      <c r="B1605" s="11">
        <f t="shared" si="142"/>
        <v>44578</v>
      </c>
      <c r="C1605" s="19">
        <f>MONTH(Tabela6[[#This Row],[Data]])</f>
        <v>1</v>
      </c>
      <c r="D1605" s="19">
        <f>YEAR(Tabela6[[#This Row],[Data]])</f>
        <v>2022</v>
      </c>
      <c r="E1605" s="12" t="s">
        <v>72</v>
      </c>
      <c r="F1605" t="s">
        <v>77</v>
      </c>
      <c r="G1605" s="26">
        <v>-17.2</v>
      </c>
      <c r="I1605" t="str">
        <f>IFERROR(VLOOKUP(Tabela6[[#This Row],[Descrição]],Materiais!B:C,2,0),"")</f>
        <v/>
      </c>
    </row>
    <row r="1606" spans="2:9">
      <c r="B1606" s="11">
        <f t="shared" si="142"/>
        <v>44578</v>
      </c>
      <c r="C1606" s="19">
        <f>MONTH(Tabela6[[#This Row],[Data]])</f>
        <v>1</v>
      </c>
      <c r="D1606" s="19">
        <f>YEAR(Tabela6[[#This Row],[Data]])</f>
        <v>2022</v>
      </c>
      <c r="E1606" s="12" t="s">
        <v>78</v>
      </c>
      <c r="F1606" t="s">
        <v>109</v>
      </c>
      <c r="G1606" s="26">
        <v>2</v>
      </c>
      <c r="I1606" t="str">
        <f>IFERROR(VLOOKUP(Tabela6[[#This Row],[Descrição]],Materiais!B:C,2,0),"")</f>
        <v/>
      </c>
    </row>
    <row r="1607" spans="2:9">
      <c r="B1607" s="11">
        <f t="shared" si="142"/>
        <v>44578</v>
      </c>
      <c r="C1607" s="19">
        <f>MONTH(Tabela6[[#This Row],[Data]])</f>
        <v>1</v>
      </c>
      <c r="D1607" s="19">
        <f>YEAR(Tabela6[[#This Row],[Data]])</f>
        <v>2022</v>
      </c>
      <c r="E1607" s="12" t="s">
        <v>78</v>
      </c>
      <c r="F1607" t="s">
        <v>58</v>
      </c>
      <c r="G1607" s="26">
        <v>6</v>
      </c>
      <c r="I1607" t="str">
        <f>IFERROR(VLOOKUP(Tabela6[[#This Row],[Descrição]],Materiais!B:C,2,0),"")</f>
        <v/>
      </c>
    </row>
    <row r="1608" spans="2:9">
      <c r="B1608" s="11">
        <f t="shared" si="142"/>
        <v>44578</v>
      </c>
      <c r="C1608" s="19">
        <f>MONTH(Tabela6[[#This Row],[Data]])</f>
        <v>1</v>
      </c>
      <c r="D1608" s="19">
        <f>YEAR(Tabela6[[#This Row],[Data]])</f>
        <v>2022</v>
      </c>
      <c r="E1608" s="12" t="s">
        <v>78</v>
      </c>
      <c r="F1608" t="s">
        <v>95</v>
      </c>
      <c r="G1608" s="26">
        <v>4</v>
      </c>
      <c r="I1608" t="str">
        <f>IFERROR(VLOOKUP(Tabela6[[#This Row],[Descrição]],Materiais!B:C,2,0),"")</f>
        <v/>
      </c>
    </row>
    <row r="1609" spans="2:9">
      <c r="B1609" s="11">
        <f t="shared" ref="B1609:B1614" si="143">43120+(365*4)</f>
        <v>44580</v>
      </c>
      <c r="C1609" s="19">
        <f>MONTH(Tabela6[[#This Row],[Data]])</f>
        <v>1</v>
      </c>
      <c r="D1609" s="19">
        <f>YEAR(Tabela6[[#This Row],[Data]])</f>
        <v>2022</v>
      </c>
      <c r="E1609" s="12" t="s">
        <v>72</v>
      </c>
      <c r="F1609" t="s">
        <v>127</v>
      </c>
      <c r="G1609" s="26">
        <v>-3.65</v>
      </c>
      <c r="I1609" t="str">
        <f>IFERROR(VLOOKUP(Tabela6[[#This Row],[Descrição]],Materiais!B:C,2,0),"")</f>
        <v/>
      </c>
    </row>
    <row r="1610" spans="2:9">
      <c r="B1610" s="11">
        <f t="shared" si="143"/>
        <v>44580</v>
      </c>
      <c r="C1610" s="19">
        <f>MONTH(Tabela6[[#This Row],[Data]])</f>
        <v>1</v>
      </c>
      <c r="D1610" s="19">
        <f>YEAR(Tabela6[[#This Row],[Data]])</f>
        <v>2022</v>
      </c>
      <c r="E1610" s="12" t="s">
        <v>72</v>
      </c>
      <c r="F1610" t="s">
        <v>17</v>
      </c>
      <c r="G1610" s="26">
        <v>-11.96</v>
      </c>
      <c r="I1610" t="str">
        <f>IFERROR(VLOOKUP(Tabela6[[#This Row],[Descrição]],Materiais!B:C,2,0),"")</f>
        <v>g</v>
      </c>
    </row>
    <row r="1611" spans="2:9">
      <c r="B1611" s="11">
        <f t="shared" si="143"/>
        <v>44580</v>
      </c>
      <c r="C1611" s="19">
        <f>MONTH(Tabela6[[#This Row],[Data]])</f>
        <v>1</v>
      </c>
      <c r="D1611" s="19">
        <f>YEAR(Tabela6[[#This Row],[Data]])</f>
        <v>2022</v>
      </c>
      <c r="E1611" s="12" t="s">
        <v>72</v>
      </c>
      <c r="F1611" t="s">
        <v>19</v>
      </c>
      <c r="G1611" s="26">
        <v>-1.99</v>
      </c>
      <c r="I1611" t="str">
        <f>IFERROR(VLOOKUP(Tabela6[[#This Row],[Descrição]],Materiais!B:C,2,0),"")</f>
        <v>g</v>
      </c>
    </row>
    <row r="1612" spans="2:9">
      <c r="B1612" s="11">
        <f t="shared" si="143"/>
        <v>44580</v>
      </c>
      <c r="C1612" s="19">
        <f>MONTH(Tabela6[[#This Row],[Data]])</f>
        <v>1</v>
      </c>
      <c r="D1612" s="19">
        <f>YEAR(Tabela6[[#This Row],[Data]])</f>
        <v>2022</v>
      </c>
      <c r="E1612" s="12" t="s">
        <v>72</v>
      </c>
      <c r="F1612" t="s">
        <v>20</v>
      </c>
      <c r="G1612" s="26">
        <v>-39.900000000000006</v>
      </c>
      <c r="I1612" t="str">
        <f>IFERROR(VLOOKUP(Tabela6[[#This Row],[Descrição]],Materiais!B:C,2,0),"")</f>
        <v>g</v>
      </c>
    </row>
    <row r="1613" spans="2:9">
      <c r="B1613" s="11">
        <f t="shared" si="143"/>
        <v>44580</v>
      </c>
      <c r="C1613" s="19">
        <f>MONTH(Tabela6[[#This Row],[Data]])</f>
        <v>1</v>
      </c>
      <c r="D1613" s="19">
        <f>YEAR(Tabela6[[#This Row],[Data]])</f>
        <v>2022</v>
      </c>
      <c r="E1613" s="12" t="s">
        <v>72</v>
      </c>
      <c r="F1613" t="s">
        <v>21</v>
      </c>
      <c r="G1613" s="26">
        <v>-1.27</v>
      </c>
      <c r="I1613" t="str">
        <f>IFERROR(VLOOKUP(Tabela6[[#This Row],[Descrição]],Materiais!B:C,2,0),"")</f>
        <v>g</v>
      </c>
    </row>
    <row r="1614" spans="2:9">
      <c r="B1614" s="11">
        <f t="shared" si="143"/>
        <v>44580</v>
      </c>
      <c r="C1614" s="19">
        <f>MONTH(Tabela6[[#This Row],[Data]])</f>
        <v>1</v>
      </c>
      <c r="D1614" s="19">
        <f>YEAR(Tabela6[[#This Row],[Data]])</f>
        <v>2022</v>
      </c>
      <c r="E1614" s="12" t="s">
        <v>72</v>
      </c>
      <c r="F1614" t="s">
        <v>22</v>
      </c>
      <c r="G1614" s="26">
        <v>-19.399999999999999</v>
      </c>
      <c r="I1614" t="str">
        <f>IFERROR(VLOOKUP(Tabela6[[#This Row],[Descrição]],Materiais!B:C,2,0),"")</f>
        <v>g</v>
      </c>
    </row>
    <row r="1615" spans="2:9">
      <c r="B1615" s="11">
        <f>43122+(365*4)</f>
        <v>44582</v>
      </c>
      <c r="C1615" s="19">
        <f>MONTH(Tabela6[[#This Row],[Data]])</f>
        <v>1</v>
      </c>
      <c r="D1615" s="19">
        <f>YEAR(Tabela6[[#This Row],[Data]])</f>
        <v>2022</v>
      </c>
      <c r="E1615" s="12" t="s">
        <v>78</v>
      </c>
      <c r="F1615" t="s">
        <v>133</v>
      </c>
      <c r="G1615" s="26">
        <v>6</v>
      </c>
      <c r="I1615" t="str">
        <f>IFERROR(VLOOKUP(Tabela6[[#This Row],[Descrição]],Materiais!B:C,2,0),"")</f>
        <v/>
      </c>
    </row>
    <row r="1616" spans="2:9">
      <c r="B1616" s="11">
        <f>43122+(365*4)</f>
        <v>44582</v>
      </c>
      <c r="C1616" s="19">
        <f>MONTH(Tabela6[[#This Row],[Data]])</f>
        <v>1</v>
      </c>
      <c r="D1616" s="19">
        <f>YEAR(Tabela6[[#This Row],[Data]])</f>
        <v>2022</v>
      </c>
      <c r="E1616" s="12" t="s">
        <v>78</v>
      </c>
      <c r="F1616" t="s">
        <v>56</v>
      </c>
      <c r="G1616" s="26">
        <v>14</v>
      </c>
      <c r="I1616" t="str">
        <f>IFERROR(VLOOKUP(Tabela6[[#This Row],[Descrição]],Materiais!B:C,2,0),"")</f>
        <v/>
      </c>
    </row>
    <row r="1617" spans="2:9">
      <c r="B1617" s="11">
        <f>43122+(365*4)</f>
        <v>44582</v>
      </c>
      <c r="C1617" s="19">
        <f>MONTH(Tabela6[[#This Row],[Data]])</f>
        <v>1</v>
      </c>
      <c r="D1617" s="19">
        <f>YEAR(Tabela6[[#This Row],[Data]])</f>
        <v>2022</v>
      </c>
      <c r="E1617" s="12" t="s">
        <v>78</v>
      </c>
      <c r="F1617" t="s">
        <v>61</v>
      </c>
      <c r="G1617" s="26">
        <v>12</v>
      </c>
      <c r="I1617" t="str">
        <f>IFERROR(VLOOKUP(Tabela6[[#This Row],[Descrição]],Materiais!B:C,2,0),"")</f>
        <v/>
      </c>
    </row>
    <row r="1618" spans="2:9">
      <c r="B1618" s="11">
        <f>43122+(365*4)</f>
        <v>44582</v>
      </c>
      <c r="C1618" s="19">
        <f>MONTH(Tabela6[[#This Row],[Data]])</f>
        <v>1</v>
      </c>
      <c r="D1618" s="19">
        <f>YEAR(Tabela6[[#This Row],[Data]])</f>
        <v>2022</v>
      </c>
      <c r="E1618" s="12" t="s">
        <v>78</v>
      </c>
      <c r="F1618" t="s">
        <v>126</v>
      </c>
      <c r="G1618" s="26">
        <v>8</v>
      </c>
      <c r="I1618" t="str">
        <f>IFERROR(VLOOKUP(Tabela6[[#This Row],[Descrição]],Materiais!B:C,2,0),"")</f>
        <v/>
      </c>
    </row>
    <row r="1619" spans="2:9">
      <c r="B1619" s="11">
        <f>43122+(365*4)</f>
        <v>44582</v>
      </c>
      <c r="C1619" s="19">
        <f>MONTH(Tabela6[[#This Row],[Data]])</f>
        <v>1</v>
      </c>
      <c r="D1619" s="19">
        <f>YEAR(Tabela6[[#This Row],[Data]])</f>
        <v>2022</v>
      </c>
      <c r="E1619" s="12" t="s">
        <v>78</v>
      </c>
      <c r="F1619" t="s">
        <v>58</v>
      </c>
      <c r="G1619" s="26">
        <v>2</v>
      </c>
      <c r="I1619" t="str">
        <f>IFERROR(VLOOKUP(Tabela6[[#This Row],[Descrição]],Materiais!B:C,2,0),"")</f>
        <v/>
      </c>
    </row>
    <row r="1620" spans="2:9">
      <c r="B1620" s="11">
        <f>43123+(365*4)</f>
        <v>44583</v>
      </c>
      <c r="C1620" s="19">
        <f>MONTH(Tabela6[[#This Row],[Data]])</f>
        <v>1</v>
      </c>
      <c r="D1620" s="19">
        <f>YEAR(Tabela6[[#This Row],[Data]])</f>
        <v>2022</v>
      </c>
      <c r="E1620" s="12" t="s">
        <v>78</v>
      </c>
      <c r="F1620" t="s">
        <v>63</v>
      </c>
      <c r="G1620" s="26">
        <v>10</v>
      </c>
      <c r="I1620" t="str">
        <f>IFERROR(VLOOKUP(Tabela6[[#This Row],[Descrição]],Materiais!B:C,2,0),"")</f>
        <v/>
      </c>
    </row>
    <row r="1621" spans="2:9">
      <c r="B1621" s="11">
        <f>43123+(365*4)</f>
        <v>44583</v>
      </c>
      <c r="C1621" s="19">
        <f>MONTH(Tabela6[[#This Row],[Data]])</f>
        <v>1</v>
      </c>
      <c r="D1621" s="19">
        <f>YEAR(Tabela6[[#This Row],[Data]])</f>
        <v>2022</v>
      </c>
      <c r="E1621" s="12" t="s">
        <v>78</v>
      </c>
      <c r="F1621" t="s">
        <v>147</v>
      </c>
      <c r="G1621" s="26">
        <v>6</v>
      </c>
      <c r="I1621" t="str">
        <f>IFERROR(VLOOKUP(Tabela6[[#This Row],[Descrição]],Materiais!B:C,2,0),"")</f>
        <v/>
      </c>
    </row>
    <row r="1622" spans="2:9">
      <c r="B1622" s="11">
        <f>43123+(365*4)</f>
        <v>44583</v>
      </c>
      <c r="C1622" s="19">
        <f>MONTH(Tabela6[[#This Row],[Data]])</f>
        <v>1</v>
      </c>
      <c r="D1622" s="19">
        <f>YEAR(Tabela6[[#This Row],[Data]])</f>
        <v>2022</v>
      </c>
      <c r="E1622" s="12" t="s">
        <v>78</v>
      </c>
      <c r="F1622" t="s">
        <v>142</v>
      </c>
      <c r="G1622" s="26">
        <v>4</v>
      </c>
      <c r="I1622" t="str">
        <f>IFERROR(VLOOKUP(Tabela6[[#This Row],[Descrição]],Materiais!B:C,2,0),"")</f>
        <v/>
      </c>
    </row>
    <row r="1623" spans="2:9">
      <c r="B1623" s="11">
        <f>43123+(365*4)</f>
        <v>44583</v>
      </c>
      <c r="C1623" s="19">
        <f>MONTH(Tabela6[[#This Row],[Data]])</f>
        <v>1</v>
      </c>
      <c r="D1623" s="19">
        <f>YEAR(Tabela6[[#This Row],[Data]])</f>
        <v>2022</v>
      </c>
      <c r="E1623" s="12" t="s">
        <v>78</v>
      </c>
      <c r="F1623" t="s">
        <v>58</v>
      </c>
      <c r="G1623" s="26">
        <v>10</v>
      </c>
      <c r="I1623" t="str">
        <f>IFERROR(VLOOKUP(Tabela6[[#This Row],[Descrição]],Materiais!B:C,2,0),"")</f>
        <v/>
      </c>
    </row>
    <row r="1624" spans="2:9">
      <c r="B1624" s="11">
        <f>43123+(365*4)</f>
        <v>44583</v>
      </c>
      <c r="C1624" s="19">
        <f>MONTH(Tabela6[[#This Row],[Data]])</f>
        <v>1</v>
      </c>
      <c r="D1624" s="19">
        <f>YEAR(Tabela6[[#This Row],[Data]])</f>
        <v>2022</v>
      </c>
      <c r="E1624" s="12" t="s">
        <v>78</v>
      </c>
      <c r="F1624" t="s">
        <v>95</v>
      </c>
      <c r="G1624" s="26">
        <v>4</v>
      </c>
      <c r="I1624" t="str">
        <f>IFERROR(VLOOKUP(Tabela6[[#This Row],[Descrição]],Materiais!B:C,2,0),"")</f>
        <v/>
      </c>
    </row>
    <row r="1625" spans="2:9">
      <c r="B1625" s="11">
        <f>43125+(365*4)</f>
        <v>44585</v>
      </c>
      <c r="C1625" s="19">
        <f>MONTH(Tabela6[[#This Row],[Data]])</f>
        <v>1</v>
      </c>
      <c r="D1625" s="19">
        <f>YEAR(Tabela6[[#This Row],[Data]])</f>
        <v>2022</v>
      </c>
      <c r="E1625" s="12" t="s">
        <v>78</v>
      </c>
      <c r="F1625" t="s">
        <v>133</v>
      </c>
      <c r="G1625" s="26">
        <v>4</v>
      </c>
      <c r="I1625" t="str">
        <f>IFERROR(VLOOKUP(Tabela6[[#This Row],[Descrição]],Materiais!B:C,2,0),"")</f>
        <v/>
      </c>
    </row>
    <row r="1626" spans="2:9">
      <c r="B1626" s="11">
        <f>43125+(365*4)</f>
        <v>44585</v>
      </c>
      <c r="C1626" s="19">
        <f>MONTH(Tabela6[[#This Row],[Data]])</f>
        <v>1</v>
      </c>
      <c r="D1626" s="19">
        <f>YEAR(Tabela6[[#This Row],[Data]])</f>
        <v>2022</v>
      </c>
      <c r="E1626" s="12" t="s">
        <v>78</v>
      </c>
      <c r="F1626" t="s">
        <v>56</v>
      </c>
      <c r="G1626" s="26">
        <v>6</v>
      </c>
      <c r="I1626" t="str">
        <f>IFERROR(VLOOKUP(Tabela6[[#This Row],[Descrição]],Materiais!B:C,2,0),"")</f>
        <v/>
      </c>
    </row>
    <row r="1627" spans="2:9">
      <c r="B1627" s="11">
        <f>43125+(365*4)</f>
        <v>44585</v>
      </c>
      <c r="C1627" s="19">
        <f>MONTH(Tabela6[[#This Row],[Data]])</f>
        <v>1</v>
      </c>
      <c r="D1627" s="19">
        <f>YEAR(Tabela6[[#This Row],[Data]])</f>
        <v>2022</v>
      </c>
      <c r="E1627" s="12" t="s">
        <v>78</v>
      </c>
      <c r="F1627" t="s">
        <v>61</v>
      </c>
      <c r="G1627" s="26">
        <v>6</v>
      </c>
      <c r="I1627" t="str">
        <f>IFERROR(VLOOKUP(Tabela6[[#This Row],[Descrição]],Materiais!B:C,2,0),"")</f>
        <v/>
      </c>
    </row>
    <row r="1628" spans="2:9">
      <c r="B1628" s="11">
        <f>43125+(365*4)</f>
        <v>44585</v>
      </c>
      <c r="C1628" s="19">
        <f>MONTH(Tabela6[[#This Row],[Data]])</f>
        <v>1</v>
      </c>
      <c r="D1628" s="19">
        <f>YEAR(Tabela6[[#This Row],[Data]])</f>
        <v>2022</v>
      </c>
      <c r="E1628" s="12" t="s">
        <v>78</v>
      </c>
      <c r="F1628" t="s">
        <v>126</v>
      </c>
      <c r="G1628" s="26">
        <v>4</v>
      </c>
      <c r="I1628" t="str">
        <f>IFERROR(VLOOKUP(Tabela6[[#This Row],[Descrição]],Materiais!B:C,2,0),"")</f>
        <v/>
      </c>
    </row>
    <row r="1629" spans="2:9">
      <c r="B1629" s="11">
        <f>43125+(365*4)</f>
        <v>44585</v>
      </c>
      <c r="C1629" s="19">
        <f>MONTH(Tabela6[[#This Row],[Data]])</f>
        <v>1</v>
      </c>
      <c r="D1629" s="19">
        <f>YEAR(Tabela6[[#This Row],[Data]])</f>
        <v>2022</v>
      </c>
      <c r="E1629" s="12" t="s">
        <v>78</v>
      </c>
      <c r="F1629" t="s">
        <v>58</v>
      </c>
      <c r="G1629" s="26">
        <v>4</v>
      </c>
      <c r="I1629" t="str">
        <f>IFERROR(VLOOKUP(Tabela6[[#This Row],[Descrição]],Materiais!B:C,2,0),"")</f>
        <v/>
      </c>
    </row>
    <row r="1630" spans="2:9">
      <c r="B1630" s="11">
        <f>43126+(365*4)</f>
        <v>44586</v>
      </c>
      <c r="C1630" s="19">
        <f>MONTH(Tabela6[[#This Row],[Data]])</f>
        <v>1</v>
      </c>
      <c r="D1630" s="19">
        <f>YEAR(Tabela6[[#This Row],[Data]])</f>
        <v>2022</v>
      </c>
      <c r="E1630" s="12" t="s">
        <v>78</v>
      </c>
      <c r="F1630" t="s">
        <v>56</v>
      </c>
      <c r="G1630" s="26">
        <v>2</v>
      </c>
      <c r="I1630" t="str">
        <f>IFERROR(VLOOKUP(Tabela6[[#This Row],[Descrição]],Materiais!B:C,2,0),"")</f>
        <v/>
      </c>
    </row>
    <row r="1631" spans="2:9">
      <c r="B1631" s="11">
        <f>43126+(365*4)</f>
        <v>44586</v>
      </c>
      <c r="C1631" s="19">
        <f>MONTH(Tabela6[[#This Row],[Data]])</f>
        <v>1</v>
      </c>
      <c r="D1631" s="19">
        <f>YEAR(Tabela6[[#This Row],[Data]])</f>
        <v>2022</v>
      </c>
      <c r="E1631" s="12" t="s">
        <v>78</v>
      </c>
      <c r="F1631" t="s">
        <v>126</v>
      </c>
      <c r="G1631" s="26">
        <v>2</v>
      </c>
      <c r="I1631" t="str">
        <f>IFERROR(VLOOKUP(Tabela6[[#This Row],[Descrição]],Materiais!B:C,2,0),"")</f>
        <v/>
      </c>
    </row>
    <row r="1632" spans="2:9">
      <c r="B1632" s="11">
        <f>43129+(365*4)</f>
        <v>44589</v>
      </c>
      <c r="C1632" s="19">
        <f>MONTH(Tabela6[[#This Row],[Data]])</f>
        <v>1</v>
      </c>
      <c r="D1632" s="19">
        <f>YEAR(Tabela6[[#This Row],[Data]])</f>
        <v>2022</v>
      </c>
      <c r="E1632" s="12" t="s">
        <v>78</v>
      </c>
      <c r="F1632" t="s">
        <v>63</v>
      </c>
      <c r="G1632" s="26">
        <v>2</v>
      </c>
      <c r="I1632" t="str">
        <f>IFERROR(VLOOKUP(Tabela6[[#This Row],[Descrição]],Materiais!B:C,2,0),"")</f>
        <v/>
      </c>
    </row>
    <row r="1633" spans="2:9">
      <c r="B1633" s="11">
        <f>43129+(365*4)</f>
        <v>44589</v>
      </c>
      <c r="C1633" s="19">
        <f>MONTH(Tabela6[[#This Row],[Data]])</f>
        <v>1</v>
      </c>
      <c r="D1633" s="19">
        <f>YEAR(Tabela6[[#This Row],[Data]])</f>
        <v>2022</v>
      </c>
      <c r="E1633" s="12" t="s">
        <v>78</v>
      </c>
      <c r="F1633" t="s">
        <v>133</v>
      </c>
      <c r="G1633" s="26">
        <v>4</v>
      </c>
      <c r="I1633" t="str">
        <f>IFERROR(VLOOKUP(Tabela6[[#This Row],[Descrição]],Materiais!B:C,2,0),"")</f>
        <v/>
      </c>
    </row>
    <row r="1634" spans="2:9">
      <c r="B1634" s="11">
        <f>43129+(365*4)</f>
        <v>44589</v>
      </c>
      <c r="C1634" s="19">
        <f>MONTH(Tabela6[[#This Row],[Data]])</f>
        <v>1</v>
      </c>
      <c r="D1634" s="19">
        <f>YEAR(Tabela6[[#This Row],[Data]])</f>
        <v>2022</v>
      </c>
      <c r="E1634" s="12" t="s">
        <v>78</v>
      </c>
      <c r="F1634" t="s">
        <v>61</v>
      </c>
      <c r="G1634" s="26">
        <v>4</v>
      </c>
      <c r="I1634" t="str">
        <f>IFERROR(VLOOKUP(Tabela6[[#This Row],[Descrição]],Materiais!B:C,2,0),"")</f>
        <v/>
      </c>
    </row>
    <row r="1635" spans="2:9">
      <c r="B1635" s="11">
        <f>43129+(365*4)</f>
        <v>44589</v>
      </c>
      <c r="C1635" s="19">
        <f>MONTH(Tabela6[[#This Row],[Data]])</f>
        <v>1</v>
      </c>
      <c r="D1635" s="19">
        <f>YEAR(Tabela6[[#This Row],[Data]])</f>
        <v>2022</v>
      </c>
      <c r="E1635" s="12" t="s">
        <v>78</v>
      </c>
      <c r="F1635" t="s">
        <v>152</v>
      </c>
      <c r="G1635" s="26">
        <v>4</v>
      </c>
      <c r="I1635" t="str">
        <f>IFERROR(VLOOKUP(Tabela6[[#This Row],[Descrição]],Materiais!B:C,2,0),"")</f>
        <v/>
      </c>
    </row>
    <row r="1636" spans="2:9">
      <c r="B1636" s="11">
        <f>43129+(365*4)</f>
        <v>44589</v>
      </c>
      <c r="C1636" s="19">
        <f>MONTH(Tabela6[[#This Row],[Data]])</f>
        <v>1</v>
      </c>
      <c r="D1636" s="19">
        <f>YEAR(Tabela6[[#This Row],[Data]])</f>
        <v>2022</v>
      </c>
      <c r="E1636" s="12" t="s">
        <v>78</v>
      </c>
      <c r="F1636" t="s">
        <v>58</v>
      </c>
      <c r="G1636" s="26">
        <v>2</v>
      </c>
      <c r="I1636" t="str">
        <f>IFERROR(VLOOKUP(Tabela6[[#This Row],[Descrição]],Materiais!B:C,2,0),"")</f>
        <v/>
      </c>
    </row>
    <row r="1637" spans="2:9">
      <c r="B1637" s="11">
        <f t="shared" ref="B1637:B1645" si="144">43130+(365*4)</f>
        <v>44590</v>
      </c>
      <c r="C1637" s="19">
        <f>MONTH(Tabela6[[#This Row],[Data]])</f>
        <v>1</v>
      </c>
      <c r="D1637" s="19">
        <f>YEAR(Tabela6[[#This Row],[Data]])</f>
        <v>2022</v>
      </c>
      <c r="E1637" s="12" t="s">
        <v>78</v>
      </c>
      <c r="F1637" t="s">
        <v>63</v>
      </c>
      <c r="G1637" s="26">
        <v>6</v>
      </c>
      <c r="I1637" t="str">
        <f>IFERROR(VLOOKUP(Tabela6[[#This Row],[Descrição]],Materiais!B:C,2,0),"")</f>
        <v/>
      </c>
    </row>
    <row r="1638" spans="2:9">
      <c r="B1638" s="11">
        <f t="shared" si="144"/>
        <v>44590</v>
      </c>
      <c r="C1638" s="19">
        <f>MONTH(Tabela6[[#This Row],[Data]])</f>
        <v>1</v>
      </c>
      <c r="D1638" s="19">
        <f>YEAR(Tabela6[[#This Row],[Data]])</f>
        <v>2022</v>
      </c>
      <c r="E1638" s="12" t="s">
        <v>78</v>
      </c>
      <c r="F1638" t="s">
        <v>56</v>
      </c>
      <c r="G1638" s="26">
        <v>10</v>
      </c>
      <c r="I1638" t="str">
        <f>IFERROR(VLOOKUP(Tabela6[[#This Row],[Descrição]],Materiais!B:C,2,0),"")</f>
        <v/>
      </c>
    </row>
    <row r="1639" spans="2:9">
      <c r="B1639" s="11">
        <f t="shared" si="144"/>
        <v>44590</v>
      </c>
      <c r="C1639" s="19">
        <f>MONTH(Tabela6[[#This Row],[Data]])</f>
        <v>1</v>
      </c>
      <c r="D1639" s="19">
        <f>YEAR(Tabela6[[#This Row],[Data]])</f>
        <v>2022</v>
      </c>
      <c r="E1639" s="12" t="s">
        <v>78</v>
      </c>
      <c r="F1639" t="s">
        <v>100</v>
      </c>
      <c r="G1639" s="26">
        <v>6</v>
      </c>
      <c r="I1639" t="str">
        <f>IFERROR(VLOOKUP(Tabela6[[#This Row],[Descrição]],Materiais!B:C,2,0),"")</f>
        <v/>
      </c>
    </row>
    <row r="1640" spans="2:9">
      <c r="B1640" s="11">
        <f t="shared" si="144"/>
        <v>44590</v>
      </c>
      <c r="C1640" s="19">
        <f>MONTH(Tabela6[[#This Row],[Data]])</f>
        <v>1</v>
      </c>
      <c r="D1640" s="19">
        <f>YEAR(Tabela6[[#This Row],[Data]])</f>
        <v>2022</v>
      </c>
      <c r="E1640" s="12" t="s">
        <v>78</v>
      </c>
      <c r="F1640" t="s">
        <v>61</v>
      </c>
      <c r="G1640" s="26">
        <v>8</v>
      </c>
      <c r="I1640" t="str">
        <f>IFERROR(VLOOKUP(Tabela6[[#This Row],[Descrição]],Materiais!B:C,2,0),"")</f>
        <v/>
      </c>
    </row>
    <row r="1641" spans="2:9">
      <c r="B1641" s="11">
        <f t="shared" si="144"/>
        <v>44590</v>
      </c>
      <c r="C1641" s="19">
        <f>MONTH(Tabela6[[#This Row],[Data]])</f>
        <v>1</v>
      </c>
      <c r="D1641" s="19">
        <f>YEAR(Tabela6[[#This Row],[Data]])</f>
        <v>2022</v>
      </c>
      <c r="E1641" s="12" t="s">
        <v>78</v>
      </c>
      <c r="F1641" t="s">
        <v>126</v>
      </c>
      <c r="G1641" s="26">
        <v>2</v>
      </c>
      <c r="I1641" t="str">
        <f>IFERROR(VLOOKUP(Tabela6[[#This Row],[Descrição]],Materiais!B:C,2,0),"")</f>
        <v/>
      </c>
    </row>
    <row r="1642" spans="2:9">
      <c r="B1642" s="11">
        <f t="shared" si="144"/>
        <v>44590</v>
      </c>
      <c r="C1642" s="19">
        <f>MONTH(Tabela6[[#This Row],[Data]])</f>
        <v>1</v>
      </c>
      <c r="D1642" s="19">
        <f>YEAR(Tabela6[[#This Row],[Data]])</f>
        <v>2022</v>
      </c>
      <c r="E1642" s="12" t="s">
        <v>78</v>
      </c>
      <c r="F1642" t="s">
        <v>142</v>
      </c>
      <c r="G1642" s="26">
        <v>2</v>
      </c>
      <c r="I1642" t="str">
        <f>IFERROR(VLOOKUP(Tabela6[[#This Row],[Descrição]],Materiais!B:C,2,0),"")</f>
        <v/>
      </c>
    </row>
    <row r="1643" spans="2:9">
      <c r="B1643" s="11">
        <f t="shared" si="144"/>
        <v>44590</v>
      </c>
      <c r="C1643" s="19">
        <f>MONTH(Tabela6[[#This Row],[Data]])</f>
        <v>1</v>
      </c>
      <c r="D1643" s="19">
        <f>YEAR(Tabela6[[#This Row],[Data]])</f>
        <v>2022</v>
      </c>
      <c r="E1643" s="12" t="s">
        <v>78</v>
      </c>
      <c r="F1643" t="s">
        <v>58</v>
      </c>
      <c r="G1643" s="26">
        <v>8</v>
      </c>
      <c r="I1643" t="str">
        <f>IFERROR(VLOOKUP(Tabela6[[#This Row],[Descrição]],Materiais!B:C,2,0),"")</f>
        <v/>
      </c>
    </row>
    <row r="1644" spans="2:9">
      <c r="B1644" s="11">
        <f t="shared" si="144"/>
        <v>44590</v>
      </c>
      <c r="C1644" s="19">
        <f>MONTH(Tabela6[[#This Row],[Data]])</f>
        <v>1</v>
      </c>
      <c r="D1644" s="19">
        <f>YEAR(Tabela6[[#This Row],[Data]])</f>
        <v>2022</v>
      </c>
      <c r="E1644" s="12" t="s">
        <v>78</v>
      </c>
      <c r="F1644" t="s">
        <v>95</v>
      </c>
      <c r="G1644" s="26">
        <v>2</v>
      </c>
      <c r="I1644" t="str">
        <f>IFERROR(VLOOKUP(Tabela6[[#This Row],[Descrição]],Materiais!B:C,2,0),"")</f>
        <v/>
      </c>
    </row>
    <row r="1645" spans="2:9">
      <c r="B1645" s="11">
        <f t="shared" si="144"/>
        <v>44590</v>
      </c>
      <c r="C1645" s="19">
        <f>MONTH(Tabela6[[#This Row],[Data]])</f>
        <v>1</v>
      </c>
      <c r="D1645" s="19">
        <f>YEAR(Tabela6[[#This Row],[Data]])</f>
        <v>2022</v>
      </c>
      <c r="E1645" s="12" t="s">
        <v>78</v>
      </c>
      <c r="F1645" t="s">
        <v>117</v>
      </c>
      <c r="G1645" s="26">
        <v>4</v>
      </c>
      <c r="I1645" t="str">
        <f>IFERROR(VLOOKUP(Tabela6[[#This Row],[Descrição]],Materiais!B:C,2,0),"")</f>
        <v/>
      </c>
    </row>
    <row r="1646" spans="2:9">
      <c r="B1646" s="11">
        <f t="shared" ref="B1646:B1651" si="145">43131+(365*4)</f>
        <v>44591</v>
      </c>
      <c r="C1646" s="19">
        <f>MONTH(Tabela6[[#This Row],[Data]])</f>
        <v>1</v>
      </c>
      <c r="D1646" s="19">
        <f>YEAR(Tabela6[[#This Row],[Data]])</f>
        <v>2022</v>
      </c>
      <c r="E1646" s="12" t="s">
        <v>78</v>
      </c>
      <c r="F1646" t="s">
        <v>63</v>
      </c>
      <c r="G1646" s="26">
        <v>2</v>
      </c>
      <c r="I1646" t="str">
        <f>IFERROR(VLOOKUP(Tabela6[[#This Row],[Descrição]],Materiais!B:C,2,0),"")</f>
        <v/>
      </c>
    </row>
    <row r="1647" spans="2:9">
      <c r="B1647" s="11">
        <f t="shared" si="145"/>
        <v>44591</v>
      </c>
      <c r="C1647" s="19">
        <f>MONTH(Tabela6[[#This Row],[Data]])</f>
        <v>1</v>
      </c>
      <c r="D1647" s="19">
        <f>YEAR(Tabela6[[#This Row],[Data]])</f>
        <v>2022</v>
      </c>
      <c r="E1647" s="12" t="s">
        <v>78</v>
      </c>
      <c r="F1647" t="s">
        <v>63</v>
      </c>
      <c r="G1647" s="26">
        <v>2</v>
      </c>
      <c r="I1647" t="str">
        <f>IFERROR(VLOOKUP(Tabela6[[#This Row],[Descrição]],Materiais!B:C,2,0),"")</f>
        <v/>
      </c>
    </row>
    <row r="1648" spans="2:9">
      <c r="B1648" s="11">
        <f t="shared" si="145"/>
        <v>44591</v>
      </c>
      <c r="C1648" s="19">
        <f>MONTH(Tabela6[[#This Row],[Data]])</f>
        <v>1</v>
      </c>
      <c r="D1648" s="19">
        <f>YEAR(Tabela6[[#This Row],[Data]])</f>
        <v>2022</v>
      </c>
      <c r="E1648" s="12" t="s">
        <v>78</v>
      </c>
      <c r="F1648" t="s">
        <v>56</v>
      </c>
      <c r="G1648" s="26">
        <v>6</v>
      </c>
      <c r="I1648" t="str">
        <f>IFERROR(VLOOKUP(Tabela6[[#This Row],[Descrição]],Materiais!B:C,2,0),"")</f>
        <v/>
      </c>
    </row>
    <row r="1649" spans="2:9">
      <c r="B1649" s="11">
        <f t="shared" si="145"/>
        <v>44591</v>
      </c>
      <c r="C1649" s="19">
        <f>MONTH(Tabela6[[#This Row],[Data]])</f>
        <v>1</v>
      </c>
      <c r="D1649" s="19">
        <f>YEAR(Tabela6[[#This Row],[Data]])</f>
        <v>2022</v>
      </c>
      <c r="E1649" s="12" t="s">
        <v>78</v>
      </c>
      <c r="F1649" t="s">
        <v>61</v>
      </c>
      <c r="G1649" s="26">
        <v>2</v>
      </c>
      <c r="I1649" t="str">
        <f>IFERROR(VLOOKUP(Tabela6[[#This Row],[Descrição]],Materiais!B:C,2,0),"")</f>
        <v/>
      </c>
    </row>
    <row r="1650" spans="2:9">
      <c r="B1650" s="11">
        <f t="shared" si="145"/>
        <v>44591</v>
      </c>
      <c r="C1650" s="19">
        <f>MONTH(Tabela6[[#This Row],[Data]])</f>
        <v>1</v>
      </c>
      <c r="D1650" s="19">
        <f>YEAR(Tabela6[[#This Row],[Data]])</f>
        <v>2022</v>
      </c>
      <c r="E1650" s="12" t="s">
        <v>78</v>
      </c>
      <c r="F1650" t="s">
        <v>126</v>
      </c>
      <c r="G1650" s="26">
        <v>4</v>
      </c>
      <c r="I1650" t="str">
        <f>IFERROR(VLOOKUP(Tabela6[[#This Row],[Descrição]],Materiais!B:C,2,0),"")</f>
        <v/>
      </c>
    </row>
    <row r="1651" spans="2:9">
      <c r="B1651" s="11">
        <f t="shared" si="145"/>
        <v>44591</v>
      </c>
      <c r="C1651" s="19">
        <f>MONTH(Tabela6[[#This Row],[Data]])</f>
        <v>1</v>
      </c>
      <c r="D1651" s="19">
        <f>YEAR(Tabela6[[#This Row],[Data]])</f>
        <v>2022</v>
      </c>
      <c r="E1651" s="12" t="s">
        <v>78</v>
      </c>
      <c r="F1651" t="s">
        <v>95</v>
      </c>
      <c r="G1651" s="26">
        <v>2</v>
      </c>
      <c r="I1651" t="str">
        <f>IFERROR(VLOOKUP(Tabela6[[#This Row],[Descrição]],Materiais!B:C,2,0),"")</f>
        <v/>
      </c>
    </row>
    <row r="1652" spans="2:9">
      <c r="B1652" s="11">
        <f t="shared" ref="B1652:B1659" si="146">43132+(365*4)</f>
        <v>44592</v>
      </c>
      <c r="C1652" s="19">
        <f>MONTH(Tabela6[[#This Row],[Data]])</f>
        <v>1</v>
      </c>
      <c r="D1652" s="19">
        <f>YEAR(Tabela6[[#This Row],[Data]])</f>
        <v>2022</v>
      </c>
      <c r="E1652" s="12" t="s">
        <v>78</v>
      </c>
      <c r="F1652" t="s">
        <v>63</v>
      </c>
      <c r="G1652" s="26">
        <v>2</v>
      </c>
      <c r="I1652" t="str">
        <f>IFERROR(VLOOKUP(Tabela6[[#This Row],[Descrição]],Materiais!B:C,2,0),"")</f>
        <v/>
      </c>
    </row>
    <row r="1653" spans="2:9">
      <c r="B1653" s="11">
        <f t="shared" si="146"/>
        <v>44592</v>
      </c>
      <c r="C1653" s="19">
        <f>MONTH(Tabela6[[#This Row],[Data]])</f>
        <v>1</v>
      </c>
      <c r="D1653" s="19">
        <f>YEAR(Tabela6[[#This Row],[Data]])</f>
        <v>2022</v>
      </c>
      <c r="E1653" s="12" t="s">
        <v>78</v>
      </c>
      <c r="F1653" t="s">
        <v>56</v>
      </c>
      <c r="G1653" s="26">
        <v>4</v>
      </c>
      <c r="I1653" t="str">
        <f>IFERROR(VLOOKUP(Tabela6[[#This Row],[Descrição]],Materiais!B:C,2,0),"")</f>
        <v/>
      </c>
    </row>
    <row r="1654" spans="2:9">
      <c r="B1654" s="11">
        <f t="shared" si="146"/>
        <v>44592</v>
      </c>
      <c r="C1654" s="19">
        <f>MONTH(Tabela6[[#This Row],[Data]])</f>
        <v>1</v>
      </c>
      <c r="D1654" s="19">
        <f>YEAR(Tabela6[[#This Row],[Data]])</f>
        <v>2022</v>
      </c>
      <c r="E1654" s="12" t="s">
        <v>78</v>
      </c>
      <c r="F1654" t="s">
        <v>100</v>
      </c>
      <c r="G1654" s="26">
        <v>6</v>
      </c>
      <c r="I1654" t="str">
        <f>IFERROR(VLOOKUP(Tabela6[[#This Row],[Descrição]],Materiais!B:C,2,0),"")</f>
        <v/>
      </c>
    </row>
    <row r="1655" spans="2:9">
      <c r="B1655" s="11">
        <f t="shared" si="146"/>
        <v>44592</v>
      </c>
      <c r="C1655" s="19">
        <f>MONTH(Tabela6[[#This Row],[Data]])</f>
        <v>1</v>
      </c>
      <c r="D1655" s="19">
        <f>YEAR(Tabela6[[#This Row],[Data]])</f>
        <v>2022</v>
      </c>
      <c r="E1655" s="12" t="s">
        <v>78</v>
      </c>
      <c r="F1655" t="s">
        <v>61</v>
      </c>
      <c r="G1655" s="26">
        <v>6</v>
      </c>
      <c r="I1655" t="str">
        <f>IFERROR(VLOOKUP(Tabela6[[#This Row],[Descrição]],Materiais!B:C,2,0),"")</f>
        <v/>
      </c>
    </row>
    <row r="1656" spans="2:9">
      <c r="B1656" s="11">
        <f t="shared" si="146"/>
        <v>44592</v>
      </c>
      <c r="C1656" s="19">
        <f>MONTH(Tabela6[[#This Row],[Data]])</f>
        <v>1</v>
      </c>
      <c r="D1656" s="19">
        <f>YEAR(Tabela6[[#This Row],[Data]])</f>
        <v>2022</v>
      </c>
      <c r="E1656" s="12" t="s">
        <v>78</v>
      </c>
      <c r="F1656" t="s">
        <v>126</v>
      </c>
      <c r="G1656" s="26">
        <v>2</v>
      </c>
      <c r="I1656" t="str">
        <f>IFERROR(VLOOKUP(Tabela6[[#This Row],[Descrição]],Materiais!B:C,2,0),"")</f>
        <v/>
      </c>
    </row>
    <row r="1657" spans="2:9">
      <c r="B1657" s="11">
        <f t="shared" si="146"/>
        <v>44592</v>
      </c>
      <c r="C1657" s="19">
        <f>MONTH(Tabela6[[#This Row],[Data]])</f>
        <v>1</v>
      </c>
      <c r="D1657" s="19">
        <f>YEAR(Tabela6[[#This Row],[Data]])</f>
        <v>2022</v>
      </c>
      <c r="E1657" s="12" t="s">
        <v>78</v>
      </c>
      <c r="F1657" t="s">
        <v>58</v>
      </c>
      <c r="G1657" s="26">
        <v>8</v>
      </c>
      <c r="I1657" t="str">
        <f>IFERROR(VLOOKUP(Tabela6[[#This Row],[Descrição]],Materiais!B:C,2,0),"")</f>
        <v/>
      </c>
    </row>
    <row r="1658" spans="2:9">
      <c r="B1658" s="11">
        <f t="shared" si="146"/>
        <v>44592</v>
      </c>
      <c r="C1658" s="19">
        <f>MONTH(Tabela6[[#This Row],[Data]])</f>
        <v>1</v>
      </c>
      <c r="D1658" s="19">
        <f>YEAR(Tabela6[[#This Row],[Data]])</f>
        <v>2022</v>
      </c>
      <c r="E1658" s="12" t="s">
        <v>78</v>
      </c>
      <c r="F1658" t="s">
        <v>95</v>
      </c>
      <c r="G1658" s="26">
        <v>4</v>
      </c>
      <c r="I1658" t="str">
        <f>IFERROR(VLOOKUP(Tabela6[[#This Row],[Descrição]],Materiais!B:C,2,0),"")</f>
        <v/>
      </c>
    </row>
    <row r="1659" spans="2:9">
      <c r="B1659" s="11">
        <f t="shared" si="146"/>
        <v>44592</v>
      </c>
      <c r="C1659" s="19">
        <f>MONTH(Tabela6[[#This Row],[Data]])</f>
        <v>1</v>
      </c>
      <c r="D1659" s="19">
        <f>YEAR(Tabela6[[#This Row],[Data]])</f>
        <v>2022</v>
      </c>
      <c r="E1659" s="12" t="s">
        <v>78</v>
      </c>
      <c r="F1659" t="s">
        <v>117</v>
      </c>
      <c r="G1659" s="26">
        <v>4</v>
      </c>
      <c r="I1659" t="str">
        <f>IFERROR(VLOOKUP(Tabela6[[#This Row],[Descrição]],Materiais!B:C,2,0),"")</f>
        <v/>
      </c>
    </row>
    <row r="1660" spans="2:9">
      <c r="B1660" s="11">
        <f t="shared" ref="B1660:B1665" si="147">43133+(365*4)</f>
        <v>44593</v>
      </c>
      <c r="C1660" s="19">
        <f>MONTH(Tabela6[[#This Row],[Data]])</f>
        <v>2</v>
      </c>
      <c r="D1660" s="19">
        <f>YEAR(Tabela6[[#This Row],[Data]])</f>
        <v>2022</v>
      </c>
      <c r="E1660" s="12" t="s">
        <v>78</v>
      </c>
      <c r="F1660" t="s">
        <v>56</v>
      </c>
      <c r="G1660" s="26">
        <v>75</v>
      </c>
      <c r="I1660" t="str">
        <f>IFERROR(VLOOKUP(Tabela6[[#This Row],[Descrição]],Materiais!B:C,2,0),"")</f>
        <v/>
      </c>
    </row>
    <row r="1661" spans="2:9">
      <c r="B1661" s="11">
        <f t="shared" si="147"/>
        <v>44593</v>
      </c>
      <c r="C1661" s="19">
        <f>MONTH(Tabela6[[#This Row],[Data]])</f>
        <v>2</v>
      </c>
      <c r="D1661" s="19">
        <f>YEAR(Tabela6[[#This Row],[Data]])</f>
        <v>2022</v>
      </c>
      <c r="E1661" s="12" t="s">
        <v>78</v>
      </c>
      <c r="F1661" t="s">
        <v>56</v>
      </c>
      <c r="G1661" s="26">
        <v>75</v>
      </c>
      <c r="I1661" t="str">
        <f>IFERROR(VLOOKUP(Tabela6[[#This Row],[Descrição]],Materiais!B:C,2,0),"")</f>
        <v/>
      </c>
    </row>
    <row r="1662" spans="2:9">
      <c r="B1662" s="11">
        <f t="shared" si="147"/>
        <v>44593</v>
      </c>
      <c r="C1662" s="19">
        <f>MONTH(Tabela6[[#This Row],[Data]])</f>
        <v>2</v>
      </c>
      <c r="D1662" s="19">
        <f>YEAR(Tabela6[[#This Row],[Data]])</f>
        <v>2022</v>
      </c>
      <c r="E1662" s="12" t="s">
        <v>78</v>
      </c>
      <c r="F1662" t="s">
        <v>56</v>
      </c>
      <c r="G1662" s="26">
        <v>4</v>
      </c>
      <c r="I1662" t="str">
        <f>IFERROR(VLOOKUP(Tabela6[[#This Row],[Descrição]],Materiais!B:C,2,0),"")</f>
        <v/>
      </c>
    </row>
    <row r="1663" spans="2:9">
      <c r="B1663" s="11">
        <f t="shared" si="147"/>
        <v>44593</v>
      </c>
      <c r="C1663" s="19">
        <f>MONTH(Tabela6[[#This Row],[Data]])</f>
        <v>2</v>
      </c>
      <c r="D1663" s="19">
        <f>YEAR(Tabela6[[#This Row],[Data]])</f>
        <v>2022</v>
      </c>
      <c r="E1663" s="12" t="s">
        <v>78</v>
      </c>
      <c r="F1663" t="s">
        <v>61</v>
      </c>
      <c r="G1663" s="26">
        <v>4</v>
      </c>
      <c r="I1663" t="str">
        <f>IFERROR(VLOOKUP(Tabela6[[#This Row],[Descrição]],Materiais!B:C,2,0),"")</f>
        <v/>
      </c>
    </row>
    <row r="1664" spans="2:9">
      <c r="B1664" s="11">
        <f t="shared" si="147"/>
        <v>44593</v>
      </c>
      <c r="C1664" s="19">
        <f>MONTH(Tabela6[[#This Row],[Data]])</f>
        <v>2</v>
      </c>
      <c r="D1664" s="19">
        <f>YEAR(Tabela6[[#This Row],[Data]])</f>
        <v>2022</v>
      </c>
      <c r="E1664" s="12" t="s">
        <v>78</v>
      </c>
      <c r="F1664" t="s">
        <v>142</v>
      </c>
      <c r="G1664" s="26">
        <v>2</v>
      </c>
      <c r="I1664" t="str">
        <f>IFERROR(VLOOKUP(Tabela6[[#This Row],[Descrição]],Materiais!B:C,2,0),"")</f>
        <v/>
      </c>
    </row>
    <row r="1665" spans="2:9">
      <c r="B1665" s="11">
        <f t="shared" si="147"/>
        <v>44593</v>
      </c>
      <c r="C1665" s="19">
        <f>MONTH(Tabela6[[#This Row],[Data]])</f>
        <v>2</v>
      </c>
      <c r="D1665" s="19">
        <f>YEAR(Tabela6[[#This Row],[Data]])</f>
        <v>2022</v>
      </c>
      <c r="E1665" s="12" t="s">
        <v>78</v>
      </c>
      <c r="F1665" t="s">
        <v>58</v>
      </c>
      <c r="G1665" s="26">
        <v>4</v>
      </c>
      <c r="I1665" t="str">
        <f>IFERROR(VLOOKUP(Tabela6[[#This Row],[Descrição]],Materiais!B:C,2,0),"")</f>
        <v/>
      </c>
    </row>
    <row r="1666" spans="2:9">
      <c r="B1666" s="11">
        <f t="shared" ref="B1666:B1671" si="148">43136+(365*4)</f>
        <v>44596</v>
      </c>
      <c r="C1666" s="19">
        <f>MONTH(Tabela6[[#This Row],[Data]])</f>
        <v>2</v>
      </c>
      <c r="D1666" s="19">
        <f>YEAR(Tabela6[[#This Row],[Data]])</f>
        <v>2022</v>
      </c>
      <c r="E1666" s="12" t="s">
        <v>78</v>
      </c>
      <c r="F1666" t="s">
        <v>56</v>
      </c>
      <c r="G1666" s="26">
        <v>6</v>
      </c>
      <c r="I1666" t="str">
        <f>IFERROR(VLOOKUP(Tabela6[[#This Row],[Descrição]],Materiais!B:C,2,0),"")</f>
        <v/>
      </c>
    </row>
    <row r="1667" spans="2:9">
      <c r="B1667" s="11">
        <f t="shared" si="148"/>
        <v>44596</v>
      </c>
      <c r="C1667" s="19">
        <f>MONTH(Tabela6[[#This Row],[Data]])</f>
        <v>2</v>
      </c>
      <c r="D1667" s="19">
        <f>YEAR(Tabela6[[#This Row],[Data]])</f>
        <v>2022</v>
      </c>
      <c r="E1667" s="12" t="s">
        <v>78</v>
      </c>
      <c r="F1667" t="s">
        <v>100</v>
      </c>
      <c r="G1667" s="26">
        <v>4</v>
      </c>
      <c r="I1667" t="str">
        <f>IFERROR(VLOOKUP(Tabela6[[#This Row],[Descrição]],Materiais!B:C,2,0),"")</f>
        <v/>
      </c>
    </row>
    <row r="1668" spans="2:9">
      <c r="B1668" s="11">
        <f t="shared" si="148"/>
        <v>44596</v>
      </c>
      <c r="C1668" s="19">
        <f>MONTH(Tabela6[[#This Row],[Data]])</f>
        <v>2</v>
      </c>
      <c r="D1668" s="19">
        <f>YEAR(Tabela6[[#This Row],[Data]])</f>
        <v>2022</v>
      </c>
      <c r="E1668" s="12" t="s">
        <v>78</v>
      </c>
      <c r="F1668" t="s">
        <v>61</v>
      </c>
      <c r="G1668" s="26">
        <v>6</v>
      </c>
      <c r="I1668" t="str">
        <f>IFERROR(VLOOKUP(Tabela6[[#This Row],[Descrição]],Materiais!B:C,2,0),"")</f>
        <v/>
      </c>
    </row>
    <row r="1669" spans="2:9">
      <c r="B1669" s="11">
        <f t="shared" si="148"/>
        <v>44596</v>
      </c>
      <c r="C1669" s="19">
        <f>MONTH(Tabela6[[#This Row],[Data]])</f>
        <v>2</v>
      </c>
      <c r="D1669" s="19">
        <f>YEAR(Tabela6[[#This Row],[Data]])</f>
        <v>2022</v>
      </c>
      <c r="E1669" s="12" t="s">
        <v>78</v>
      </c>
      <c r="F1669" t="s">
        <v>152</v>
      </c>
      <c r="G1669" s="26">
        <v>4</v>
      </c>
      <c r="I1669" t="str">
        <f>IFERROR(VLOOKUP(Tabela6[[#This Row],[Descrição]],Materiais!B:C,2,0),"")</f>
        <v/>
      </c>
    </row>
    <row r="1670" spans="2:9">
      <c r="B1670" s="11">
        <f t="shared" si="148"/>
        <v>44596</v>
      </c>
      <c r="C1670" s="19">
        <f>MONTH(Tabela6[[#This Row],[Data]])</f>
        <v>2</v>
      </c>
      <c r="D1670" s="19">
        <f>YEAR(Tabela6[[#This Row],[Data]])</f>
        <v>2022</v>
      </c>
      <c r="E1670" s="12" t="s">
        <v>78</v>
      </c>
      <c r="F1670" t="s">
        <v>58</v>
      </c>
      <c r="G1670" s="26">
        <v>4</v>
      </c>
      <c r="I1670" t="str">
        <f>IFERROR(VLOOKUP(Tabela6[[#This Row],[Descrição]],Materiais!B:C,2,0),"")</f>
        <v/>
      </c>
    </row>
    <row r="1671" spans="2:9">
      <c r="B1671" s="11">
        <f t="shared" si="148"/>
        <v>44596</v>
      </c>
      <c r="C1671" s="19">
        <f>MONTH(Tabela6[[#This Row],[Data]])</f>
        <v>2</v>
      </c>
      <c r="D1671" s="19">
        <f>YEAR(Tabela6[[#This Row],[Data]])</f>
        <v>2022</v>
      </c>
      <c r="E1671" s="12" t="s">
        <v>78</v>
      </c>
      <c r="F1671" t="s">
        <v>95</v>
      </c>
      <c r="G1671" s="26">
        <v>2</v>
      </c>
      <c r="I1671" t="str">
        <f>IFERROR(VLOOKUP(Tabela6[[#This Row],[Descrição]],Materiais!B:C,2,0),"")</f>
        <v/>
      </c>
    </row>
    <row r="1672" spans="2:9">
      <c r="B1672" s="11">
        <f t="shared" ref="B1672:B1679" si="149">43137+(365*4)</f>
        <v>44597</v>
      </c>
      <c r="C1672" s="19">
        <f>MONTH(Tabela6[[#This Row],[Data]])</f>
        <v>2</v>
      </c>
      <c r="D1672" s="19">
        <f>YEAR(Tabela6[[#This Row],[Data]])</f>
        <v>2022</v>
      </c>
      <c r="E1672" s="12" t="s">
        <v>78</v>
      </c>
      <c r="F1672" t="s">
        <v>63</v>
      </c>
      <c r="G1672" s="26">
        <v>4</v>
      </c>
      <c r="I1672" t="str">
        <f>IFERROR(VLOOKUP(Tabela6[[#This Row],[Descrição]],Materiais!B:C,2,0),"")</f>
        <v/>
      </c>
    </row>
    <row r="1673" spans="2:9">
      <c r="B1673" s="11">
        <f t="shared" si="149"/>
        <v>44597</v>
      </c>
      <c r="C1673" s="19">
        <f>MONTH(Tabela6[[#This Row],[Data]])</f>
        <v>2</v>
      </c>
      <c r="D1673" s="19">
        <f>YEAR(Tabela6[[#This Row],[Data]])</f>
        <v>2022</v>
      </c>
      <c r="E1673" s="12" t="s">
        <v>78</v>
      </c>
      <c r="F1673" t="s">
        <v>56</v>
      </c>
      <c r="G1673" s="26">
        <v>4</v>
      </c>
      <c r="I1673" t="str">
        <f>IFERROR(VLOOKUP(Tabela6[[#This Row],[Descrição]],Materiais!B:C,2,0),"")</f>
        <v/>
      </c>
    </row>
    <row r="1674" spans="2:9">
      <c r="B1674" s="11">
        <f t="shared" si="149"/>
        <v>44597</v>
      </c>
      <c r="C1674" s="19">
        <f>MONTH(Tabela6[[#This Row],[Data]])</f>
        <v>2</v>
      </c>
      <c r="D1674" s="19">
        <f>YEAR(Tabela6[[#This Row],[Data]])</f>
        <v>2022</v>
      </c>
      <c r="E1674" s="12" t="s">
        <v>78</v>
      </c>
      <c r="F1674" t="s">
        <v>100</v>
      </c>
      <c r="G1674" s="26">
        <v>4</v>
      </c>
      <c r="I1674" t="str">
        <f>IFERROR(VLOOKUP(Tabela6[[#This Row],[Descrição]],Materiais!B:C,2,0),"")</f>
        <v/>
      </c>
    </row>
    <row r="1675" spans="2:9">
      <c r="B1675" s="11">
        <f t="shared" si="149"/>
        <v>44597</v>
      </c>
      <c r="C1675" s="19">
        <f>MONTH(Tabela6[[#This Row],[Data]])</f>
        <v>2</v>
      </c>
      <c r="D1675" s="19">
        <f>YEAR(Tabela6[[#This Row],[Data]])</f>
        <v>2022</v>
      </c>
      <c r="E1675" s="12" t="s">
        <v>78</v>
      </c>
      <c r="F1675" t="s">
        <v>61</v>
      </c>
      <c r="G1675" s="26">
        <v>8</v>
      </c>
      <c r="I1675" t="str">
        <f>IFERROR(VLOOKUP(Tabela6[[#This Row],[Descrição]],Materiais!B:C,2,0),"")</f>
        <v/>
      </c>
    </row>
    <row r="1676" spans="2:9">
      <c r="B1676" s="11">
        <f t="shared" si="149"/>
        <v>44597</v>
      </c>
      <c r="C1676" s="19">
        <f>MONTH(Tabela6[[#This Row],[Data]])</f>
        <v>2</v>
      </c>
      <c r="D1676" s="19">
        <f>YEAR(Tabela6[[#This Row],[Data]])</f>
        <v>2022</v>
      </c>
      <c r="E1676" s="12" t="s">
        <v>78</v>
      </c>
      <c r="F1676" t="s">
        <v>142</v>
      </c>
      <c r="G1676" s="26">
        <v>2</v>
      </c>
      <c r="I1676" t="str">
        <f>IFERROR(VLOOKUP(Tabela6[[#This Row],[Descrição]],Materiais!B:C,2,0),"")</f>
        <v/>
      </c>
    </row>
    <row r="1677" spans="2:9">
      <c r="B1677" s="11">
        <f t="shared" si="149"/>
        <v>44597</v>
      </c>
      <c r="C1677" s="19">
        <f>MONTH(Tabela6[[#This Row],[Data]])</f>
        <v>2</v>
      </c>
      <c r="D1677" s="19">
        <f>YEAR(Tabela6[[#This Row],[Data]])</f>
        <v>2022</v>
      </c>
      <c r="E1677" s="12" t="s">
        <v>78</v>
      </c>
      <c r="F1677" t="s">
        <v>152</v>
      </c>
      <c r="G1677" s="26">
        <v>4</v>
      </c>
      <c r="I1677" t="str">
        <f>IFERROR(VLOOKUP(Tabela6[[#This Row],[Descrição]],Materiais!B:C,2,0),"")</f>
        <v/>
      </c>
    </row>
    <row r="1678" spans="2:9">
      <c r="B1678" s="11">
        <f t="shared" si="149"/>
        <v>44597</v>
      </c>
      <c r="C1678" s="19">
        <f>MONTH(Tabela6[[#This Row],[Data]])</f>
        <v>2</v>
      </c>
      <c r="D1678" s="19">
        <f>YEAR(Tabela6[[#This Row],[Data]])</f>
        <v>2022</v>
      </c>
      <c r="E1678" s="12" t="s">
        <v>78</v>
      </c>
      <c r="F1678" t="s">
        <v>58</v>
      </c>
      <c r="G1678" s="26">
        <v>2</v>
      </c>
      <c r="I1678" t="str">
        <f>IFERROR(VLOOKUP(Tabela6[[#This Row],[Descrição]],Materiais!B:C,2,0),"")</f>
        <v/>
      </c>
    </row>
    <row r="1679" spans="2:9">
      <c r="B1679" s="11">
        <f t="shared" si="149"/>
        <v>44597</v>
      </c>
      <c r="C1679" s="19">
        <f>MONTH(Tabela6[[#This Row],[Data]])</f>
        <v>2</v>
      </c>
      <c r="D1679" s="19">
        <f>YEAR(Tabela6[[#This Row],[Data]])</f>
        <v>2022</v>
      </c>
      <c r="E1679" s="12" t="s">
        <v>78</v>
      </c>
      <c r="F1679" t="s">
        <v>95</v>
      </c>
      <c r="G1679" s="26">
        <v>2</v>
      </c>
      <c r="I1679" t="str">
        <f>IFERROR(VLOOKUP(Tabela6[[#This Row],[Descrição]],Materiais!B:C,2,0),"")</f>
        <v/>
      </c>
    </row>
    <row r="1680" spans="2:9">
      <c r="B1680" s="11">
        <f t="shared" ref="B1680:B1690" si="150">43138+(365*4)</f>
        <v>44598</v>
      </c>
      <c r="C1680" s="19">
        <f>MONTH(Tabela6[[#This Row],[Data]])</f>
        <v>2</v>
      </c>
      <c r="D1680" s="19">
        <f>YEAR(Tabela6[[#This Row],[Data]])</f>
        <v>2022</v>
      </c>
      <c r="E1680" s="12" t="s">
        <v>72</v>
      </c>
      <c r="F1680" t="s">
        <v>7</v>
      </c>
      <c r="G1680" s="26">
        <v>-2.25</v>
      </c>
      <c r="I1680" t="str">
        <f>IFERROR(VLOOKUP(Tabela6[[#This Row],[Descrição]],Materiais!B:C,2,0),"")</f>
        <v>g</v>
      </c>
    </row>
    <row r="1681" spans="2:9">
      <c r="B1681" s="11">
        <f t="shared" si="150"/>
        <v>44598</v>
      </c>
      <c r="C1681" s="19">
        <f>MONTH(Tabela6[[#This Row],[Data]])</f>
        <v>2</v>
      </c>
      <c r="D1681" s="19">
        <f>YEAR(Tabela6[[#This Row],[Data]])</f>
        <v>2022</v>
      </c>
      <c r="E1681" s="12" t="s">
        <v>78</v>
      </c>
      <c r="F1681" t="s">
        <v>63</v>
      </c>
      <c r="G1681" s="26">
        <v>4</v>
      </c>
      <c r="I1681" t="str">
        <f>IFERROR(VLOOKUP(Tabela6[[#This Row],[Descrição]],Materiais!B:C,2,0),"")</f>
        <v/>
      </c>
    </row>
    <row r="1682" spans="2:9">
      <c r="B1682" s="11">
        <f t="shared" si="150"/>
        <v>44598</v>
      </c>
      <c r="C1682" s="19">
        <f>MONTH(Tabela6[[#This Row],[Data]])</f>
        <v>2</v>
      </c>
      <c r="D1682" s="19">
        <f>YEAR(Tabela6[[#This Row],[Data]])</f>
        <v>2022</v>
      </c>
      <c r="E1682" s="12" t="s">
        <v>78</v>
      </c>
      <c r="F1682" t="s">
        <v>56</v>
      </c>
      <c r="G1682" s="26">
        <v>2</v>
      </c>
      <c r="I1682" t="str">
        <f>IFERROR(VLOOKUP(Tabela6[[#This Row],[Descrição]],Materiais!B:C,2,0),"")</f>
        <v/>
      </c>
    </row>
    <row r="1683" spans="2:9">
      <c r="B1683" s="11">
        <f t="shared" si="150"/>
        <v>44598</v>
      </c>
      <c r="C1683" s="19">
        <f>MONTH(Tabela6[[#This Row],[Data]])</f>
        <v>2</v>
      </c>
      <c r="D1683" s="19">
        <f>YEAR(Tabela6[[#This Row],[Data]])</f>
        <v>2022</v>
      </c>
      <c r="E1683" s="12" t="s">
        <v>75</v>
      </c>
      <c r="F1683" t="s">
        <v>111</v>
      </c>
      <c r="G1683" s="26">
        <v>-11.9</v>
      </c>
      <c r="I1683" t="str">
        <f>IFERROR(VLOOKUP(Tabela6[[#This Row],[Descrição]],Materiais!B:C,2,0),"")</f>
        <v/>
      </c>
    </row>
    <row r="1684" spans="2:9">
      <c r="B1684" s="11">
        <f t="shared" si="150"/>
        <v>44598</v>
      </c>
      <c r="C1684" s="19">
        <f>MONTH(Tabela6[[#This Row],[Data]])</f>
        <v>2</v>
      </c>
      <c r="D1684" s="19">
        <f>YEAR(Tabela6[[#This Row],[Data]])</f>
        <v>2022</v>
      </c>
      <c r="E1684" s="12" t="s">
        <v>78</v>
      </c>
      <c r="F1684" t="s">
        <v>100</v>
      </c>
      <c r="G1684" s="26">
        <v>2</v>
      </c>
      <c r="I1684" t="str">
        <f>IFERROR(VLOOKUP(Tabela6[[#This Row],[Descrição]],Materiais!B:C,2,0),"")</f>
        <v/>
      </c>
    </row>
    <row r="1685" spans="2:9">
      <c r="B1685" s="11">
        <f t="shared" si="150"/>
        <v>44598</v>
      </c>
      <c r="C1685" s="19">
        <f>MONTH(Tabela6[[#This Row],[Data]])</f>
        <v>2</v>
      </c>
      <c r="D1685" s="19">
        <f>YEAR(Tabela6[[#This Row],[Data]])</f>
        <v>2022</v>
      </c>
      <c r="E1685" s="12" t="s">
        <v>78</v>
      </c>
      <c r="F1685" t="s">
        <v>61</v>
      </c>
      <c r="G1685" s="26">
        <v>2</v>
      </c>
      <c r="I1685" t="str">
        <f>IFERROR(VLOOKUP(Tabela6[[#This Row],[Descrição]],Materiais!B:C,2,0),"")</f>
        <v/>
      </c>
    </row>
    <row r="1686" spans="2:9">
      <c r="B1686" s="11">
        <f t="shared" si="150"/>
        <v>44598</v>
      </c>
      <c r="C1686" s="19">
        <f>MONTH(Tabela6[[#This Row],[Data]])</f>
        <v>2</v>
      </c>
      <c r="D1686" s="19">
        <f>YEAR(Tabela6[[#This Row],[Data]])</f>
        <v>2022</v>
      </c>
      <c r="E1686" s="12" t="s">
        <v>72</v>
      </c>
      <c r="F1686" t="s">
        <v>18</v>
      </c>
      <c r="G1686" s="26">
        <v>-6.8</v>
      </c>
      <c r="I1686" t="str">
        <f>IFERROR(VLOOKUP(Tabela6[[#This Row],[Descrição]],Materiais!B:C,2,0),"")</f>
        <v>g</v>
      </c>
    </row>
    <row r="1687" spans="2:9">
      <c r="B1687" s="11">
        <f t="shared" si="150"/>
        <v>44598</v>
      </c>
      <c r="C1687" s="19">
        <f>MONTH(Tabela6[[#This Row],[Data]])</f>
        <v>2</v>
      </c>
      <c r="D1687" s="19">
        <f>YEAR(Tabela6[[#This Row],[Data]])</f>
        <v>2022</v>
      </c>
      <c r="E1687" s="12" t="s">
        <v>78</v>
      </c>
      <c r="F1687" t="s">
        <v>142</v>
      </c>
      <c r="G1687" s="26">
        <v>2</v>
      </c>
      <c r="I1687" t="str">
        <f>IFERROR(VLOOKUP(Tabela6[[#This Row],[Descrição]],Materiais!B:C,2,0),"")</f>
        <v/>
      </c>
    </row>
    <row r="1688" spans="2:9">
      <c r="B1688" s="11">
        <f t="shared" si="150"/>
        <v>44598</v>
      </c>
      <c r="C1688" s="19">
        <f>MONTH(Tabela6[[#This Row],[Data]])</f>
        <v>2</v>
      </c>
      <c r="D1688" s="19">
        <f>YEAR(Tabela6[[#This Row],[Data]])</f>
        <v>2022</v>
      </c>
      <c r="E1688" s="12" t="s">
        <v>78</v>
      </c>
      <c r="F1688" t="s">
        <v>152</v>
      </c>
      <c r="G1688" s="26">
        <v>2</v>
      </c>
      <c r="I1688" t="str">
        <f>IFERROR(VLOOKUP(Tabela6[[#This Row],[Descrição]],Materiais!B:C,2,0),"")</f>
        <v/>
      </c>
    </row>
    <row r="1689" spans="2:9">
      <c r="B1689" s="11">
        <f t="shared" si="150"/>
        <v>44598</v>
      </c>
      <c r="C1689" s="19">
        <f>MONTH(Tabela6[[#This Row],[Data]])</f>
        <v>2</v>
      </c>
      <c r="D1689" s="19">
        <f>YEAR(Tabela6[[#This Row],[Data]])</f>
        <v>2022</v>
      </c>
      <c r="E1689" s="12" t="s">
        <v>78</v>
      </c>
      <c r="F1689" t="s">
        <v>58</v>
      </c>
      <c r="G1689" s="26">
        <v>10</v>
      </c>
      <c r="I1689" t="str">
        <f>IFERROR(VLOOKUP(Tabela6[[#This Row],[Descrição]],Materiais!B:C,2,0),"")</f>
        <v/>
      </c>
    </row>
    <row r="1690" spans="2:9">
      <c r="B1690" s="11">
        <f t="shared" si="150"/>
        <v>44598</v>
      </c>
      <c r="C1690" s="19">
        <f>MONTH(Tabela6[[#This Row],[Data]])</f>
        <v>2</v>
      </c>
      <c r="D1690" s="19">
        <f>YEAR(Tabela6[[#This Row],[Data]])</f>
        <v>2022</v>
      </c>
      <c r="E1690" s="12" t="s">
        <v>78</v>
      </c>
      <c r="F1690" t="s">
        <v>95</v>
      </c>
      <c r="G1690" s="26">
        <v>2</v>
      </c>
      <c r="I1690" t="str">
        <f>IFERROR(VLOOKUP(Tabela6[[#This Row],[Descrição]],Materiais!B:C,2,0),"")</f>
        <v/>
      </c>
    </row>
    <row r="1691" spans="2:9">
      <c r="B1691" s="11">
        <f t="shared" ref="B1691:B1696" si="151">43139+(365*4)</f>
        <v>44599</v>
      </c>
      <c r="C1691" s="19">
        <f>MONTH(Tabela6[[#This Row],[Data]])</f>
        <v>2</v>
      </c>
      <c r="D1691" s="19">
        <f>YEAR(Tabela6[[#This Row],[Data]])</f>
        <v>2022</v>
      </c>
      <c r="E1691" s="12" t="s">
        <v>78</v>
      </c>
      <c r="F1691" t="s">
        <v>63</v>
      </c>
      <c r="G1691" s="26">
        <v>2</v>
      </c>
      <c r="I1691" t="str">
        <f>IFERROR(VLOOKUP(Tabela6[[#This Row],[Descrição]],Materiais!B:C,2,0),"")</f>
        <v/>
      </c>
    </row>
    <row r="1692" spans="2:9">
      <c r="B1692" s="11">
        <f t="shared" si="151"/>
        <v>44599</v>
      </c>
      <c r="C1692" s="19">
        <f>MONTH(Tabela6[[#This Row],[Data]])</f>
        <v>2</v>
      </c>
      <c r="D1692" s="19">
        <f>YEAR(Tabela6[[#This Row],[Data]])</f>
        <v>2022</v>
      </c>
      <c r="E1692" s="12" t="s">
        <v>78</v>
      </c>
      <c r="F1692" t="s">
        <v>56</v>
      </c>
      <c r="G1692" s="26">
        <v>2</v>
      </c>
      <c r="I1692" t="str">
        <f>IFERROR(VLOOKUP(Tabela6[[#This Row],[Descrição]],Materiais!B:C,2,0),"")</f>
        <v/>
      </c>
    </row>
    <row r="1693" spans="2:9">
      <c r="B1693" s="11">
        <f t="shared" si="151"/>
        <v>44599</v>
      </c>
      <c r="C1693" s="19">
        <f>MONTH(Tabela6[[#This Row],[Data]])</f>
        <v>2</v>
      </c>
      <c r="D1693" s="19">
        <f>YEAR(Tabela6[[#This Row],[Data]])</f>
        <v>2022</v>
      </c>
      <c r="E1693" s="12" t="s">
        <v>78</v>
      </c>
      <c r="F1693" t="s">
        <v>147</v>
      </c>
      <c r="G1693" s="26">
        <v>2</v>
      </c>
      <c r="I1693" t="str">
        <f>IFERROR(VLOOKUP(Tabela6[[#This Row],[Descrição]],Materiais!B:C,2,0),"")</f>
        <v/>
      </c>
    </row>
    <row r="1694" spans="2:9">
      <c r="B1694" s="11">
        <f t="shared" si="151"/>
        <v>44599</v>
      </c>
      <c r="C1694" s="19">
        <f>MONTH(Tabela6[[#This Row],[Data]])</f>
        <v>2</v>
      </c>
      <c r="D1694" s="19">
        <f>YEAR(Tabela6[[#This Row],[Data]])</f>
        <v>2022</v>
      </c>
      <c r="E1694" s="12" t="s">
        <v>78</v>
      </c>
      <c r="F1694" t="s">
        <v>61</v>
      </c>
      <c r="G1694" s="26">
        <v>6</v>
      </c>
      <c r="I1694" t="str">
        <f>IFERROR(VLOOKUP(Tabela6[[#This Row],[Descrição]],Materiais!B:C,2,0),"")</f>
        <v/>
      </c>
    </row>
    <row r="1695" spans="2:9">
      <c r="B1695" s="11">
        <f t="shared" si="151"/>
        <v>44599</v>
      </c>
      <c r="C1695" s="19">
        <f>MONTH(Tabela6[[#This Row],[Data]])</f>
        <v>2</v>
      </c>
      <c r="D1695" s="19">
        <f>YEAR(Tabela6[[#This Row],[Data]])</f>
        <v>2022</v>
      </c>
      <c r="E1695" s="12" t="s">
        <v>78</v>
      </c>
      <c r="F1695" t="s">
        <v>142</v>
      </c>
      <c r="G1695" s="26">
        <v>2</v>
      </c>
      <c r="I1695" t="str">
        <f>IFERROR(VLOOKUP(Tabela6[[#This Row],[Descrição]],Materiais!B:C,2,0),"")</f>
        <v/>
      </c>
    </row>
    <row r="1696" spans="2:9">
      <c r="B1696" s="11">
        <f t="shared" si="151"/>
        <v>44599</v>
      </c>
      <c r="C1696" s="19">
        <f>MONTH(Tabela6[[#This Row],[Data]])</f>
        <v>2</v>
      </c>
      <c r="D1696" s="19">
        <f>YEAR(Tabela6[[#This Row],[Data]])</f>
        <v>2022</v>
      </c>
      <c r="E1696" s="12" t="s">
        <v>78</v>
      </c>
      <c r="F1696" t="s">
        <v>152</v>
      </c>
      <c r="G1696" s="26">
        <v>6</v>
      </c>
      <c r="I1696" t="str">
        <f>IFERROR(VLOOKUP(Tabela6[[#This Row],[Descrição]],Materiais!B:C,2,0),"")</f>
        <v/>
      </c>
    </row>
    <row r="1697" spans="2:9">
      <c r="B1697" s="11">
        <f>43140+(365*4)</f>
        <v>44600</v>
      </c>
      <c r="C1697" s="19">
        <f>MONTH(Tabela6[[#This Row],[Data]])</f>
        <v>2</v>
      </c>
      <c r="D1697" s="19">
        <f>YEAR(Tabela6[[#This Row],[Data]])</f>
        <v>2022</v>
      </c>
      <c r="E1697" s="12" t="s">
        <v>72</v>
      </c>
      <c r="F1697" t="s">
        <v>20</v>
      </c>
      <c r="G1697" s="26">
        <v>-191.52</v>
      </c>
      <c r="I1697" t="str">
        <f>IFERROR(VLOOKUP(Tabela6[[#This Row],[Descrição]],Materiais!B:C,2,0),"")</f>
        <v>g</v>
      </c>
    </row>
    <row r="1698" spans="2:9">
      <c r="B1698" s="11">
        <f>43140+(365*4)</f>
        <v>44600</v>
      </c>
      <c r="C1698" s="19">
        <f>MONTH(Tabela6[[#This Row],[Data]])</f>
        <v>2</v>
      </c>
      <c r="D1698" s="19">
        <f>YEAR(Tabela6[[#This Row],[Data]])</f>
        <v>2022</v>
      </c>
      <c r="E1698" s="12" t="s">
        <v>72</v>
      </c>
      <c r="F1698" t="s">
        <v>22</v>
      </c>
      <c r="G1698" s="26">
        <v>-16.8</v>
      </c>
      <c r="I1698" t="str">
        <f>IFERROR(VLOOKUP(Tabela6[[#This Row],[Descrição]],Materiais!B:C,2,0),"")</f>
        <v>g</v>
      </c>
    </row>
    <row r="1699" spans="2:9">
      <c r="B1699" s="11">
        <f>43145+(365*4)</f>
        <v>44605</v>
      </c>
      <c r="C1699" s="19">
        <f>MONTH(Tabela6[[#This Row],[Data]])</f>
        <v>2</v>
      </c>
      <c r="D1699" s="19">
        <f>YEAR(Tabela6[[#This Row],[Data]])</f>
        <v>2022</v>
      </c>
      <c r="E1699" s="12" t="s">
        <v>78</v>
      </c>
      <c r="F1699" t="s">
        <v>56</v>
      </c>
      <c r="G1699" s="26">
        <v>84</v>
      </c>
      <c r="I1699" t="str">
        <f>IFERROR(VLOOKUP(Tabela6[[#This Row],[Descrição]],Materiais!B:C,2,0),"")</f>
        <v/>
      </c>
    </row>
    <row r="1700" spans="2:9">
      <c r="B1700" s="11">
        <f>43148+(365*4)</f>
        <v>44608</v>
      </c>
      <c r="C1700" s="19">
        <f>MONTH(Tabela6[[#This Row],[Data]])</f>
        <v>2</v>
      </c>
      <c r="D1700" s="19">
        <f>YEAR(Tabela6[[#This Row],[Data]])</f>
        <v>2022</v>
      </c>
      <c r="E1700" s="12" t="s">
        <v>75</v>
      </c>
      <c r="F1700" t="s">
        <v>153</v>
      </c>
      <c r="G1700" s="26">
        <v>-4.8</v>
      </c>
      <c r="I1700" t="str">
        <f>IFERROR(VLOOKUP(Tabela6[[#This Row],[Descrição]],Materiais!B:C,2,0),"")</f>
        <v/>
      </c>
    </row>
    <row r="1701" spans="2:9">
      <c r="B1701" s="11">
        <f>43148+(365*4)</f>
        <v>44608</v>
      </c>
      <c r="C1701" s="19">
        <f>MONTH(Tabela6[[#This Row],[Data]])</f>
        <v>2</v>
      </c>
      <c r="D1701" s="19">
        <f>YEAR(Tabela6[[#This Row],[Data]])</f>
        <v>2022</v>
      </c>
      <c r="E1701" s="12" t="s">
        <v>75</v>
      </c>
      <c r="F1701" t="s">
        <v>154</v>
      </c>
      <c r="G1701" s="26">
        <v>-32.15</v>
      </c>
      <c r="I1701" t="str">
        <f>IFERROR(VLOOKUP(Tabela6[[#This Row],[Descrição]],Materiais!B:C,2,0),"")</f>
        <v/>
      </c>
    </row>
    <row r="1702" spans="2:9">
      <c r="B1702" s="11">
        <f>43148+(365*4)</f>
        <v>44608</v>
      </c>
      <c r="C1702" s="19">
        <f>MONTH(Tabela6[[#This Row],[Data]])</f>
        <v>2</v>
      </c>
      <c r="D1702" s="19">
        <f>YEAR(Tabela6[[#This Row],[Data]])</f>
        <v>2022</v>
      </c>
      <c r="E1702" s="12" t="s">
        <v>75</v>
      </c>
      <c r="F1702" t="s">
        <v>155</v>
      </c>
      <c r="G1702" s="26">
        <v>-54</v>
      </c>
      <c r="I1702" t="str">
        <f>IFERROR(VLOOKUP(Tabela6[[#This Row],[Descrição]],Materiais!B:C,2,0),"")</f>
        <v/>
      </c>
    </row>
    <row r="1703" spans="2:9">
      <c r="B1703" s="11">
        <f>43148+(365*4)</f>
        <v>44608</v>
      </c>
      <c r="C1703" s="19">
        <f>MONTH(Tabela6[[#This Row],[Data]])</f>
        <v>2</v>
      </c>
      <c r="D1703" s="19">
        <f>YEAR(Tabela6[[#This Row],[Data]])</f>
        <v>2022</v>
      </c>
      <c r="E1703" s="12" t="s">
        <v>75</v>
      </c>
      <c r="F1703" t="s">
        <v>156</v>
      </c>
      <c r="G1703" s="26">
        <v>-10.5</v>
      </c>
      <c r="I1703" t="str">
        <f>IFERROR(VLOOKUP(Tabela6[[#This Row],[Descrição]],Materiais!B:C,2,0),"")</f>
        <v/>
      </c>
    </row>
    <row r="1704" spans="2:9">
      <c r="B1704" s="11">
        <f>43148+(365*4)</f>
        <v>44608</v>
      </c>
      <c r="C1704" s="19">
        <f>MONTH(Tabela6[[#This Row],[Data]])</f>
        <v>2</v>
      </c>
      <c r="D1704" s="19">
        <f>YEAR(Tabela6[[#This Row],[Data]])</f>
        <v>2022</v>
      </c>
      <c r="E1704" s="12" t="s">
        <v>75</v>
      </c>
      <c r="F1704" t="s">
        <v>157</v>
      </c>
      <c r="G1704" s="26">
        <v>-9.9</v>
      </c>
      <c r="I1704" t="str">
        <f>IFERROR(VLOOKUP(Tabela6[[#This Row],[Descrição]],Materiais!B:C,2,0),"")</f>
        <v/>
      </c>
    </row>
    <row r="1705" spans="2:9">
      <c r="B1705" s="11">
        <f>43149+(365*4)</f>
        <v>44609</v>
      </c>
      <c r="C1705" s="19">
        <f>MONTH(Tabela6[[#This Row],[Data]])</f>
        <v>2</v>
      </c>
      <c r="D1705" s="19">
        <f>YEAR(Tabela6[[#This Row],[Data]])</f>
        <v>2022</v>
      </c>
      <c r="E1705" s="12" t="s">
        <v>72</v>
      </c>
      <c r="F1705" t="s">
        <v>20</v>
      </c>
      <c r="G1705" s="26">
        <v>-37.9</v>
      </c>
      <c r="I1705" t="str">
        <f>IFERROR(VLOOKUP(Tabela6[[#This Row],[Descrição]],Materiais!B:C,2,0),"")</f>
        <v>g</v>
      </c>
    </row>
    <row r="1706" spans="2:9">
      <c r="B1706" s="11">
        <f>43149+(365*4)</f>
        <v>44609</v>
      </c>
      <c r="C1706" s="19">
        <f>MONTH(Tabela6[[#This Row],[Data]])</f>
        <v>2</v>
      </c>
      <c r="D1706" s="19">
        <f>YEAR(Tabela6[[#This Row],[Data]])</f>
        <v>2022</v>
      </c>
      <c r="E1706" s="12" t="s">
        <v>75</v>
      </c>
      <c r="F1706" t="s">
        <v>158</v>
      </c>
      <c r="G1706" s="26">
        <v>-37.4</v>
      </c>
      <c r="I1706" t="str">
        <f>IFERROR(VLOOKUP(Tabela6[[#This Row],[Descrição]],Materiais!B:C,2,0),"")</f>
        <v/>
      </c>
    </row>
    <row r="1707" spans="2:9">
      <c r="B1707" s="11">
        <f>43149+(365*4)</f>
        <v>44609</v>
      </c>
      <c r="C1707" s="19">
        <f>MONTH(Tabela6[[#This Row],[Data]])</f>
        <v>2</v>
      </c>
      <c r="D1707" s="19">
        <f>YEAR(Tabela6[[#This Row],[Data]])</f>
        <v>2022</v>
      </c>
      <c r="E1707" s="12" t="s">
        <v>75</v>
      </c>
      <c r="F1707" t="s">
        <v>159</v>
      </c>
      <c r="G1707" s="26">
        <v>-20.100000000000001</v>
      </c>
      <c r="I1707" t="str">
        <f>IFERROR(VLOOKUP(Tabela6[[#This Row],[Descrição]],Materiais!B:C,2,0),"")</f>
        <v/>
      </c>
    </row>
    <row r="1708" spans="2:9">
      <c r="B1708" s="11">
        <f>43149+(365*4)</f>
        <v>44609</v>
      </c>
      <c r="C1708" s="19">
        <f>MONTH(Tabela6[[#This Row],[Data]])</f>
        <v>2</v>
      </c>
      <c r="D1708" s="19">
        <f>YEAR(Tabela6[[#This Row],[Data]])</f>
        <v>2022</v>
      </c>
      <c r="E1708" s="12" t="s">
        <v>75</v>
      </c>
      <c r="F1708" t="s">
        <v>160</v>
      </c>
      <c r="G1708" s="26">
        <v>-18.600000000000001</v>
      </c>
      <c r="I1708" t="str">
        <f>IFERROR(VLOOKUP(Tabela6[[#This Row],[Descrição]],Materiais!B:C,2,0),"")</f>
        <v/>
      </c>
    </row>
    <row r="1709" spans="2:9">
      <c r="B1709" s="11">
        <f t="shared" ref="B1709:B1715" si="152">43150+(365*4)</f>
        <v>44610</v>
      </c>
      <c r="C1709" s="19">
        <f>MONTH(Tabela6[[#This Row],[Data]])</f>
        <v>2</v>
      </c>
      <c r="D1709" s="19">
        <f>YEAR(Tabela6[[#This Row],[Data]])</f>
        <v>2022</v>
      </c>
      <c r="E1709" s="12" t="s">
        <v>78</v>
      </c>
      <c r="F1709" t="s">
        <v>63</v>
      </c>
      <c r="G1709" s="26">
        <v>6</v>
      </c>
      <c r="I1709" t="str">
        <f>IFERROR(VLOOKUP(Tabela6[[#This Row],[Descrição]],Materiais!B:C,2,0),"")</f>
        <v/>
      </c>
    </row>
    <row r="1710" spans="2:9">
      <c r="B1710" s="11">
        <f t="shared" si="152"/>
        <v>44610</v>
      </c>
      <c r="C1710" s="19">
        <f>MONTH(Tabela6[[#This Row],[Data]])</f>
        <v>2</v>
      </c>
      <c r="D1710" s="19">
        <f>YEAR(Tabela6[[#This Row],[Data]])</f>
        <v>2022</v>
      </c>
      <c r="E1710" s="12" t="s">
        <v>78</v>
      </c>
      <c r="F1710" t="s">
        <v>56</v>
      </c>
      <c r="G1710" s="26">
        <v>8</v>
      </c>
      <c r="I1710" t="str">
        <f>IFERROR(VLOOKUP(Tabela6[[#This Row],[Descrição]],Materiais!B:C,2,0),"")</f>
        <v/>
      </c>
    </row>
    <row r="1711" spans="2:9">
      <c r="B1711" s="11">
        <f t="shared" si="152"/>
        <v>44610</v>
      </c>
      <c r="C1711" s="19">
        <f>MONTH(Tabela6[[#This Row],[Data]])</f>
        <v>2</v>
      </c>
      <c r="D1711" s="19">
        <f>YEAR(Tabela6[[#This Row],[Data]])</f>
        <v>2022</v>
      </c>
      <c r="E1711" s="12" t="s">
        <v>78</v>
      </c>
      <c r="F1711" t="s">
        <v>147</v>
      </c>
      <c r="G1711" s="26">
        <v>6</v>
      </c>
      <c r="I1711" t="str">
        <f>IFERROR(VLOOKUP(Tabela6[[#This Row],[Descrição]],Materiais!B:C,2,0),"")</f>
        <v/>
      </c>
    </row>
    <row r="1712" spans="2:9">
      <c r="B1712" s="11">
        <f t="shared" si="152"/>
        <v>44610</v>
      </c>
      <c r="C1712" s="19">
        <f>MONTH(Tabela6[[#This Row],[Data]])</f>
        <v>2</v>
      </c>
      <c r="D1712" s="19">
        <f>YEAR(Tabela6[[#This Row],[Data]])</f>
        <v>2022</v>
      </c>
      <c r="E1712" s="12" t="s">
        <v>78</v>
      </c>
      <c r="F1712" t="s">
        <v>61</v>
      </c>
      <c r="G1712" s="26">
        <v>12</v>
      </c>
      <c r="I1712" t="str">
        <f>IFERROR(VLOOKUP(Tabela6[[#This Row],[Descrição]],Materiais!B:C,2,0),"")</f>
        <v/>
      </c>
    </row>
    <row r="1713" spans="2:9">
      <c r="B1713" s="11">
        <f t="shared" si="152"/>
        <v>44610</v>
      </c>
      <c r="C1713" s="19">
        <f>MONTH(Tabela6[[#This Row],[Data]])</f>
        <v>2</v>
      </c>
      <c r="D1713" s="19">
        <f>YEAR(Tabela6[[#This Row],[Data]])</f>
        <v>2022</v>
      </c>
      <c r="E1713" s="12" t="s">
        <v>78</v>
      </c>
      <c r="F1713" t="s">
        <v>58</v>
      </c>
      <c r="G1713" s="26">
        <v>6</v>
      </c>
      <c r="I1713" t="str">
        <f>IFERROR(VLOOKUP(Tabela6[[#This Row],[Descrição]],Materiais!B:C,2,0),"")</f>
        <v/>
      </c>
    </row>
    <row r="1714" spans="2:9">
      <c r="B1714" s="11">
        <f t="shared" si="152"/>
        <v>44610</v>
      </c>
      <c r="C1714" s="19">
        <f>MONTH(Tabela6[[#This Row],[Data]])</f>
        <v>2</v>
      </c>
      <c r="D1714" s="19">
        <f>YEAR(Tabela6[[#This Row],[Data]])</f>
        <v>2022</v>
      </c>
      <c r="E1714" s="12" t="s">
        <v>78</v>
      </c>
      <c r="F1714" t="s">
        <v>126</v>
      </c>
      <c r="G1714" s="26">
        <v>6</v>
      </c>
      <c r="I1714" t="str">
        <f>IFERROR(VLOOKUP(Tabela6[[#This Row],[Descrição]],Materiais!B:C,2,0),"")</f>
        <v/>
      </c>
    </row>
    <row r="1715" spans="2:9">
      <c r="B1715" s="11">
        <f t="shared" si="152"/>
        <v>44610</v>
      </c>
      <c r="C1715" s="19">
        <f>MONTH(Tabela6[[#This Row],[Data]])</f>
        <v>2</v>
      </c>
      <c r="D1715" s="19">
        <f>YEAR(Tabela6[[#This Row],[Data]])</f>
        <v>2022</v>
      </c>
      <c r="E1715" s="12" t="s">
        <v>78</v>
      </c>
      <c r="F1715" t="s">
        <v>152</v>
      </c>
      <c r="G1715" s="26">
        <v>2</v>
      </c>
      <c r="I1715" t="str">
        <f>IFERROR(VLOOKUP(Tabela6[[#This Row],[Descrição]],Materiais!B:C,2,0),"")</f>
        <v/>
      </c>
    </row>
    <row r="1716" spans="2:9">
      <c r="B1716" s="11">
        <f t="shared" ref="B1716:B1725" si="153">43151+(365*4)</f>
        <v>44611</v>
      </c>
      <c r="C1716" s="19">
        <f>MONTH(Tabela6[[#This Row],[Data]])</f>
        <v>2</v>
      </c>
      <c r="D1716" s="19">
        <f>YEAR(Tabela6[[#This Row],[Data]])</f>
        <v>2022</v>
      </c>
      <c r="E1716" s="12" t="s">
        <v>78</v>
      </c>
      <c r="F1716" t="s">
        <v>61</v>
      </c>
      <c r="G1716" s="26">
        <v>2</v>
      </c>
      <c r="I1716" t="str">
        <f>IFERROR(VLOOKUP(Tabela6[[#This Row],[Descrição]],Materiais!B:C,2,0),"")</f>
        <v/>
      </c>
    </row>
    <row r="1717" spans="2:9">
      <c r="B1717" s="11">
        <f t="shared" si="153"/>
        <v>44611</v>
      </c>
      <c r="C1717" s="19">
        <f>MONTH(Tabela6[[#This Row],[Data]])</f>
        <v>2</v>
      </c>
      <c r="D1717" s="19">
        <f>YEAR(Tabela6[[#This Row],[Data]])</f>
        <v>2022</v>
      </c>
      <c r="E1717" s="12" t="s">
        <v>78</v>
      </c>
      <c r="F1717" t="s">
        <v>56</v>
      </c>
      <c r="G1717" s="26">
        <v>6</v>
      </c>
      <c r="I1717" t="str">
        <f>IFERROR(VLOOKUP(Tabela6[[#This Row],[Descrição]],Materiais!B:C,2,0),"")</f>
        <v/>
      </c>
    </row>
    <row r="1718" spans="2:9">
      <c r="B1718" s="11">
        <f t="shared" si="153"/>
        <v>44611</v>
      </c>
      <c r="C1718" s="19">
        <f>MONTH(Tabela6[[#This Row],[Data]])</f>
        <v>2</v>
      </c>
      <c r="D1718" s="19">
        <f>YEAR(Tabela6[[#This Row],[Data]])</f>
        <v>2022</v>
      </c>
      <c r="E1718" s="12" t="s">
        <v>78</v>
      </c>
      <c r="F1718" t="s">
        <v>133</v>
      </c>
      <c r="G1718" s="26">
        <v>2</v>
      </c>
      <c r="I1718" t="str">
        <f>IFERROR(VLOOKUP(Tabela6[[#This Row],[Descrição]],Materiais!B:C,2,0),"")</f>
        <v/>
      </c>
    </row>
    <row r="1719" spans="2:9">
      <c r="B1719" s="11">
        <f t="shared" si="153"/>
        <v>44611</v>
      </c>
      <c r="C1719" s="19">
        <f>MONTH(Tabela6[[#This Row],[Data]])</f>
        <v>2</v>
      </c>
      <c r="D1719" s="19">
        <f>YEAR(Tabela6[[#This Row],[Data]])</f>
        <v>2022</v>
      </c>
      <c r="E1719" s="12" t="s">
        <v>78</v>
      </c>
      <c r="F1719" t="s">
        <v>58</v>
      </c>
      <c r="G1719" s="26">
        <v>4</v>
      </c>
      <c r="I1719" t="str">
        <f>IFERROR(VLOOKUP(Tabela6[[#This Row],[Descrição]],Materiais!B:C,2,0),"")</f>
        <v/>
      </c>
    </row>
    <row r="1720" spans="2:9">
      <c r="B1720" s="11">
        <f t="shared" si="153"/>
        <v>44611</v>
      </c>
      <c r="C1720" s="19">
        <f>MONTH(Tabela6[[#This Row],[Data]])</f>
        <v>2</v>
      </c>
      <c r="D1720" s="19">
        <f>YEAR(Tabela6[[#This Row],[Data]])</f>
        <v>2022</v>
      </c>
      <c r="E1720" s="12" t="s">
        <v>78</v>
      </c>
      <c r="F1720" t="s">
        <v>61</v>
      </c>
      <c r="G1720" s="26">
        <v>10</v>
      </c>
      <c r="I1720" t="str">
        <f>IFERROR(VLOOKUP(Tabela6[[#This Row],[Descrição]],Materiais!B:C,2,0),"")</f>
        <v/>
      </c>
    </row>
    <row r="1721" spans="2:9">
      <c r="B1721" s="11">
        <f t="shared" si="153"/>
        <v>44611</v>
      </c>
      <c r="C1721" s="19">
        <f>MONTH(Tabela6[[#This Row],[Data]])</f>
        <v>2</v>
      </c>
      <c r="D1721" s="19">
        <f>YEAR(Tabela6[[#This Row],[Data]])</f>
        <v>2022</v>
      </c>
      <c r="E1721" s="12" t="s">
        <v>78</v>
      </c>
      <c r="F1721" t="s">
        <v>126</v>
      </c>
      <c r="G1721" s="26">
        <v>2</v>
      </c>
      <c r="I1721" t="str">
        <f>IFERROR(VLOOKUP(Tabela6[[#This Row],[Descrição]],Materiais!B:C,2,0),"")</f>
        <v/>
      </c>
    </row>
    <row r="1722" spans="2:9">
      <c r="B1722" s="11">
        <f t="shared" si="153"/>
        <v>44611</v>
      </c>
      <c r="C1722" s="19">
        <f>MONTH(Tabela6[[#This Row],[Data]])</f>
        <v>2</v>
      </c>
      <c r="D1722" s="19">
        <f>YEAR(Tabela6[[#This Row],[Data]])</f>
        <v>2022</v>
      </c>
      <c r="E1722" s="12" t="s">
        <v>78</v>
      </c>
      <c r="F1722" t="s">
        <v>147</v>
      </c>
      <c r="G1722" s="26">
        <v>2</v>
      </c>
      <c r="I1722" t="str">
        <f>IFERROR(VLOOKUP(Tabela6[[#This Row],[Descrição]],Materiais!B:C,2,0),"")</f>
        <v/>
      </c>
    </row>
    <row r="1723" spans="2:9">
      <c r="B1723" s="11">
        <f t="shared" si="153"/>
        <v>44611</v>
      </c>
      <c r="C1723" s="19">
        <f>MONTH(Tabela6[[#This Row],[Data]])</f>
        <v>2</v>
      </c>
      <c r="D1723" s="19">
        <f>YEAR(Tabela6[[#This Row],[Data]])</f>
        <v>2022</v>
      </c>
      <c r="E1723" s="12" t="s">
        <v>78</v>
      </c>
      <c r="F1723" t="s">
        <v>63</v>
      </c>
      <c r="G1723" s="26">
        <v>2</v>
      </c>
      <c r="I1723" t="str">
        <f>IFERROR(VLOOKUP(Tabela6[[#This Row],[Descrição]],Materiais!B:C,2,0),"")</f>
        <v/>
      </c>
    </row>
    <row r="1724" spans="2:9">
      <c r="B1724" s="11">
        <f t="shared" si="153"/>
        <v>44611</v>
      </c>
      <c r="C1724" s="19">
        <f>MONTH(Tabela6[[#This Row],[Data]])</f>
        <v>2</v>
      </c>
      <c r="D1724" s="19">
        <f>YEAR(Tabela6[[#This Row],[Data]])</f>
        <v>2022</v>
      </c>
      <c r="E1724" s="12" t="s">
        <v>78</v>
      </c>
      <c r="F1724" t="s">
        <v>109</v>
      </c>
      <c r="G1724" s="26">
        <v>2</v>
      </c>
      <c r="I1724" t="str">
        <f>IFERROR(VLOOKUP(Tabela6[[#This Row],[Descrição]],Materiais!B:C,2,0),"")</f>
        <v/>
      </c>
    </row>
    <row r="1725" spans="2:9">
      <c r="B1725" s="11">
        <f t="shared" si="153"/>
        <v>44611</v>
      </c>
      <c r="C1725" s="19">
        <f>MONTH(Tabela6[[#This Row],[Data]])</f>
        <v>2</v>
      </c>
      <c r="D1725" s="19">
        <f>YEAR(Tabela6[[#This Row],[Data]])</f>
        <v>2022</v>
      </c>
      <c r="E1725" s="12" t="s">
        <v>78</v>
      </c>
      <c r="F1725" t="s">
        <v>95</v>
      </c>
      <c r="G1725" s="26">
        <v>4</v>
      </c>
      <c r="I1725" t="str">
        <f>IFERROR(VLOOKUP(Tabela6[[#This Row],[Descrição]],Materiais!B:C,2,0),"")</f>
        <v/>
      </c>
    </row>
    <row r="1726" spans="2:9">
      <c r="B1726" s="11">
        <f t="shared" ref="B1726:B1734" si="154">43152+(365*4)</f>
        <v>44612</v>
      </c>
      <c r="C1726" s="19">
        <f>MONTH(Tabela6[[#This Row],[Data]])</f>
        <v>2</v>
      </c>
      <c r="D1726" s="19">
        <f>YEAR(Tabela6[[#This Row],[Data]])</f>
        <v>2022</v>
      </c>
      <c r="E1726" s="12" t="s">
        <v>78</v>
      </c>
      <c r="F1726" t="s">
        <v>142</v>
      </c>
      <c r="G1726" s="26">
        <v>2</v>
      </c>
      <c r="I1726" t="str">
        <f>IFERROR(VLOOKUP(Tabela6[[#This Row],[Descrição]],Materiais!B:C,2,0),"")</f>
        <v/>
      </c>
    </row>
    <row r="1727" spans="2:9">
      <c r="B1727" s="11">
        <f t="shared" si="154"/>
        <v>44612</v>
      </c>
      <c r="C1727" s="19">
        <f>MONTH(Tabela6[[#This Row],[Data]])</f>
        <v>2</v>
      </c>
      <c r="D1727" s="19">
        <f>YEAR(Tabela6[[#This Row],[Data]])</f>
        <v>2022</v>
      </c>
      <c r="E1727" s="12" t="s">
        <v>78</v>
      </c>
      <c r="F1727" t="s">
        <v>61</v>
      </c>
      <c r="G1727" s="26">
        <v>2</v>
      </c>
      <c r="I1727" t="str">
        <f>IFERROR(VLOOKUP(Tabela6[[#This Row],[Descrição]],Materiais!B:C,2,0),"")</f>
        <v/>
      </c>
    </row>
    <row r="1728" spans="2:9">
      <c r="B1728" s="11">
        <f t="shared" si="154"/>
        <v>44612</v>
      </c>
      <c r="C1728" s="19">
        <f>MONTH(Tabela6[[#This Row],[Data]])</f>
        <v>2</v>
      </c>
      <c r="D1728" s="19">
        <f>YEAR(Tabela6[[#This Row],[Data]])</f>
        <v>2022</v>
      </c>
      <c r="E1728" s="12" t="s">
        <v>78</v>
      </c>
      <c r="F1728" t="s">
        <v>56</v>
      </c>
      <c r="G1728" s="26">
        <v>4</v>
      </c>
      <c r="I1728" t="str">
        <f>IFERROR(VLOOKUP(Tabela6[[#This Row],[Descrição]],Materiais!B:C,2,0),"")</f>
        <v/>
      </c>
    </row>
    <row r="1729" spans="2:9">
      <c r="B1729" s="11">
        <f t="shared" si="154"/>
        <v>44612</v>
      </c>
      <c r="C1729" s="19">
        <f>MONTH(Tabela6[[#This Row],[Data]])</f>
        <v>2</v>
      </c>
      <c r="D1729" s="19">
        <f>YEAR(Tabela6[[#This Row],[Data]])</f>
        <v>2022</v>
      </c>
      <c r="E1729" s="12" t="s">
        <v>78</v>
      </c>
      <c r="F1729" t="s">
        <v>63</v>
      </c>
      <c r="G1729" s="26">
        <v>4</v>
      </c>
      <c r="I1729" t="str">
        <f>IFERROR(VLOOKUP(Tabela6[[#This Row],[Descrição]],Materiais!B:C,2,0),"")</f>
        <v/>
      </c>
    </row>
    <row r="1730" spans="2:9">
      <c r="B1730" s="11">
        <f t="shared" si="154"/>
        <v>44612</v>
      </c>
      <c r="C1730" s="19">
        <f>MONTH(Tabela6[[#This Row],[Data]])</f>
        <v>2</v>
      </c>
      <c r="D1730" s="19">
        <f>YEAR(Tabela6[[#This Row],[Data]])</f>
        <v>2022</v>
      </c>
      <c r="E1730" s="12" t="s">
        <v>78</v>
      </c>
      <c r="F1730" t="s">
        <v>133</v>
      </c>
      <c r="G1730" s="26">
        <v>4</v>
      </c>
      <c r="I1730" t="str">
        <f>IFERROR(VLOOKUP(Tabela6[[#This Row],[Descrição]],Materiais!B:C,2,0),"")</f>
        <v/>
      </c>
    </row>
    <row r="1731" spans="2:9">
      <c r="B1731" s="11">
        <f t="shared" si="154"/>
        <v>44612</v>
      </c>
      <c r="C1731" s="19">
        <f>MONTH(Tabela6[[#This Row],[Data]])</f>
        <v>2</v>
      </c>
      <c r="D1731" s="19">
        <f>YEAR(Tabela6[[#This Row],[Data]])</f>
        <v>2022</v>
      </c>
      <c r="E1731" s="12" t="s">
        <v>78</v>
      </c>
      <c r="F1731" t="s">
        <v>109</v>
      </c>
      <c r="G1731" s="26">
        <v>2</v>
      </c>
      <c r="I1731" t="str">
        <f>IFERROR(VLOOKUP(Tabela6[[#This Row],[Descrição]],Materiais!B:C,2,0),"")</f>
        <v/>
      </c>
    </row>
    <row r="1732" spans="2:9">
      <c r="B1732" s="11">
        <f t="shared" si="154"/>
        <v>44612</v>
      </c>
      <c r="C1732" s="19">
        <f>MONTH(Tabela6[[#This Row],[Data]])</f>
        <v>2</v>
      </c>
      <c r="D1732" s="19">
        <f>YEAR(Tabela6[[#This Row],[Data]])</f>
        <v>2022</v>
      </c>
      <c r="E1732" s="12" t="s">
        <v>78</v>
      </c>
      <c r="F1732" t="s">
        <v>58</v>
      </c>
      <c r="G1732" s="26">
        <v>4</v>
      </c>
      <c r="I1732" t="str">
        <f>IFERROR(VLOOKUP(Tabela6[[#This Row],[Descrição]],Materiais!B:C,2,0),"")</f>
        <v/>
      </c>
    </row>
    <row r="1733" spans="2:9">
      <c r="B1733" s="11">
        <f t="shared" si="154"/>
        <v>44612</v>
      </c>
      <c r="C1733" s="19">
        <f>MONTH(Tabela6[[#This Row],[Data]])</f>
        <v>2</v>
      </c>
      <c r="D1733" s="19">
        <f>YEAR(Tabela6[[#This Row],[Data]])</f>
        <v>2022</v>
      </c>
      <c r="E1733" s="12" t="s">
        <v>78</v>
      </c>
      <c r="F1733" t="s">
        <v>126</v>
      </c>
      <c r="G1733" s="26">
        <v>6</v>
      </c>
      <c r="I1733" t="str">
        <f>IFERROR(VLOOKUP(Tabela6[[#This Row],[Descrição]],Materiais!B:C,2,0),"")</f>
        <v/>
      </c>
    </row>
    <row r="1734" spans="2:9">
      <c r="B1734" s="11">
        <f t="shared" si="154"/>
        <v>44612</v>
      </c>
      <c r="C1734" s="19">
        <f>MONTH(Tabela6[[#This Row],[Data]])</f>
        <v>2</v>
      </c>
      <c r="D1734" s="19">
        <f>YEAR(Tabela6[[#This Row],[Data]])</f>
        <v>2022</v>
      </c>
      <c r="E1734" s="12" t="s">
        <v>78</v>
      </c>
      <c r="F1734" t="s">
        <v>100</v>
      </c>
      <c r="G1734" s="26">
        <v>2</v>
      </c>
      <c r="I1734" t="str">
        <f>IFERROR(VLOOKUP(Tabela6[[#This Row],[Descrição]],Materiais!B:C,2,0),"")</f>
        <v/>
      </c>
    </row>
    <row r="1735" spans="2:9">
      <c r="B1735" s="11">
        <f t="shared" ref="B1735:B1741" si="155">43153+(365*4)</f>
        <v>44613</v>
      </c>
      <c r="C1735" s="19">
        <f>MONTH(Tabela6[[#This Row],[Data]])</f>
        <v>2</v>
      </c>
      <c r="D1735" s="19">
        <f>YEAR(Tabela6[[#This Row],[Data]])</f>
        <v>2022</v>
      </c>
      <c r="E1735" s="12" t="s">
        <v>78</v>
      </c>
      <c r="F1735" t="s">
        <v>56</v>
      </c>
      <c r="G1735" s="26">
        <v>12</v>
      </c>
      <c r="I1735" t="str">
        <f>IFERROR(VLOOKUP(Tabela6[[#This Row],[Descrição]],Materiais!B:C,2,0),"")</f>
        <v/>
      </c>
    </row>
    <row r="1736" spans="2:9">
      <c r="B1736" s="11">
        <f t="shared" si="155"/>
        <v>44613</v>
      </c>
      <c r="C1736" s="19">
        <f>MONTH(Tabela6[[#This Row],[Data]])</f>
        <v>2</v>
      </c>
      <c r="D1736" s="19">
        <f>YEAR(Tabela6[[#This Row],[Data]])</f>
        <v>2022</v>
      </c>
      <c r="E1736" s="12" t="s">
        <v>78</v>
      </c>
      <c r="F1736" t="s">
        <v>61</v>
      </c>
      <c r="G1736" s="26">
        <v>8</v>
      </c>
      <c r="I1736" t="str">
        <f>IFERROR(VLOOKUP(Tabela6[[#This Row],[Descrição]],Materiais!B:C,2,0),"")</f>
        <v/>
      </c>
    </row>
    <row r="1737" spans="2:9">
      <c r="B1737" s="11">
        <f t="shared" si="155"/>
        <v>44613</v>
      </c>
      <c r="C1737" s="19">
        <f>MONTH(Tabela6[[#This Row],[Data]])</f>
        <v>2</v>
      </c>
      <c r="D1737" s="19">
        <f>YEAR(Tabela6[[#This Row],[Data]])</f>
        <v>2022</v>
      </c>
      <c r="E1737" s="12" t="s">
        <v>78</v>
      </c>
      <c r="F1737" t="s">
        <v>58</v>
      </c>
      <c r="G1737" s="26">
        <v>6</v>
      </c>
      <c r="I1737" t="str">
        <f>IFERROR(VLOOKUP(Tabela6[[#This Row],[Descrição]],Materiais!B:C,2,0),"")</f>
        <v/>
      </c>
    </row>
    <row r="1738" spans="2:9">
      <c r="B1738" s="11">
        <f t="shared" si="155"/>
        <v>44613</v>
      </c>
      <c r="C1738" s="19">
        <f>MONTH(Tabela6[[#This Row],[Data]])</f>
        <v>2</v>
      </c>
      <c r="D1738" s="19">
        <f>YEAR(Tabela6[[#This Row],[Data]])</f>
        <v>2022</v>
      </c>
      <c r="E1738" s="12" t="s">
        <v>78</v>
      </c>
      <c r="F1738" t="s">
        <v>126</v>
      </c>
      <c r="G1738" s="26">
        <v>6</v>
      </c>
      <c r="I1738" t="str">
        <f>IFERROR(VLOOKUP(Tabela6[[#This Row],[Descrição]],Materiais!B:C,2,0),"")</f>
        <v/>
      </c>
    </row>
    <row r="1739" spans="2:9">
      <c r="B1739" s="11">
        <f t="shared" si="155"/>
        <v>44613</v>
      </c>
      <c r="C1739" s="19">
        <f>MONTH(Tabela6[[#This Row],[Data]])</f>
        <v>2</v>
      </c>
      <c r="D1739" s="19">
        <f>YEAR(Tabela6[[#This Row],[Data]])</f>
        <v>2022</v>
      </c>
      <c r="E1739" s="12" t="s">
        <v>78</v>
      </c>
      <c r="F1739" t="s">
        <v>100</v>
      </c>
      <c r="G1739" s="26">
        <v>4</v>
      </c>
      <c r="I1739" t="str">
        <f>IFERROR(VLOOKUP(Tabela6[[#This Row],[Descrição]],Materiais!B:C,2,0),"")</f>
        <v/>
      </c>
    </row>
    <row r="1740" spans="2:9">
      <c r="B1740" s="11">
        <f t="shared" si="155"/>
        <v>44613</v>
      </c>
      <c r="C1740" s="19">
        <f>MONTH(Tabela6[[#This Row],[Data]])</f>
        <v>2</v>
      </c>
      <c r="D1740" s="19">
        <f>YEAR(Tabela6[[#This Row],[Data]])</f>
        <v>2022</v>
      </c>
      <c r="E1740" s="12" t="s">
        <v>78</v>
      </c>
      <c r="F1740" t="s">
        <v>142</v>
      </c>
      <c r="G1740" s="26">
        <v>2</v>
      </c>
      <c r="I1740" t="str">
        <f>IFERROR(VLOOKUP(Tabela6[[#This Row],[Descrição]],Materiais!B:C,2,0),"")</f>
        <v/>
      </c>
    </row>
    <row r="1741" spans="2:9">
      <c r="B1741" s="11">
        <f t="shared" si="155"/>
        <v>44613</v>
      </c>
      <c r="C1741" s="19">
        <f>MONTH(Tabela6[[#This Row],[Data]])</f>
        <v>2</v>
      </c>
      <c r="D1741" s="19">
        <f>YEAR(Tabela6[[#This Row],[Data]])</f>
        <v>2022</v>
      </c>
      <c r="E1741" s="12" t="s">
        <v>78</v>
      </c>
      <c r="F1741" t="s">
        <v>63</v>
      </c>
      <c r="G1741" s="26">
        <v>2</v>
      </c>
      <c r="I1741" t="str">
        <f>IFERROR(VLOOKUP(Tabela6[[#This Row],[Descrição]],Materiais!B:C,2,0),"")</f>
        <v/>
      </c>
    </row>
    <row r="1742" spans="2:9">
      <c r="B1742" s="11">
        <f t="shared" ref="B1742:B1754" si="156">43155+(365*4)</f>
        <v>44615</v>
      </c>
      <c r="C1742" s="19">
        <f>MONTH(Tabela6[[#This Row],[Data]])</f>
        <v>2</v>
      </c>
      <c r="D1742" s="19">
        <f>YEAR(Tabela6[[#This Row],[Data]])</f>
        <v>2022</v>
      </c>
      <c r="E1742" s="12" t="s">
        <v>72</v>
      </c>
      <c r="F1742" t="s">
        <v>18</v>
      </c>
      <c r="G1742" s="26">
        <v>-6.8</v>
      </c>
      <c r="I1742" t="str">
        <f>IFERROR(VLOOKUP(Tabela6[[#This Row],[Descrição]],Materiais!B:C,2,0),"")</f>
        <v>g</v>
      </c>
    </row>
    <row r="1743" spans="2:9">
      <c r="B1743" s="11">
        <f t="shared" si="156"/>
        <v>44615</v>
      </c>
      <c r="C1743" s="19">
        <f>MONTH(Tabela6[[#This Row],[Data]])</f>
        <v>2</v>
      </c>
      <c r="D1743" s="19">
        <f>YEAR(Tabela6[[#This Row],[Data]])</f>
        <v>2022</v>
      </c>
      <c r="E1743" s="12" t="s">
        <v>72</v>
      </c>
      <c r="F1743" t="s">
        <v>11</v>
      </c>
      <c r="G1743" s="26">
        <v>-19.600000000000001</v>
      </c>
      <c r="I1743" t="str">
        <f>IFERROR(VLOOKUP(Tabela6[[#This Row],[Descrição]],Materiais!B:C,2,0),"")</f>
        <v>g</v>
      </c>
    </row>
    <row r="1744" spans="2:9">
      <c r="B1744" s="11">
        <f t="shared" si="156"/>
        <v>44615</v>
      </c>
      <c r="C1744" s="19">
        <f>MONTH(Tabela6[[#This Row],[Data]])</f>
        <v>2</v>
      </c>
      <c r="D1744" s="19">
        <f>YEAR(Tabela6[[#This Row],[Data]])</f>
        <v>2022</v>
      </c>
      <c r="E1744" s="12" t="s">
        <v>72</v>
      </c>
      <c r="F1744" t="s">
        <v>15</v>
      </c>
      <c r="G1744" s="26">
        <v>-7.27</v>
      </c>
      <c r="I1744" t="str">
        <f>IFERROR(VLOOKUP(Tabela6[[#This Row],[Descrição]],Materiais!B:C,2,0),"")</f>
        <v>g</v>
      </c>
    </row>
    <row r="1745" spans="2:9">
      <c r="B1745" s="11">
        <f t="shared" si="156"/>
        <v>44615</v>
      </c>
      <c r="C1745" s="19">
        <f>MONTH(Tabela6[[#This Row],[Data]])</f>
        <v>2</v>
      </c>
      <c r="D1745" s="19">
        <f>YEAR(Tabela6[[#This Row],[Data]])</f>
        <v>2022</v>
      </c>
      <c r="E1745" s="12" t="s">
        <v>72</v>
      </c>
      <c r="F1745" t="s">
        <v>8</v>
      </c>
      <c r="G1745" s="26">
        <v>-2.21</v>
      </c>
      <c r="I1745" t="str">
        <f>IFERROR(VLOOKUP(Tabela6[[#This Row],[Descrição]],Materiais!B:C,2,0),"")</f>
        <v>g</v>
      </c>
    </row>
    <row r="1746" spans="2:9">
      <c r="B1746" s="11">
        <f t="shared" si="156"/>
        <v>44615</v>
      </c>
      <c r="C1746" s="19">
        <f>MONTH(Tabela6[[#This Row],[Data]])</f>
        <v>2</v>
      </c>
      <c r="D1746" s="19">
        <f>YEAR(Tabela6[[#This Row],[Data]])</f>
        <v>2022</v>
      </c>
      <c r="E1746" s="12" t="s">
        <v>72</v>
      </c>
      <c r="F1746" t="s">
        <v>105</v>
      </c>
      <c r="G1746" s="26">
        <v>-13.95</v>
      </c>
      <c r="I1746" t="str">
        <f>IFERROR(VLOOKUP(Tabela6[[#This Row],[Descrição]],Materiais!B:C,2,0),"")</f>
        <v/>
      </c>
    </row>
    <row r="1747" spans="2:9">
      <c r="B1747" s="11">
        <f t="shared" si="156"/>
        <v>44615</v>
      </c>
      <c r="C1747" s="19">
        <f>MONTH(Tabela6[[#This Row],[Data]])</f>
        <v>2</v>
      </c>
      <c r="D1747" s="19">
        <f>YEAR(Tabela6[[#This Row],[Data]])</f>
        <v>2022</v>
      </c>
      <c r="E1747" s="12" t="s">
        <v>72</v>
      </c>
      <c r="F1747" t="s">
        <v>131</v>
      </c>
      <c r="G1747" s="26">
        <v>-6.7</v>
      </c>
      <c r="I1747" t="str">
        <f>IFERROR(VLOOKUP(Tabela6[[#This Row],[Descrição]],Materiais!B:C,2,0),"")</f>
        <v/>
      </c>
    </row>
    <row r="1748" spans="2:9">
      <c r="B1748" s="11">
        <f t="shared" si="156"/>
        <v>44615</v>
      </c>
      <c r="C1748" s="19">
        <f>MONTH(Tabela6[[#This Row],[Data]])</f>
        <v>2</v>
      </c>
      <c r="D1748" s="19">
        <f>YEAR(Tabela6[[#This Row],[Data]])</f>
        <v>2022</v>
      </c>
      <c r="E1748" s="12" t="s">
        <v>72</v>
      </c>
      <c r="F1748" t="s">
        <v>90</v>
      </c>
      <c r="G1748" s="26">
        <v>-15.1</v>
      </c>
      <c r="I1748" t="str">
        <f>IFERROR(VLOOKUP(Tabela6[[#This Row],[Descrição]],Materiais!B:C,2,0),"")</f>
        <v/>
      </c>
    </row>
    <row r="1749" spans="2:9">
      <c r="B1749" s="11">
        <f t="shared" si="156"/>
        <v>44615</v>
      </c>
      <c r="C1749" s="19">
        <f>MONTH(Tabela6[[#This Row],[Data]])</f>
        <v>2</v>
      </c>
      <c r="D1749" s="19">
        <f>YEAR(Tabela6[[#This Row],[Data]])</f>
        <v>2022</v>
      </c>
      <c r="E1749" s="12" t="s">
        <v>75</v>
      </c>
      <c r="F1749" t="s">
        <v>119</v>
      </c>
      <c r="G1749" s="26">
        <v>-12.87</v>
      </c>
      <c r="I1749" t="str">
        <f>IFERROR(VLOOKUP(Tabela6[[#This Row],[Descrição]],Materiais!B:C,2,0),"")</f>
        <v/>
      </c>
    </row>
    <row r="1750" spans="2:9">
      <c r="B1750" s="11">
        <f t="shared" si="156"/>
        <v>44615</v>
      </c>
      <c r="C1750" s="19">
        <f>MONTH(Tabela6[[#This Row],[Data]])</f>
        <v>2</v>
      </c>
      <c r="D1750" s="19">
        <f>YEAR(Tabela6[[#This Row],[Data]])</f>
        <v>2022</v>
      </c>
      <c r="E1750" s="12" t="s">
        <v>75</v>
      </c>
      <c r="F1750" t="s">
        <v>76</v>
      </c>
      <c r="G1750" s="26">
        <v>-14.85</v>
      </c>
      <c r="I1750" t="str">
        <f>IFERROR(VLOOKUP(Tabela6[[#This Row],[Descrição]],Materiais!B:C,2,0),"")</f>
        <v/>
      </c>
    </row>
    <row r="1751" spans="2:9">
      <c r="B1751" s="11">
        <f t="shared" si="156"/>
        <v>44615</v>
      </c>
      <c r="C1751" s="19">
        <f>MONTH(Tabela6[[#This Row],[Data]])</f>
        <v>2</v>
      </c>
      <c r="D1751" s="19">
        <f>YEAR(Tabela6[[#This Row],[Data]])</f>
        <v>2022</v>
      </c>
      <c r="E1751" s="12" t="s">
        <v>72</v>
      </c>
      <c r="F1751" t="s">
        <v>17</v>
      </c>
      <c r="G1751" s="26">
        <v>-12.450000000000001</v>
      </c>
      <c r="I1751" t="str">
        <f>IFERROR(VLOOKUP(Tabela6[[#This Row],[Descrição]],Materiais!B:C,2,0),"")</f>
        <v>g</v>
      </c>
    </row>
    <row r="1752" spans="2:9">
      <c r="B1752" s="11">
        <f t="shared" si="156"/>
        <v>44615</v>
      </c>
      <c r="C1752" s="19">
        <f>MONTH(Tabela6[[#This Row],[Data]])</f>
        <v>2</v>
      </c>
      <c r="D1752" s="19">
        <f>YEAR(Tabela6[[#This Row],[Data]])</f>
        <v>2022</v>
      </c>
      <c r="E1752" s="12" t="s">
        <v>72</v>
      </c>
      <c r="F1752" t="s">
        <v>20</v>
      </c>
      <c r="G1752" s="26">
        <v>0</v>
      </c>
      <c r="I1752" t="str">
        <f>IFERROR(VLOOKUP(Tabela6[[#This Row],[Descrição]],Materiais!B:C,2,0),"")</f>
        <v>g</v>
      </c>
    </row>
    <row r="1753" spans="2:9">
      <c r="B1753" s="11">
        <f t="shared" si="156"/>
        <v>44615</v>
      </c>
      <c r="C1753" s="19">
        <f>MONTH(Tabela6[[#This Row],[Data]])</f>
        <v>2</v>
      </c>
      <c r="D1753" s="19">
        <f>YEAR(Tabela6[[#This Row],[Data]])</f>
        <v>2022</v>
      </c>
      <c r="E1753" s="12" t="s">
        <v>72</v>
      </c>
      <c r="F1753" t="s">
        <v>22</v>
      </c>
      <c r="G1753" s="26">
        <v>-21.87</v>
      </c>
      <c r="I1753" t="str">
        <f>IFERROR(VLOOKUP(Tabela6[[#This Row],[Descrição]],Materiais!B:C,2,0),"")</f>
        <v>g</v>
      </c>
    </row>
    <row r="1754" spans="2:9">
      <c r="B1754" s="11">
        <f t="shared" si="156"/>
        <v>44615</v>
      </c>
      <c r="C1754" s="19">
        <f>MONTH(Tabela6[[#This Row],[Data]])</f>
        <v>2</v>
      </c>
      <c r="D1754" s="19">
        <f>YEAR(Tabela6[[#This Row],[Data]])</f>
        <v>2022</v>
      </c>
      <c r="E1754" s="12" t="s">
        <v>72</v>
      </c>
      <c r="F1754" t="s">
        <v>132</v>
      </c>
      <c r="G1754" s="26">
        <v>-19.96</v>
      </c>
      <c r="I1754" t="str">
        <f>IFERROR(VLOOKUP(Tabela6[[#This Row],[Descrição]],Materiais!B:C,2,0),"")</f>
        <v/>
      </c>
    </row>
    <row r="1755" spans="2:9">
      <c r="B1755" s="11">
        <f t="shared" ref="B1755:B1761" si="157">43157+(365*4)</f>
        <v>44617</v>
      </c>
      <c r="C1755" s="19">
        <f>MONTH(Tabela6[[#This Row],[Data]])</f>
        <v>2</v>
      </c>
      <c r="D1755" s="19">
        <f>YEAR(Tabela6[[#This Row],[Data]])</f>
        <v>2022</v>
      </c>
      <c r="E1755" s="12" t="s">
        <v>78</v>
      </c>
      <c r="F1755" t="s">
        <v>56</v>
      </c>
      <c r="G1755" s="26">
        <v>4</v>
      </c>
      <c r="I1755" t="str">
        <f>IFERROR(VLOOKUP(Tabela6[[#This Row],[Descrição]],Materiais!B:C,2,0),"")</f>
        <v/>
      </c>
    </row>
    <row r="1756" spans="2:9">
      <c r="B1756" s="11">
        <f t="shared" si="157"/>
        <v>44617</v>
      </c>
      <c r="C1756" s="19">
        <f>MONTH(Tabela6[[#This Row],[Data]])</f>
        <v>2</v>
      </c>
      <c r="D1756" s="19">
        <f>YEAR(Tabela6[[#This Row],[Data]])</f>
        <v>2022</v>
      </c>
      <c r="E1756" s="12" t="s">
        <v>78</v>
      </c>
      <c r="F1756" t="s">
        <v>61</v>
      </c>
      <c r="G1756" s="26">
        <v>6</v>
      </c>
      <c r="I1756" t="str">
        <f>IFERROR(VLOOKUP(Tabela6[[#This Row],[Descrição]],Materiais!B:C,2,0),"")</f>
        <v/>
      </c>
    </row>
    <row r="1757" spans="2:9">
      <c r="B1757" s="11">
        <f t="shared" si="157"/>
        <v>44617</v>
      </c>
      <c r="C1757" s="19">
        <f>MONTH(Tabela6[[#This Row],[Data]])</f>
        <v>2</v>
      </c>
      <c r="D1757" s="19">
        <f>YEAR(Tabela6[[#This Row],[Data]])</f>
        <v>2022</v>
      </c>
      <c r="E1757" s="12" t="s">
        <v>78</v>
      </c>
      <c r="F1757" t="s">
        <v>58</v>
      </c>
      <c r="G1757" s="26">
        <v>6</v>
      </c>
      <c r="I1757" t="str">
        <f>IFERROR(VLOOKUP(Tabela6[[#This Row],[Descrição]],Materiais!B:C,2,0),"")</f>
        <v/>
      </c>
    </row>
    <row r="1758" spans="2:9">
      <c r="B1758" s="11">
        <f t="shared" si="157"/>
        <v>44617</v>
      </c>
      <c r="C1758" s="19">
        <f>MONTH(Tabela6[[#This Row],[Data]])</f>
        <v>2</v>
      </c>
      <c r="D1758" s="19">
        <f>YEAR(Tabela6[[#This Row],[Data]])</f>
        <v>2022</v>
      </c>
      <c r="E1758" s="12" t="s">
        <v>78</v>
      </c>
      <c r="F1758" t="s">
        <v>148</v>
      </c>
      <c r="G1758" s="26">
        <v>4</v>
      </c>
      <c r="I1758" t="str">
        <f>IFERROR(VLOOKUP(Tabela6[[#This Row],[Descrição]],Materiais!B:C,2,0),"")</f>
        <v/>
      </c>
    </row>
    <row r="1759" spans="2:9">
      <c r="B1759" s="11">
        <f t="shared" si="157"/>
        <v>44617</v>
      </c>
      <c r="C1759" s="19">
        <f>MONTH(Tabela6[[#This Row],[Data]])</f>
        <v>2</v>
      </c>
      <c r="D1759" s="19">
        <f>YEAR(Tabela6[[#This Row],[Data]])</f>
        <v>2022</v>
      </c>
      <c r="E1759" s="12" t="s">
        <v>78</v>
      </c>
      <c r="F1759" t="s">
        <v>63</v>
      </c>
      <c r="G1759" s="26">
        <v>4</v>
      </c>
      <c r="I1759" t="str">
        <f>IFERROR(VLOOKUP(Tabela6[[#This Row],[Descrição]],Materiais!B:C,2,0),"")</f>
        <v/>
      </c>
    </row>
    <row r="1760" spans="2:9">
      <c r="B1760" s="11">
        <f t="shared" si="157"/>
        <v>44617</v>
      </c>
      <c r="C1760" s="19">
        <f>MONTH(Tabela6[[#This Row],[Data]])</f>
        <v>2</v>
      </c>
      <c r="D1760" s="19">
        <f>YEAR(Tabela6[[#This Row],[Data]])</f>
        <v>2022</v>
      </c>
      <c r="E1760" s="12" t="s">
        <v>78</v>
      </c>
      <c r="F1760" t="s">
        <v>152</v>
      </c>
      <c r="G1760" s="26">
        <v>8</v>
      </c>
      <c r="I1760" t="str">
        <f>IFERROR(VLOOKUP(Tabela6[[#This Row],[Descrição]],Materiais!B:C,2,0),"")</f>
        <v/>
      </c>
    </row>
    <row r="1761" spans="2:9">
      <c r="B1761" s="11">
        <f t="shared" si="157"/>
        <v>44617</v>
      </c>
      <c r="C1761" s="19">
        <f>MONTH(Tabela6[[#This Row],[Data]])</f>
        <v>2</v>
      </c>
      <c r="D1761" s="19">
        <f>YEAR(Tabela6[[#This Row],[Data]])</f>
        <v>2022</v>
      </c>
      <c r="E1761" s="12" t="s">
        <v>78</v>
      </c>
      <c r="F1761" t="s">
        <v>142</v>
      </c>
      <c r="G1761" s="26">
        <v>2</v>
      </c>
      <c r="I1761" t="str">
        <f>IFERROR(VLOOKUP(Tabela6[[#This Row],[Descrição]],Materiais!B:C,2,0),"")</f>
        <v/>
      </c>
    </row>
    <row r="1762" spans="2:9">
      <c r="B1762" s="11">
        <f t="shared" ref="B1762:B1768" si="158">43158+(365*4)</f>
        <v>44618</v>
      </c>
      <c r="C1762" s="19">
        <f>MONTH(Tabela6[[#This Row],[Data]])</f>
        <v>2</v>
      </c>
      <c r="D1762" s="19">
        <f>YEAR(Tabela6[[#This Row],[Data]])</f>
        <v>2022</v>
      </c>
      <c r="E1762" s="12" t="s">
        <v>78</v>
      </c>
      <c r="F1762" t="s">
        <v>61</v>
      </c>
      <c r="G1762" s="26">
        <v>6</v>
      </c>
      <c r="I1762" t="str">
        <f>IFERROR(VLOOKUP(Tabela6[[#This Row],[Descrição]],Materiais!B:C,2,0),"")</f>
        <v/>
      </c>
    </row>
    <row r="1763" spans="2:9">
      <c r="B1763" s="11">
        <f t="shared" si="158"/>
        <v>44618</v>
      </c>
      <c r="C1763" s="19">
        <f>MONTH(Tabela6[[#This Row],[Data]])</f>
        <v>2</v>
      </c>
      <c r="D1763" s="19">
        <f>YEAR(Tabela6[[#This Row],[Data]])</f>
        <v>2022</v>
      </c>
      <c r="E1763" s="12" t="s">
        <v>78</v>
      </c>
      <c r="F1763" t="s">
        <v>58</v>
      </c>
      <c r="G1763" s="26">
        <v>4</v>
      </c>
      <c r="I1763" t="str">
        <f>IFERROR(VLOOKUP(Tabela6[[#This Row],[Descrição]],Materiais!B:C,2,0),"")</f>
        <v/>
      </c>
    </row>
    <row r="1764" spans="2:9">
      <c r="B1764" s="11">
        <f t="shared" si="158"/>
        <v>44618</v>
      </c>
      <c r="C1764" s="19">
        <f>MONTH(Tabela6[[#This Row],[Data]])</f>
        <v>2</v>
      </c>
      <c r="D1764" s="19">
        <f>YEAR(Tabela6[[#This Row],[Data]])</f>
        <v>2022</v>
      </c>
      <c r="E1764" s="12" t="s">
        <v>78</v>
      </c>
      <c r="F1764" t="s">
        <v>148</v>
      </c>
      <c r="G1764" s="26">
        <v>6</v>
      </c>
      <c r="I1764" t="str">
        <f>IFERROR(VLOOKUP(Tabela6[[#This Row],[Descrição]],Materiais!B:C,2,0),"")</f>
        <v/>
      </c>
    </row>
    <row r="1765" spans="2:9">
      <c r="B1765" s="11">
        <f t="shared" si="158"/>
        <v>44618</v>
      </c>
      <c r="C1765" s="19">
        <f>MONTH(Tabela6[[#This Row],[Data]])</f>
        <v>2</v>
      </c>
      <c r="D1765" s="19">
        <f>YEAR(Tabela6[[#This Row],[Data]])</f>
        <v>2022</v>
      </c>
      <c r="E1765" s="12" t="s">
        <v>78</v>
      </c>
      <c r="F1765" t="s">
        <v>63</v>
      </c>
      <c r="G1765" s="26">
        <v>4</v>
      </c>
      <c r="I1765" t="str">
        <f>IFERROR(VLOOKUP(Tabela6[[#This Row],[Descrição]],Materiais!B:C,2,0),"")</f>
        <v/>
      </c>
    </row>
    <row r="1766" spans="2:9">
      <c r="B1766" s="11">
        <f t="shared" si="158"/>
        <v>44618</v>
      </c>
      <c r="C1766" s="19">
        <f>MONTH(Tabela6[[#This Row],[Data]])</f>
        <v>2</v>
      </c>
      <c r="D1766" s="19">
        <f>YEAR(Tabela6[[#This Row],[Data]])</f>
        <v>2022</v>
      </c>
      <c r="E1766" s="12" t="s">
        <v>78</v>
      </c>
      <c r="F1766" t="s">
        <v>56</v>
      </c>
      <c r="G1766" s="26">
        <v>10</v>
      </c>
      <c r="I1766" t="str">
        <f>IFERROR(VLOOKUP(Tabela6[[#This Row],[Descrição]],Materiais!B:C,2,0),"")</f>
        <v/>
      </c>
    </row>
    <row r="1767" spans="2:9">
      <c r="B1767" s="11">
        <f t="shared" si="158"/>
        <v>44618</v>
      </c>
      <c r="C1767" s="19">
        <f>MONTH(Tabela6[[#This Row],[Data]])</f>
        <v>2</v>
      </c>
      <c r="D1767" s="19">
        <f>YEAR(Tabela6[[#This Row],[Data]])</f>
        <v>2022</v>
      </c>
      <c r="E1767" s="12" t="s">
        <v>78</v>
      </c>
      <c r="F1767" t="s">
        <v>147</v>
      </c>
      <c r="G1767" s="26">
        <v>10</v>
      </c>
      <c r="I1767" t="str">
        <f>IFERROR(VLOOKUP(Tabela6[[#This Row],[Descrição]],Materiais!B:C,2,0),"")</f>
        <v/>
      </c>
    </row>
    <row r="1768" spans="2:9">
      <c r="B1768" s="11">
        <f t="shared" si="158"/>
        <v>44618</v>
      </c>
      <c r="C1768" s="19">
        <f>MONTH(Tabela6[[#This Row],[Data]])</f>
        <v>2</v>
      </c>
      <c r="D1768" s="19">
        <f>YEAR(Tabela6[[#This Row],[Data]])</f>
        <v>2022</v>
      </c>
      <c r="E1768" s="12" t="s">
        <v>78</v>
      </c>
      <c r="F1768" t="s">
        <v>95</v>
      </c>
      <c r="G1768" s="26">
        <v>4</v>
      </c>
      <c r="I1768" t="str">
        <f>IFERROR(VLOOKUP(Tabela6[[#This Row],[Descrição]],Materiais!B:C,2,0),"")</f>
        <v/>
      </c>
    </row>
    <row r="1769" spans="2:9">
      <c r="B1769" s="11">
        <f t="shared" ref="B1769:B1775" si="159">43159+(365*4)</f>
        <v>44619</v>
      </c>
      <c r="C1769" s="19">
        <f>MONTH(Tabela6[[#This Row],[Data]])</f>
        <v>2</v>
      </c>
      <c r="D1769" s="19">
        <f>YEAR(Tabela6[[#This Row],[Data]])</f>
        <v>2022</v>
      </c>
      <c r="E1769" s="12" t="s">
        <v>78</v>
      </c>
      <c r="F1769" t="s">
        <v>56</v>
      </c>
      <c r="G1769" s="26">
        <v>12</v>
      </c>
      <c r="I1769" t="str">
        <f>IFERROR(VLOOKUP(Tabela6[[#This Row],[Descrição]],Materiais!B:C,2,0),"")</f>
        <v/>
      </c>
    </row>
    <row r="1770" spans="2:9">
      <c r="B1770" s="11">
        <f t="shared" si="159"/>
        <v>44619</v>
      </c>
      <c r="C1770" s="19">
        <f>MONTH(Tabela6[[#This Row],[Data]])</f>
        <v>2</v>
      </c>
      <c r="D1770" s="19">
        <f>YEAR(Tabela6[[#This Row],[Data]])</f>
        <v>2022</v>
      </c>
      <c r="E1770" s="12" t="s">
        <v>78</v>
      </c>
      <c r="F1770" t="s">
        <v>61</v>
      </c>
      <c r="G1770" s="26">
        <v>12</v>
      </c>
      <c r="I1770" t="str">
        <f>IFERROR(VLOOKUP(Tabela6[[#This Row],[Descrição]],Materiais!B:C,2,0),"")</f>
        <v/>
      </c>
    </row>
    <row r="1771" spans="2:9">
      <c r="B1771" s="11">
        <f t="shared" si="159"/>
        <v>44619</v>
      </c>
      <c r="C1771" s="19">
        <f>MONTH(Tabela6[[#This Row],[Data]])</f>
        <v>2</v>
      </c>
      <c r="D1771" s="19">
        <f>YEAR(Tabela6[[#This Row],[Data]])</f>
        <v>2022</v>
      </c>
      <c r="E1771" s="12" t="s">
        <v>78</v>
      </c>
      <c r="F1771" t="s">
        <v>58</v>
      </c>
      <c r="G1771" s="26">
        <v>8</v>
      </c>
      <c r="I1771" t="str">
        <f>IFERROR(VLOOKUP(Tabela6[[#This Row],[Descrição]],Materiais!B:C,2,0),"")</f>
        <v/>
      </c>
    </row>
    <row r="1772" spans="2:9">
      <c r="B1772" s="11">
        <f t="shared" si="159"/>
        <v>44619</v>
      </c>
      <c r="C1772" s="19">
        <f>MONTH(Tabela6[[#This Row],[Data]])</f>
        <v>2</v>
      </c>
      <c r="D1772" s="19">
        <f>YEAR(Tabela6[[#This Row],[Data]])</f>
        <v>2022</v>
      </c>
      <c r="E1772" s="12" t="s">
        <v>78</v>
      </c>
      <c r="F1772" t="s">
        <v>148</v>
      </c>
      <c r="G1772" s="26">
        <v>2</v>
      </c>
      <c r="I1772" t="str">
        <f>IFERROR(VLOOKUP(Tabela6[[#This Row],[Descrição]],Materiais!B:C,2,0),"")</f>
        <v/>
      </c>
    </row>
    <row r="1773" spans="2:9">
      <c r="B1773" s="11">
        <f t="shared" si="159"/>
        <v>44619</v>
      </c>
      <c r="C1773" s="19">
        <f>MONTH(Tabela6[[#This Row],[Data]])</f>
        <v>2</v>
      </c>
      <c r="D1773" s="19">
        <f>YEAR(Tabela6[[#This Row],[Data]])</f>
        <v>2022</v>
      </c>
      <c r="E1773" s="12" t="s">
        <v>78</v>
      </c>
      <c r="F1773" t="s">
        <v>63</v>
      </c>
      <c r="G1773" s="26">
        <v>4</v>
      </c>
      <c r="I1773" t="str">
        <f>IFERROR(VLOOKUP(Tabela6[[#This Row],[Descrição]],Materiais!B:C,2,0),"")</f>
        <v/>
      </c>
    </row>
    <row r="1774" spans="2:9">
      <c r="B1774" s="11">
        <f t="shared" si="159"/>
        <v>44619</v>
      </c>
      <c r="C1774" s="19">
        <f>MONTH(Tabela6[[#This Row],[Data]])</f>
        <v>2</v>
      </c>
      <c r="D1774" s="19">
        <f>YEAR(Tabela6[[#This Row],[Data]])</f>
        <v>2022</v>
      </c>
      <c r="E1774" s="12" t="s">
        <v>78</v>
      </c>
      <c r="F1774" t="s">
        <v>152</v>
      </c>
      <c r="G1774" s="26">
        <v>2</v>
      </c>
      <c r="I1774" t="str">
        <f>IFERROR(VLOOKUP(Tabela6[[#This Row],[Descrição]],Materiais!B:C,2,0),"")</f>
        <v/>
      </c>
    </row>
    <row r="1775" spans="2:9">
      <c r="B1775" s="11">
        <f t="shared" si="159"/>
        <v>44619</v>
      </c>
      <c r="C1775" s="19">
        <f>MONTH(Tabela6[[#This Row],[Data]])</f>
        <v>2</v>
      </c>
      <c r="D1775" s="19">
        <f>YEAR(Tabela6[[#This Row],[Data]])</f>
        <v>2022</v>
      </c>
      <c r="E1775" s="12" t="s">
        <v>78</v>
      </c>
      <c r="F1775" t="s">
        <v>95</v>
      </c>
      <c r="G1775" s="26">
        <v>2</v>
      </c>
      <c r="I1775" t="str">
        <f>IFERROR(VLOOKUP(Tabela6[[#This Row],[Descrição]],Materiais!B:C,2,0),"")</f>
        <v/>
      </c>
    </row>
    <row r="1776" spans="2:9">
      <c r="B1776" s="11">
        <f t="shared" ref="B1776:B1782" si="160">43160+(365*4)</f>
        <v>44620</v>
      </c>
      <c r="C1776" s="19">
        <f>MONTH(Tabela6[[#This Row],[Data]])</f>
        <v>2</v>
      </c>
      <c r="D1776" s="19">
        <f>YEAR(Tabela6[[#This Row],[Data]])</f>
        <v>2022</v>
      </c>
      <c r="E1776" s="12" t="s">
        <v>78</v>
      </c>
      <c r="F1776" t="s">
        <v>56</v>
      </c>
      <c r="G1776" s="26">
        <v>8</v>
      </c>
      <c r="I1776" t="str">
        <f>IFERROR(VLOOKUP(Tabela6[[#This Row],[Descrição]],Materiais!B:C,2,0),"")</f>
        <v/>
      </c>
    </row>
    <row r="1777" spans="2:9">
      <c r="B1777" s="11">
        <f t="shared" si="160"/>
        <v>44620</v>
      </c>
      <c r="C1777" s="19">
        <f>MONTH(Tabela6[[#This Row],[Data]])</f>
        <v>2</v>
      </c>
      <c r="D1777" s="19">
        <f>YEAR(Tabela6[[#This Row],[Data]])</f>
        <v>2022</v>
      </c>
      <c r="E1777" s="12" t="s">
        <v>78</v>
      </c>
      <c r="F1777" t="s">
        <v>61</v>
      </c>
      <c r="G1777" s="26">
        <v>4</v>
      </c>
      <c r="I1777" t="str">
        <f>IFERROR(VLOOKUP(Tabela6[[#This Row],[Descrição]],Materiais!B:C,2,0),"")</f>
        <v/>
      </c>
    </row>
    <row r="1778" spans="2:9">
      <c r="B1778" s="11">
        <f t="shared" si="160"/>
        <v>44620</v>
      </c>
      <c r="C1778" s="19">
        <f>MONTH(Tabela6[[#This Row],[Data]])</f>
        <v>2</v>
      </c>
      <c r="D1778" s="19">
        <f>YEAR(Tabela6[[#This Row],[Data]])</f>
        <v>2022</v>
      </c>
      <c r="E1778" s="12" t="s">
        <v>78</v>
      </c>
      <c r="F1778" t="s">
        <v>58</v>
      </c>
      <c r="G1778" s="26">
        <v>4</v>
      </c>
      <c r="I1778" t="str">
        <f>IFERROR(VLOOKUP(Tabela6[[#This Row],[Descrição]],Materiais!B:C,2,0),"")</f>
        <v/>
      </c>
    </row>
    <row r="1779" spans="2:9">
      <c r="B1779" s="11">
        <f t="shared" si="160"/>
        <v>44620</v>
      </c>
      <c r="C1779" s="19">
        <f>MONTH(Tabela6[[#This Row],[Data]])</f>
        <v>2</v>
      </c>
      <c r="D1779" s="19">
        <f>YEAR(Tabela6[[#This Row],[Data]])</f>
        <v>2022</v>
      </c>
      <c r="E1779" s="12" t="s">
        <v>78</v>
      </c>
      <c r="F1779" t="s">
        <v>126</v>
      </c>
      <c r="G1779" s="26">
        <v>12</v>
      </c>
      <c r="I1779" t="str">
        <f>IFERROR(VLOOKUP(Tabela6[[#This Row],[Descrição]],Materiais!B:C,2,0),"")</f>
        <v/>
      </c>
    </row>
    <row r="1780" spans="2:9">
      <c r="B1780" s="11">
        <f t="shared" si="160"/>
        <v>44620</v>
      </c>
      <c r="C1780" s="19">
        <f>MONTH(Tabela6[[#This Row],[Data]])</f>
        <v>2</v>
      </c>
      <c r="D1780" s="19">
        <f>YEAR(Tabela6[[#This Row],[Data]])</f>
        <v>2022</v>
      </c>
      <c r="E1780" s="12" t="s">
        <v>78</v>
      </c>
      <c r="F1780" t="s">
        <v>63</v>
      </c>
      <c r="G1780" s="26">
        <v>2</v>
      </c>
      <c r="I1780" t="str">
        <f>IFERROR(VLOOKUP(Tabela6[[#This Row],[Descrição]],Materiais!B:C,2,0),"")</f>
        <v/>
      </c>
    </row>
    <row r="1781" spans="2:9">
      <c r="B1781" s="11">
        <f t="shared" si="160"/>
        <v>44620</v>
      </c>
      <c r="C1781" s="19">
        <f>MONTH(Tabela6[[#This Row],[Data]])</f>
        <v>2</v>
      </c>
      <c r="D1781" s="19">
        <f>YEAR(Tabela6[[#This Row],[Data]])</f>
        <v>2022</v>
      </c>
      <c r="E1781" s="12" t="s">
        <v>78</v>
      </c>
      <c r="F1781" t="s">
        <v>95</v>
      </c>
      <c r="G1781" s="26">
        <v>2</v>
      </c>
      <c r="I1781" t="str">
        <f>IFERROR(VLOOKUP(Tabela6[[#This Row],[Descrição]],Materiais!B:C,2,0),"")</f>
        <v/>
      </c>
    </row>
    <row r="1782" spans="2:9">
      <c r="B1782" s="11">
        <f t="shared" si="160"/>
        <v>44620</v>
      </c>
      <c r="C1782" s="19">
        <f>MONTH(Tabela6[[#This Row],[Data]])</f>
        <v>2</v>
      </c>
      <c r="D1782" s="19">
        <f>YEAR(Tabela6[[#This Row],[Data]])</f>
        <v>2022</v>
      </c>
      <c r="E1782" s="12" t="s">
        <v>75</v>
      </c>
      <c r="F1782" t="s">
        <v>91</v>
      </c>
      <c r="G1782" s="26">
        <v>-1.2</v>
      </c>
      <c r="I1782" t="str">
        <f>IFERROR(VLOOKUP(Tabela6[[#This Row],[Descrição]],Materiais!B:C,2,0),"")</f>
        <v/>
      </c>
    </row>
    <row r="1783" spans="2:9">
      <c r="B1783" s="11">
        <f>43161+(365*4)</f>
        <v>44621</v>
      </c>
      <c r="C1783" s="19">
        <f>MONTH(Tabela6[[#This Row],[Data]])</f>
        <v>3</v>
      </c>
      <c r="D1783" s="19">
        <f>YEAR(Tabela6[[#This Row],[Data]])</f>
        <v>2022</v>
      </c>
      <c r="E1783" s="12" t="s">
        <v>72</v>
      </c>
      <c r="F1783" t="s">
        <v>77</v>
      </c>
      <c r="G1783" s="26">
        <v>-17.2</v>
      </c>
      <c r="I1783" t="str">
        <f>IFERROR(VLOOKUP(Tabela6[[#This Row],[Descrição]],Materiais!B:C,2,0),"")</f>
        <v/>
      </c>
    </row>
    <row r="1784" spans="2:9">
      <c r="B1784" s="11">
        <f>43163+(365*4)</f>
        <v>44623</v>
      </c>
      <c r="C1784" s="19">
        <f>MONTH(Tabela6[[#This Row],[Data]])</f>
        <v>3</v>
      </c>
      <c r="D1784" s="19">
        <f>YEAR(Tabela6[[#This Row],[Data]])</f>
        <v>2022</v>
      </c>
      <c r="E1784" s="12" t="s">
        <v>78</v>
      </c>
      <c r="F1784" t="s">
        <v>56</v>
      </c>
      <c r="G1784" s="26">
        <v>35</v>
      </c>
      <c r="I1784" t="str">
        <f>IFERROR(VLOOKUP(Tabela6[[#This Row],[Descrição]],Materiais!B:C,2,0),"")</f>
        <v/>
      </c>
    </row>
    <row r="1785" spans="2:9">
      <c r="B1785" s="11">
        <f t="shared" ref="B1785:B1794" si="161">43164+(365*4)</f>
        <v>44624</v>
      </c>
      <c r="C1785" s="19">
        <f>MONTH(Tabela6[[#This Row],[Data]])</f>
        <v>3</v>
      </c>
      <c r="D1785" s="19">
        <f>YEAR(Tabela6[[#This Row],[Data]])</f>
        <v>2022</v>
      </c>
      <c r="E1785" s="12" t="s">
        <v>78</v>
      </c>
      <c r="F1785" t="s">
        <v>56</v>
      </c>
      <c r="G1785" s="26">
        <v>210</v>
      </c>
      <c r="I1785" t="str">
        <f>IFERROR(VLOOKUP(Tabela6[[#This Row],[Descrição]],Materiais!B:C,2,0),"")</f>
        <v/>
      </c>
    </row>
    <row r="1786" spans="2:9">
      <c r="B1786" s="11">
        <f t="shared" si="161"/>
        <v>44624</v>
      </c>
      <c r="C1786" s="19">
        <f>MONTH(Tabela6[[#This Row],[Data]])</f>
        <v>3</v>
      </c>
      <c r="D1786" s="19">
        <f>YEAR(Tabela6[[#This Row],[Data]])</f>
        <v>2022</v>
      </c>
      <c r="E1786" s="12" t="s">
        <v>78</v>
      </c>
      <c r="F1786" t="s">
        <v>152</v>
      </c>
      <c r="G1786" s="26">
        <v>2</v>
      </c>
      <c r="I1786" t="str">
        <f>IFERROR(VLOOKUP(Tabela6[[#This Row],[Descrição]],Materiais!B:C,2,0),"")</f>
        <v/>
      </c>
    </row>
    <row r="1787" spans="2:9">
      <c r="B1787" s="11">
        <f t="shared" si="161"/>
        <v>44624</v>
      </c>
      <c r="C1787" s="19">
        <f>MONTH(Tabela6[[#This Row],[Data]])</f>
        <v>3</v>
      </c>
      <c r="D1787" s="19">
        <f>YEAR(Tabela6[[#This Row],[Data]])</f>
        <v>2022</v>
      </c>
      <c r="E1787" s="12" t="s">
        <v>78</v>
      </c>
      <c r="F1787" t="s">
        <v>142</v>
      </c>
      <c r="G1787" s="26">
        <v>2</v>
      </c>
      <c r="I1787" t="str">
        <f>IFERROR(VLOOKUP(Tabela6[[#This Row],[Descrição]],Materiais!B:C,2,0),"")</f>
        <v/>
      </c>
    </row>
    <row r="1788" spans="2:9">
      <c r="B1788" s="11">
        <f t="shared" si="161"/>
        <v>44624</v>
      </c>
      <c r="C1788" s="19">
        <f>MONTH(Tabela6[[#This Row],[Data]])</f>
        <v>3</v>
      </c>
      <c r="D1788" s="19">
        <f>YEAR(Tabela6[[#This Row],[Data]])</f>
        <v>2022</v>
      </c>
      <c r="E1788" s="12" t="s">
        <v>78</v>
      </c>
      <c r="F1788" t="s">
        <v>61</v>
      </c>
      <c r="G1788" s="26">
        <v>10</v>
      </c>
      <c r="I1788" t="str">
        <f>IFERROR(VLOOKUP(Tabela6[[#This Row],[Descrição]],Materiais!B:C,2,0),"")</f>
        <v/>
      </c>
    </row>
    <row r="1789" spans="2:9">
      <c r="B1789" s="11">
        <f t="shared" si="161"/>
        <v>44624</v>
      </c>
      <c r="C1789" s="19">
        <f>MONTH(Tabela6[[#This Row],[Data]])</f>
        <v>3</v>
      </c>
      <c r="D1789" s="19">
        <f>YEAR(Tabela6[[#This Row],[Data]])</f>
        <v>2022</v>
      </c>
      <c r="E1789" s="12" t="s">
        <v>78</v>
      </c>
      <c r="F1789" t="s">
        <v>58</v>
      </c>
      <c r="G1789" s="26">
        <v>6</v>
      </c>
      <c r="I1789" t="str">
        <f>IFERROR(VLOOKUP(Tabela6[[#This Row],[Descrição]],Materiais!B:C,2,0),"")</f>
        <v/>
      </c>
    </row>
    <row r="1790" spans="2:9">
      <c r="B1790" s="11">
        <f t="shared" si="161"/>
        <v>44624</v>
      </c>
      <c r="C1790" s="19">
        <f>MONTH(Tabela6[[#This Row],[Data]])</f>
        <v>3</v>
      </c>
      <c r="D1790" s="19">
        <f>YEAR(Tabela6[[#This Row],[Data]])</f>
        <v>2022</v>
      </c>
      <c r="E1790" s="12" t="s">
        <v>78</v>
      </c>
      <c r="F1790" t="s">
        <v>148</v>
      </c>
      <c r="G1790" s="26">
        <v>6</v>
      </c>
      <c r="I1790" t="str">
        <f>IFERROR(VLOOKUP(Tabela6[[#This Row],[Descrição]],Materiais!B:C,2,0),"")</f>
        <v/>
      </c>
    </row>
    <row r="1791" spans="2:9">
      <c r="B1791" s="11">
        <f t="shared" si="161"/>
        <v>44624</v>
      </c>
      <c r="C1791" s="19">
        <f>MONTH(Tabela6[[#This Row],[Data]])</f>
        <v>3</v>
      </c>
      <c r="D1791" s="19">
        <f>YEAR(Tabela6[[#This Row],[Data]])</f>
        <v>2022</v>
      </c>
      <c r="E1791" s="12" t="s">
        <v>78</v>
      </c>
      <c r="F1791" t="s">
        <v>63</v>
      </c>
      <c r="G1791" s="26">
        <v>4</v>
      </c>
      <c r="I1791" t="str">
        <f>IFERROR(VLOOKUP(Tabela6[[#This Row],[Descrição]],Materiais!B:C,2,0),"")</f>
        <v/>
      </c>
    </row>
    <row r="1792" spans="2:9">
      <c r="B1792" s="11">
        <f t="shared" si="161"/>
        <v>44624</v>
      </c>
      <c r="C1792" s="19">
        <f>MONTH(Tabela6[[#This Row],[Data]])</f>
        <v>3</v>
      </c>
      <c r="D1792" s="19">
        <f>YEAR(Tabela6[[#This Row],[Data]])</f>
        <v>2022</v>
      </c>
      <c r="E1792" s="12" t="s">
        <v>78</v>
      </c>
      <c r="F1792" t="s">
        <v>56</v>
      </c>
      <c r="G1792" s="26">
        <v>10</v>
      </c>
      <c r="I1792" t="str">
        <f>IFERROR(VLOOKUP(Tabela6[[#This Row],[Descrição]],Materiais!B:C,2,0),"")</f>
        <v/>
      </c>
    </row>
    <row r="1793" spans="2:9">
      <c r="B1793" s="11">
        <f t="shared" si="161"/>
        <v>44624</v>
      </c>
      <c r="C1793" s="19">
        <f>MONTH(Tabela6[[#This Row],[Data]])</f>
        <v>3</v>
      </c>
      <c r="D1793" s="19">
        <f>YEAR(Tabela6[[#This Row],[Data]])</f>
        <v>2022</v>
      </c>
      <c r="E1793" s="12" t="s">
        <v>78</v>
      </c>
      <c r="F1793" t="s">
        <v>147</v>
      </c>
      <c r="G1793" s="26">
        <v>2</v>
      </c>
      <c r="I1793" t="str">
        <f>IFERROR(VLOOKUP(Tabela6[[#This Row],[Descrição]],Materiais!B:C,2,0),"")</f>
        <v/>
      </c>
    </row>
    <row r="1794" spans="2:9">
      <c r="B1794" s="11">
        <f t="shared" si="161"/>
        <v>44624</v>
      </c>
      <c r="C1794" s="19">
        <f>MONTH(Tabela6[[#This Row],[Data]])</f>
        <v>3</v>
      </c>
      <c r="D1794" s="19">
        <f>YEAR(Tabela6[[#This Row],[Data]])</f>
        <v>2022</v>
      </c>
      <c r="E1794" s="12" t="s">
        <v>78</v>
      </c>
      <c r="F1794" t="s">
        <v>133</v>
      </c>
      <c r="G1794" s="26">
        <v>2</v>
      </c>
      <c r="I1794" t="str">
        <f>IFERROR(VLOOKUP(Tabela6[[#This Row],[Descrição]],Materiais!B:C,2,0),"")</f>
        <v/>
      </c>
    </row>
    <row r="1795" spans="2:9">
      <c r="B1795" s="11">
        <f t="shared" ref="B1795:B1802" si="162">43165+(365*4)</f>
        <v>44625</v>
      </c>
      <c r="C1795" s="19">
        <f>MONTH(Tabela6[[#This Row],[Data]])</f>
        <v>3</v>
      </c>
      <c r="D1795" s="19">
        <f>YEAR(Tabela6[[#This Row],[Data]])</f>
        <v>2022</v>
      </c>
      <c r="E1795" s="12" t="s">
        <v>78</v>
      </c>
      <c r="F1795" t="s">
        <v>152</v>
      </c>
      <c r="G1795" s="26">
        <v>2</v>
      </c>
      <c r="I1795" t="str">
        <f>IFERROR(VLOOKUP(Tabela6[[#This Row],[Descrição]],Materiais!B:C,2,0),"")</f>
        <v/>
      </c>
    </row>
    <row r="1796" spans="2:9">
      <c r="B1796" s="11">
        <f t="shared" si="162"/>
        <v>44625</v>
      </c>
      <c r="C1796" s="19">
        <f>MONTH(Tabela6[[#This Row],[Data]])</f>
        <v>3</v>
      </c>
      <c r="D1796" s="19">
        <f>YEAR(Tabela6[[#This Row],[Data]])</f>
        <v>2022</v>
      </c>
      <c r="E1796" s="12" t="s">
        <v>78</v>
      </c>
      <c r="F1796" t="s">
        <v>61</v>
      </c>
      <c r="G1796" s="26">
        <v>4</v>
      </c>
      <c r="I1796" t="str">
        <f>IFERROR(VLOOKUP(Tabela6[[#This Row],[Descrição]],Materiais!B:C,2,0),"")</f>
        <v/>
      </c>
    </row>
    <row r="1797" spans="2:9">
      <c r="B1797" s="11">
        <f t="shared" si="162"/>
        <v>44625</v>
      </c>
      <c r="C1797" s="19">
        <f>MONTH(Tabela6[[#This Row],[Data]])</f>
        <v>3</v>
      </c>
      <c r="D1797" s="19">
        <f>YEAR(Tabela6[[#This Row],[Data]])</f>
        <v>2022</v>
      </c>
      <c r="E1797" s="12" t="s">
        <v>78</v>
      </c>
      <c r="F1797" t="s">
        <v>58</v>
      </c>
      <c r="G1797" s="26">
        <v>4</v>
      </c>
      <c r="I1797" t="str">
        <f>IFERROR(VLOOKUP(Tabela6[[#This Row],[Descrição]],Materiais!B:C,2,0),"")</f>
        <v/>
      </c>
    </row>
    <row r="1798" spans="2:9">
      <c r="B1798" s="11">
        <f t="shared" si="162"/>
        <v>44625</v>
      </c>
      <c r="C1798" s="19">
        <f>MONTH(Tabela6[[#This Row],[Data]])</f>
        <v>3</v>
      </c>
      <c r="D1798" s="19">
        <f>YEAR(Tabela6[[#This Row],[Data]])</f>
        <v>2022</v>
      </c>
      <c r="E1798" s="12" t="s">
        <v>78</v>
      </c>
      <c r="F1798" t="s">
        <v>148</v>
      </c>
      <c r="G1798" s="26">
        <v>2</v>
      </c>
      <c r="I1798" t="str">
        <f>IFERROR(VLOOKUP(Tabela6[[#This Row],[Descrição]],Materiais!B:C,2,0),"")</f>
        <v/>
      </c>
    </row>
    <row r="1799" spans="2:9">
      <c r="B1799" s="11">
        <f t="shared" si="162"/>
        <v>44625</v>
      </c>
      <c r="C1799" s="19">
        <f>MONTH(Tabela6[[#This Row],[Data]])</f>
        <v>3</v>
      </c>
      <c r="D1799" s="19">
        <f>YEAR(Tabela6[[#This Row],[Data]])</f>
        <v>2022</v>
      </c>
      <c r="E1799" s="12" t="s">
        <v>78</v>
      </c>
      <c r="F1799" t="s">
        <v>63</v>
      </c>
      <c r="G1799" s="26">
        <v>2</v>
      </c>
      <c r="I1799" t="str">
        <f>IFERROR(VLOOKUP(Tabela6[[#This Row],[Descrição]],Materiais!B:C,2,0),"")</f>
        <v/>
      </c>
    </row>
    <row r="1800" spans="2:9">
      <c r="B1800" s="11">
        <f t="shared" si="162"/>
        <v>44625</v>
      </c>
      <c r="C1800" s="19">
        <f>MONTH(Tabela6[[#This Row],[Data]])</f>
        <v>3</v>
      </c>
      <c r="D1800" s="19">
        <f>YEAR(Tabela6[[#This Row],[Data]])</f>
        <v>2022</v>
      </c>
      <c r="E1800" s="12" t="s">
        <v>78</v>
      </c>
      <c r="F1800" t="s">
        <v>56</v>
      </c>
      <c r="G1800" s="26">
        <v>6</v>
      </c>
      <c r="I1800" t="str">
        <f>IFERROR(VLOOKUP(Tabela6[[#This Row],[Descrição]],Materiais!B:C,2,0),"")</f>
        <v/>
      </c>
    </row>
    <row r="1801" spans="2:9">
      <c r="B1801" s="11">
        <f t="shared" si="162"/>
        <v>44625</v>
      </c>
      <c r="C1801" s="19">
        <f>MONTH(Tabela6[[#This Row],[Data]])</f>
        <v>3</v>
      </c>
      <c r="D1801" s="19">
        <f>YEAR(Tabela6[[#This Row],[Data]])</f>
        <v>2022</v>
      </c>
      <c r="E1801" s="12" t="s">
        <v>78</v>
      </c>
      <c r="F1801" t="s">
        <v>147</v>
      </c>
      <c r="G1801" s="26">
        <v>2</v>
      </c>
      <c r="I1801" t="str">
        <f>IFERROR(VLOOKUP(Tabela6[[#This Row],[Descrição]],Materiais!B:C,2,0),"")</f>
        <v/>
      </c>
    </row>
    <row r="1802" spans="2:9">
      <c r="B1802" s="11">
        <f t="shared" si="162"/>
        <v>44625</v>
      </c>
      <c r="C1802" s="19">
        <f>MONTH(Tabela6[[#This Row],[Data]])</f>
        <v>3</v>
      </c>
      <c r="D1802" s="19">
        <f>YEAR(Tabela6[[#This Row],[Data]])</f>
        <v>2022</v>
      </c>
      <c r="E1802" s="12" t="s">
        <v>78</v>
      </c>
      <c r="F1802" t="s">
        <v>133</v>
      </c>
      <c r="G1802" s="26">
        <v>4</v>
      </c>
      <c r="I1802" t="str">
        <f>IFERROR(VLOOKUP(Tabela6[[#This Row],[Descrição]],Materiais!B:C,2,0),"")</f>
        <v/>
      </c>
    </row>
    <row r="1803" spans="2:9">
      <c r="B1803" s="11">
        <f t="shared" ref="B1803:B1809" si="163">43166+(365*4)</f>
        <v>44626</v>
      </c>
      <c r="C1803" s="19">
        <f>MONTH(Tabela6[[#This Row],[Data]])</f>
        <v>3</v>
      </c>
      <c r="D1803" s="19">
        <f>YEAR(Tabela6[[#This Row],[Data]])</f>
        <v>2022</v>
      </c>
      <c r="E1803" s="12" t="s">
        <v>78</v>
      </c>
      <c r="F1803" t="s">
        <v>152</v>
      </c>
      <c r="G1803" s="26">
        <v>2</v>
      </c>
      <c r="I1803" t="str">
        <f>IFERROR(VLOOKUP(Tabela6[[#This Row],[Descrição]],Materiais!B:C,2,0),"")</f>
        <v/>
      </c>
    </row>
    <row r="1804" spans="2:9">
      <c r="B1804" s="11">
        <f t="shared" si="163"/>
        <v>44626</v>
      </c>
      <c r="C1804" s="19">
        <f>MONTH(Tabela6[[#This Row],[Data]])</f>
        <v>3</v>
      </c>
      <c r="D1804" s="19">
        <f>YEAR(Tabela6[[#This Row],[Data]])</f>
        <v>2022</v>
      </c>
      <c r="E1804" s="12" t="s">
        <v>78</v>
      </c>
      <c r="F1804" t="s">
        <v>142</v>
      </c>
      <c r="G1804" s="26">
        <v>2</v>
      </c>
      <c r="I1804" t="str">
        <f>IFERROR(VLOOKUP(Tabela6[[#This Row],[Descrição]],Materiais!B:C,2,0),"")</f>
        <v/>
      </c>
    </row>
    <row r="1805" spans="2:9">
      <c r="B1805" s="11">
        <f t="shared" si="163"/>
        <v>44626</v>
      </c>
      <c r="C1805" s="19">
        <f>MONTH(Tabela6[[#This Row],[Data]])</f>
        <v>3</v>
      </c>
      <c r="D1805" s="19">
        <f>YEAR(Tabela6[[#This Row],[Data]])</f>
        <v>2022</v>
      </c>
      <c r="E1805" s="12" t="s">
        <v>78</v>
      </c>
      <c r="F1805" t="s">
        <v>63</v>
      </c>
      <c r="G1805" s="26">
        <v>2</v>
      </c>
      <c r="I1805" t="str">
        <f>IFERROR(VLOOKUP(Tabela6[[#This Row],[Descrição]],Materiais!B:C,2,0),"")</f>
        <v/>
      </c>
    </row>
    <row r="1806" spans="2:9">
      <c r="B1806" s="11">
        <f t="shared" si="163"/>
        <v>44626</v>
      </c>
      <c r="C1806" s="19">
        <f>MONTH(Tabela6[[#This Row],[Data]])</f>
        <v>3</v>
      </c>
      <c r="D1806" s="19">
        <f>YEAR(Tabela6[[#This Row],[Data]])</f>
        <v>2022</v>
      </c>
      <c r="E1806" s="12" t="s">
        <v>78</v>
      </c>
      <c r="F1806" t="s">
        <v>56</v>
      </c>
      <c r="G1806" s="26">
        <v>10</v>
      </c>
      <c r="I1806" t="str">
        <f>IFERROR(VLOOKUP(Tabela6[[#This Row],[Descrição]],Materiais!B:C,2,0),"")</f>
        <v/>
      </c>
    </row>
    <row r="1807" spans="2:9">
      <c r="B1807" s="11">
        <f t="shared" si="163"/>
        <v>44626</v>
      </c>
      <c r="C1807" s="19">
        <f>MONTH(Tabela6[[#This Row],[Data]])</f>
        <v>3</v>
      </c>
      <c r="D1807" s="19">
        <f>YEAR(Tabela6[[#This Row],[Data]])</f>
        <v>2022</v>
      </c>
      <c r="E1807" s="12" t="s">
        <v>78</v>
      </c>
      <c r="F1807" t="s">
        <v>147</v>
      </c>
      <c r="G1807" s="26">
        <v>4</v>
      </c>
      <c r="I1807" t="str">
        <f>IFERROR(VLOOKUP(Tabela6[[#This Row],[Descrição]],Materiais!B:C,2,0),"")</f>
        <v/>
      </c>
    </row>
    <row r="1808" spans="2:9">
      <c r="B1808" s="11">
        <f t="shared" si="163"/>
        <v>44626</v>
      </c>
      <c r="C1808" s="19">
        <f>MONTH(Tabela6[[#This Row],[Data]])</f>
        <v>3</v>
      </c>
      <c r="D1808" s="19">
        <f>YEAR(Tabela6[[#This Row],[Data]])</f>
        <v>2022</v>
      </c>
      <c r="E1808" s="12" t="s">
        <v>78</v>
      </c>
      <c r="F1808" t="s">
        <v>133</v>
      </c>
      <c r="G1808" s="26">
        <v>2</v>
      </c>
      <c r="I1808" t="str">
        <f>IFERROR(VLOOKUP(Tabela6[[#This Row],[Descrição]],Materiais!B:C,2,0),"")</f>
        <v/>
      </c>
    </row>
    <row r="1809" spans="2:9">
      <c r="B1809" s="11">
        <f t="shared" si="163"/>
        <v>44626</v>
      </c>
      <c r="C1809" s="19">
        <f>MONTH(Tabela6[[#This Row],[Data]])</f>
        <v>3</v>
      </c>
      <c r="D1809" s="19">
        <f>YEAR(Tabela6[[#This Row],[Data]])</f>
        <v>2022</v>
      </c>
      <c r="E1809" s="12" t="s">
        <v>78</v>
      </c>
      <c r="F1809" t="s">
        <v>95</v>
      </c>
      <c r="G1809" s="26">
        <v>4</v>
      </c>
      <c r="I1809" t="str">
        <f>IFERROR(VLOOKUP(Tabela6[[#This Row],[Descrição]],Materiais!B:C,2,0),"")</f>
        <v/>
      </c>
    </row>
    <row r="1810" spans="2:9">
      <c r="B1810" s="11">
        <f t="shared" ref="B1810:B1821" si="164">43167+(365*4)</f>
        <v>44627</v>
      </c>
      <c r="C1810" s="19">
        <f>MONTH(Tabela6[[#This Row],[Data]])</f>
        <v>3</v>
      </c>
      <c r="D1810" s="19">
        <f>YEAR(Tabela6[[#This Row],[Data]])</f>
        <v>2022</v>
      </c>
      <c r="E1810" s="12" t="s">
        <v>78</v>
      </c>
      <c r="F1810" t="s">
        <v>152</v>
      </c>
      <c r="G1810" s="26">
        <v>4</v>
      </c>
      <c r="I1810" t="str">
        <f>IFERROR(VLOOKUP(Tabela6[[#This Row],[Descrição]],Materiais!B:C,2,0),"")</f>
        <v/>
      </c>
    </row>
    <row r="1811" spans="2:9">
      <c r="B1811" s="11">
        <f t="shared" si="164"/>
        <v>44627</v>
      </c>
      <c r="C1811" s="19">
        <f>MONTH(Tabela6[[#This Row],[Data]])</f>
        <v>3</v>
      </c>
      <c r="D1811" s="19">
        <f>YEAR(Tabela6[[#This Row],[Data]])</f>
        <v>2022</v>
      </c>
      <c r="E1811" s="12" t="s">
        <v>78</v>
      </c>
      <c r="F1811" t="s">
        <v>142</v>
      </c>
      <c r="G1811" s="26">
        <v>2</v>
      </c>
      <c r="I1811" t="str">
        <f>IFERROR(VLOOKUP(Tabela6[[#This Row],[Descrição]],Materiais!B:C,2,0),"")</f>
        <v/>
      </c>
    </row>
    <row r="1812" spans="2:9">
      <c r="B1812" s="11">
        <f t="shared" si="164"/>
        <v>44627</v>
      </c>
      <c r="C1812" s="19">
        <f>MONTH(Tabela6[[#This Row],[Data]])</f>
        <v>3</v>
      </c>
      <c r="D1812" s="19">
        <f>YEAR(Tabela6[[#This Row],[Data]])</f>
        <v>2022</v>
      </c>
      <c r="E1812" s="12" t="s">
        <v>78</v>
      </c>
      <c r="F1812" t="s">
        <v>61</v>
      </c>
      <c r="G1812" s="26">
        <v>8</v>
      </c>
      <c r="I1812" t="str">
        <f>IFERROR(VLOOKUP(Tabela6[[#This Row],[Descrição]],Materiais!B:C,2,0),"")</f>
        <v/>
      </c>
    </row>
    <row r="1813" spans="2:9">
      <c r="B1813" s="11">
        <f t="shared" si="164"/>
        <v>44627</v>
      </c>
      <c r="C1813" s="19">
        <f>MONTH(Tabela6[[#This Row],[Data]])</f>
        <v>3</v>
      </c>
      <c r="D1813" s="19">
        <f>YEAR(Tabela6[[#This Row],[Data]])</f>
        <v>2022</v>
      </c>
      <c r="E1813" s="12" t="s">
        <v>78</v>
      </c>
      <c r="F1813" t="s">
        <v>58</v>
      </c>
      <c r="G1813" s="26">
        <v>6</v>
      </c>
      <c r="I1813" t="str">
        <f>IFERROR(VLOOKUP(Tabela6[[#This Row],[Descrição]],Materiais!B:C,2,0),"")</f>
        <v/>
      </c>
    </row>
    <row r="1814" spans="2:9">
      <c r="B1814" s="11">
        <f t="shared" si="164"/>
        <v>44627</v>
      </c>
      <c r="C1814" s="19">
        <f>MONTH(Tabela6[[#This Row],[Data]])</f>
        <v>3</v>
      </c>
      <c r="D1814" s="19">
        <f>YEAR(Tabela6[[#This Row],[Data]])</f>
        <v>2022</v>
      </c>
      <c r="E1814" s="12" t="s">
        <v>78</v>
      </c>
      <c r="F1814" t="s">
        <v>148</v>
      </c>
      <c r="G1814" s="26">
        <v>4</v>
      </c>
      <c r="I1814" t="str">
        <f>IFERROR(VLOOKUP(Tabela6[[#This Row],[Descrição]],Materiais!B:C,2,0),"")</f>
        <v/>
      </c>
    </row>
    <row r="1815" spans="2:9">
      <c r="B1815" s="11">
        <f t="shared" si="164"/>
        <v>44627</v>
      </c>
      <c r="C1815" s="19">
        <f>MONTH(Tabela6[[#This Row],[Data]])</f>
        <v>3</v>
      </c>
      <c r="D1815" s="19">
        <f>YEAR(Tabela6[[#This Row],[Data]])</f>
        <v>2022</v>
      </c>
      <c r="E1815" s="12" t="s">
        <v>78</v>
      </c>
      <c r="F1815" t="s">
        <v>63</v>
      </c>
      <c r="G1815" s="26">
        <v>4</v>
      </c>
      <c r="I1815" t="str">
        <f>IFERROR(VLOOKUP(Tabela6[[#This Row],[Descrição]],Materiais!B:C,2,0),"")</f>
        <v/>
      </c>
    </row>
    <row r="1816" spans="2:9">
      <c r="B1816" s="11">
        <f t="shared" si="164"/>
        <v>44627</v>
      </c>
      <c r="C1816" s="19">
        <f>MONTH(Tabela6[[#This Row],[Data]])</f>
        <v>3</v>
      </c>
      <c r="D1816" s="19">
        <f>YEAR(Tabela6[[#This Row],[Data]])</f>
        <v>2022</v>
      </c>
      <c r="E1816" s="12" t="s">
        <v>78</v>
      </c>
      <c r="F1816" t="s">
        <v>133</v>
      </c>
      <c r="G1816" s="26">
        <v>4</v>
      </c>
      <c r="I1816" t="str">
        <f>IFERROR(VLOOKUP(Tabela6[[#This Row],[Descrição]],Materiais!B:C,2,0),"")</f>
        <v/>
      </c>
    </row>
    <row r="1817" spans="2:9">
      <c r="B1817" s="11">
        <f t="shared" si="164"/>
        <v>44627</v>
      </c>
      <c r="C1817" s="19">
        <f>MONTH(Tabela6[[#This Row],[Data]])</f>
        <v>3</v>
      </c>
      <c r="D1817" s="19">
        <f>YEAR(Tabela6[[#This Row],[Data]])</f>
        <v>2022</v>
      </c>
      <c r="E1817" s="12" t="s">
        <v>72</v>
      </c>
      <c r="F1817" t="s">
        <v>90</v>
      </c>
      <c r="G1817" s="26">
        <v>-15.1</v>
      </c>
      <c r="I1817" t="str">
        <f>IFERROR(VLOOKUP(Tabela6[[#This Row],[Descrição]],Materiais!B:C,2,0),"")</f>
        <v/>
      </c>
    </row>
    <row r="1818" spans="2:9">
      <c r="B1818" s="11">
        <f t="shared" si="164"/>
        <v>44627</v>
      </c>
      <c r="C1818" s="19">
        <f>MONTH(Tabela6[[#This Row],[Data]])</f>
        <v>3</v>
      </c>
      <c r="D1818" s="19">
        <f>YEAR(Tabela6[[#This Row],[Data]])</f>
        <v>2022</v>
      </c>
      <c r="E1818" s="12" t="s">
        <v>72</v>
      </c>
      <c r="F1818" t="s">
        <v>15</v>
      </c>
      <c r="G1818" s="26">
        <v>-5.56</v>
      </c>
      <c r="I1818" t="str">
        <f>IFERROR(VLOOKUP(Tabela6[[#This Row],[Descrição]],Materiais!B:C,2,0),"")</f>
        <v>g</v>
      </c>
    </row>
    <row r="1819" spans="2:9">
      <c r="B1819" s="11">
        <f t="shared" si="164"/>
        <v>44627</v>
      </c>
      <c r="C1819" s="19">
        <f>MONTH(Tabela6[[#This Row],[Data]])</f>
        <v>3</v>
      </c>
      <c r="D1819" s="19">
        <f>YEAR(Tabela6[[#This Row],[Data]])</f>
        <v>2022</v>
      </c>
      <c r="E1819" s="12" t="s">
        <v>75</v>
      </c>
      <c r="F1819" t="s">
        <v>143</v>
      </c>
      <c r="G1819" s="26">
        <v>-3.9</v>
      </c>
      <c r="I1819" t="str">
        <f>IFERROR(VLOOKUP(Tabela6[[#This Row],[Descrição]],Materiais!B:C,2,0),"")</f>
        <v/>
      </c>
    </row>
    <row r="1820" spans="2:9">
      <c r="B1820" s="11">
        <f t="shared" si="164"/>
        <v>44627</v>
      </c>
      <c r="C1820" s="19">
        <f>MONTH(Tabela6[[#This Row],[Data]])</f>
        <v>3</v>
      </c>
      <c r="D1820" s="19">
        <f>YEAR(Tabela6[[#This Row],[Data]])</f>
        <v>2022</v>
      </c>
      <c r="E1820" s="12" t="s">
        <v>75</v>
      </c>
      <c r="F1820" t="s">
        <v>104</v>
      </c>
      <c r="G1820" s="26">
        <v>-1.2</v>
      </c>
      <c r="I1820" t="str">
        <f>IFERROR(VLOOKUP(Tabela6[[#This Row],[Descrição]],Materiais!B:C,2,0),"")</f>
        <v/>
      </c>
    </row>
    <row r="1821" spans="2:9">
      <c r="B1821" s="11">
        <f t="shared" si="164"/>
        <v>44627</v>
      </c>
      <c r="C1821" s="19">
        <f>MONTH(Tabela6[[#This Row],[Data]])</f>
        <v>3</v>
      </c>
      <c r="D1821" s="19">
        <f>YEAR(Tabela6[[#This Row],[Data]])</f>
        <v>2022</v>
      </c>
      <c r="E1821" s="12" t="s">
        <v>75</v>
      </c>
      <c r="F1821" t="s">
        <v>119</v>
      </c>
      <c r="G1821" s="26">
        <v>-1.98</v>
      </c>
      <c r="I1821" t="str">
        <f>IFERROR(VLOOKUP(Tabela6[[#This Row],[Descrição]],Materiais!B:C,2,0),"")</f>
        <v/>
      </c>
    </row>
    <row r="1822" spans="2:9">
      <c r="B1822" s="11">
        <f>43168+(365*4)</f>
        <v>44628</v>
      </c>
      <c r="C1822" s="19">
        <f>MONTH(Tabela6[[#This Row],[Data]])</f>
        <v>3</v>
      </c>
      <c r="D1822" s="19">
        <f>YEAR(Tabela6[[#This Row],[Data]])</f>
        <v>2022</v>
      </c>
      <c r="E1822" s="12" t="s">
        <v>75</v>
      </c>
      <c r="F1822" t="s">
        <v>155</v>
      </c>
      <c r="G1822" s="26">
        <v>-54</v>
      </c>
      <c r="I1822" t="str">
        <f>IFERROR(VLOOKUP(Tabela6[[#This Row],[Descrição]],Materiais!B:C,2,0),"")</f>
        <v/>
      </c>
    </row>
    <row r="1823" spans="2:9">
      <c r="B1823" s="11">
        <f t="shared" ref="B1823:B1832" si="165">43172+(365*4)</f>
        <v>44632</v>
      </c>
      <c r="C1823" s="19">
        <f>MONTH(Tabela6[[#This Row],[Data]])</f>
        <v>3</v>
      </c>
      <c r="D1823" s="19">
        <f>YEAR(Tabela6[[#This Row],[Data]])</f>
        <v>2022</v>
      </c>
      <c r="E1823" s="12" t="s">
        <v>78</v>
      </c>
      <c r="F1823" t="s">
        <v>133</v>
      </c>
      <c r="G1823" s="26">
        <v>8</v>
      </c>
      <c r="I1823" t="str">
        <f>IFERROR(VLOOKUP(Tabela6[[#This Row],[Descrição]],Materiais!B:C,2,0),"")</f>
        <v/>
      </c>
    </row>
    <row r="1824" spans="2:9">
      <c r="B1824" s="11">
        <f t="shared" si="165"/>
        <v>44632</v>
      </c>
      <c r="C1824" s="19">
        <f>MONTH(Tabela6[[#This Row],[Data]])</f>
        <v>3</v>
      </c>
      <c r="D1824" s="19">
        <f>YEAR(Tabela6[[#This Row],[Data]])</f>
        <v>2022</v>
      </c>
      <c r="E1824" s="12" t="s">
        <v>78</v>
      </c>
      <c r="F1824" t="s">
        <v>152</v>
      </c>
      <c r="G1824" s="26">
        <v>8</v>
      </c>
      <c r="I1824" t="str">
        <f>IFERROR(VLOOKUP(Tabela6[[#This Row],[Descrição]],Materiais!B:C,2,0),"")</f>
        <v/>
      </c>
    </row>
    <row r="1825" spans="2:9">
      <c r="B1825" s="11">
        <f t="shared" si="165"/>
        <v>44632</v>
      </c>
      <c r="C1825" s="19">
        <f>MONTH(Tabela6[[#This Row],[Data]])</f>
        <v>3</v>
      </c>
      <c r="D1825" s="19">
        <f>YEAR(Tabela6[[#This Row],[Data]])</f>
        <v>2022</v>
      </c>
      <c r="E1825" s="12" t="s">
        <v>78</v>
      </c>
      <c r="F1825" t="s">
        <v>142</v>
      </c>
      <c r="G1825" s="26">
        <v>4</v>
      </c>
      <c r="I1825" t="str">
        <f>IFERROR(VLOOKUP(Tabela6[[#This Row],[Descrição]],Materiais!B:C,2,0),"")</f>
        <v/>
      </c>
    </row>
    <row r="1826" spans="2:9">
      <c r="B1826" s="11">
        <f t="shared" si="165"/>
        <v>44632</v>
      </c>
      <c r="C1826" s="19">
        <f>MONTH(Tabela6[[#This Row],[Data]])</f>
        <v>3</v>
      </c>
      <c r="D1826" s="19">
        <f>YEAR(Tabela6[[#This Row],[Data]])</f>
        <v>2022</v>
      </c>
      <c r="E1826" s="12" t="s">
        <v>78</v>
      </c>
      <c r="F1826" t="s">
        <v>63</v>
      </c>
      <c r="G1826" s="26">
        <v>8</v>
      </c>
      <c r="I1826" t="str">
        <f>IFERROR(VLOOKUP(Tabela6[[#This Row],[Descrição]],Materiais!B:C,2,0),"")</f>
        <v/>
      </c>
    </row>
    <row r="1827" spans="2:9">
      <c r="B1827" s="11">
        <f t="shared" si="165"/>
        <v>44632</v>
      </c>
      <c r="C1827" s="19">
        <f>MONTH(Tabela6[[#This Row],[Data]])</f>
        <v>3</v>
      </c>
      <c r="D1827" s="19">
        <f>YEAR(Tabela6[[#This Row],[Data]])</f>
        <v>2022</v>
      </c>
      <c r="E1827" s="12" t="s">
        <v>78</v>
      </c>
      <c r="F1827" t="s">
        <v>56</v>
      </c>
      <c r="G1827" s="26">
        <v>14</v>
      </c>
      <c r="I1827" t="str">
        <f>IFERROR(VLOOKUP(Tabela6[[#This Row],[Descrição]],Materiais!B:C,2,0),"")</f>
        <v/>
      </c>
    </row>
    <row r="1828" spans="2:9">
      <c r="B1828" s="11">
        <f t="shared" si="165"/>
        <v>44632</v>
      </c>
      <c r="C1828" s="19">
        <f>MONTH(Tabela6[[#This Row],[Data]])</f>
        <v>3</v>
      </c>
      <c r="D1828" s="19">
        <f>YEAR(Tabela6[[#This Row],[Data]])</f>
        <v>2022</v>
      </c>
      <c r="E1828" s="12" t="s">
        <v>78</v>
      </c>
      <c r="F1828" t="s">
        <v>147</v>
      </c>
      <c r="G1828" s="26">
        <v>8</v>
      </c>
      <c r="I1828" t="str">
        <f>IFERROR(VLOOKUP(Tabela6[[#This Row],[Descrição]],Materiais!B:C,2,0),"")</f>
        <v/>
      </c>
    </row>
    <row r="1829" spans="2:9">
      <c r="B1829" s="11">
        <f t="shared" si="165"/>
        <v>44632</v>
      </c>
      <c r="C1829" s="19">
        <f>MONTH(Tabela6[[#This Row],[Data]])</f>
        <v>3</v>
      </c>
      <c r="D1829" s="19">
        <f>YEAR(Tabela6[[#This Row],[Data]])</f>
        <v>2022</v>
      </c>
      <c r="E1829" s="12" t="s">
        <v>78</v>
      </c>
      <c r="F1829" t="s">
        <v>61</v>
      </c>
      <c r="G1829" s="26">
        <v>14</v>
      </c>
      <c r="I1829" t="str">
        <f>IFERROR(VLOOKUP(Tabela6[[#This Row],[Descrição]],Materiais!B:C,2,0),"")</f>
        <v/>
      </c>
    </row>
    <row r="1830" spans="2:9">
      <c r="B1830" s="11">
        <f t="shared" si="165"/>
        <v>44632</v>
      </c>
      <c r="C1830" s="19">
        <f>MONTH(Tabela6[[#This Row],[Data]])</f>
        <v>3</v>
      </c>
      <c r="D1830" s="19">
        <f>YEAR(Tabela6[[#This Row],[Data]])</f>
        <v>2022</v>
      </c>
      <c r="E1830" s="12" t="s">
        <v>78</v>
      </c>
      <c r="F1830" t="s">
        <v>58</v>
      </c>
      <c r="G1830" s="26">
        <v>10</v>
      </c>
      <c r="I1830" t="str">
        <f>IFERROR(VLOOKUP(Tabela6[[#This Row],[Descrição]],Materiais!B:C,2,0),"")</f>
        <v/>
      </c>
    </row>
    <row r="1831" spans="2:9">
      <c r="B1831" s="11">
        <f t="shared" si="165"/>
        <v>44632</v>
      </c>
      <c r="C1831" s="19">
        <f>MONTH(Tabela6[[#This Row],[Data]])</f>
        <v>3</v>
      </c>
      <c r="D1831" s="19">
        <f>YEAR(Tabela6[[#This Row],[Data]])</f>
        <v>2022</v>
      </c>
      <c r="E1831" s="12" t="s">
        <v>78</v>
      </c>
      <c r="F1831" t="s">
        <v>148</v>
      </c>
      <c r="G1831" s="26">
        <v>8</v>
      </c>
      <c r="I1831" t="str">
        <f>IFERROR(VLOOKUP(Tabela6[[#This Row],[Descrição]],Materiais!B:C,2,0),"")</f>
        <v/>
      </c>
    </row>
    <row r="1832" spans="2:9">
      <c r="B1832" s="11">
        <f t="shared" si="165"/>
        <v>44632</v>
      </c>
      <c r="C1832" s="19">
        <f>MONTH(Tabela6[[#This Row],[Data]])</f>
        <v>3</v>
      </c>
      <c r="D1832" s="19">
        <f>YEAR(Tabela6[[#This Row],[Data]])</f>
        <v>2022</v>
      </c>
      <c r="E1832" s="12" t="s">
        <v>78</v>
      </c>
      <c r="F1832" t="s">
        <v>95</v>
      </c>
      <c r="G1832" s="26">
        <v>4</v>
      </c>
      <c r="I1832" t="str">
        <f>IFERROR(VLOOKUP(Tabela6[[#This Row],[Descrição]],Materiais!B:C,2,0),"")</f>
        <v/>
      </c>
    </row>
    <row r="1833" spans="2:9">
      <c r="B1833" s="11">
        <f t="shared" ref="B1833:B1841" si="166">43173+(365*4)</f>
        <v>44633</v>
      </c>
      <c r="C1833" s="19">
        <f>MONTH(Tabela6[[#This Row],[Data]])</f>
        <v>3</v>
      </c>
      <c r="D1833" s="19">
        <f>YEAR(Tabela6[[#This Row],[Data]])</f>
        <v>2022</v>
      </c>
      <c r="E1833" s="12" t="s">
        <v>78</v>
      </c>
      <c r="F1833" t="s">
        <v>63</v>
      </c>
      <c r="G1833" s="26">
        <v>2</v>
      </c>
      <c r="I1833" t="str">
        <f>IFERROR(VLOOKUP(Tabela6[[#This Row],[Descrição]],Materiais!B:C,2,0),"")</f>
        <v/>
      </c>
    </row>
    <row r="1834" spans="2:9">
      <c r="B1834" s="11">
        <f t="shared" si="166"/>
        <v>44633</v>
      </c>
      <c r="C1834" s="19">
        <f>MONTH(Tabela6[[#This Row],[Data]])</f>
        <v>3</v>
      </c>
      <c r="D1834" s="19">
        <f>YEAR(Tabela6[[#This Row],[Data]])</f>
        <v>2022</v>
      </c>
      <c r="E1834" s="12" t="s">
        <v>78</v>
      </c>
      <c r="F1834" t="s">
        <v>56</v>
      </c>
      <c r="G1834" s="26">
        <v>6</v>
      </c>
      <c r="I1834" t="str">
        <f>IFERROR(VLOOKUP(Tabela6[[#This Row],[Descrição]],Materiais!B:C,2,0),"")</f>
        <v/>
      </c>
    </row>
    <row r="1835" spans="2:9">
      <c r="B1835" s="11">
        <f t="shared" si="166"/>
        <v>44633</v>
      </c>
      <c r="C1835" s="19">
        <f>MONTH(Tabela6[[#This Row],[Data]])</f>
        <v>3</v>
      </c>
      <c r="D1835" s="19">
        <f>YEAR(Tabela6[[#This Row],[Data]])</f>
        <v>2022</v>
      </c>
      <c r="E1835" s="12" t="s">
        <v>78</v>
      </c>
      <c r="F1835" t="s">
        <v>147</v>
      </c>
      <c r="G1835" s="26">
        <v>2</v>
      </c>
      <c r="I1835" t="str">
        <f>IFERROR(VLOOKUP(Tabela6[[#This Row],[Descrição]],Materiais!B:C,2,0),"")</f>
        <v/>
      </c>
    </row>
    <row r="1836" spans="2:9">
      <c r="B1836" s="11">
        <f t="shared" si="166"/>
        <v>44633</v>
      </c>
      <c r="C1836" s="19">
        <f>MONTH(Tabela6[[#This Row],[Data]])</f>
        <v>3</v>
      </c>
      <c r="D1836" s="19">
        <f>YEAR(Tabela6[[#This Row],[Data]])</f>
        <v>2022</v>
      </c>
      <c r="E1836" s="12" t="s">
        <v>78</v>
      </c>
      <c r="F1836" t="s">
        <v>61</v>
      </c>
      <c r="G1836" s="26">
        <v>4</v>
      </c>
      <c r="I1836" t="str">
        <f>IFERROR(VLOOKUP(Tabela6[[#This Row],[Descrição]],Materiais!B:C,2,0),"")</f>
        <v/>
      </c>
    </row>
    <row r="1837" spans="2:9">
      <c r="B1837" s="11">
        <f t="shared" si="166"/>
        <v>44633</v>
      </c>
      <c r="C1837" s="19">
        <f>MONTH(Tabela6[[#This Row],[Data]])</f>
        <v>3</v>
      </c>
      <c r="D1837" s="19">
        <f>YEAR(Tabela6[[#This Row],[Data]])</f>
        <v>2022</v>
      </c>
      <c r="E1837" s="12" t="s">
        <v>78</v>
      </c>
      <c r="F1837" t="s">
        <v>58</v>
      </c>
      <c r="G1837" s="26">
        <v>4</v>
      </c>
      <c r="I1837" t="str">
        <f>IFERROR(VLOOKUP(Tabela6[[#This Row],[Descrição]],Materiais!B:C,2,0),"")</f>
        <v/>
      </c>
    </row>
    <row r="1838" spans="2:9">
      <c r="B1838" s="11">
        <f t="shared" si="166"/>
        <v>44633</v>
      </c>
      <c r="C1838" s="19">
        <f>MONTH(Tabela6[[#This Row],[Data]])</f>
        <v>3</v>
      </c>
      <c r="D1838" s="19">
        <f>YEAR(Tabela6[[#This Row],[Data]])</f>
        <v>2022</v>
      </c>
      <c r="E1838" s="12" t="s">
        <v>78</v>
      </c>
      <c r="F1838" t="s">
        <v>148</v>
      </c>
      <c r="G1838" s="26">
        <v>4</v>
      </c>
      <c r="I1838" t="str">
        <f>IFERROR(VLOOKUP(Tabela6[[#This Row],[Descrição]],Materiais!B:C,2,0),"")</f>
        <v/>
      </c>
    </row>
    <row r="1839" spans="2:9">
      <c r="B1839" s="11">
        <f t="shared" si="166"/>
        <v>44633</v>
      </c>
      <c r="C1839" s="19">
        <f>MONTH(Tabela6[[#This Row],[Data]])</f>
        <v>3</v>
      </c>
      <c r="D1839" s="19">
        <f>YEAR(Tabela6[[#This Row],[Data]])</f>
        <v>2022</v>
      </c>
      <c r="E1839" s="12" t="s">
        <v>78</v>
      </c>
      <c r="F1839" t="s">
        <v>152</v>
      </c>
      <c r="G1839" s="26">
        <v>6</v>
      </c>
      <c r="I1839" t="str">
        <f>IFERROR(VLOOKUP(Tabela6[[#This Row],[Descrição]],Materiais!B:C,2,0),"")</f>
        <v/>
      </c>
    </row>
    <row r="1840" spans="2:9">
      <c r="B1840" s="11">
        <f t="shared" si="166"/>
        <v>44633</v>
      </c>
      <c r="C1840" s="19">
        <f>MONTH(Tabela6[[#This Row],[Data]])</f>
        <v>3</v>
      </c>
      <c r="D1840" s="19">
        <f>YEAR(Tabela6[[#This Row],[Data]])</f>
        <v>2022</v>
      </c>
      <c r="E1840" s="12" t="s">
        <v>78</v>
      </c>
      <c r="F1840" t="s">
        <v>142</v>
      </c>
      <c r="G1840" s="26">
        <v>2</v>
      </c>
      <c r="I1840" t="str">
        <f>IFERROR(VLOOKUP(Tabela6[[#This Row],[Descrição]],Materiais!B:C,2,0),"")</f>
        <v/>
      </c>
    </row>
    <row r="1841" spans="2:9">
      <c r="B1841" s="11">
        <f t="shared" si="166"/>
        <v>44633</v>
      </c>
      <c r="C1841" s="19">
        <f>MONTH(Tabela6[[#This Row],[Data]])</f>
        <v>3</v>
      </c>
      <c r="D1841" s="19">
        <f>YEAR(Tabela6[[#This Row],[Data]])</f>
        <v>2022</v>
      </c>
      <c r="E1841" s="12" t="s">
        <v>78</v>
      </c>
      <c r="F1841" t="s">
        <v>133</v>
      </c>
      <c r="G1841" s="26">
        <v>2</v>
      </c>
      <c r="I1841" t="str">
        <f>IFERROR(VLOOKUP(Tabela6[[#This Row],[Descrição]],Materiais!B:C,2,0),"")</f>
        <v/>
      </c>
    </row>
    <row r="1842" spans="2:9">
      <c r="B1842" s="11">
        <f t="shared" ref="B1842:B1849" si="167">43174+(365*4)</f>
        <v>44634</v>
      </c>
      <c r="C1842" s="19">
        <f>MONTH(Tabela6[[#This Row],[Data]])</f>
        <v>3</v>
      </c>
      <c r="D1842" s="19">
        <f>YEAR(Tabela6[[#This Row],[Data]])</f>
        <v>2022</v>
      </c>
      <c r="E1842" s="12" t="s">
        <v>78</v>
      </c>
      <c r="F1842" t="s">
        <v>95</v>
      </c>
      <c r="G1842" s="26">
        <v>2</v>
      </c>
      <c r="I1842" t="str">
        <f>IFERROR(VLOOKUP(Tabela6[[#This Row],[Descrição]],Materiais!B:C,2,0),"")</f>
        <v/>
      </c>
    </row>
    <row r="1843" spans="2:9">
      <c r="B1843" s="11">
        <f t="shared" si="167"/>
        <v>44634</v>
      </c>
      <c r="C1843" s="19">
        <f>MONTH(Tabela6[[#This Row],[Data]])</f>
        <v>3</v>
      </c>
      <c r="D1843" s="19">
        <f>YEAR(Tabela6[[#This Row],[Data]])</f>
        <v>2022</v>
      </c>
      <c r="E1843" s="12" t="s">
        <v>78</v>
      </c>
      <c r="F1843" t="s">
        <v>63</v>
      </c>
      <c r="G1843" s="26">
        <v>6</v>
      </c>
      <c r="I1843" t="str">
        <f>IFERROR(VLOOKUP(Tabela6[[#This Row],[Descrição]],Materiais!B:C,2,0),"")</f>
        <v/>
      </c>
    </row>
    <row r="1844" spans="2:9">
      <c r="B1844" s="11">
        <f t="shared" si="167"/>
        <v>44634</v>
      </c>
      <c r="C1844" s="19">
        <f>MONTH(Tabela6[[#This Row],[Data]])</f>
        <v>3</v>
      </c>
      <c r="D1844" s="19">
        <f>YEAR(Tabela6[[#This Row],[Data]])</f>
        <v>2022</v>
      </c>
      <c r="E1844" s="12" t="s">
        <v>78</v>
      </c>
      <c r="F1844" t="s">
        <v>56</v>
      </c>
      <c r="G1844" s="26">
        <v>6</v>
      </c>
      <c r="I1844" t="str">
        <f>IFERROR(VLOOKUP(Tabela6[[#This Row],[Descrição]],Materiais!B:C,2,0),"")</f>
        <v/>
      </c>
    </row>
    <row r="1845" spans="2:9">
      <c r="B1845" s="11">
        <f t="shared" si="167"/>
        <v>44634</v>
      </c>
      <c r="C1845" s="19">
        <f>MONTH(Tabela6[[#This Row],[Data]])</f>
        <v>3</v>
      </c>
      <c r="D1845" s="19">
        <f>YEAR(Tabela6[[#This Row],[Data]])</f>
        <v>2022</v>
      </c>
      <c r="E1845" s="12" t="s">
        <v>78</v>
      </c>
      <c r="F1845" t="s">
        <v>147</v>
      </c>
      <c r="G1845" s="26">
        <v>4</v>
      </c>
      <c r="I1845" t="str">
        <f>IFERROR(VLOOKUP(Tabela6[[#This Row],[Descrição]],Materiais!B:C,2,0),"")</f>
        <v/>
      </c>
    </row>
    <row r="1846" spans="2:9">
      <c r="B1846" s="11">
        <f t="shared" si="167"/>
        <v>44634</v>
      </c>
      <c r="C1846" s="19">
        <f>MONTH(Tabela6[[#This Row],[Data]])</f>
        <v>3</v>
      </c>
      <c r="D1846" s="19">
        <f>YEAR(Tabela6[[#This Row],[Data]])</f>
        <v>2022</v>
      </c>
      <c r="E1846" s="12" t="s">
        <v>78</v>
      </c>
      <c r="F1846" t="s">
        <v>61</v>
      </c>
      <c r="G1846" s="26">
        <v>6</v>
      </c>
      <c r="I1846" t="str">
        <f>IFERROR(VLOOKUP(Tabela6[[#This Row],[Descrição]],Materiais!B:C,2,0),"")</f>
        <v/>
      </c>
    </row>
    <row r="1847" spans="2:9">
      <c r="B1847" s="11">
        <f t="shared" si="167"/>
        <v>44634</v>
      </c>
      <c r="C1847" s="19">
        <f>MONTH(Tabela6[[#This Row],[Data]])</f>
        <v>3</v>
      </c>
      <c r="D1847" s="19">
        <f>YEAR(Tabela6[[#This Row],[Data]])</f>
        <v>2022</v>
      </c>
      <c r="E1847" s="12" t="s">
        <v>78</v>
      </c>
      <c r="F1847" t="s">
        <v>58</v>
      </c>
      <c r="G1847" s="26">
        <v>4</v>
      </c>
      <c r="I1847" t="str">
        <f>IFERROR(VLOOKUP(Tabela6[[#This Row],[Descrição]],Materiais!B:C,2,0),"")</f>
        <v/>
      </c>
    </row>
    <row r="1848" spans="2:9">
      <c r="B1848" s="11">
        <f t="shared" si="167"/>
        <v>44634</v>
      </c>
      <c r="C1848" s="19">
        <f>MONTH(Tabela6[[#This Row],[Data]])</f>
        <v>3</v>
      </c>
      <c r="D1848" s="19">
        <f>YEAR(Tabela6[[#This Row],[Data]])</f>
        <v>2022</v>
      </c>
      <c r="E1848" s="12" t="s">
        <v>78</v>
      </c>
      <c r="F1848" t="s">
        <v>142</v>
      </c>
      <c r="G1848" s="26">
        <v>2</v>
      </c>
      <c r="I1848" t="str">
        <f>IFERROR(VLOOKUP(Tabela6[[#This Row],[Descrição]],Materiais!B:C,2,0),"")</f>
        <v/>
      </c>
    </row>
    <row r="1849" spans="2:9">
      <c r="B1849" s="11">
        <f t="shared" si="167"/>
        <v>44634</v>
      </c>
      <c r="C1849" s="19">
        <f>MONTH(Tabela6[[#This Row],[Data]])</f>
        <v>3</v>
      </c>
      <c r="D1849" s="19">
        <f>YEAR(Tabela6[[#This Row],[Data]])</f>
        <v>2022</v>
      </c>
      <c r="E1849" s="12" t="s">
        <v>78</v>
      </c>
      <c r="F1849" t="s">
        <v>133</v>
      </c>
      <c r="G1849" s="26">
        <v>2</v>
      </c>
      <c r="I1849" t="str">
        <f>IFERROR(VLOOKUP(Tabela6[[#This Row],[Descrição]],Materiais!B:C,2,0),"")</f>
        <v/>
      </c>
    </row>
    <row r="1850" spans="2:9">
      <c r="B1850" s="11">
        <f>43175+(365*4)</f>
        <v>44635</v>
      </c>
      <c r="C1850" s="19">
        <f>MONTH(Tabela6[[#This Row],[Data]])</f>
        <v>3</v>
      </c>
      <c r="D1850" s="19">
        <f>YEAR(Tabela6[[#This Row],[Data]])</f>
        <v>2022</v>
      </c>
      <c r="E1850" s="12" t="s">
        <v>78</v>
      </c>
      <c r="F1850" t="s">
        <v>56</v>
      </c>
      <c r="G1850" s="26">
        <v>4</v>
      </c>
      <c r="I1850" t="str">
        <f>IFERROR(VLOOKUP(Tabela6[[#This Row],[Descrição]],Materiais!B:C,2,0),"")</f>
        <v/>
      </c>
    </row>
    <row r="1851" spans="2:9">
      <c r="B1851" s="11">
        <f>43175+(365*4)</f>
        <v>44635</v>
      </c>
      <c r="C1851" s="19">
        <f>MONTH(Tabela6[[#This Row],[Data]])</f>
        <v>3</v>
      </c>
      <c r="D1851" s="19">
        <f>YEAR(Tabela6[[#This Row],[Data]])</f>
        <v>2022</v>
      </c>
      <c r="E1851" s="12" t="s">
        <v>78</v>
      </c>
      <c r="F1851" t="s">
        <v>61</v>
      </c>
      <c r="G1851" s="26">
        <v>2</v>
      </c>
      <c r="I1851" t="str">
        <f>IFERROR(VLOOKUP(Tabela6[[#This Row],[Descrição]],Materiais!B:C,2,0),"")</f>
        <v/>
      </c>
    </row>
    <row r="1852" spans="2:9">
      <c r="B1852" s="11">
        <f>43175+(365*4)</f>
        <v>44635</v>
      </c>
      <c r="C1852" s="19">
        <f>MONTH(Tabela6[[#This Row],[Data]])</f>
        <v>3</v>
      </c>
      <c r="D1852" s="19">
        <f>YEAR(Tabela6[[#This Row],[Data]])</f>
        <v>2022</v>
      </c>
      <c r="E1852" s="12" t="s">
        <v>78</v>
      </c>
      <c r="F1852" t="s">
        <v>58</v>
      </c>
      <c r="G1852" s="26">
        <v>4</v>
      </c>
      <c r="I1852" t="str">
        <f>IFERROR(VLOOKUP(Tabela6[[#This Row],[Descrição]],Materiais!B:C,2,0),"")</f>
        <v/>
      </c>
    </row>
    <row r="1853" spans="2:9">
      <c r="B1853" s="11">
        <f>43175+(365*4)</f>
        <v>44635</v>
      </c>
      <c r="C1853" s="19">
        <f>MONTH(Tabela6[[#This Row],[Data]])</f>
        <v>3</v>
      </c>
      <c r="D1853" s="19">
        <f>YEAR(Tabela6[[#This Row],[Data]])</f>
        <v>2022</v>
      </c>
      <c r="E1853" s="12" t="s">
        <v>78</v>
      </c>
      <c r="F1853" t="s">
        <v>148</v>
      </c>
      <c r="G1853" s="26">
        <v>2</v>
      </c>
      <c r="I1853" t="str">
        <f>IFERROR(VLOOKUP(Tabela6[[#This Row],[Descrição]],Materiais!B:C,2,0),"")</f>
        <v/>
      </c>
    </row>
    <row r="1854" spans="2:9">
      <c r="B1854" s="11">
        <f t="shared" ref="B1854:B1862" si="168">43178+(365*4)</f>
        <v>44638</v>
      </c>
      <c r="C1854" s="19">
        <f>MONTH(Tabela6[[#This Row],[Data]])</f>
        <v>3</v>
      </c>
      <c r="D1854" s="19">
        <f>YEAR(Tabela6[[#This Row],[Data]])</f>
        <v>2022</v>
      </c>
      <c r="E1854" s="12" t="s">
        <v>78</v>
      </c>
      <c r="F1854" t="s">
        <v>63</v>
      </c>
      <c r="G1854" s="26">
        <v>4</v>
      </c>
      <c r="I1854" t="str">
        <f>IFERROR(VLOOKUP(Tabela6[[#This Row],[Descrição]],Materiais!B:C,2,0),"")</f>
        <v/>
      </c>
    </row>
    <row r="1855" spans="2:9">
      <c r="B1855" s="11">
        <f t="shared" si="168"/>
        <v>44638</v>
      </c>
      <c r="C1855" s="19">
        <f>MONTH(Tabela6[[#This Row],[Data]])</f>
        <v>3</v>
      </c>
      <c r="D1855" s="19">
        <f>YEAR(Tabela6[[#This Row],[Data]])</f>
        <v>2022</v>
      </c>
      <c r="E1855" s="12" t="s">
        <v>78</v>
      </c>
      <c r="F1855" t="s">
        <v>56</v>
      </c>
      <c r="G1855" s="26">
        <v>8</v>
      </c>
      <c r="I1855" t="str">
        <f>IFERROR(VLOOKUP(Tabela6[[#This Row],[Descrição]],Materiais!B:C,2,0),"")</f>
        <v/>
      </c>
    </row>
    <row r="1856" spans="2:9">
      <c r="B1856" s="11">
        <f t="shared" si="168"/>
        <v>44638</v>
      </c>
      <c r="C1856" s="19">
        <f>MONTH(Tabela6[[#This Row],[Data]])</f>
        <v>3</v>
      </c>
      <c r="D1856" s="19">
        <f>YEAR(Tabela6[[#This Row],[Data]])</f>
        <v>2022</v>
      </c>
      <c r="E1856" s="12" t="s">
        <v>78</v>
      </c>
      <c r="F1856" t="s">
        <v>147</v>
      </c>
      <c r="G1856" s="26">
        <v>4</v>
      </c>
      <c r="I1856" t="str">
        <f>IFERROR(VLOOKUP(Tabela6[[#This Row],[Descrição]],Materiais!B:C,2,0),"")</f>
        <v/>
      </c>
    </row>
    <row r="1857" spans="2:9">
      <c r="B1857" s="11">
        <f t="shared" si="168"/>
        <v>44638</v>
      </c>
      <c r="C1857" s="19">
        <f>MONTH(Tabela6[[#This Row],[Data]])</f>
        <v>3</v>
      </c>
      <c r="D1857" s="19">
        <f>YEAR(Tabela6[[#This Row],[Data]])</f>
        <v>2022</v>
      </c>
      <c r="E1857" s="12" t="s">
        <v>78</v>
      </c>
      <c r="F1857" t="s">
        <v>61</v>
      </c>
      <c r="G1857" s="26">
        <v>2</v>
      </c>
      <c r="I1857" t="str">
        <f>IFERROR(VLOOKUP(Tabela6[[#This Row],[Descrição]],Materiais!B:C,2,0),"")</f>
        <v/>
      </c>
    </row>
    <row r="1858" spans="2:9">
      <c r="B1858" s="11">
        <f t="shared" si="168"/>
        <v>44638</v>
      </c>
      <c r="C1858" s="19">
        <f>MONTH(Tabela6[[#This Row],[Data]])</f>
        <v>3</v>
      </c>
      <c r="D1858" s="19">
        <f>YEAR(Tabela6[[#This Row],[Data]])</f>
        <v>2022</v>
      </c>
      <c r="E1858" s="12" t="s">
        <v>78</v>
      </c>
      <c r="F1858" t="s">
        <v>58</v>
      </c>
      <c r="G1858" s="26">
        <v>4</v>
      </c>
      <c r="I1858" t="str">
        <f>IFERROR(VLOOKUP(Tabela6[[#This Row],[Descrição]],Materiais!B:C,2,0),"")</f>
        <v/>
      </c>
    </row>
    <row r="1859" spans="2:9">
      <c r="B1859" s="11">
        <f t="shared" si="168"/>
        <v>44638</v>
      </c>
      <c r="C1859" s="19">
        <f>MONTH(Tabela6[[#This Row],[Data]])</f>
        <v>3</v>
      </c>
      <c r="D1859" s="19">
        <f>YEAR(Tabela6[[#This Row],[Data]])</f>
        <v>2022</v>
      </c>
      <c r="E1859" s="12" t="s">
        <v>78</v>
      </c>
      <c r="F1859" t="s">
        <v>148</v>
      </c>
      <c r="G1859" s="26">
        <v>4</v>
      </c>
      <c r="I1859" t="str">
        <f>IFERROR(VLOOKUP(Tabela6[[#This Row],[Descrição]],Materiais!B:C,2,0),"")</f>
        <v/>
      </c>
    </row>
    <row r="1860" spans="2:9">
      <c r="B1860" s="11">
        <f t="shared" si="168"/>
        <v>44638</v>
      </c>
      <c r="C1860" s="19">
        <f>MONTH(Tabela6[[#This Row],[Data]])</f>
        <v>3</v>
      </c>
      <c r="D1860" s="19">
        <f>YEAR(Tabela6[[#This Row],[Data]])</f>
        <v>2022</v>
      </c>
      <c r="E1860" s="12" t="s">
        <v>78</v>
      </c>
      <c r="F1860" t="s">
        <v>95</v>
      </c>
      <c r="G1860" s="26">
        <v>4</v>
      </c>
      <c r="I1860" t="str">
        <f>IFERROR(VLOOKUP(Tabela6[[#This Row],[Descrição]],Materiais!B:C,2,0),"")</f>
        <v/>
      </c>
    </row>
    <row r="1861" spans="2:9">
      <c r="B1861" s="11">
        <f t="shared" si="168"/>
        <v>44638</v>
      </c>
      <c r="C1861" s="19">
        <f>MONTH(Tabela6[[#This Row],[Data]])</f>
        <v>3</v>
      </c>
      <c r="D1861" s="19">
        <f>YEAR(Tabela6[[#This Row],[Data]])</f>
        <v>2022</v>
      </c>
      <c r="E1861" s="12" t="s">
        <v>78</v>
      </c>
      <c r="F1861" t="s">
        <v>152</v>
      </c>
      <c r="G1861" s="26">
        <v>6</v>
      </c>
      <c r="I1861" t="str">
        <f>IFERROR(VLOOKUP(Tabela6[[#This Row],[Descrição]],Materiais!B:C,2,0),"")</f>
        <v/>
      </c>
    </row>
    <row r="1862" spans="2:9">
      <c r="B1862" s="11">
        <f t="shared" si="168"/>
        <v>44638</v>
      </c>
      <c r="C1862" s="19">
        <f>MONTH(Tabela6[[#This Row],[Data]])</f>
        <v>3</v>
      </c>
      <c r="D1862" s="19">
        <f>YEAR(Tabela6[[#This Row],[Data]])</f>
        <v>2022</v>
      </c>
      <c r="E1862" s="12" t="s">
        <v>78</v>
      </c>
      <c r="F1862" t="s">
        <v>133</v>
      </c>
      <c r="G1862" s="26">
        <v>6</v>
      </c>
      <c r="I1862" t="str">
        <f>IFERROR(VLOOKUP(Tabela6[[#This Row],[Descrição]],Materiais!B:C,2,0),"")</f>
        <v/>
      </c>
    </row>
    <row r="1863" spans="2:9">
      <c r="B1863" s="11">
        <f t="shared" ref="B1863:B1868" si="169">43179+(365*4)</f>
        <v>44639</v>
      </c>
      <c r="C1863" s="19">
        <f>MONTH(Tabela6[[#This Row],[Data]])</f>
        <v>3</v>
      </c>
      <c r="D1863" s="19">
        <f>YEAR(Tabela6[[#This Row],[Data]])</f>
        <v>2022</v>
      </c>
      <c r="E1863" s="12" t="s">
        <v>78</v>
      </c>
      <c r="F1863" t="s">
        <v>56</v>
      </c>
      <c r="G1863" s="26">
        <v>4</v>
      </c>
      <c r="I1863" t="str">
        <f>IFERROR(VLOOKUP(Tabela6[[#This Row],[Descrição]],Materiais!B:C,2,0),"")</f>
        <v/>
      </c>
    </row>
    <row r="1864" spans="2:9">
      <c r="B1864" s="11">
        <f t="shared" si="169"/>
        <v>44639</v>
      </c>
      <c r="C1864" s="19">
        <f>MONTH(Tabela6[[#This Row],[Data]])</f>
        <v>3</v>
      </c>
      <c r="D1864" s="19">
        <f>YEAR(Tabela6[[#This Row],[Data]])</f>
        <v>2022</v>
      </c>
      <c r="E1864" s="12" t="s">
        <v>78</v>
      </c>
      <c r="F1864" t="s">
        <v>147</v>
      </c>
      <c r="G1864" s="26">
        <v>4</v>
      </c>
      <c r="I1864" t="str">
        <f>IFERROR(VLOOKUP(Tabela6[[#This Row],[Descrição]],Materiais!B:C,2,0),"")</f>
        <v/>
      </c>
    </row>
    <row r="1865" spans="2:9">
      <c r="B1865" s="11">
        <f t="shared" si="169"/>
        <v>44639</v>
      </c>
      <c r="C1865" s="19">
        <f>MONTH(Tabela6[[#This Row],[Data]])</f>
        <v>3</v>
      </c>
      <c r="D1865" s="19">
        <f>YEAR(Tabela6[[#This Row],[Data]])</f>
        <v>2022</v>
      </c>
      <c r="E1865" s="12" t="s">
        <v>78</v>
      </c>
      <c r="F1865" t="s">
        <v>61</v>
      </c>
      <c r="G1865" s="26">
        <v>10</v>
      </c>
      <c r="I1865" t="str">
        <f>IFERROR(VLOOKUP(Tabela6[[#This Row],[Descrição]],Materiais!B:C,2,0),"")</f>
        <v/>
      </c>
    </row>
    <row r="1866" spans="2:9">
      <c r="B1866" s="11">
        <f t="shared" si="169"/>
        <v>44639</v>
      </c>
      <c r="C1866" s="19">
        <f>MONTH(Tabela6[[#This Row],[Data]])</f>
        <v>3</v>
      </c>
      <c r="D1866" s="19">
        <f>YEAR(Tabela6[[#This Row],[Data]])</f>
        <v>2022</v>
      </c>
      <c r="E1866" s="12" t="s">
        <v>78</v>
      </c>
      <c r="F1866" t="s">
        <v>58</v>
      </c>
      <c r="G1866" s="26">
        <v>2</v>
      </c>
      <c r="I1866" t="str">
        <f>IFERROR(VLOOKUP(Tabela6[[#This Row],[Descrição]],Materiais!B:C,2,0),"")</f>
        <v/>
      </c>
    </row>
    <row r="1867" spans="2:9">
      <c r="B1867" s="11">
        <f t="shared" si="169"/>
        <v>44639</v>
      </c>
      <c r="C1867" s="19">
        <f>MONTH(Tabela6[[#This Row],[Data]])</f>
        <v>3</v>
      </c>
      <c r="D1867" s="19">
        <f>YEAR(Tabela6[[#This Row],[Data]])</f>
        <v>2022</v>
      </c>
      <c r="E1867" s="12" t="s">
        <v>78</v>
      </c>
      <c r="F1867" t="s">
        <v>148</v>
      </c>
      <c r="G1867" s="26">
        <v>2</v>
      </c>
      <c r="I1867" t="str">
        <f>IFERROR(VLOOKUP(Tabela6[[#This Row],[Descrição]],Materiais!B:C,2,0),"")</f>
        <v/>
      </c>
    </row>
    <row r="1868" spans="2:9">
      <c r="B1868" s="11">
        <f t="shared" si="169"/>
        <v>44639</v>
      </c>
      <c r="C1868" s="19">
        <f>MONTH(Tabela6[[#This Row],[Data]])</f>
        <v>3</v>
      </c>
      <c r="D1868" s="19">
        <f>YEAR(Tabela6[[#This Row],[Data]])</f>
        <v>2022</v>
      </c>
      <c r="E1868" s="12" t="s">
        <v>78</v>
      </c>
      <c r="F1868" t="s">
        <v>63</v>
      </c>
      <c r="G1868" s="26">
        <v>4</v>
      </c>
      <c r="I1868" t="str">
        <f>IFERROR(VLOOKUP(Tabela6[[#This Row],[Descrição]],Materiais!B:C,2,0),"")</f>
        <v/>
      </c>
    </row>
    <row r="1869" spans="2:9">
      <c r="B1869" s="11">
        <f t="shared" ref="B1869:B1874" si="170">43180+(365*4)</f>
        <v>44640</v>
      </c>
      <c r="C1869" s="19">
        <f>MONTH(Tabela6[[#This Row],[Data]])</f>
        <v>3</v>
      </c>
      <c r="D1869" s="19">
        <f>YEAR(Tabela6[[#This Row],[Data]])</f>
        <v>2022</v>
      </c>
      <c r="E1869" s="12" t="s">
        <v>78</v>
      </c>
      <c r="F1869" t="s">
        <v>56</v>
      </c>
      <c r="G1869" s="26">
        <v>4</v>
      </c>
      <c r="I1869" t="str">
        <f>IFERROR(VLOOKUP(Tabela6[[#This Row],[Descrição]],Materiais!B:C,2,0),"")</f>
        <v/>
      </c>
    </row>
    <row r="1870" spans="2:9">
      <c r="B1870" s="11">
        <f t="shared" si="170"/>
        <v>44640</v>
      </c>
      <c r="C1870" s="19">
        <f>MONTH(Tabela6[[#This Row],[Data]])</f>
        <v>3</v>
      </c>
      <c r="D1870" s="19">
        <f>YEAR(Tabela6[[#This Row],[Data]])</f>
        <v>2022</v>
      </c>
      <c r="E1870" s="12" t="s">
        <v>78</v>
      </c>
      <c r="F1870" t="s">
        <v>147</v>
      </c>
      <c r="G1870" s="26">
        <v>4</v>
      </c>
      <c r="I1870" t="str">
        <f>IFERROR(VLOOKUP(Tabela6[[#This Row],[Descrição]],Materiais!B:C,2,0),"")</f>
        <v/>
      </c>
    </row>
    <row r="1871" spans="2:9">
      <c r="B1871" s="11">
        <f t="shared" si="170"/>
        <v>44640</v>
      </c>
      <c r="C1871" s="19">
        <f>MONTH(Tabela6[[#This Row],[Data]])</f>
        <v>3</v>
      </c>
      <c r="D1871" s="19">
        <f>YEAR(Tabela6[[#This Row],[Data]])</f>
        <v>2022</v>
      </c>
      <c r="E1871" s="12" t="s">
        <v>78</v>
      </c>
      <c r="F1871" t="s">
        <v>61</v>
      </c>
      <c r="G1871" s="26">
        <v>6</v>
      </c>
      <c r="I1871" t="str">
        <f>IFERROR(VLOOKUP(Tabela6[[#This Row],[Descrição]],Materiais!B:C,2,0),"")</f>
        <v/>
      </c>
    </row>
    <row r="1872" spans="2:9">
      <c r="B1872" s="11">
        <f t="shared" si="170"/>
        <v>44640</v>
      </c>
      <c r="C1872" s="19">
        <f>MONTH(Tabela6[[#This Row],[Data]])</f>
        <v>3</v>
      </c>
      <c r="D1872" s="19">
        <f>YEAR(Tabela6[[#This Row],[Data]])</f>
        <v>2022</v>
      </c>
      <c r="E1872" s="12" t="s">
        <v>78</v>
      </c>
      <c r="F1872" t="s">
        <v>58</v>
      </c>
      <c r="G1872" s="26">
        <v>6</v>
      </c>
      <c r="I1872" t="str">
        <f>IFERROR(VLOOKUP(Tabela6[[#This Row],[Descrição]],Materiais!B:C,2,0),"")</f>
        <v/>
      </c>
    </row>
    <row r="1873" spans="2:9">
      <c r="B1873" s="11">
        <f t="shared" si="170"/>
        <v>44640</v>
      </c>
      <c r="C1873" s="19">
        <f>MONTH(Tabela6[[#This Row],[Data]])</f>
        <v>3</v>
      </c>
      <c r="D1873" s="19">
        <f>YEAR(Tabela6[[#This Row],[Data]])</f>
        <v>2022</v>
      </c>
      <c r="E1873" s="12" t="s">
        <v>78</v>
      </c>
      <c r="F1873" t="s">
        <v>133</v>
      </c>
      <c r="G1873" s="26">
        <v>2</v>
      </c>
      <c r="I1873" t="str">
        <f>IFERROR(VLOOKUP(Tabela6[[#This Row],[Descrição]],Materiais!B:C,2,0),"")</f>
        <v/>
      </c>
    </row>
    <row r="1874" spans="2:9">
      <c r="B1874" s="11">
        <f t="shared" si="170"/>
        <v>44640</v>
      </c>
      <c r="C1874" s="19">
        <f>MONTH(Tabela6[[#This Row],[Data]])</f>
        <v>3</v>
      </c>
      <c r="D1874" s="19">
        <f>YEAR(Tabela6[[#This Row],[Data]])</f>
        <v>2022</v>
      </c>
      <c r="E1874" s="12" t="s">
        <v>78</v>
      </c>
      <c r="F1874" t="s">
        <v>63</v>
      </c>
      <c r="G1874" s="26">
        <v>6</v>
      </c>
      <c r="I1874" t="str">
        <f>IFERROR(VLOOKUP(Tabela6[[#This Row],[Descrição]],Materiais!B:C,2,0),"")</f>
        <v/>
      </c>
    </row>
    <row r="1875" spans="2:9">
      <c r="B1875" s="11">
        <f t="shared" ref="B1875:B1880" si="171">43181+(365*4)</f>
        <v>44641</v>
      </c>
      <c r="C1875" s="19">
        <f>MONTH(Tabela6[[#This Row],[Data]])</f>
        <v>3</v>
      </c>
      <c r="D1875" s="19">
        <f>YEAR(Tabela6[[#This Row],[Data]])</f>
        <v>2022</v>
      </c>
      <c r="E1875" s="12" t="s">
        <v>78</v>
      </c>
      <c r="F1875" t="s">
        <v>63</v>
      </c>
      <c r="G1875" s="26">
        <v>2</v>
      </c>
      <c r="I1875" t="str">
        <f>IFERROR(VLOOKUP(Tabela6[[#This Row],[Descrição]],Materiais!B:C,2,0),"")</f>
        <v/>
      </c>
    </row>
    <row r="1876" spans="2:9">
      <c r="B1876" s="11">
        <f t="shared" si="171"/>
        <v>44641</v>
      </c>
      <c r="C1876" s="19">
        <f>MONTH(Tabela6[[#This Row],[Data]])</f>
        <v>3</v>
      </c>
      <c r="D1876" s="19">
        <f>YEAR(Tabela6[[#This Row],[Data]])</f>
        <v>2022</v>
      </c>
      <c r="E1876" s="12" t="s">
        <v>78</v>
      </c>
      <c r="F1876" t="s">
        <v>56</v>
      </c>
      <c r="G1876" s="26">
        <v>8</v>
      </c>
      <c r="I1876" t="str">
        <f>IFERROR(VLOOKUP(Tabela6[[#This Row],[Descrição]],Materiais!B:C,2,0),"")</f>
        <v/>
      </c>
    </row>
    <row r="1877" spans="2:9">
      <c r="B1877" s="11">
        <f t="shared" si="171"/>
        <v>44641</v>
      </c>
      <c r="C1877" s="19">
        <f>MONTH(Tabela6[[#This Row],[Data]])</f>
        <v>3</v>
      </c>
      <c r="D1877" s="19">
        <f>YEAR(Tabela6[[#This Row],[Data]])</f>
        <v>2022</v>
      </c>
      <c r="E1877" s="12" t="s">
        <v>78</v>
      </c>
      <c r="F1877" t="s">
        <v>147</v>
      </c>
      <c r="G1877" s="26">
        <v>2</v>
      </c>
      <c r="I1877" t="str">
        <f>IFERROR(VLOOKUP(Tabela6[[#This Row],[Descrição]],Materiais!B:C,2,0),"")</f>
        <v/>
      </c>
    </row>
    <row r="1878" spans="2:9">
      <c r="B1878" s="11">
        <f t="shared" si="171"/>
        <v>44641</v>
      </c>
      <c r="C1878" s="19">
        <f>MONTH(Tabela6[[#This Row],[Data]])</f>
        <v>3</v>
      </c>
      <c r="D1878" s="19">
        <f>YEAR(Tabela6[[#This Row],[Data]])</f>
        <v>2022</v>
      </c>
      <c r="E1878" s="12" t="s">
        <v>78</v>
      </c>
      <c r="F1878" t="s">
        <v>148</v>
      </c>
      <c r="G1878" s="26">
        <v>10</v>
      </c>
      <c r="I1878" t="str">
        <f>IFERROR(VLOOKUP(Tabela6[[#This Row],[Descrição]],Materiais!B:C,2,0),"")</f>
        <v/>
      </c>
    </row>
    <row r="1879" spans="2:9">
      <c r="B1879" s="11">
        <f t="shared" si="171"/>
        <v>44641</v>
      </c>
      <c r="C1879" s="19">
        <f>MONTH(Tabela6[[#This Row],[Data]])</f>
        <v>3</v>
      </c>
      <c r="D1879" s="19">
        <f>YEAR(Tabela6[[#This Row],[Data]])</f>
        <v>2022</v>
      </c>
      <c r="E1879" s="12" t="s">
        <v>78</v>
      </c>
      <c r="F1879" t="s">
        <v>58</v>
      </c>
      <c r="G1879" s="26">
        <v>2</v>
      </c>
      <c r="I1879" t="str">
        <f>IFERROR(VLOOKUP(Tabela6[[#This Row],[Descrição]],Materiais!B:C,2,0),"")</f>
        <v/>
      </c>
    </row>
    <row r="1880" spans="2:9">
      <c r="B1880" s="11">
        <f t="shared" si="171"/>
        <v>44641</v>
      </c>
      <c r="C1880" s="19">
        <f>MONTH(Tabela6[[#This Row],[Data]])</f>
        <v>3</v>
      </c>
      <c r="D1880" s="19">
        <f>YEAR(Tabela6[[#This Row],[Data]])</f>
        <v>2022</v>
      </c>
      <c r="E1880" s="12" t="s">
        <v>78</v>
      </c>
      <c r="F1880" t="s">
        <v>133</v>
      </c>
      <c r="G1880" s="26">
        <v>4</v>
      </c>
      <c r="I1880" t="str">
        <f>IFERROR(VLOOKUP(Tabela6[[#This Row],[Descrição]],Materiais!B:C,2,0),"")</f>
        <v/>
      </c>
    </row>
    <row r="1881" spans="2:9">
      <c r="B1881" s="11">
        <f>43182+(365*4)</f>
        <v>44642</v>
      </c>
      <c r="C1881" s="19">
        <f>MONTH(Tabela6[[#This Row],[Data]])</f>
        <v>3</v>
      </c>
      <c r="D1881" s="19">
        <f>YEAR(Tabela6[[#This Row],[Data]])</f>
        <v>2022</v>
      </c>
      <c r="E1881" s="12" t="s">
        <v>78</v>
      </c>
      <c r="F1881" t="s">
        <v>56</v>
      </c>
      <c r="G1881" s="26">
        <v>140</v>
      </c>
      <c r="I1881" t="str">
        <f>IFERROR(VLOOKUP(Tabela6[[#This Row],[Descrição]],Materiais!B:C,2,0),"")</f>
        <v/>
      </c>
    </row>
    <row r="1882" spans="2:9">
      <c r="B1882" s="11">
        <f>43182+(365*4)</f>
        <v>44642</v>
      </c>
      <c r="C1882" s="19">
        <f>MONTH(Tabela6[[#This Row],[Data]])</f>
        <v>3</v>
      </c>
      <c r="D1882" s="19">
        <f>YEAR(Tabela6[[#This Row],[Data]])</f>
        <v>2022</v>
      </c>
      <c r="E1882" s="12" t="s">
        <v>75</v>
      </c>
      <c r="F1882" t="s">
        <v>119</v>
      </c>
      <c r="G1882" s="26">
        <v>-1.98</v>
      </c>
      <c r="I1882" t="str">
        <f>IFERROR(VLOOKUP(Tabela6[[#This Row],[Descrição]],Materiais!B:C,2,0),"")</f>
        <v/>
      </c>
    </row>
    <row r="1883" spans="2:9">
      <c r="B1883" s="11">
        <f>43182+(365*4)</f>
        <v>44642</v>
      </c>
      <c r="C1883" s="19">
        <f>MONTH(Tabela6[[#This Row],[Data]])</f>
        <v>3</v>
      </c>
      <c r="D1883" s="19">
        <f>YEAR(Tabela6[[#This Row],[Data]])</f>
        <v>2022</v>
      </c>
      <c r="E1883" s="12" t="s">
        <v>72</v>
      </c>
      <c r="F1883" t="s">
        <v>120</v>
      </c>
      <c r="G1883" s="26">
        <v>-6.7</v>
      </c>
      <c r="I1883" t="str">
        <f>IFERROR(VLOOKUP(Tabela6[[#This Row],[Descrição]],Materiais!B:C,2,0),"")</f>
        <v/>
      </c>
    </row>
    <row r="1884" spans="2:9">
      <c r="B1884" s="11">
        <f>43182+(365*4)</f>
        <v>44642</v>
      </c>
      <c r="C1884" s="19">
        <f>MONTH(Tabela6[[#This Row],[Data]])</f>
        <v>3</v>
      </c>
      <c r="D1884" s="19">
        <f>YEAR(Tabela6[[#This Row],[Data]])</f>
        <v>2022</v>
      </c>
      <c r="E1884" s="12" t="s">
        <v>72</v>
      </c>
      <c r="F1884" t="s">
        <v>90</v>
      </c>
      <c r="G1884" s="26">
        <v>-15.1</v>
      </c>
      <c r="I1884" t="str">
        <f>IFERROR(VLOOKUP(Tabela6[[#This Row],[Descrição]],Materiais!B:C,2,0),"")</f>
        <v/>
      </c>
    </row>
    <row r="1885" spans="2:9">
      <c r="B1885" s="11">
        <f>43182+(365*4)</f>
        <v>44642</v>
      </c>
      <c r="C1885" s="19">
        <f>MONTH(Tabela6[[#This Row],[Data]])</f>
        <v>3</v>
      </c>
      <c r="D1885" s="19">
        <f>YEAR(Tabela6[[#This Row],[Data]])</f>
        <v>2022</v>
      </c>
      <c r="E1885" s="12" t="s">
        <v>72</v>
      </c>
      <c r="F1885" t="s">
        <v>7</v>
      </c>
      <c r="G1885" s="26">
        <v>-2.0099999999999998</v>
      </c>
      <c r="I1885" t="str">
        <f>IFERROR(VLOOKUP(Tabela6[[#This Row],[Descrição]],Materiais!B:C,2,0),"")</f>
        <v>g</v>
      </c>
    </row>
    <row r="1886" spans="2:9">
      <c r="B1886" s="11">
        <f>43183+(365*4)</f>
        <v>44643</v>
      </c>
      <c r="C1886" s="19">
        <f>MONTH(Tabela6[[#This Row],[Data]])</f>
        <v>3</v>
      </c>
      <c r="D1886" s="19">
        <f>YEAR(Tabela6[[#This Row],[Data]])</f>
        <v>2022</v>
      </c>
      <c r="E1886" s="12" t="s">
        <v>78</v>
      </c>
      <c r="F1886" t="s">
        <v>56</v>
      </c>
      <c r="G1886" s="26">
        <v>140</v>
      </c>
      <c r="I1886" t="str">
        <f>IFERROR(VLOOKUP(Tabela6[[#This Row],[Descrição]],Materiais!B:C,2,0),"")</f>
        <v/>
      </c>
    </row>
    <row r="1887" spans="2:9">
      <c r="B1887" s="11">
        <f t="shared" ref="B1887:B1895" si="172">43186+(365*4)</f>
        <v>44646</v>
      </c>
      <c r="C1887" s="19">
        <f>MONTH(Tabela6[[#This Row],[Data]])</f>
        <v>3</v>
      </c>
      <c r="D1887" s="19">
        <f>YEAR(Tabela6[[#This Row],[Data]])</f>
        <v>2022</v>
      </c>
      <c r="E1887" s="12" t="s">
        <v>78</v>
      </c>
      <c r="F1887" t="s">
        <v>63</v>
      </c>
      <c r="G1887" s="26">
        <v>8</v>
      </c>
      <c r="I1887" t="str">
        <f>IFERROR(VLOOKUP(Tabela6[[#This Row],[Descrição]],Materiais!B:C,2,0),"")</f>
        <v/>
      </c>
    </row>
    <row r="1888" spans="2:9">
      <c r="B1888" s="11">
        <f t="shared" si="172"/>
        <v>44646</v>
      </c>
      <c r="C1888" s="19">
        <f>MONTH(Tabela6[[#This Row],[Data]])</f>
        <v>3</v>
      </c>
      <c r="D1888" s="19">
        <f>YEAR(Tabela6[[#This Row],[Data]])</f>
        <v>2022</v>
      </c>
      <c r="E1888" s="12" t="s">
        <v>78</v>
      </c>
      <c r="F1888" t="s">
        <v>56</v>
      </c>
      <c r="G1888" s="26">
        <v>14</v>
      </c>
      <c r="I1888" t="str">
        <f>IFERROR(VLOOKUP(Tabela6[[#This Row],[Descrição]],Materiais!B:C,2,0),"")</f>
        <v/>
      </c>
    </row>
    <row r="1889" spans="2:9">
      <c r="B1889" s="11">
        <f t="shared" si="172"/>
        <v>44646</v>
      </c>
      <c r="C1889" s="19">
        <f>MONTH(Tabela6[[#This Row],[Data]])</f>
        <v>3</v>
      </c>
      <c r="D1889" s="19">
        <f>YEAR(Tabela6[[#This Row],[Data]])</f>
        <v>2022</v>
      </c>
      <c r="E1889" s="12" t="s">
        <v>78</v>
      </c>
      <c r="F1889" t="s">
        <v>147</v>
      </c>
      <c r="G1889" s="26">
        <v>8</v>
      </c>
      <c r="I1889" t="str">
        <f>IFERROR(VLOOKUP(Tabela6[[#This Row],[Descrição]],Materiais!B:C,2,0),"")</f>
        <v/>
      </c>
    </row>
    <row r="1890" spans="2:9">
      <c r="B1890" s="11">
        <f t="shared" si="172"/>
        <v>44646</v>
      </c>
      <c r="C1890" s="19">
        <f>MONTH(Tabela6[[#This Row],[Data]])</f>
        <v>3</v>
      </c>
      <c r="D1890" s="19">
        <f>YEAR(Tabela6[[#This Row],[Data]])</f>
        <v>2022</v>
      </c>
      <c r="E1890" s="12" t="s">
        <v>78</v>
      </c>
      <c r="F1890" t="s">
        <v>61</v>
      </c>
      <c r="G1890" s="26">
        <v>14</v>
      </c>
      <c r="I1890" t="str">
        <f>IFERROR(VLOOKUP(Tabela6[[#This Row],[Descrição]],Materiais!B:C,2,0),"")</f>
        <v/>
      </c>
    </row>
    <row r="1891" spans="2:9">
      <c r="B1891" s="11">
        <f t="shared" si="172"/>
        <v>44646</v>
      </c>
      <c r="C1891" s="19">
        <f>MONTH(Tabela6[[#This Row],[Data]])</f>
        <v>3</v>
      </c>
      <c r="D1891" s="19">
        <f>YEAR(Tabela6[[#This Row],[Data]])</f>
        <v>2022</v>
      </c>
      <c r="E1891" s="12" t="s">
        <v>78</v>
      </c>
      <c r="F1891" t="s">
        <v>58</v>
      </c>
      <c r="G1891" s="26">
        <v>10</v>
      </c>
      <c r="I1891" t="str">
        <f>IFERROR(VLOOKUP(Tabela6[[#This Row],[Descrição]],Materiais!B:C,2,0),"")</f>
        <v/>
      </c>
    </row>
    <row r="1892" spans="2:9">
      <c r="B1892" s="11">
        <f t="shared" si="172"/>
        <v>44646</v>
      </c>
      <c r="C1892" s="19">
        <f>MONTH(Tabela6[[#This Row],[Data]])</f>
        <v>3</v>
      </c>
      <c r="D1892" s="19">
        <f>YEAR(Tabela6[[#This Row],[Data]])</f>
        <v>2022</v>
      </c>
      <c r="E1892" s="12" t="s">
        <v>78</v>
      </c>
      <c r="F1892" t="s">
        <v>133</v>
      </c>
      <c r="G1892" s="26">
        <v>8</v>
      </c>
      <c r="I1892" t="str">
        <f>IFERROR(VLOOKUP(Tabela6[[#This Row],[Descrição]],Materiais!B:C,2,0),"")</f>
        <v/>
      </c>
    </row>
    <row r="1893" spans="2:9">
      <c r="B1893" s="11">
        <f t="shared" si="172"/>
        <v>44646</v>
      </c>
      <c r="C1893" s="19">
        <f>MONTH(Tabela6[[#This Row],[Data]])</f>
        <v>3</v>
      </c>
      <c r="D1893" s="19">
        <f>YEAR(Tabela6[[#This Row],[Data]])</f>
        <v>2022</v>
      </c>
      <c r="E1893" s="12" t="s">
        <v>78</v>
      </c>
      <c r="F1893" t="s">
        <v>152</v>
      </c>
      <c r="G1893" s="26">
        <v>6</v>
      </c>
      <c r="I1893" t="str">
        <f>IFERROR(VLOOKUP(Tabela6[[#This Row],[Descrição]],Materiais!B:C,2,0),"")</f>
        <v/>
      </c>
    </row>
    <row r="1894" spans="2:9">
      <c r="B1894" s="11">
        <f t="shared" si="172"/>
        <v>44646</v>
      </c>
      <c r="C1894" s="19">
        <f>MONTH(Tabela6[[#This Row],[Data]])</f>
        <v>3</v>
      </c>
      <c r="D1894" s="19">
        <f>YEAR(Tabela6[[#This Row],[Data]])</f>
        <v>2022</v>
      </c>
      <c r="E1894" s="12" t="s">
        <v>78</v>
      </c>
      <c r="F1894" t="s">
        <v>148</v>
      </c>
      <c r="G1894" s="26">
        <v>4</v>
      </c>
      <c r="I1894" t="str">
        <f>IFERROR(VLOOKUP(Tabela6[[#This Row],[Descrição]],Materiais!B:C,2,0),"")</f>
        <v/>
      </c>
    </row>
    <row r="1895" spans="2:9">
      <c r="B1895" s="11">
        <f t="shared" si="172"/>
        <v>44646</v>
      </c>
      <c r="C1895" s="19">
        <f>MONTH(Tabela6[[#This Row],[Data]])</f>
        <v>3</v>
      </c>
      <c r="D1895" s="19">
        <f>YEAR(Tabela6[[#This Row],[Data]])</f>
        <v>2022</v>
      </c>
      <c r="E1895" s="12" t="s">
        <v>78</v>
      </c>
      <c r="F1895" t="s">
        <v>95</v>
      </c>
      <c r="G1895" s="26">
        <v>4</v>
      </c>
      <c r="I1895" t="str">
        <f>IFERROR(VLOOKUP(Tabela6[[#This Row],[Descrição]],Materiais!B:C,2,0),"")</f>
        <v/>
      </c>
    </row>
    <row r="1896" spans="2:9">
      <c r="B1896" s="11">
        <f>43187+(365*4)</f>
        <v>44647</v>
      </c>
      <c r="C1896" s="19">
        <f>MONTH(Tabela6[[#This Row],[Data]])</f>
        <v>3</v>
      </c>
      <c r="D1896" s="19">
        <f>YEAR(Tabela6[[#This Row],[Data]])</f>
        <v>2022</v>
      </c>
      <c r="E1896" s="12" t="s">
        <v>78</v>
      </c>
      <c r="F1896" t="s">
        <v>61</v>
      </c>
      <c r="G1896" s="26">
        <v>10</v>
      </c>
      <c r="I1896" t="str">
        <f>IFERROR(VLOOKUP(Tabela6[[#This Row],[Descrição]],Materiais!B:C,2,0),"")</f>
        <v/>
      </c>
    </row>
    <row r="1897" spans="2:9">
      <c r="B1897" s="11">
        <f>43187+(365*4)</f>
        <v>44647</v>
      </c>
      <c r="C1897" s="19">
        <f>MONTH(Tabela6[[#This Row],[Data]])</f>
        <v>3</v>
      </c>
      <c r="D1897" s="19">
        <f>YEAR(Tabela6[[#This Row],[Data]])</f>
        <v>2022</v>
      </c>
      <c r="E1897" s="12" t="s">
        <v>78</v>
      </c>
      <c r="F1897" t="s">
        <v>133</v>
      </c>
      <c r="G1897" s="26">
        <v>6</v>
      </c>
      <c r="I1897" t="str">
        <f>IFERROR(VLOOKUP(Tabela6[[#This Row],[Descrição]],Materiais!B:C,2,0),"")</f>
        <v/>
      </c>
    </row>
    <row r="1898" spans="2:9">
      <c r="B1898" s="11">
        <f>43187+(365*4)</f>
        <v>44647</v>
      </c>
      <c r="C1898" s="19">
        <f>MONTH(Tabela6[[#This Row],[Data]])</f>
        <v>3</v>
      </c>
      <c r="D1898" s="19">
        <f>YEAR(Tabela6[[#This Row],[Data]])</f>
        <v>2022</v>
      </c>
      <c r="E1898" s="12" t="s">
        <v>78</v>
      </c>
      <c r="F1898" t="s">
        <v>152</v>
      </c>
      <c r="G1898" s="26">
        <v>6</v>
      </c>
      <c r="I1898" t="str">
        <f>IFERROR(VLOOKUP(Tabela6[[#This Row],[Descrição]],Materiais!B:C,2,0),"")</f>
        <v/>
      </c>
    </row>
    <row r="1899" spans="2:9">
      <c r="B1899" s="11">
        <f>43187+(365*4)</f>
        <v>44647</v>
      </c>
      <c r="C1899" s="19">
        <f>MONTH(Tabela6[[#This Row],[Data]])</f>
        <v>3</v>
      </c>
      <c r="D1899" s="19">
        <f>YEAR(Tabela6[[#This Row],[Data]])</f>
        <v>2022</v>
      </c>
      <c r="E1899" s="12" t="s">
        <v>78</v>
      </c>
      <c r="F1899" t="s">
        <v>56</v>
      </c>
      <c r="G1899" s="26">
        <v>6</v>
      </c>
      <c r="I1899" t="str">
        <f>IFERROR(VLOOKUP(Tabela6[[#This Row],[Descrição]],Materiais!B:C,2,0),"")</f>
        <v/>
      </c>
    </row>
    <row r="1900" spans="2:9">
      <c r="B1900" s="11">
        <f>43187+(365*4)</f>
        <v>44647</v>
      </c>
      <c r="C1900" s="19">
        <f>MONTH(Tabela6[[#This Row],[Data]])</f>
        <v>3</v>
      </c>
      <c r="D1900" s="19">
        <f>YEAR(Tabela6[[#This Row],[Data]])</f>
        <v>2022</v>
      </c>
      <c r="E1900" s="12" t="s">
        <v>78</v>
      </c>
      <c r="F1900" t="s">
        <v>147</v>
      </c>
      <c r="G1900" s="26">
        <v>6</v>
      </c>
      <c r="I1900" t="str">
        <f>IFERROR(VLOOKUP(Tabela6[[#This Row],[Descrição]],Materiais!B:C,2,0),"")</f>
        <v/>
      </c>
    </row>
    <row r="1901" spans="2:9">
      <c r="B1901" s="11">
        <f>43189+(365*4)</f>
        <v>44649</v>
      </c>
      <c r="C1901" s="19">
        <f>MONTH(Tabela6[[#This Row],[Data]])</f>
        <v>3</v>
      </c>
      <c r="D1901" s="19">
        <f>YEAR(Tabela6[[#This Row],[Data]])</f>
        <v>2022</v>
      </c>
      <c r="E1901" s="12" t="s">
        <v>72</v>
      </c>
      <c r="F1901" t="s">
        <v>20</v>
      </c>
      <c r="G1901" s="26">
        <v>-29.900000000000002</v>
      </c>
      <c r="I1901" t="str">
        <f>IFERROR(VLOOKUP(Tabela6[[#This Row],[Descrição]],Materiais!B:C,2,0),"")</f>
        <v>g</v>
      </c>
    </row>
    <row r="1902" spans="2:9">
      <c r="B1902" s="11">
        <f>43189+(365*4)</f>
        <v>44649</v>
      </c>
      <c r="C1902" s="19">
        <f>MONTH(Tabela6[[#This Row],[Data]])</f>
        <v>3</v>
      </c>
      <c r="D1902" s="19">
        <f>YEAR(Tabela6[[#This Row],[Data]])</f>
        <v>2022</v>
      </c>
      <c r="E1902" s="12" t="s">
        <v>75</v>
      </c>
      <c r="F1902" t="s">
        <v>119</v>
      </c>
      <c r="G1902" s="26">
        <v>-1.98</v>
      </c>
      <c r="I1902" t="str">
        <f>IFERROR(VLOOKUP(Tabela6[[#This Row],[Descrição]],Materiais!B:C,2,0),"")</f>
        <v/>
      </c>
    </row>
    <row r="1903" spans="2:9">
      <c r="B1903" s="11">
        <f>43189+(365*4)</f>
        <v>44649</v>
      </c>
      <c r="C1903" s="19">
        <f>MONTH(Tabela6[[#This Row],[Data]])</f>
        <v>3</v>
      </c>
      <c r="D1903" s="19">
        <f>YEAR(Tabela6[[#This Row],[Data]])</f>
        <v>2022</v>
      </c>
      <c r="E1903" s="12" t="s">
        <v>75</v>
      </c>
      <c r="F1903" t="s">
        <v>91</v>
      </c>
      <c r="G1903" s="26">
        <v>-1.6</v>
      </c>
      <c r="I1903" t="str">
        <f>IFERROR(VLOOKUP(Tabela6[[#This Row],[Descrição]],Materiais!B:C,2,0),"")</f>
        <v/>
      </c>
    </row>
    <row r="1904" spans="2:9">
      <c r="B1904" s="11">
        <f>43189+(365*4)</f>
        <v>44649</v>
      </c>
      <c r="C1904" s="19">
        <f>MONTH(Tabela6[[#This Row],[Data]])</f>
        <v>3</v>
      </c>
      <c r="D1904" s="19">
        <f>YEAR(Tabela6[[#This Row],[Data]])</f>
        <v>2022</v>
      </c>
      <c r="E1904" s="12" t="s">
        <v>72</v>
      </c>
      <c r="F1904" t="s">
        <v>90</v>
      </c>
      <c r="G1904" s="26">
        <v>-15.1</v>
      </c>
      <c r="I1904" t="str">
        <f>IFERROR(VLOOKUP(Tabela6[[#This Row],[Descrição]],Materiais!B:C,2,0),"")</f>
        <v/>
      </c>
    </row>
    <row r="1905" spans="2:9">
      <c r="B1905" s="11">
        <f>43191+(365*4)</f>
        <v>44651</v>
      </c>
      <c r="C1905" s="19">
        <f>MONTH(Tabela6[[#This Row],[Data]])</f>
        <v>3</v>
      </c>
      <c r="D1905" s="19">
        <f>YEAR(Tabela6[[#This Row],[Data]])</f>
        <v>2022</v>
      </c>
      <c r="E1905" s="12" t="s">
        <v>78</v>
      </c>
      <c r="F1905" t="s">
        <v>56</v>
      </c>
      <c r="G1905" s="26">
        <v>25</v>
      </c>
      <c r="I1905" t="str">
        <f>IFERROR(VLOOKUP(Tabela6[[#This Row],[Descrição]],Materiais!B:C,2,0),"")</f>
        <v/>
      </c>
    </row>
    <row r="1906" spans="2:9">
      <c r="B1906" s="11">
        <f t="shared" ref="B1906:B1911" si="173">43220+(365*4)</f>
        <v>44680</v>
      </c>
      <c r="C1906" s="19">
        <f>MONTH(Tabela6[[#This Row],[Data]])</f>
        <v>4</v>
      </c>
      <c r="D1906" s="19">
        <f>YEAR(Tabela6[[#This Row],[Data]])</f>
        <v>2022</v>
      </c>
      <c r="E1906" s="12" t="s">
        <v>78</v>
      </c>
      <c r="F1906" t="s">
        <v>56</v>
      </c>
      <c r="G1906" s="26">
        <v>91</v>
      </c>
      <c r="I1906" t="str">
        <f>IFERROR(VLOOKUP(Tabela6[[#This Row],[Descrição]],Materiais!B:C,2,0),"")</f>
        <v/>
      </c>
    </row>
    <row r="1907" spans="2:9">
      <c r="B1907" s="11">
        <f t="shared" si="173"/>
        <v>44680</v>
      </c>
      <c r="C1907" s="19">
        <f>MONTH(Tabela6[[#This Row],[Data]])</f>
        <v>4</v>
      </c>
      <c r="D1907" s="19">
        <f>YEAR(Tabela6[[#This Row],[Data]])</f>
        <v>2022</v>
      </c>
      <c r="E1907" s="12" t="s">
        <v>78</v>
      </c>
      <c r="F1907" t="s">
        <v>63</v>
      </c>
      <c r="G1907" s="26">
        <v>4</v>
      </c>
      <c r="I1907" t="str">
        <f>IFERROR(VLOOKUP(Tabela6[[#This Row],[Descrição]],Materiais!B:C,2,0),"")</f>
        <v/>
      </c>
    </row>
    <row r="1908" spans="2:9">
      <c r="B1908" s="11">
        <f t="shared" si="173"/>
        <v>44680</v>
      </c>
      <c r="C1908" s="19">
        <f>MONTH(Tabela6[[#This Row],[Data]])</f>
        <v>4</v>
      </c>
      <c r="D1908" s="19">
        <f>YEAR(Tabela6[[#This Row],[Data]])</f>
        <v>2022</v>
      </c>
      <c r="E1908" s="12" t="s">
        <v>78</v>
      </c>
      <c r="F1908" t="s">
        <v>56</v>
      </c>
      <c r="G1908" s="26">
        <v>4</v>
      </c>
      <c r="I1908" t="str">
        <f>IFERROR(VLOOKUP(Tabela6[[#This Row],[Descrição]],Materiais!B:C,2,0),"")</f>
        <v/>
      </c>
    </row>
    <row r="1909" spans="2:9">
      <c r="B1909" s="11">
        <f t="shared" si="173"/>
        <v>44680</v>
      </c>
      <c r="C1909" s="19">
        <f>MONTH(Tabela6[[#This Row],[Data]])</f>
        <v>4</v>
      </c>
      <c r="D1909" s="19">
        <f>YEAR(Tabela6[[#This Row],[Data]])</f>
        <v>2022</v>
      </c>
      <c r="E1909" s="12" t="s">
        <v>78</v>
      </c>
      <c r="F1909" t="s">
        <v>147</v>
      </c>
      <c r="G1909" s="26">
        <v>2</v>
      </c>
      <c r="I1909" t="str">
        <f>IFERROR(VLOOKUP(Tabela6[[#This Row],[Descrição]],Materiais!B:C,2,0),"")</f>
        <v/>
      </c>
    </row>
    <row r="1910" spans="2:9">
      <c r="B1910" s="11">
        <f t="shared" si="173"/>
        <v>44680</v>
      </c>
      <c r="C1910" s="19">
        <f>MONTH(Tabela6[[#This Row],[Data]])</f>
        <v>4</v>
      </c>
      <c r="D1910" s="19">
        <f>YEAR(Tabela6[[#This Row],[Data]])</f>
        <v>2022</v>
      </c>
      <c r="E1910" s="12" t="s">
        <v>78</v>
      </c>
      <c r="F1910" t="s">
        <v>61</v>
      </c>
      <c r="G1910" s="26">
        <v>8</v>
      </c>
      <c r="I1910" t="str">
        <f>IFERROR(VLOOKUP(Tabela6[[#This Row],[Descrição]],Materiais!B:C,2,0),"")</f>
        <v/>
      </c>
    </row>
    <row r="1911" spans="2:9">
      <c r="B1911" s="11">
        <f t="shared" si="173"/>
        <v>44680</v>
      </c>
      <c r="C1911" s="19">
        <f>MONTH(Tabela6[[#This Row],[Data]])</f>
        <v>4</v>
      </c>
      <c r="D1911" s="19">
        <f>YEAR(Tabela6[[#This Row],[Data]])</f>
        <v>2022</v>
      </c>
      <c r="E1911" s="12" t="s">
        <v>78</v>
      </c>
      <c r="F1911" t="s">
        <v>56</v>
      </c>
      <c r="G1911" s="26">
        <v>35</v>
      </c>
      <c r="I1911" t="str">
        <f>IFERROR(VLOOKUP(Tabela6[[#This Row],[Descrição]],Materiais!B:C,2,0),"")</f>
        <v/>
      </c>
    </row>
    <row r="1912" spans="2:9">
      <c r="B1912" s="11">
        <f t="shared" ref="B1912:B1917" si="174">43222+(365*4)</f>
        <v>44682</v>
      </c>
      <c r="C1912" s="19">
        <f>MONTH(Tabela6[[#This Row],[Data]])</f>
        <v>5</v>
      </c>
      <c r="D1912" s="19">
        <f>YEAR(Tabela6[[#This Row],[Data]])</f>
        <v>2022</v>
      </c>
      <c r="E1912" s="12" t="s">
        <v>78</v>
      </c>
      <c r="F1912" t="s">
        <v>63</v>
      </c>
      <c r="G1912" s="26">
        <v>2</v>
      </c>
      <c r="I1912" t="str">
        <f>IFERROR(VLOOKUP(Tabela6[[#This Row],[Descrição]],Materiais!B:C,2,0),"")</f>
        <v/>
      </c>
    </row>
    <row r="1913" spans="2:9">
      <c r="B1913" s="11">
        <f t="shared" si="174"/>
        <v>44682</v>
      </c>
      <c r="C1913" s="19">
        <f>MONTH(Tabela6[[#This Row],[Data]])</f>
        <v>5</v>
      </c>
      <c r="D1913" s="19">
        <f>YEAR(Tabela6[[#This Row],[Data]])</f>
        <v>2022</v>
      </c>
      <c r="E1913" s="12" t="s">
        <v>78</v>
      </c>
      <c r="F1913" t="s">
        <v>56</v>
      </c>
      <c r="G1913" s="26">
        <v>6</v>
      </c>
      <c r="I1913" t="str">
        <f>IFERROR(VLOOKUP(Tabela6[[#This Row],[Descrição]],Materiais!B:C,2,0),"")</f>
        <v/>
      </c>
    </row>
    <row r="1914" spans="2:9">
      <c r="B1914" s="11">
        <f t="shared" si="174"/>
        <v>44682</v>
      </c>
      <c r="C1914" s="19">
        <f>MONTH(Tabela6[[#This Row],[Data]])</f>
        <v>5</v>
      </c>
      <c r="D1914" s="19">
        <f>YEAR(Tabela6[[#This Row],[Data]])</f>
        <v>2022</v>
      </c>
      <c r="E1914" s="12" t="s">
        <v>78</v>
      </c>
      <c r="F1914" t="s">
        <v>147</v>
      </c>
      <c r="G1914" s="26">
        <v>6</v>
      </c>
      <c r="I1914" t="str">
        <f>IFERROR(VLOOKUP(Tabela6[[#This Row],[Descrição]],Materiais!B:C,2,0),"")</f>
        <v/>
      </c>
    </row>
    <row r="1915" spans="2:9">
      <c r="B1915" s="11">
        <f t="shared" si="174"/>
        <v>44682</v>
      </c>
      <c r="C1915" s="19">
        <f>MONTH(Tabela6[[#This Row],[Data]])</f>
        <v>5</v>
      </c>
      <c r="D1915" s="19">
        <f>YEAR(Tabela6[[#This Row],[Data]])</f>
        <v>2022</v>
      </c>
      <c r="E1915" s="12" t="s">
        <v>78</v>
      </c>
      <c r="F1915" t="s">
        <v>61</v>
      </c>
      <c r="G1915" s="26">
        <v>10</v>
      </c>
      <c r="I1915" t="str">
        <f>IFERROR(VLOOKUP(Tabela6[[#This Row],[Descrição]],Materiais!B:C,2,0),"")</f>
        <v/>
      </c>
    </row>
    <row r="1916" spans="2:9">
      <c r="B1916" s="11">
        <f t="shared" si="174"/>
        <v>44682</v>
      </c>
      <c r="C1916" s="19">
        <f>MONTH(Tabela6[[#This Row],[Data]])</f>
        <v>5</v>
      </c>
      <c r="D1916" s="19">
        <f>YEAR(Tabela6[[#This Row],[Data]])</f>
        <v>2022</v>
      </c>
      <c r="E1916" s="12" t="s">
        <v>78</v>
      </c>
      <c r="F1916" t="s">
        <v>58</v>
      </c>
      <c r="G1916" s="26">
        <v>6</v>
      </c>
      <c r="I1916" t="str">
        <f>IFERROR(VLOOKUP(Tabela6[[#This Row],[Descrição]],Materiais!B:C,2,0),"")</f>
        <v/>
      </c>
    </row>
    <row r="1917" spans="2:9">
      <c r="B1917" s="11">
        <f t="shared" si="174"/>
        <v>44682</v>
      </c>
      <c r="C1917" s="19">
        <f>MONTH(Tabela6[[#This Row],[Data]])</f>
        <v>5</v>
      </c>
      <c r="D1917" s="19">
        <f>YEAR(Tabela6[[#This Row],[Data]])</f>
        <v>2022</v>
      </c>
      <c r="E1917" s="12" t="s">
        <v>78</v>
      </c>
      <c r="F1917" t="s">
        <v>133</v>
      </c>
      <c r="G1917" s="26">
        <v>2</v>
      </c>
      <c r="I1917" t="str">
        <f>IFERROR(VLOOKUP(Tabela6[[#This Row],[Descrição]],Materiais!B:C,2,0),"")</f>
        <v/>
      </c>
    </row>
    <row r="1918" spans="2:9">
      <c r="B1918" s="11">
        <f t="shared" ref="B1918:B1923" si="175">43223+(365*4)</f>
        <v>44683</v>
      </c>
      <c r="C1918" s="19">
        <f>MONTH(Tabela6[[#This Row],[Data]])</f>
        <v>5</v>
      </c>
      <c r="D1918" s="19">
        <f>YEAR(Tabela6[[#This Row],[Data]])</f>
        <v>2022</v>
      </c>
      <c r="E1918" s="12" t="s">
        <v>78</v>
      </c>
      <c r="F1918" t="s">
        <v>56</v>
      </c>
      <c r="G1918" s="26">
        <v>8</v>
      </c>
      <c r="I1918" t="str">
        <f>IFERROR(VLOOKUP(Tabela6[[#This Row],[Descrição]],Materiais!B:C,2,0),"")</f>
        <v/>
      </c>
    </row>
    <row r="1919" spans="2:9">
      <c r="B1919" s="11">
        <f t="shared" si="175"/>
        <v>44683</v>
      </c>
      <c r="C1919" s="19">
        <f>MONTH(Tabela6[[#This Row],[Data]])</f>
        <v>5</v>
      </c>
      <c r="D1919" s="19">
        <f>YEAR(Tabela6[[#This Row],[Data]])</f>
        <v>2022</v>
      </c>
      <c r="E1919" s="12" t="s">
        <v>78</v>
      </c>
      <c r="F1919" t="s">
        <v>63</v>
      </c>
      <c r="G1919" s="26">
        <v>6</v>
      </c>
      <c r="I1919" t="str">
        <f>IFERROR(VLOOKUP(Tabela6[[#This Row],[Descrição]],Materiais!B:C,2,0),"")</f>
        <v/>
      </c>
    </row>
    <row r="1920" spans="2:9">
      <c r="B1920" s="11">
        <f t="shared" si="175"/>
        <v>44683</v>
      </c>
      <c r="C1920" s="19">
        <f>MONTH(Tabela6[[#This Row],[Data]])</f>
        <v>5</v>
      </c>
      <c r="D1920" s="19">
        <f>YEAR(Tabela6[[#This Row],[Data]])</f>
        <v>2022</v>
      </c>
      <c r="E1920" s="12" t="s">
        <v>78</v>
      </c>
      <c r="F1920" t="s">
        <v>61</v>
      </c>
      <c r="G1920" s="26">
        <v>4</v>
      </c>
      <c r="I1920" t="str">
        <f>IFERROR(VLOOKUP(Tabela6[[#This Row],[Descrição]],Materiais!B:C,2,0),"")</f>
        <v/>
      </c>
    </row>
    <row r="1921" spans="2:9">
      <c r="B1921" s="11">
        <f t="shared" si="175"/>
        <v>44683</v>
      </c>
      <c r="C1921" s="19">
        <f>MONTH(Tabela6[[#This Row],[Data]])</f>
        <v>5</v>
      </c>
      <c r="D1921" s="19">
        <f>YEAR(Tabela6[[#This Row],[Data]])</f>
        <v>2022</v>
      </c>
      <c r="E1921" s="12" t="s">
        <v>78</v>
      </c>
      <c r="F1921" t="s">
        <v>58</v>
      </c>
      <c r="G1921" s="26">
        <v>2</v>
      </c>
      <c r="I1921" t="str">
        <f>IFERROR(VLOOKUP(Tabela6[[#This Row],[Descrição]],Materiais!B:C,2,0),"")</f>
        <v/>
      </c>
    </row>
    <row r="1922" spans="2:9">
      <c r="B1922" s="11">
        <f t="shared" si="175"/>
        <v>44683</v>
      </c>
      <c r="C1922" s="19">
        <f>MONTH(Tabela6[[#This Row],[Data]])</f>
        <v>5</v>
      </c>
      <c r="D1922" s="19">
        <f>YEAR(Tabela6[[#This Row],[Data]])</f>
        <v>2022</v>
      </c>
      <c r="E1922" s="12" t="s">
        <v>78</v>
      </c>
      <c r="F1922" t="s">
        <v>133</v>
      </c>
      <c r="G1922" s="26">
        <v>2</v>
      </c>
      <c r="I1922" t="str">
        <f>IFERROR(VLOOKUP(Tabela6[[#This Row],[Descrição]],Materiais!B:C,2,0),"")</f>
        <v/>
      </c>
    </row>
    <row r="1923" spans="2:9">
      <c r="B1923" s="11">
        <f t="shared" si="175"/>
        <v>44683</v>
      </c>
      <c r="C1923" s="19">
        <f>MONTH(Tabela6[[#This Row],[Data]])</f>
        <v>5</v>
      </c>
      <c r="D1923" s="19">
        <f>YEAR(Tabela6[[#This Row],[Data]])</f>
        <v>2022</v>
      </c>
      <c r="E1923" s="12" t="s">
        <v>78</v>
      </c>
      <c r="F1923" t="s">
        <v>95</v>
      </c>
      <c r="G1923" s="26">
        <v>2</v>
      </c>
      <c r="I1923" t="str">
        <f>IFERROR(VLOOKUP(Tabela6[[#This Row],[Descrição]],Materiais!B:C,2,0),"")</f>
        <v/>
      </c>
    </row>
    <row r="1924" spans="2:9">
      <c r="B1924" s="11">
        <f>43224+(365*4)</f>
        <v>44684</v>
      </c>
      <c r="C1924" s="19">
        <f>MONTH(Tabela6[[#This Row],[Data]])</f>
        <v>5</v>
      </c>
      <c r="D1924" s="19">
        <f>YEAR(Tabela6[[#This Row],[Data]])</f>
        <v>2022</v>
      </c>
      <c r="E1924" s="12" t="s">
        <v>78</v>
      </c>
      <c r="F1924" t="s">
        <v>56</v>
      </c>
      <c r="G1924" s="26">
        <v>2</v>
      </c>
      <c r="I1924" t="str">
        <f>IFERROR(VLOOKUP(Tabela6[[#This Row],[Descrição]],Materiais!B:C,2,0),"")</f>
        <v/>
      </c>
    </row>
    <row r="1925" spans="2:9">
      <c r="B1925" s="11">
        <f>43224+(365*4)</f>
        <v>44684</v>
      </c>
      <c r="C1925" s="19">
        <f>MONTH(Tabela6[[#This Row],[Data]])</f>
        <v>5</v>
      </c>
      <c r="D1925" s="19">
        <f>YEAR(Tabela6[[#This Row],[Data]])</f>
        <v>2022</v>
      </c>
      <c r="E1925" s="12" t="s">
        <v>78</v>
      </c>
      <c r="F1925" t="s">
        <v>152</v>
      </c>
      <c r="G1925" s="26">
        <v>6</v>
      </c>
      <c r="I1925" t="str">
        <f>IFERROR(VLOOKUP(Tabela6[[#This Row],[Descrição]],Materiais!B:C,2,0),"")</f>
        <v/>
      </c>
    </row>
    <row r="1926" spans="2:9">
      <c r="B1926" s="11">
        <f t="shared" ref="B1926:B1939" si="176">43225+(365*4)</f>
        <v>44685</v>
      </c>
      <c r="C1926" s="19">
        <f>MONTH(Tabela6[[#This Row],[Data]])</f>
        <v>5</v>
      </c>
      <c r="D1926" s="19">
        <f>YEAR(Tabela6[[#This Row],[Data]])</f>
        <v>2022</v>
      </c>
      <c r="E1926" s="12" t="s">
        <v>78</v>
      </c>
      <c r="F1926" t="s">
        <v>56</v>
      </c>
      <c r="G1926" s="26">
        <v>140</v>
      </c>
      <c r="I1926" t="str">
        <f>IFERROR(VLOOKUP(Tabela6[[#This Row],[Descrição]],Materiais!B:C,2,0),"")</f>
        <v/>
      </c>
    </row>
    <row r="1927" spans="2:9">
      <c r="B1927" s="11">
        <f t="shared" si="176"/>
        <v>44685</v>
      </c>
      <c r="C1927" s="19">
        <f>MONTH(Tabela6[[#This Row],[Data]])</f>
        <v>5</v>
      </c>
      <c r="D1927" s="19">
        <f>YEAR(Tabela6[[#This Row],[Data]])</f>
        <v>2022</v>
      </c>
      <c r="E1927" s="12" t="s">
        <v>72</v>
      </c>
      <c r="F1927" t="s">
        <v>90</v>
      </c>
      <c r="G1927" s="26">
        <v>-14.2</v>
      </c>
      <c r="I1927" t="str">
        <f>IFERROR(VLOOKUP(Tabela6[[#This Row],[Descrição]],Materiais!B:C,2,0),"")</f>
        <v/>
      </c>
    </row>
    <row r="1928" spans="2:9">
      <c r="B1928" s="11">
        <f t="shared" si="176"/>
        <v>44685</v>
      </c>
      <c r="C1928" s="19">
        <f>MONTH(Tabela6[[#This Row],[Data]])</f>
        <v>5</v>
      </c>
      <c r="D1928" s="19">
        <f>YEAR(Tabela6[[#This Row],[Data]])</f>
        <v>2022</v>
      </c>
      <c r="E1928" s="12" t="s">
        <v>72</v>
      </c>
      <c r="F1928" t="s">
        <v>9</v>
      </c>
      <c r="G1928" s="26">
        <v>-28.5</v>
      </c>
      <c r="I1928" t="str">
        <f>IFERROR(VLOOKUP(Tabela6[[#This Row],[Descrição]],Materiais!B:C,2,0),"")</f>
        <v>g</v>
      </c>
    </row>
    <row r="1929" spans="2:9">
      <c r="B1929" s="11">
        <f t="shared" si="176"/>
        <v>44685</v>
      </c>
      <c r="C1929" s="19">
        <f>MONTH(Tabela6[[#This Row],[Data]])</f>
        <v>5</v>
      </c>
      <c r="D1929" s="19">
        <f>YEAR(Tabela6[[#This Row],[Data]])</f>
        <v>2022</v>
      </c>
      <c r="E1929" s="12" t="s">
        <v>72</v>
      </c>
      <c r="F1929" t="s">
        <v>74</v>
      </c>
      <c r="G1929" s="26">
        <v>-52.9</v>
      </c>
      <c r="I1929" t="str">
        <f>IFERROR(VLOOKUP(Tabela6[[#This Row],[Descrição]],Materiais!B:C,2,0),"")</f>
        <v/>
      </c>
    </row>
    <row r="1930" spans="2:9">
      <c r="B1930" s="11">
        <f t="shared" si="176"/>
        <v>44685</v>
      </c>
      <c r="C1930" s="19">
        <f>MONTH(Tabela6[[#This Row],[Data]])</f>
        <v>5</v>
      </c>
      <c r="D1930" s="19">
        <f>YEAR(Tabela6[[#This Row],[Data]])</f>
        <v>2022</v>
      </c>
      <c r="E1930" s="12" t="s">
        <v>72</v>
      </c>
      <c r="F1930" t="s">
        <v>7</v>
      </c>
      <c r="G1930" s="26">
        <v>-2.16</v>
      </c>
      <c r="I1930" t="str">
        <f>IFERROR(VLOOKUP(Tabela6[[#This Row],[Descrição]],Materiais!B:C,2,0),"")</f>
        <v>g</v>
      </c>
    </row>
    <row r="1931" spans="2:9">
      <c r="B1931" s="11">
        <f t="shared" si="176"/>
        <v>44685</v>
      </c>
      <c r="C1931" s="19">
        <f>MONTH(Tabela6[[#This Row],[Data]])</f>
        <v>5</v>
      </c>
      <c r="D1931" s="19">
        <f>YEAR(Tabela6[[#This Row],[Data]])</f>
        <v>2022</v>
      </c>
      <c r="E1931" s="12" t="s">
        <v>72</v>
      </c>
      <c r="F1931" t="s">
        <v>16</v>
      </c>
      <c r="G1931" s="26">
        <v>-6.77</v>
      </c>
      <c r="I1931" t="str">
        <f>IFERROR(VLOOKUP(Tabela6[[#This Row],[Descrição]],Materiais!B:C,2,0),"")</f>
        <v>g</v>
      </c>
    </row>
    <row r="1932" spans="2:9">
      <c r="B1932" s="11">
        <f t="shared" si="176"/>
        <v>44685</v>
      </c>
      <c r="C1932" s="19">
        <f>MONTH(Tabela6[[#This Row],[Data]])</f>
        <v>5</v>
      </c>
      <c r="D1932" s="19">
        <f>YEAR(Tabela6[[#This Row],[Data]])</f>
        <v>2022</v>
      </c>
      <c r="E1932" s="12" t="s">
        <v>72</v>
      </c>
      <c r="F1932" t="s">
        <v>18</v>
      </c>
      <c r="G1932" s="26">
        <v>-6.8</v>
      </c>
      <c r="I1932" t="str">
        <f>IFERROR(VLOOKUP(Tabela6[[#This Row],[Descrição]],Materiais!B:C,2,0),"")</f>
        <v>g</v>
      </c>
    </row>
    <row r="1933" spans="2:9">
      <c r="B1933" s="11">
        <f t="shared" si="176"/>
        <v>44685</v>
      </c>
      <c r="C1933" s="19">
        <f>MONTH(Tabela6[[#This Row],[Data]])</f>
        <v>5</v>
      </c>
      <c r="D1933" s="19">
        <f>YEAR(Tabela6[[#This Row],[Data]])</f>
        <v>2022</v>
      </c>
      <c r="E1933" s="12" t="s">
        <v>72</v>
      </c>
      <c r="F1933" t="s">
        <v>77</v>
      </c>
      <c r="G1933" s="26">
        <v>-17.2</v>
      </c>
      <c r="I1933" t="str">
        <f>IFERROR(VLOOKUP(Tabela6[[#This Row],[Descrição]],Materiais!B:C,2,0),"")</f>
        <v/>
      </c>
    </row>
    <row r="1934" spans="2:9">
      <c r="B1934" s="11">
        <f t="shared" si="176"/>
        <v>44685</v>
      </c>
      <c r="C1934" s="19">
        <f>MONTH(Tabela6[[#This Row],[Data]])</f>
        <v>5</v>
      </c>
      <c r="D1934" s="19">
        <f>YEAR(Tabela6[[#This Row],[Data]])</f>
        <v>2022</v>
      </c>
      <c r="E1934" s="12" t="s">
        <v>75</v>
      </c>
      <c r="F1934" t="s">
        <v>119</v>
      </c>
      <c r="G1934" s="26">
        <v>-3.96</v>
      </c>
      <c r="I1934" t="str">
        <f>IFERROR(VLOOKUP(Tabela6[[#This Row],[Descrição]],Materiais!B:C,2,0),"")</f>
        <v/>
      </c>
    </row>
    <row r="1935" spans="2:9">
      <c r="B1935" s="11">
        <f t="shared" si="176"/>
        <v>44685</v>
      </c>
      <c r="C1935" s="19">
        <f>MONTH(Tabela6[[#This Row],[Data]])</f>
        <v>5</v>
      </c>
      <c r="D1935" s="19">
        <f>YEAR(Tabela6[[#This Row],[Data]])</f>
        <v>2022</v>
      </c>
      <c r="E1935" s="12" t="s">
        <v>72</v>
      </c>
      <c r="F1935" t="s">
        <v>8</v>
      </c>
      <c r="G1935" s="26">
        <v>-3.99</v>
      </c>
      <c r="I1935" t="str">
        <f>IFERROR(VLOOKUP(Tabela6[[#This Row],[Descrição]],Materiais!B:C,2,0),"")</f>
        <v>g</v>
      </c>
    </row>
    <row r="1936" spans="2:9">
      <c r="B1936" s="11">
        <f t="shared" si="176"/>
        <v>44685</v>
      </c>
      <c r="C1936" s="19">
        <f>MONTH(Tabela6[[#This Row],[Data]])</f>
        <v>5</v>
      </c>
      <c r="D1936" s="19">
        <f>YEAR(Tabela6[[#This Row],[Data]])</f>
        <v>2022</v>
      </c>
      <c r="E1936" s="12" t="s">
        <v>72</v>
      </c>
      <c r="F1936" t="s">
        <v>22</v>
      </c>
      <c r="G1936" s="26">
        <v>-37.400000000000006</v>
      </c>
      <c r="I1936" t="str">
        <f>IFERROR(VLOOKUP(Tabela6[[#This Row],[Descrição]],Materiais!B:C,2,0),"")</f>
        <v>g</v>
      </c>
    </row>
    <row r="1937" spans="2:9">
      <c r="B1937" s="11">
        <f t="shared" si="176"/>
        <v>44685</v>
      </c>
      <c r="C1937" s="19">
        <f>MONTH(Tabela6[[#This Row],[Data]])</f>
        <v>5</v>
      </c>
      <c r="D1937" s="19">
        <f>YEAR(Tabela6[[#This Row],[Data]])</f>
        <v>2022</v>
      </c>
      <c r="E1937" s="12" t="s">
        <v>72</v>
      </c>
      <c r="F1937" t="s">
        <v>17</v>
      </c>
      <c r="G1937" s="26">
        <v>-13.45</v>
      </c>
      <c r="I1937" t="str">
        <f>IFERROR(VLOOKUP(Tabela6[[#This Row],[Descrição]],Materiais!B:C,2,0),"")</f>
        <v>g</v>
      </c>
    </row>
    <row r="1938" spans="2:9">
      <c r="B1938" s="11">
        <f t="shared" si="176"/>
        <v>44685</v>
      </c>
      <c r="C1938" s="19">
        <f>MONTH(Tabela6[[#This Row],[Data]])</f>
        <v>5</v>
      </c>
      <c r="D1938" s="19">
        <f>YEAR(Tabela6[[#This Row],[Data]])</f>
        <v>2022</v>
      </c>
      <c r="E1938" s="12" t="s">
        <v>72</v>
      </c>
      <c r="F1938" t="s">
        <v>82</v>
      </c>
      <c r="G1938" s="26">
        <v>-11.9</v>
      </c>
      <c r="I1938" t="str">
        <f>IFERROR(VLOOKUP(Tabela6[[#This Row],[Descrição]],Materiais!B:C,2,0),"")</f>
        <v/>
      </c>
    </row>
    <row r="1939" spans="2:9">
      <c r="B1939" s="11">
        <f t="shared" si="176"/>
        <v>44685</v>
      </c>
      <c r="C1939" s="19">
        <f>MONTH(Tabela6[[#This Row],[Data]])</f>
        <v>5</v>
      </c>
      <c r="D1939" s="19">
        <f>YEAR(Tabela6[[#This Row],[Data]])</f>
        <v>2022</v>
      </c>
      <c r="E1939" s="12" t="s">
        <v>72</v>
      </c>
      <c r="F1939" t="s">
        <v>5</v>
      </c>
      <c r="G1939" s="26">
        <v>-2.4900000000000002</v>
      </c>
      <c r="I1939" t="str">
        <f>IFERROR(VLOOKUP(Tabela6[[#This Row],[Descrição]],Materiais!B:C,2,0),"")</f>
        <v>g</v>
      </c>
    </row>
    <row r="1940" spans="2:9">
      <c r="B1940" s="11">
        <f>43227+(365*4)</f>
        <v>44687</v>
      </c>
      <c r="C1940" s="19">
        <f>MONTH(Tabela6[[#This Row],[Data]])</f>
        <v>5</v>
      </c>
      <c r="D1940" s="19">
        <f>YEAR(Tabela6[[#This Row],[Data]])</f>
        <v>2022</v>
      </c>
      <c r="E1940" s="12" t="s">
        <v>78</v>
      </c>
      <c r="F1940" t="s">
        <v>56</v>
      </c>
      <c r="G1940" s="26">
        <v>8</v>
      </c>
      <c r="I1940" t="str">
        <f>IFERROR(VLOOKUP(Tabela6[[#This Row],[Descrição]],Materiais!B:C,2,0),"")</f>
        <v/>
      </c>
    </row>
    <row r="1941" spans="2:9">
      <c r="B1941" s="11">
        <f>43227+(365*4)</f>
        <v>44687</v>
      </c>
      <c r="C1941" s="19">
        <f>MONTH(Tabela6[[#This Row],[Data]])</f>
        <v>5</v>
      </c>
      <c r="D1941" s="19">
        <f>YEAR(Tabela6[[#This Row],[Data]])</f>
        <v>2022</v>
      </c>
      <c r="E1941" s="12" t="s">
        <v>78</v>
      </c>
      <c r="F1941" t="s">
        <v>61</v>
      </c>
      <c r="G1941" s="26">
        <v>4</v>
      </c>
      <c r="I1941" t="str">
        <f>IFERROR(VLOOKUP(Tabela6[[#This Row],[Descrição]],Materiais!B:C,2,0),"")</f>
        <v/>
      </c>
    </row>
    <row r="1942" spans="2:9">
      <c r="B1942" s="11">
        <f>43227+(365*4)</f>
        <v>44687</v>
      </c>
      <c r="C1942" s="19">
        <f>MONTH(Tabela6[[#This Row],[Data]])</f>
        <v>5</v>
      </c>
      <c r="D1942" s="19">
        <f>YEAR(Tabela6[[#This Row],[Data]])</f>
        <v>2022</v>
      </c>
      <c r="E1942" s="12" t="s">
        <v>78</v>
      </c>
      <c r="F1942" t="s">
        <v>58</v>
      </c>
      <c r="G1942" s="26">
        <v>4</v>
      </c>
      <c r="I1942" t="str">
        <f>IFERROR(VLOOKUP(Tabela6[[#This Row],[Descrição]],Materiais!B:C,2,0),"")</f>
        <v/>
      </c>
    </row>
    <row r="1943" spans="2:9">
      <c r="B1943" s="11">
        <f>43227+(365*4)</f>
        <v>44687</v>
      </c>
      <c r="C1943" s="19">
        <f>MONTH(Tabela6[[#This Row],[Data]])</f>
        <v>5</v>
      </c>
      <c r="D1943" s="19">
        <f>YEAR(Tabela6[[#This Row],[Data]])</f>
        <v>2022</v>
      </c>
      <c r="E1943" s="12" t="s">
        <v>78</v>
      </c>
      <c r="F1943" t="s">
        <v>152</v>
      </c>
      <c r="G1943" s="26">
        <v>4</v>
      </c>
      <c r="I1943" t="str">
        <f>IFERROR(VLOOKUP(Tabela6[[#This Row],[Descrição]],Materiais!B:C,2,0),"")</f>
        <v/>
      </c>
    </row>
    <row r="1944" spans="2:9">
      <c r="B1944" s="11">
        <f>43227+(365*4)</f>
        <v>44687</v>
      </c>
      <c r="C1944" s="19">
        <f>MONTH(Tabela6[[#This Row],[Data]])</f>
        <v>5</v>
      </c>
      <c r="D1944" s="19">
        <f>YEAR(Tabela6[[#This Row],[Data]])</f>
        <v>2022</v>
      </c>
      <c r="E1944" s="12" t="s">
        <v>78</v>
      </c>
      <c r="F1944" t="s">
        <v>147</v>
      </c>
      <c r="G1944" s="26">
        <v>2</v>
      </c>
      <c r="I1944" t="str">
        <f>IFERROR(VLOOKUP(Tabela6[[#This Row],[Descrição]],Materiais!B:C,2,0),"")</f>
        <v/>
      </c>
    </row>
    <row r="1945" spans="2:9">
      <c r="B1945" s="11">
        <f t="shared" ref="B1945:B1951" si="177">43228+(365*4)</f>
        <v>44688</v>
      </c>
      <c r="C1945" s="19">
        <f>MONTH(Tabela6[[#This Row],[Data]])</f>
        <v>5</v>
      </c>
      <c r="D1945" s="19">
        <f>YEAR(Tabela6[[#This Row],[Data]])</f>
        <v>2022</v>
      </c>
      <c r="E1945" s="12" t="s">
        <v>78</v>
      </c>
      <c r="F1945" t="s">
        <v>56</v>
      </c>
      <c r="G1945" s="26">
        <v>2</v>
      </c>
      <c r="I1945" t="str">
        <f>IFERROR(VLOOKUP(Tabela6[[#This Row],[Descrição]],Materiais!B:C,2,0),"")</f>
        <v/>
      </c>
    </row>
    <row r="1946" spans="2:9">
      <c r="B1946" s="11">
        <f t="shared" si="177"/>
        <v>44688</v>
      </c>
      <c r="C1946" s="19">
        <f>MONTH(Tabela6[[#This Row],[Data]])</f>
        <v>5</v>
      </c>
      <c r="D1946" s="19">
        <f>YEAR(Tabela6[[#This Row],[Data]])</f>
        <v>2022</v>
      </c>
      <c r="E1946" s="12" t="s">
        <v>78</v>
      </c>
      <c r="F1946" t="s">
        <v>61</v>
      </c>
      <c r="G1946" s="26">
        <v>8</v>
      </c>
      <c r="I1946" t="str">
        <f>IFERROR(VLOOKUP(Tabela6[[#This Row],[Descrição]],Materiais!B:C,2,0),"")</f>
        <v/>
      </c>
    </row>
    <row r="1947" spans="2:9">
      <c r="B1947" s="11">
        <f t="shared" si="177"/>
        <v>44688</v>
      </c>
      <c r="C1947" s="19">
        <f>MONTH(Tabela6[[#This Row],[Data]])</f>
        <v>5</v>
      </c>
      <c r="D1947" s="19">
        <f>YEAR(Tabela6[[#This Row],[Data]])</f>
        <v>2022</v>
      </c>
      <c r="E1947" s="12" t="s">
        <v>78</v>
      </c>
      <c r="F1947" t="s">
        <v>58</v>
      </c>
      <c r="G1947" s="26">
        <v>4</v>
      </c>
      <c r="I1947" t="str">
        <f>IFERROR(VLOOKUP(Tabela6[[#This Row],[Descrição]],Materiais!B:C,2,0),"")</f>
        <v/>
      </c>
    </row>
    <row r="1948" spans="2:9">
      <c r="B1948" s="11">
        <f t="shared" si="177"/>
        <v>44688</v>
      </c>
      <c r="C1948" s="19">
        <f>MONTH(Tabela6[[#This Row],[Data]])</f>
        <v>5</v>
      </c>
      <c r="D1948" s="19">
        <f>YEAR(Tabela6[[#This Row],[Data]])</f>
        <v>2022</v>
      </c>
      <c r="E1948" s="12" t="s">
        <v>78</v>
      </c>
      <c r="F1948" t="s">
        <v>152</v>
      </c>
      <c r="G1948" s="26">
        <v>2</v>
      </c>
      <c r="I1948" t="str">
        <f>IFERROR(VLOOKUP(Tabela6[[#This Row],[Descrição]],Materiais!B:C,2,0),"")</f>
        <v/>
      </c>
    </row>
    <row r="1949" spans="2:9">
      <c r="B1949" s="11">
        <f t="shared" si="177"/>
        <v>44688</v>
      </c>
      <c r="C1949" s="19">
        <f>MONTH(Tabela6[[#This Row],[Data]])</f>
        <v>5</v>
      </c>
      <c r="D1949" s="19">
        <f>YEAR(Tabela6[[#This Row],[Data]])</f>
        <v>2022</v>
      </c>
      <c r="E1949" s="12" t="s">
        <v>78</v>
      </c>
      <c r="F1949" t="s">
        <v>147</v>
      </c>
      <c r="G1949" s="26">
        <v>4</v>
      </c>
      <c r="I1949" t="str">
        <f>IFERROR(VLOOKUP(Tabela6[[#This Row],[Descrição]],Materiais!B:C,2,0),"")</f>
        <v/>
      </c>
    </row>
    <row r="1950" spans="2:9">
      <c r="B1950" s="11">
        <f t="shared" si="177"/>
        <v>44688</v>
      </c>
      <c r="C1950" s="19">
        <f>MONTH(Tabela6[[#This Row],[Data]])</f>
        <v>5</v>
      </c>
      <c r="D1950" s="19">
        <f>YEAR(Tabela6[[#This Row],[Data]])</f>
        <v>2022</v>
      </c>
      <c r="E1950" s="12" t="s">
        <v>78</v>
      </c>
      <c r="F1950" t="s">
        <v>63</v>
      </c>
      <c r="G1950" s="26">
        <v>6</v>
      </c>
      <c r="I1950" t="str">
        <f>IFERROR(VLOOKUP(Tabela6[[#This Row],[Descrição]],Materiais!B:C,2,0),"")</f>
        <v/>
      </c>
    </row>
    <row r="1951" spans="2:9">
      <c r="B1951" s="11">
        <f t="shared" si="177"/>
        <v>44688</v>
      </c>
      <c r="C1951" s="19">
        <f>MONTH(Tabela6[[#This Row],[Data]])</f>
        <v>5</v>
      </c>
      <c r="D1951" s="19">
        <f>YEAR(Tabela6[[#This Row],[Data]])</f>
        <v>2022</v>
      </c>
      <c r="E1951" s="12" t="s">
        <v>78</v>
      </c>
      <c r="F1951" t="s">
        <v>95</v>
      </c>
      <c r="G1951" s="26">
        <v>2</v>
      </c>
      <c r="I1951" t="str">
        <f>IFERROR(VLOOKUP(Tabela6[[#This Row],[Descrição]],Materiais!B:C,2,0),"")</f>
        <v/>
      </c>
    </row>
    <row r="1952" spans="2:9">
      <c r="B1952" s="11">
        <f>43230+(365*4)</f>
        <v>44690</v>
      </c>
      <c r="C1952" s="19">
        <f>MONTH(Tabela6[[#This Row],[Data]])</f>
        <v>5</v>
      </c>
      <c r="D1952" s="19">
        <f>YEAR(Tabela6[[#This Row],[Data]])</f>
        <v>2022</v>
      </c>
      <c r="E1952" s="12" t="s">
        <v>78</v>
      </c>
      <c r="F1952" t="s">
        <v>56</v>
      </c>
      <c r="G1952" s="26">
        <v>6</v>
      </c>
      <c r="I1952" t="str">
        <f>IFERROR(VLOOKUP(Tabela6[[#This Row],[Descrição]],Materiais!B:C,2,0),"")</f>
        <v/>
      </c>
    </row>
    <row r="1953" spans="2:9">
      <c r="B1953" s="11">
        <f>43230+(365*4)</f>
        <v>44690</v>
      </c>
      <c r="C1953" s="19">
        <f>MONTH(Tabela6[[#This Row],[Data]])</f>
        <v>5</v>
      </c>
      <c r="D1953" s="19">
        <f>YEAR(Tabela6[[#This Row],[Data]])</f>
        <v>2022</v>
      </c>
      <c r="E1953" s="12" t="s">
        <v>78</v>
      </c>
      <c r="F1953" t="s">
        <v>61</v>
      </c>
      <c r="G1953" s="26">
        <v>8</v>
      </c>
      <c r="I1953" t="str">
        <f>IFERROR(VLOOKUP(Tabela6[[#This Row],[Descrição]],Materiais!B:C,2,0),"")</f>
        <v/>
      </c>
    </row>
    <row r="1954" spans="2:9">
      <c r="B1954" s="11">
        <f>43230+(365*4)</f>
        <v>44690</v>
      </c>
      <c r="C1954" s="19">
        <f>MONTH(Tabela6[[#This Row],[Data]])</f>
        <v>5</v>
      </c>
      <c r="D1954" s="19">
        <f>YEAR(Tabela6[[#This Row],[Data]])</f>
        <v>2022</v>
      </c>
      <c r="E1954" s="12" t="s">
        <v>78</v>
      </c>
      <c r="F1954" t="s">
        <v>58</v>
      </c>
      <c r="G1954" s="26">
        <v>4</v>
      </c>
      <c r="I1954" t="str">
        <f>IFERROR(VLOOKUP(Tabela6[[#This Row],[Descrição]],Materiais!B:C,2,0),"")</f>
        <v/>
      </c>
    </row>
    <row r="1955" spans="2:9">
      <c r="B1955" s="11">
        <f>43230+(365*4)</f>
        <v>44690</v>
      </c>
      <c r="C1955" s="19">
        <f>MONTH(Tabela6[[#This Row],[Data]])</f>
        <v>5</v>
      </c>
      <c r="D1955" s="19">
        <f>YEAR(Tabela6[[#This Row],[Data]])</f>
        <v>2022</v>
      </c>
      <c r="E1955" s="12" t="s">
        <v>78</v>
      </c>
      <c r="F1955" t="s">
        <v>147</v>
      </c>
      <c r="G1955" s="26">
        <v>2</v>
      </c>
      <c r="I1955" t="str">
        <f>IFERROR(VLOOKUP(Tabela6[[#This Row],[Descrição]],Materiais!B:C,2,0),"")</f>
        <v/>
      </c>
    </row>
    <row r="1956" spans="2:9">
      <c r="B1956" s="11">
        <f t="shared" ref="B1956:B1961" si="178">43234+(365*4)</f>
        <v>44694</v>
      </c>
      <c r="C1956" s="19">
        <f>MONTH(Tabela6[[#This Row],[Data]])</f>
        <v>5</v>
      </c>
      <c r="D1956" s="19">
        <f>YEAR(Tabela6[[#This Row],[Data]])</f>
        <v>2022</v>
      </c>
      <c r="E1956" s="12" t="s">
        <v>78</v>
      </c>
      <c r="F1956" t="s">
        <v>56</v>
      </c>
      <c r="G1956" s="26">
        <v>10</v>
      </c>
      <c r="I1956" t="str">
        <f>IFERROR(VLOOKUP(Tabela6[[#This Row],[Descrição]],Materiais!B:C,2,0),"")</f>
        <v/>
      </c>
    </row>
    <row r="1957" spans="2:9">
      <c r="B1957" s="11">
        <f t="shared" si="178"/>
        <v>44694</v>
      </c>
      <c r="C1957" s="19">
        <f>MONTH(Tabela6[[#This Row],[Data]])</f>
        <v>5</v>
      </c>
      <c r="D1957" s="19">
        <f>YEAR(Tabela6[[#This Row],[Data]])</f>
        <v>2022</v>
      </c>
      <c r="E1957" s="12" t="s">
        <v>78</v>
      </c>
      <c r="F1957" t="s">
        <v>61</v>
      </c>
      <c r="G1957" s="26">
        <v>2</v>
      </c>
      <c r="I1957" t="str">
        <f>IFERROR(VLOOKUP(Tabela6[[#This Row],[Descrição]],Materiais!B:C,2,0),"")</f>
        <v/>
      </c>
    </row>
    <row r="1958" spans="2:9">
      <c r="B1958" s="11">
        <f t="shared" si="178"/>
        <v>44694</v>
      </c>
      <c r="C1958" s="19">
        <f>MONTH(Tabela6[[#This Row],[Data]])</f>
        <v>5</v>
      </c>
      <c r="D1958" s="19">
        <f>YEAR(Tabela6[[#This Row],[Data]])</f>
        <v>2022</v>
      </c>
      <c r="E1958" s="12" t="s">
        <v>78</v>
      </c>
      <c r="F1958" t="s">
        <v>58</v>
      </c>
      <c r="G1958" s="26">
        <v>8</v>
      </c>
      <c r="I1958" t="str">
        <f>IFERROR(VLOOKUP(Tabela6[[#This Row],[Descrição]],Materiais!B:C,2,0),"")</f>
        <v/>
      </c>
    </row>
    <row r="1959" spans="2:9">
      <c r="B1959" s="11">
        <f t="shared" si="178"/>
        <v>44694</v>
      </c>
      <c r="C1959" s="19">
        <f>MONTH(Tabela6[[#This Row],[Data]])</f>
        <v>5</v>
      </c>
      <c r="D1959" s="19">
        <f>YEAR(Tabela6[[#This Row],[Data]])</f>
        <v>2022</v>
      </c>
      <c r="E1959" s="12" t="s">
        <v>78</v>
      </c>
      <c r="F1959" t="s">
        <v>147</v>
      </c>
      <c r="G1959" s="26">
        <v>2</v>
      </c>
      <c r="I1959" t="str">
        <f>IFERROR(VLOOKUP(Tabela6[[#This Row],[Descrição]],Materiais!B:C,2,0),"")</f>
        <v/>
      </c>
    </row>
    <row r="1960" spans="2:9">
      <c r="B1960" s="11">
        <f t="shared" si="178"/>
        <v>44694</v>
      </c>
      <c r="C1960" s="19">
        <f>MONTH(Tabela6[[#This Row],[Data]])</f>
        <v>5</v>
      </c>
      <c r="D1960" s="19">
        <f>YEAR(Tabela6[[#This Row],[Data]])</f>
        <v>2022</v>
      </c>
      <c r="E1960" s="12" t="s">
        <v>78</v>
      </c>
      <c r="F1960" t="s">
        <v>152</v>
      </c>
      <c r="G1960" s="26">
        <v>6</v>
      </c>
      <c r="I1960" t="str">
        <f>IFERROR(VLOOKUP(Tabela6[[#This Row],[Descrição]],Materiais!B:C,2,0),"")</f>
        <v/>
      </c>
    </row>
    <row r="1961" spans="2:9">
      <c r="B1961" s="11">
        <f t="shared" si="178"/>
        <v>44694</v>
      </c>
      <c r="C1961" s="19">
        <f>MONTH(Tabela6[[#This Row],[Data]])</f>
        <v>5</v>
      </c>
      <c r="D1961" s="19">
        <f>YEAR(Tabela6[[#This Row],[Data]])</f>
        <v>2022</v>
      </c>
      <c r="E1961" s="12" t="s">
        <v>78</v>
      </c>
      <c r="F1961" t="s">
        <v>63</v>
      </c>
      <c r="G1961" s="26">
        <v>2</v>
      </c>
      <c r="I1961" t="str">
        <f>IFERROR(VLOOKUP(Tabela6[[#This Row],[Descrição]],Materiais!B:C,2,0),"")</f>
        <v/>
      </c>
    </row>
    <row r="1962" spans="2:9">
      <c r="B1962" s="11">
        <f t="shared" ref="B1962:B1967" si="179">43235+(365*4)</f>
        <v>44695</v>
      </c>
      <c r="C1962" s="19">
        <f>MONTH(Tabela6[[#This Row],[Data]])</f>
        <v>5</v>
      </c>
      <c r="D1962" s="19">
        <f>YEAR(Tabela6[[#This Row],[Data]])</f>
        <v>2022</v>
      </c>
      <c r="E1962" s="12" t="s">
        <v>78</v>
      </c>
      <c r="F1962" t="s">
        <v>61</v>
      </c>
      <c r="G1962" s="26">
        <v>10</v>
      </c>
      <c r="I1962" t="str">
        <f>IFERROR(VLOOKUP(Tabela6[[#This Row],[Descrição]],Materiais!B:C,2,0),"")</f>
        <v/>
      </c>
    </row>
    <row r="1963" spans="2:9">
      <c r="B1963" s="11">
        <f t="shared" si="179"/>
        <v>44695</v>
      </c>
      <c r="C1963" s="19">
        <f>MONTH(Tabela6[[#This Row],[Data]])</f>
        <v>5</v>
      </c>
      <c r="D1963" s="19">
        <f>YEAR(Tabela6[[#This Row],[Data]])</f>
        <v>2022</v>
      </c>
      <c r="E1963" s="12" t="s">
        <v>78</v>
      </c>
      <c r="F1963" t="s">
        <v>148</v>
      </c>
      <c r="G1963" s="26">
        <v>4</v>
      </c>
      <c r="I1963" t="str">
        <f>IFERROR(VLOOKUP(Tabela6[[#This Row],[Descrição]],Materiais!B:C,2,0),"")</f>
        <v/>
      </c>
    </row>
    <row r="1964" spans="2:9">
      <c r="B1964" s="11">
        <f t="shared" si="179"/>
        <v>44695</v>
      </c>
      <c r="C1964" s="19">
        <f>MONTH(Tabela6[[#This Row],[Data]])</f>
        <v>5</v>
      </c>
      <c r="D1964" s="19">
        <f>YEAR(Tabela6[[#This Row],[Data]])</f>
        <v>2022</v>
      </c>
      <c r="E1964" s="12" t="s">
        <v>78</v>
      </c>
      <c r="F1964" t="s">
        <v>147</v>
      </c>
      <c r="G1964" s="26">
        <v>2</v>
      </c>
      <c r="I1964" t="str">
        <f>IFERROR(VLOOKUP(Tabela6[[#This Row],[Descrição]],Materiais!B:C,2,0),"")</f>
        <v/>
      </c>
    </row>
    <row r="1965" spans="2:9">
      <c r="B1965" s="11">
        <f t="shared" si="179"/>
        <v>44695</v>
      </c>
      <c r="C1965" s="19">
        <f>MONTH(Tabela6[[#This Row],[Data]])</f>
        <v>5</v>
      </c>
      <c r="D1965" s="19">
        <f>YEAR(Tabela6[[#This Row],[Data]])</f>
        <v>2022</v>
      </c>
      <c r="E1965" s="12" t="s">
        <v>78</v>
      </c>
      <c r="F1965" t="s">
        <v>95</v>
      </c>
      <c r="G1965" s="26">
        <v>2</v>
      </c>
      <c r="I1965" t="str">
        <f>IFERROR(VLOOKUP(Tabela6[[#This Row],[Descrição]],Materiais!B:C,2,0),"")</f>
        <v/>
      </c>
    </row>
    <row r="1966" spans="2:9">
      <c r="B1966" s="11">
        <f t="shared" si="179"/>
        <v>44695</v>
      </c>
      <c r="C1966" s="19">
        <f>MONTH(Tabela6[[#This Row],[Data]])</f>
        <v>5</v>
      </c>
      <c r="D1966" s="19">
        <f>YEAR(Tabela6[[#This Row],[Data]])</f>
        <v>2022</v>
      </c>
      <c r="E1966" s="12" t="s">
        <v>78</v>
      </c>
      <c r="F1966" t="s">
        <v>63</v>
      </c>
      <c r="G1966" s="26">
        <v>4</v>
      </c>
      <c r="I1966" t="str">
        <f>IFERROR(VLOOKUP(Tabela6[[#This Row],[Descrição]],Materiais!B:C,2,0),"")</f>
        <v/>
      </c>
    </row>
    <row r="1967" spans="2:9">
      <c r="B1967" s="11">
        <f t="shared" si="179"/>
        <v>44695</v>
      </c>
      <c r="C1967" s="19">
        <f>MONTH(Tabela6[[#This Row],[Data]])</f>
        <v>5</v>
      </c>
      <c r="D1967" s="19">
        <f>YEAR(Tabela6[[#This Row],[Data]])</f>
        <v>2022</v>
      </c>
      <c r="E1967" s="12" t="s">
        <v>78</v>
      </c>
      <c r="F1967" t="s">
        <v>59</v>
      </c>
      <c r="G1967" s="26">
        <v>4</v>
      </c>
      <c r="I1967" t="str">
        <f>IFERROR(VLOOKUP(Tabela6[[#This Row],[Descrição]],Materiais!B:C,2,0),"")</f>
        <v/>
      </c>
    </row>
    <row r="1968" spans="2:9">
      <c r="B1968" s="11">
        <f>43236+(365*4)</f>
        <v>44696</v>
      </c>
      <c r="C1968" s="19">
        <f>MONTH(Tabela6[[#This Row],[Data]])</f>
        <v>5</v>
      </c>
      <c r="D1968" s="19">
        <f>YEAR(Tabela6[[#This Row],[Data]])</f>
        <v>2022</v>
      </c>
      <c r="E1968" s="12" t="s">
        <v>78</v>
      </c>
      <c r="F1968" t="s">
        <v>56</v>
      </c>
      <c r="G1968" s="26">
        <v>8</v>
      </c>
      <c r="I1968" t="str">
        <f>IFERROR(VLOOKUP(Tabela6[[#This Row],[Descrição]],Materiais!B:C,2,0),"")</f>
        <v/>
      </c>
    </row>
    <row r="1969" spans="2:9">
      <c r="B1969" s="11">
        <f>43236+(365*4)</f>
        <v>44696</v>
      </c>
      <c r="C1969" s="19">
        <f>MONTH(Tabela6[[#This Row],[Data]])</f>
        <v>5</v>
      </c>
      <c r="D1969" s="19">
        <f>YEAR(Tabela6[[#This Row],[Data]])</f>
        <v>2022</v>
      </c>
      <c r="E1969" s="12" t="s">
        <v>78</v>
      </c>
      <c r="F1969" t="s">
        <v>58</v>
      </c>
      <c r="G1969" s="26">
        <v>6</v>
      </c>
      <c r="I1969" t="str">
        <f>IFERROR(VLOOKUP(Tabela6[[#This Row],[Descrição]],Materiais!B:C,2,0),"")</f>
        <v/>
      </c>
    </row>
    <row r="1970" spans="2:9">
      <c r="B1970" s="11">
        <f>43236+(365*4)</f>
        <v>44696</v>
      </c>
      <c r="C1970" s="19">
        <f>MONTH(Tabela6[[#This Row],[Data]])</f>
        <v>5</v>
      </c>
      <c r="D1970" s="19">
        <f>YEAR(Tabela6[[#This Row],[Data]])</f>
        <v>2022</v>
      </c>
      <c r="E1970" s="12" t="s">
        <v>78</v>
      </c>
      <c r="F1970" t="s">
        <v>147</v>
      </c>
      <c r="G1970" s="26">
        <v>4</v>
      </c>
      <c r="I1970" t="str">
        <f>IFERROR(VLOOKUP(Tabela6[[#This Row],[Descrição]],Materiais!B:C,2,0),"")</f>
        <v/>
      </c>
    </row>
    <row r="1971" spans="2:9">
      <c r="B1971" s="11">
        <f>43236+(365*4)</f>
        <v>44696</v>
      </c>
      <c r="C1971" s="19">
        <f>MONTH(Tabela6[[#This Row],[Data]])</f>
        <v>5</v>
      </c>
      <c r="D1971" s="19">
        <f>YEAR(Tabela6[[#This Row],[Data]])</f>
        <v>2022</v>
      </c>
      <c r="E1971" s="12" t="s">
        <v>78</v>
      </c>
      <c r="F1971" t="s">
        <v>148</v>
      </c>
      <c r="G1971" s="26">
        <v>4</v>
      </c>
      <c r="I1971" t="str">
        <f>IFERROR(VLOOKUP(Tabela6[[#This Row],[Descrição]],Materiais!B:C,2,0),"")</f>
        <v/>
      </c>
    </row>
    <row r="1972" spans="2:9">
      <c r="B1972" s="11">
        <f>43237+(365*4)</f>
        <v>44697</v>
      </c>
      <c r="C1972" s="19">
        <f>MONTH(Tabela6[[#This Row],[Data]])</f>
        <v>5</v>
      </c>
      <c r="D1972" s="19">
        <f>YEAR(Tabela6[[#This Row],[Data]])</f>
        <v>2022</v>
      </c>
      <c r="E1972" s="12" t="s">
        <v>78</v>
      </c>
      <c r="F1972" t="s">
        <v>56</v>
      </c>
      <c r="G1972" s="26">
        <v>6</v>
      </c>
      <c r="I1972" t="str">
        <f>IFERROR(VLOOKUP(Tabela6[[#This Row],[Descrição]],Materiais!B:C,2,0),"")</f>
        <v/>
      </c>
    </row>
    <row r="1973" spans="2:9">
      <c r="B1973" s="11">
        <f>43237+(365*4)</f>
        <v>44697</v>
      </c>
      <c r="C1973" s="19">
        <f>MONTH(Tabela6[[#This Row],[Data]])</f>
        <v>5</v>
      </c>
      <c r="D1973" s="19">
        <f>YEAR(Tabela6[[#This Row],[Data]])</f>
        <v>2022</v>
      </c>
      <c r="E1973" s="12" t="s">
        <v>78</v>
      </c>
      <c r="F1973" t="s">
        <v>58</v>
      </c>
      <c r="G1973" s="26">
        <v>4</v>
      </c>
      <c r="I1973" t="str">
        <f>IFERROR(VLOOKUP(Tabela6[[#This Row],[Descrição]],Materiais!B:C,2,0),"")</f>
        <v/>
      </c>
    </row>
    <row r="1974" spans="2:9">
      <c r="B1974" s="11">
        <f>43237+(365*4)</f>
        <v>44697</v>
      </c>
      <c r="C1974" s="19">
        <f>MONTH(Tabela6[[#This Row],[Data]])</f>
        <v>5</v>
      </c>
      <c r="D1974" s="19">
        <f>YEAR(Tabela6[[#This Row],[Data]])</f>
        <v>2022</v>
      </c>
      <c r="E1974" s="12" t="s">
        <v>78</v>
      </c>
      <c r="F1974" t="s">
        <v>147</v>
      </c>
      <c r="G1974" s="26">
        <v>4</v>
      </c>
      <c r="I1974" t="str">
        <f>IFERROR(VLOOKUP(Tabela6[[#This Row],[Descrição]],Materiais!B:C,2,0),"")</f>
        <v/>
      </c>
    </row>
    <row r="1975" spans="2:9">
      <c r="B1975" s="11">
        <f>43237+(365*4)</f>
        <v>44697</v>
      </c>
      <c r="C1975" s="19">
        <f>MONTH(Tabela6[[#This Row],[Data]])</f>
        <v>5</v>
      </c>
      <c r="D1975" s="19">
        <f>YEAR(Tabela6[[#This Row],[Data]])</f>
        <v>2022</v>
      </c>
      <c r="E1975" s="12" t="s">
        <v>78</v>
      </c>
      <c r="F1975" t="s">
        <v>148</v>
      </c>
      <c r="G1975" s="26">
        <v>4</v>
      </c>
      <c r="I1975" t="str">
        <f>IFERROR(VLOOKUP(Tabela6[[#This Row],[Descrição]],Materiais!B:C,2,0),"")</f>
        <v/>
      </c>
    </row>
    <row r="1976" spans="2:9">
      <c r="B1976" s="11">
        <f>43237+(365*4)</f>
        <v>44697</v>
      </c>
      <c r="C1976" s="19">
        <f>MONTH(Tabela6[[#This Row],[Data]])</f>
        <v>5</v>
      </c>
      <c r="D1976" s="19">
        <f>YEAR(Tabela6[[#This Row],[Data]])</f>
        <v>2022</v>
      </c>
      <c r="E1976" s="12" t="s">
        <v>78</v>
      </c>
      <c r="F1976" t="s">
        <v>61</v>
      </c>
      <c r="G1976" s="26">
        <v>8</v>
      </c>
      <c r="I1976" t="str">
        <f>IFERROR(VLOOKUP(Tabela6[[#This Row],[Descrição]],Materiais!B:C,2,0),"")</f>
        <v/>
      </c>
    </row>
    <row r="1977" spans="2:9">
      <c r="B1977" s="11">
        <f t="shared" ref="B1977:B1984" si="180">43241+(365*4)</f>
        <v>44701</v>
      </c>
      <c r="C1977" s="19">
        <f>MONTH(Tabela6[[#This Row],[Data]])</f>
        <v>5</v>
      </c>
      <c r="D1977" s="19">
        <f>YEAR(Tabela6[[#This Row],[Data]])</f>
        <v>2022</v>
      </c>
      <c r="E1977" s="12" t="s">
        <v>78</v>
      </c>
      <c r="F1977" t="s">
        <v>61</v>
      </c>
      <c r="G1977" s="26">
        <v>6</v>
      </c>
      <c r="I1977" t="str">
        <f>IFERROR(VLOOKUP(Tabela6[[#This Row],[Descrição]],Materiais!B:C,2,0),"")</f>
        <v/>
      </c>
    </row>
    <row r="1978" spans="2:9">
      <c r="B1978" s="11">
        <f t="shared" si="180"/>
        <v>44701</v>
      </c>
      <c r="C1978" s="19">
        <f>MONTH(Tabela6[[#This Row],[Data]])</f>
        <v>5</v>
      </c>
      <c r="D1978" s="19">
        <f>YEAR(Tabela6[[#This Row],[Data]])</f>
        <v>2022</v>
      </c>
      <c r="E1978" s="12" t="s">
        <v>78</v>
      </c>
      <c r="F1978" t="s">
        <v>56</v>
      </c>
      <c r="G1978" s="26">
        <v>6</v>
      </c>
      <c r="I1978" t="str">
        <f>IFERROR(VLOOKUP(Tabela6[[#This Row],[Descrição]],Materiais!B:C,2,0),"")</f>
        <v/>
      </c>
    </row>
    <row r="1979" spans="2:9">
      <c r="B1979" s="11">
        <f t="shared" si="180"/>
        <v>44701</v>
      </c>
      <c r="C1979" s="19">
        <f>MONTH(Tabela6[[#This Row],[Data]])</f>
        <v>5</v>
      </c>
      <c r="D1979" s="19">
        <f>YEAR(Tabela6[[#This Row],[Data]])</f>
        <v>2022</v>
      </c>
      <c r="E1979" s="12" t="s">
        <v>78</v>
      </c>
      <c r="F1979" t="s">
        <v>152</v>
      </c>
      <c r="G1979" s="26">
        <v>2</v>
      </c>
      <c r="I1979" t="str">
        <f>IFERROR(VLOOKUP(Tabela6[[#This Row],[Descrição]],Materiais!B:C,2,0),"")</f>
        <v/>
      </c>
    </row>
    <row r="1980" spans="2:9">
      <c r="B1980" s="11">
        <f t="shared" si="180"/>
        <v>44701</v>
      </c>
      <c r="C1980" s="19">
        <f>MONTH(Tabela6[[#This Row],[Data]])</f>
        <v>5</v>
      </c>
      <c r="D1980" s="19">
        <f>YEAR(Tabela6[[#This Row],[Data]])</f>
        <v>2022</v>
      </c>
      <c r="E1980" s="12" t="s">
        <v>78</v>
      </c>
      <c r="F1980" t="s">
        <v>63</v>
      </c>
      <c r="G1980" s="26">
        <v>2</v>
      </c>
      <c r="I1980" t="str">
        <f>IFERROR(VLOOKUP(Tabela6[[#This Row],[Descrição]],Materiais!B:C,2,0),"")</f>
        <v/>
      </c>
    </row>
    <row r="1981" spans="2:9">
      <c r="B1981" s="11">
        <f t="shared" si="180"/>
        <v>44701</v>
      </c>
      <c r="C1981" s="19">
        <f>MONTH(Tabela6[[#This Row],[Data]])</f>
        <v>5</v>
      </c>
      <c r="D1981" s="19">
        <f>YEAR(Tabela6[[#This Row],[Data]])</f>
        <v>2022</v>
      </c>
      <c r="E1981" s="12" t="s">
        <v>78</v>
      </c>
      <c r="F1981" t="s">
        <v>58</v>
      </c>
      <c r="G1981" s="26">
        <v>2</v>
      </c>
      <c r="I1981" t="str">
        <f>IFERROR(VLOOKUP(Tabela6[[#This Row],[Descrição]],Materiais!B:C,2,0),"")</f>
        <v/>
      </c>
    </row>
    <row r="1982" spans="2:9">
      <c r="B1982" s="11">
        <f t="shared" si="180"/>
        <v>44701</v>
      </c>
      <c r="C1982" s="19">
        <f>MONTH(Tabela6[[#This Row],[Data]])</f>
        <v>5</v>
      </c>
      <c r="D1982" s="19">
        <f>YEAR(Tabela6[[#This Row],[Data]])</f>
        <v>2022</v>
      </c>
      <c r="E1982" s="12" t="s">
        <v>78</v>
      </c>
      <c r="F1982" t="s">
        <v>147</v>
      </c>
      <c r="G1982" s="26">
        <v>4</v>
      </c>
      <c r="I1982" t="str">
        <f>IFERROR(VLOOKUP(Tabela6[[#This Row],[Descrição]],Materiais!B:C,2,0),"")</f>
        <v/>
      </c>
    </row>
    <row r="1983" spans="2:9">
      <c r="B1983" s="11">
        <f t="shared" si="180"/>
        <v>44701</v>
      </c>
      <c r="C1983" s="19">
        <f>MONTH(Tabela6[[#This Row],[Data]])</f>
        <v>5</v>
      </c>
      <c r="D1983" s="19">
        <f>YEAR(Tabela6[[#This Row],[Data]])</f>
        <v>2022</v>
      </c>
      <c r="E1983" s="12" t="s">
        <v>78</v>
      </c>
      <c r="F1983" t="s">
        <v>133</v>
      </c>
      <c r="G1983" s="26">
        <v>2</v>
      </c>
      <c r="I1983" t="str">
        <f>IFERROR(VLOOKUP(Tabela6[[#This Row],[Descrição]],Materiais!B:C,2,0),"")</f>
        <v/>
      </c>
    </row>
    <row r="1984" spans="2:9">
      <c r="B1984" s="11">
        <f t="shared" si="180"/>
        <v>44701</v>
      </c>
      <c r="C1984" s="19">
        <f>MONTH(Tabela6[[#This Row],[Data]])</f>
        <v>5</v>
      </c>
      <c r="D1984" s="19">
        <f>YEAR(Tabela6[[#This Row],[Data]])</f>
        <v>2022</v>
      </c>
      <c r="E1984" s="12" t="s">
        <v>78</v>
      </c>
      <c r="F1984" t="s">
        <v>59</v>
      </c>
      <c r="G1984" s="26">
        <v>4</v>
      </c>
      <c r="I1984" t="str">
        <f>IFERROR(VLOOKUP(Tabela6[[#This Row],[Descrição]],Materiais!B:C,2,0),"")</f>
        <v/>
      </c>
    </row>
    <row r="1985" spans="2:9">
      <c r="B1985" s="11">
        <f t="shared" ref="B1985:B1994" si="181">43242+(365*4)</f>
        <v>44702</v>
      </c>
      <c r="C1985" s="19">
        <f>MONTH(Tabela6[[#This Row],[Data]])</f>
        <v>5</v>
      </c>
      <c r="D1985" s="19">
        <f>YEAR(Tabela6[[#This Row],[Data]])</f>
        <v>2022</v>
      </c>
      <c r="E1985" s="12" t="s">
        <v>78</v>
      </c>
      <c r="F1985" t="s">
        <v>95</v>
      </c>
      <c r="G1985" s="26">
        <v>2</v>
      </c>
      <c r="I1985" t="str">
        <f>IFERROR(VLOOKUP(Tabela6[[#This Row],[Descrição]],Materiais!B:C,2,0),"")</f>
        <v/>
      </c>
    </row>
    <row r="1986" spans="2:9">
      <c r="B1986" s="11">
        <f t="shared" si="181"/>
        <v>44702</v>
      </c>
      <c r="C1986" s="19">
        <f>MONTH(Tabela6[[#This Row],[Data]])</f>
        <v>5</v>
      </c>
      <c r="D1986" s="19">
        <f>YEAR(Tabela6[[#This Row],[Data]])</f>
        <v>2022</v>
      </c>
      <c r="E1986" s="12" t="s">
        <v>78</v>
      </c>
      <c r="F1986" t="s">
        <v>63</v>
      </c>
      <c r="G1986" s="26">
        <v>4</v>
      </c>
      <c r="I1986" t="str">
        <f>IFERROR(VLOOKUP(Tabela6[[#This Row],[Descrição]],Materiais!B:C,2,0),"")</f>
        <v/>
      </c>
    </row>
    <row r="1987" spans="2:9">
      <c r="B1987" s="11">
        <f t="shared" si="181"/>
        <v>44702</v>
      </c>
      <c r="C1987" s="19">
        <f>MONTH(Tabela6[[#This Row],[Data]])</f>
        <v>5</v>
      </c>
      <c r="D1987" s="19">
        <f>YEAR(Tabela6[[#This Row],[Data]])</f>
        <v>2022</v>
      </c>
      <c r="E1987" s="12" t="s">
        <v>78</v>
      </c>
      <c r="F1987" t="s">
        <v>61</v>
      </c>
      <c r="G1987" s="26">
        <v>6</v>
      </c>
      <c r="I1987" t="str">
        <f>IFERROR(VLOOKUP(Tabela6[[#This Row],[Descrição]],Materiais!B:C,2,0),"")</f>
        <v/>
      </c>
    </row>
    <row r="1988" spans="2:9">
      <c r="B1988" s="11">
        <f t="shared" si="181"/>
        <v>44702</v>
      </c>
      <c r="C1988" s="19">
        <f>MONTH(Tabela6[[#This Row],[Data]])</f>
        <v>5</v>
      </c>
      <c r="D1988" s="19">
        <f>YEAR(Tabela6[[#This Row],[Data]])</f>
        <v>2022</v>
      </c>
      <c r="E1988" s="12" t="s">
        <v>78</v>
      </c>
      <c r="F1988" t="s">
        <v>56</v>
      </c>
      <c r="G1988" s="26">
        <v>4</v>
      </c>
      <c r="I1988" t="str">
        <f>IFERROR(VLOOKUP(Tabela6[[#This Row],[Descrição]],Materiais!B:C,2,0),"")</f>
        <v/>
      </c>
    </row>
    <row r="1989" spans="2:9">
      <c r="B1989" s="11">
        <f t="shared" si="181"/>
        <v>44702</v>
      </c>
      <c r="C1989" s="19">
        <f>MONTH(Tabela6[[#This Row],[Data]])</f>
        <v>5</v>
      </c>
      <c r="D1989" s="19">
        <f>YEAR(Tabela6[[#This Row],[Data]])</f>
        <v>2022</v>
      </c>
      <c r="E1989" s="12" t="s">
        <v>78</v>
      </c>
      <c r="F1989" t="s">
        <v>58</v>
      </c>
      <c r="G1989" s="26">
        <v>6</v>
      </c>
      <c r="I1989" t="str">
        <f>IFERROR(VLOOKUP(Tabela6[[#This Row],[Descrição]],Materiais!B:C,2,0),"")</f>
        <v/>
      </c>
    </row>
    <row r="1990" spans="2:9">
      <c r="B1990" s="11">
        <f t="shared" si="181"/>
        <v>44702</v>
      </c>
      <c r="C1990" s="19">
        <f>MONTH(Tabela6[[#This Row],[Data]])</f>
        <v>5</v>
      </c>
      <c r="D1990" s="19">
        <f>YEAR(Tabela6[[#This Row],[Data]])</f>
        <v>2022</v>
      </c>
      <c r="E1990" s="12" t="s">
        <v>78</v>
      </c>
      <c r="F1990" t="s">
        <v>147</v>
      </c>
      <c r="G1990" s="26">
        <v>2</v>
      </c>
      <c r="I1990" t="str">
        <f>IFERROR(VLOOKUP(Tabela6[[#This Row],[Descrição]],Materiais!B:C,2,0),"")</f>
        <v/>
      </c>
    </row>
    <row r="1991" spans="2:9">
      <c r="B1991" s="11">
        <f t="shared" si="181"/>
        <v>44702</v>
      </c>
      <c r="C1991" s="19">
        <f>MONTH(Tabela6[[#This Row],[Data]])</f>
        <v>5</v>
      </c>
      <c r="D1991" s="19">
        <f>YEAR(Tabela6[[#This Row],[Data]])</f>
        <v>2022</v>
      </c>
      <c r="E1991" s="12" t="s">
        <v>78</v>
      </c>
      <c r="F1991" t="s">
        <v>148</v>
      </c>
      <c r="G1991" s="26">
        <v>4</v>
      </c>
      <c r="I1991" t="str">
        <f>IFERROR(VLOOKUP(Tabela6[[#This Row],[Descrição]],Materiais!B:C,2,0),"")</f>
        <v/>
      </c>
    </row>
    <row r="1992" spans="2:9">
      <c r="B1992" s="11">
        <f t="shared" si="181"/>
        <v>44702</v>
      </c>
      <c r="C1992" s="19">
        <f>MONTH(Tabela6[[#This Row],[Data]])</f>
        <v>5</v>
      </c>
      <c r="D1992" s="19">
        <f>YEAR(Tabela6[[#This Row],[Data]])</f>
        <v>2022</v>
      </c>
      <c r="E1992" s="12" t="s">
        <v>78</v>
      </c>
      <c r="F1992" t="s">
        <v>152</v>
      </c>
      <c r="G1992" s="26">
        <v>4</v>
      </c>
      <c r="I1992" t="str">
        <f>IFERROR(VLOOKUP(Tabela6[[#This Row],[Descrição]],Materiais!B:C,2,0),"")</f>
        <v/>
      </c>
    </row>
    <row r="1993" spans="2:9">
      <c r="B1993" s="11">
        <f t="shared" si="181"/>
        <v>44702</v>
      </c>
      <c r="C1993" s="19">
        <f>MONTH(Tabela6[[#This Row],[Data]])</f>
        <v>5</v>
      </c>
      <c r="D1993" s="19">
        <f>YEAR(Tabela6[[#This Row],[Data]])</f>
        <v>2022</v>
      </c>
      <c r="E1993" s="12" t="s">
        <v>78</v>
      </c>
      <c r="F1993" t="s">
        <v>133</v>
      </c>
      <c r="G1993" s="26">
        <v>4</v>
      </c>
      <c r="I1993" t="str">
        <f>IFERROR(VLOOKUP(Tabela6[[#This Row],[Descrição]],Materiais!B:C,2,0),"")</f>
        <v/>
      </c>
    </row>
    <row r="1994" spans="2:9">
      <c r="B1994" s="11">
        <f t="shared" si="181"/>
        <v>44702</v>
      </c>
      <c r="C1994" s="19">
        <f>MONTH(Tabela6[[#This Row],[Data]])</f>
        <v>5</v>
      </c>
      <c r="D1994" s="19">
        <f>YEAR(Tabela6[[#This Row],[Data]])</f>
        <v>2022</v>
      </c>
      <c r="E1994" s="12" t="s">
        <v>75</v>
      </c>
      <c r="F1994" t="s">
        <v>108</v>
      </c>
      <c r="G1994" s="26">
        <v>-4.8000000000000007</v>
      </c>
      <c r="I1994" t="str">
        <f>IFERROR(VLOOKUP(Tabela6[[#This Row],[Descrição]],Materiais!B:C,2,0),"")</f>
        <v/>
      </c>
    </row>
    <row r="1995" spans="2:9">
      <c r="B1995" s="11">
        <f t="shared" ref="B1995:B2000" si="182">43243+(365*4)</f>
        <v>44703</v>
      </c>
      <c r="C1995" s="19">
        <f>MONTH(Tabela6[[#This Row],[Data]])</f>
        <v>5</v>
      </c>
      <c r="D1995" s="19">
        <f>YEAR(Tabela6[[#This Row],[Data]])</f>
        <v>2022</v>
      </c>
      <c r="E1995" s="12" t="s">
        <v>78</v>
      </c>
      <c r="F1995" t="s">
        <v>58</v>
      </c>
      <c r="G1995" s="26">
        <v>4</v>
      </c>
      <c r="I1995" t="str">
        <f>IFERROR(VLOOKUP(Tabela6[[#This Row],[Descrição]],Materiais!B:C,2,0),"")</f>
        <v/>
      </c>
    </row>
    <row r="1996" spans="2:9">
      <c r="B1996" s="11">
        <f t="shared" si="182"/>
        <v>44703</v>
      </c>
      <c r="C1996" s="19">
        <f>MONTH(Tabela6[[#This Row],[Data]])</f>
        <v>5</v>
      </c>
      <c r="D1996" s="19">
        <f>YEAR(Tabela6[[#This Row],[Data]])</f>
        <v>2022</v>
      </c>
      <c r="E1996" s="12" t="s">
        <v>78</v>
      </c>
      <c r="F1996" t="s">
        <v>147</v>
      </c>
      <c r="G1996" s="26">
        <v>4</v>
      </c>
      <c r="I1996" t="str">
        <f>IFERROR(VLOOKUP(Tabela6[[#This Row],[Descrição]],Materiais!B:C,2,0),"")</f>
        <v/>
      </c>
    </row>
    <row r="1997" spans="2:9">
      <c r="B1997" s="11">
        <f t="shared" si="182"/>
        <v>44703</v>
      </c>
      <c r="C1997" s="19">
        <f>MONTH(Tabela6[[#This Row],[Data]])</f>
        <v>5</v>
      </c>
      <c r="D1997" s="19">
        <f>YEAR(Tabela6[[#This Row],[Data]])</f>
        <v>2022</v>
      </c>
      <c r="E1997" s="12" t="s">
        <v>78</v>
      </c>
      <c r="F1997" t="s">
        <v>61</v>
      </c>
      <c r="G1997" s="26">
        <v>6</v>
      </c>
      <c r="I1997" t="str">
        <f>IFERROR(VLOOKUP(Tabela6[[#This Row],[Descrição]],Materiais!B:C,2,0),"")</f>
        <v/>
      </c>
    </row>
    <row r="1998" spans="2:9">
      <c r="B1998" s="11">
        <f t="shared" si="182"/>
        <v>44703</v>
      </c>
      <c r="C1998" s="19">
        <f>MONTH(Tabela6[[#This Row],[Data]])</f>
        <v>5</v>
      </c>
      <c r="D1998" s="19">
        <f>YEAR(Tabela6[[#This Row],[Data]])</f>
        <v>2022</v>
      </c>
      <c r="E1998" s="12" t="s">
        <v>78</v>
      </c>
      <c r="F1998" t="s">
        <v>152</v>
      </c>
      <c r="G1998" s="26">
        <v>4</v>
      </c>
      <c r="I1998" t="str">
        <f>IFERROR(VLOOKUP(Tabela6[[#This Row],[Descrição]],Materiais!B:C,2,0),"")</f>
        <v/>
      </c>
    </row>
    <row r="1999" spans="2:9">
      <c r="B1999" s="11">
        <f t="shared" si="182"/>
        <v>44703</v>
      </c>
      <c r="C1999" s="19">
        <f>MONTH(Tabela6[[#This Row],[Data]])</f>
        <v>5</v>
      </c>
      <c r="D1999" s="19">
        <f>YEAR(Tabela6[[#This Row],[Data]])</f>
        <v>2022</v>
      </c>
      <c r="E1999" s="12" t="s">
        <v>78</v>
      </c>
      <c r="F1999" t="s">
        <v>133</v>
      </c>
      <c r="G1999" s="26">
        <v>4</v>
      </c>
      <c r="I1999" t="str">
        <f>IFERROR(VLOOKUP(Tabela6[[#This Row],[Descrição]],Materiais!B:C,2,0),"")</f>
        <v/>
      </c>
    </row>
    <row r="2000" spans="2:9">
      <c r="B2000" s="11">
        <f t="shared" si="182"/>
        <v>44703</v>
      </c>
      <c r="C2000" s="19">
        <f>MONTH(Tabela6[[#This Row],[Data]])</f>
        <v>5</v>
      </c>
      <c r="D2000" s="19">
        <f>YEAR(Tabela6[[#This Row],[Data]])</f>
        <v>2022</v>
      </c>
      <c r="E2000" s="12" t="s">
        <v>78</v>
      </c>
      <c r="F2000" t="s">
        <v>59</v>
      </c>
      <c r="G2000" s="26">
        <v>2</v>
      </c>
      <c r="I2000" t="str">
        <f>IFERROR(VLOOKUP(Tabela6[[#This Row],[Descrição]],Materiais!B:C,2,0),"")</f>
        <v/>
      </c>
    </row>
    <row r="2001" spans="2:9">
      <c r="B2001" s="11">
        <f>43246+(365*4)</f>
        <v>44706</v>
      </c>
      <c r="C2001" s="19">
        <f>MONTH(Tabela6[[#This Row],[Data]])</f>
        <v>5</v>
      </c>
      <c r="D2001" s="19">
        <f>YEAR(Tabela6[[#This Row],[Data]])</f>
        <v>2022</v>
      </c>
      <c r="E2001" s="12" t="s">
        <v>78</v>
      </c>
      <c r="F2001" t="s">
        <v>56</v>
      </c>
      <c r="G2001" s="26">
        <v>210</v>
      </c>
      <c r="I2001" t="str">
        <f>IFERROR(VLOOKUP(Tabela6[[#This Row],[Descrição]],Materiais!B:C,2,0),"")</f>
        <v/>
      </c>
    </row>
    <row r="2002" spans="2:9">
      <c r="B2002" s="11">
        <f t="shared" ref="B2002:B2009" si="183">43262+(365*4)</f>
        <v>44722</v>
      </c>
      <c r="C2002" s="19">
        <f>MONTH(Tabela6[[#This Row],[Data]])</f>
        <v>6</v>
      </c>
      <c r="D2002" s="19">
        <f>YEAR(Tabela6[[#This Row],[Data]])</f>
        <v>2022</v>
      </c>
      <c r="E2002" s="12" t="s">
        <v>78</v>
      </c>
      <c r="F2002" t="s">
        <v>56</v>
      </c>
      <c r="G2002" s="26">
        <v>4</v>
      </c>
      <c r="I2002" t="str">
        <f>IFERROR(VLOOKUP(Tabela6[[#This Row],[Descrição]],Materiais!B:C,2,0),"")</f>
        <v/>
      </c>
    </row>
    <row r="2003" spans="2:9">
      <c r="B2003" s="11">
        <f t="shared" si="183"/>
        <v>44722</v>
      </c>
      <c r="C2003" s="19">
        <f>MONTH(Tabela6[[#This Row],[Data]])</f>
        <v>6</v>
      </c>
      <c r="D2003" s="19">
        <f>YEAR(Tabela6[[#This Row],[Data]])</f>
        <v>2022</v>
      </c>
      <c r="E2003" s="12" t="s">
        <v>78</v>
      </c>
      <c r="F2003" t="s">
        <v>152</v>
      </c>
      <c r="G2003" s="26">
        <v>2</v>
      </c>
      <c r="I2003" t="str">
        <f>IFERROR(VLOOKUP(Tabela6[[#This Row],[Descrição]],Materiais!B:C,2,0),"")</f>
        <v/>
      </c>
    </row>
    <row r="2004" spans="2:9">
      <c r="B2004" s="11">
        <f t="shared" si="183"/>
        <v>44722</v>
      </c>
      <c r="C2004" s="19">
        <f>MONTH(Tabela6[[#This Row],[Data]])</f>
        <v>6</v>
      </c>
      <c r="D2004" s="19">
        <f>YEAR(Tabela6[[#This Row],[Data]])</f>
        <v>2022</v>
      </c>
      <c r="E2004" s="12" t="s">
        <v>78</v>
      </c>
      <c r="F2004" t="s">
        <v>63</v>
      </c>
      <c r="G2004" s="26">
        <v>2</v>
      </c>
      <c r="I2004" t="str">
        <f>IFERROR(VLOOKUP(Tabela6[[#This Row],[Descrição]],Materiais!B:C,2,0),"")</f>
        <v/>
      </c>
    </row>
    <row r="2005" spans="2:9">
      <c r="B2005" s="11">
        <f t="shared" si="183"/>
        <v>44722</v>
      </c>
      <c r="C2005" s="19">
        <f>MONTH(Tabela6[[#This Row],[Data]])</f>
        <v>6</v>
      </c>
      <c r="D2005" s="19">
        <f>YEAR(Tabela6[[#This Row],[Data]])</f>
        <v>2022</v>
      </c>
      <c r="E2005" s="12" t="s">
        <v>78</v>
      </c>
      <c r="F2005" t="s">
        <v>58</v>
      </c>
      <c r="G2005" s="26">
        <v>6</v>
      </c>
      <c r="I2005" t="str">
        <f>IFERROR(VLOOKUP(Tabela6[[#This Row],[Descrição]],Materiais!B:C,2,0),"")</f>
        <v/>
      </c>
    </row>
    <row r="2006" spans="2:9">
      <c r="B2006" s="11">
        <f t="shared" si="183"/>
        <v>44722</v>
      </c>
      <c r="C2006" s="19">
        <f>MONTH(Tabela6[[#This Row],[Data]])</f>
        <v>6</v>
      </c>
      <c r="D2006" s="19">
        <f>YEAR(Tabela6[[#This Row],[Data]])</f>
        <v>2022</v>
      </c>
      <c r="E2006" s="12" t="s">
        <v>78</v>
      </c>
      <c r="F2006" t="s">
        <v>147</v>
      </c>
      <c r="G2006" s="26">
        <v>2</v>
      </c>
      <c r="I2006" t="str">
        <f>IFERROR(VLOOKUP(Tabela6[[#This Row],[Descrição]],Materiais!B:C,2,0),"")</f>
        <v/>
      </c>
    </row>
    <row r="2007" spans="2:9">
      <c r="B2007" s="11">
        <f t="shared" si="183"/>
        <v>44722</v>
      </c>
      <c r="C2007" s="19">
        <f>MONTH(Tabela6[[#This Row],[Data]])</f>
        <v>6</v>
      </c>
      <c r="D2007" s="19">
        <f>YEAR(Tabela6[[#This Row],[Data]])</f>
        <v>2022</v>
      </c>
      <c r="E2007" s="12" t="s">
        <v>78</v>
      </c>
      <c r="F2007" t="s">
        <v>133</v>
      </c>
      <c r="G2007" s="26">
        <v>2</v>
      </c>
      <c r="I2007" t="str">
        <f>IFERROR(VLOOKUP(Tabela6[[#This Row],[Descrição]],Materiais!B:C,2,0),"")</f>
        <v/>
      </c>
    </row>
    <row r="2008" spans="2:9">
      <c r="B2008" s="11">
        <f t="shared" si="183"/>
        <v>44722</v>
      </c>
      <c r="C2008" s="19">
        <f>MONTH(Tabela6[[#This Row],[Data]])</f>
        <v>6</v>
      </c>
      <c r="D2008" s="19">
        <f>YEAR(Tabela6[[#This Row],[Data]])</f>
        <v>2022</v>
      </c>
      <c r="E2008" s="12" t="s">
        <v>78</v>
      </c>
      <c r="F2008" t="s">
        <v>61</v>
      </c>
      <c r="G2008" s="26">
        <v>6</v>
      </c>
      <c r="I2008" t="str">
        <f>IFERROR(VLOOKUP(Tabela6[[#This Row],[Descrição]],Materiais!B:C,2,0),"")</f>
        <v/>
      </c>
    </row>
    <row r="2009" spans="2:9">
      <c r="B2009" s="11">
        <f t="shared" si="183"/>
        <v>44722</v>
      </c>
      <c r="C2009" s="19">
        <f>MONTH(Tabela6[[#This Row],[Data]])</f>
        <v>6</v>
      </c>
      <c r="D2009" s="19">
        <f>YEAR(Tabela6[[#This Row],[Data]])</f>
        <v>2022</v>
      </c>
      <c r="E2009" s="12" t="s">
        <v>78</v>
      </c>
      <c r="F2009" t="s">
        <v>148</v>
      </c>
      <c r="G2009" s="26">
        <v>2</v>
      </c>
      <c r="I2009" t="str">
        <f>IFERROR(VLOOKUP(Tabela6[[#This Row],[Descrição]],Materiais!B:C,2,0),"")</f>
        <v/>
      </c>
    </row>
    <row r="2010" spans="2:9">
      <c r="B2010" s="11">
        <f t="shared" ref="B2010:B2016" si="184">43263+(365*4)</f>
        <v>44723</v>
      </c>
      <c r="C2010" s="19">
        <f>MONTH(Tabela6[[#This Row],[Data]])</f>
        <v>6</v>
      </c>
      <c r="D2010" s="19">
        <f>YEAR(Tabela6[[#This Row],[Data]])</f>
        <v>2022</v>
      </c>
      <c r="E2010" s="12" t="s">
        <v>78</v>
      </c>
      <c r="F2010" t="s">
        <v>56</v>
      </c>
      <c r="G2010" s="26">
        <v>8</v>
      </c>
      <c r="I2010" t="str">
        <f>IFERROR(VLOOKUP(Tabela6[[#This Row],[Descrição]],Materiais!B:C,2,0),"")</f>
        <v/>
      </c>
    </row>
    <row r="2011" spans="2:9">
      <c r="B2011" s="11">
        <f t="shared" si="184"/>
        <v>44723</v>
      </c>
      <c r="C2011" s="19">
        <f>MONTH(Tabela6[[#This Row],[Data]])</f>
        <v>6</v>
      </c>
      <c r="D2011" s="19">
        <f>YEAR(Tabela6[[#This Row],[Data]])</f>
        <v>2022</v>
      </c>
      <c r="E2011" s="12" t="s">
        <v>78</v>
      </c>
      <c r="F2011" t="s">
        <v>152</v>
      </c>
      <c r="G2011" s="26">
        <v>4</v>
      </c>
      <c r="I2011" t="str">
        <f>IFERROR(VLOOKUP(Tabela6[[#This Row],[Descrição]],Materiais!B:C,2,0),"")</f>
        <v/>
      </c>
    </row>
    <row r="2012" spans="2:9">
      <c r="B2012" s="11">
        <f t="shared" si="184"/>
        <v>44723</v>
      </c>
      <c r="C2012" s="19">
        <f>MONTH(Tabela6[[#This Row],[Data]])</f>
        <v>6</v>
      </c>
      <c r="D2012" s="19">
        <f>YEAR(Tabela6[[#This Row],[Data]])</f>
        <v>2022</v>
      </c>
      <c r="E2012" s="12" t="s">
        <v>78</v>
      </c>
      <c r="F2012" t="s">
        <v>63</v>
      </c>
      <c r="G2012" s="26">
        <v>2</v>
      </c>
      <c r="I2012" t="str">
        <f>IFERROR(VLOOKUP(Tabela6[[#This Row],[Descrição]],Materiais!B:C,2,0),"")</f>
        <v/>
      </c>
    </row>
    <row r="2013" spans="2:9">
      <c r="B2013" s="11">
        <f t="shared" si="184"/>
        <v>44723</v>
      </c>
      <c r="C2013" s="19">
        <f>MONTH(Tabela6[[#This Row],[Data]])</f>
        <v>6</v>
      </c>
      <c r="D2013" s="19">
        <f>YEAR(Tabela6[[#This Row],[Data]])</f>
        <v>2022</v>
      </c>
      <c r="E2013" s="12" t="s">
        <v>78</v>
      </c>
      <c r="F2013" t="s">
        <v>58</v>
      </c>
      <c r="G2013" s="26">
        <v>2</v>
      </c>
      <c r="I2013" t="str">
        <f>IFERROR(VLOOKUP(Tabela6[[#This Row],[Descrição]],Materiais!B:C,2,0),"")</f>
        <v/>
      </c>
    </row>
    <row r="2014" spans="2:9">
      <c r="B2014" s="11">
        <f t="shared" si="184"/>
        <v>44723</v>
      </c>
      <c r="C2014" s="19">
        <f>MONTH(Tabela6[[#This Row],[Data]])</f>
        <v>6</v>
      </c>
      <c r="D2014" s="19">
        <f>YEAR(Tabela6[[#This Row],[Data]])</f>
        <v>2022</v>
      </c>
      <c r="E2014" s="12" t="s">
        <v>78</v>
      </c>
      <c r="F2014" t="s">
        <v>147</v>
      </c>
      <c r="G2014" s="26">
        <v>4</v>
      </c>
      <c r="I2014" t="str">
        <f>IFERROR(VLOOKUP(Tabela6[[#This Row],[Descrição]],Materiais!B:C,2,0),"")</f>
        <v/>
      </c>
    </row>
    <row r="2015" spans="2:9">
      <c r="B2015" s="11">
        <f t="shared" si="184"/>
        <v>44723</v>
      </c>
      <c r="C2015" s="19">
        <f>MONTH(Tabela6[[#This Row],[Data]])</f>
        <v>6</v>
      </c>
      <c r="D2015" s="19">
        <f>YEAR(Tabela6[[#This Row],[Data]])</f>
        <v>2022</v>
      </c>
      <c r="E2015" s="12" t="s">
        <v>78</v>
      </c>
      <c r="F2015" t="s">
        <v>133</v>
      </c>
      <c r="G2015" s="26">
        <v>2</v>
      </c>
      <c r="I2015" t="str">
        <f>IFERROR(VLOOKUP(Tabela6[[#This Row],[Descrição]],Materiais!B:C,2,0),"")</f>
        <v/>
      </c>
    </row>
    <row r="2016" spans="2:9">
      <c r="B2016" s="11">
        <f t="shared" si="184"/>
        <v>44723</v>
      </c>
      <c r="C2016" s="19">
        <f>MONTH(Tabela6[[#This Row],[Data]])</f>
        <v>6</v>
      </c>
      <c r="D2016" s="19">
        <f>YEAR(Tabela6[[#This Row],[Data]])</f>
        <v>2022</v>
      </c>
      <c r="E2016" s="12" t="s">
        <v>78</v>
      </c>
      <c r="F2016" t="s">
        <v>61</v>
      </c>
      <c r="G2016" s="26">
        <v>6</v>
      </c>
      <c r="I2016" t="str">
        <f>IFERROR(VLOOKUP(Tabela6[[#This Row],[Descrição]],Materiais!B:C,2,0),"")</f>
        <v/>
      </c>
    </row>
    <row r="2017" spans="2:9">
      <c r="B2017" s="11">
        <f>43264+(365*4)</f>
        <v>44724</v>
      </c>
      <c r="C2017" s="19">
        <f>MONTH(Tabela6[[#This Row],[Data]])</f>
        <v>6</v>
      </c>
      <c r="D2017" s="19">
        <f>YEAR(Tabela6[[#This Row],[Data]])</f>
        <v>2022</v>
      </c>
      <c r="E2017" s="12" t="s">
        <v>78</v>
      </c>
      <c r="F2017" t="s">
        <v>56</v>
      </c>
      <c r="G2017" s="26">
        <v>8</v>
      </c>
      <c r="I2017" t="str">
        <f>IFERROR(VLOOKUP(Tabela6[[#This Row],[Descrição]],Materiais!B:C,2,0),"")</f>
        <v/>
      </c>
    </row>
    <row r="2018" spans="2:9">
      <c r="B2018" s="11">
        <f>43264+(365*4)</f>
        <v>44724</v>
      </c>
      <c r="C2018" s="19">
        <f>MONTH(Tabela6[[#This Row],[Data]])</f>
        <v>6</v>
      </c>
      <c r="D2018" s="19">
        <f>YEAR(Tabela6[[#This Row],[Data]])</f>
        <v>2022</v>
      </c>
      <c r="E2018" s="12" t="s">
        <v>78</v>
      </c>
      <c r="F2018" t="s">
        <v>58</v>
      </c>
      <c r="G2018" s="26">
        <v>2</v>
      </c>
      <c r="I2018" t="str">
        <f>IFERROR(VLOOKUP(Tabela6[[#This Row],[Descrição]],Materiais!B:C,2,0),"")</f>
        <v/>
      </c>
    </row>
    <row r="2019" spans="2:9">
      <c r="B2019" s="11">
        <f>43264+(365*4)</f>
        <v>44724</v>
      </c>
      <c r="C2019" s="19">
        <f>MONTH(Tabela6[[#This Row],[Data]])</f>
        <v>6</v>
      </c>
      <c r="D2019" s="19">
        <f>YEAR(Tabela6[[#This Row],[Data]])</f>
        <v>2022</v>
      </c>
      <c r="E2019" s="12" t="s">
        <v>78</v>
      </c>
      <c r="F2019" t="s">
        <v>61</v>
      </c>
      <c r="G2019" s="26">
        <v>4</v>
      </c>
      <c r="I2019" t="str">
        <f>IFERROR(VLOOKUP(Tabela6[[#This Row],[Descrição]],Materiais!B:C,2,0),"")</f>
        <v/>
      </c>
    </row>
    <row r="2020" spans="2:9">
      <c r="B2020" s="11">
        <f>43264+(365*4)</f>
        <v>44724</v>
      </c>
      <c r="C2020" s="19">
        <f>MONTH(Tabela6[[#This Row],[Data]])</f>
        <v>6</v>
      </c>
      <c r="D2020" s="19">
        <f>YEAR(Tabela6[[#This Row],[Data]])</f>
        <v>2022</v>
      </c>
      <c r="E2020" s="12" t="s">
        <v>78</v>
      </c>
      <c r="F2020" t="s">
        <v>148</v>
      </c>
      <c r="G2020" s="26">
        <v>2</v>
      </c>
      <c r="I2020" t="str">
        <f>IFERROR(VLOOKUP(Tabela6[[#This Row],[Descrição]],Materiais!B:C,2,0),"")</f>
        <v/>
      </c>
    </row>
    <row r="2021" spans="2:9">
      <c r="B2021" s="11">
        <f>43265+(365*4)</f>
        <v>44725</v>
      </c>
      <c r="C2021" s="19">
        <f>MONTH(Tabela6[[#This Row],[Data]])</f>
        <v>6</v>
      </c>
      <c r="D2021" s="19">
        <f>YEAR(Tabela6[[#This Row],[Data]])</f>
        <v>2022</v>
      </c>
      <c r="E2021" s="12" t="s">
        <v>78</v>
      </c>
      <c r="F2021" t="s">
        <v>56</v>
      </c>
      <c r="G2021" s="26">
        <v>2</v>
      </c>
      <c r="I2021" t="str">
        <f>IFERROR(VLOOKUP(Tabela6[[#This Row],[Descrição]],Materiais!B:C,2,0),"")</f>
        <v/>
      </c>
    </row>
    <row r="2022" spans="2:9">
      <c r="B2022" s="11">
        <f>43265+(365*4)</f>
        <v>44725</v>
      </c>
      <c r="C2022" s="19">
        <f>MONTH(Tabela6[[#This Row],[Data]])</f>
        <v>6</v>
      </c>
      <c r="D2022" s="19">
        <f>YEAR(Tabela6[[#This Row],[Data]])</f>
        <v>2022</v>
      </c>
      <c r="E2022" s="12" t="s">
        <v>78</v>
      </c>
      <c r="F2022" t="s">
        <v>63</v>
      </c>
      <c r="G2022" s="26">
        <v>2</v>
      </c>
      <c r="I2022" t="str">
        <f>IFERROR(VLOOKUP(Tabela6[[#This Row],[Descrição]],Materiais!B:C,2,0),"")</f>
        <v/>
      </c>
    </row>
    <row r="2023" spans="2:9">
      <c r="B2023" s="11">
        <f>43265+(365*4)</f>
        <v>44725</v>
      </c>
      <c r="C2023" s="19">
        <f>MONTH(Tabela6[[#This Row],[Data]])</f>
        <v>6</v>
      </c>
      <c r="D2023" s="19">
        <f>YEAR(Tabela6[[#This Row],[Data]])</f>
        <v>2022</v>
      </c>
      <c r="E2023" s="12" t="s">
        <v>78</v>
      </c>
      <c r="F2023" t="s">
        <v>58</v>
      </c>
      <c r="G2023" s="26">
        <v>4</v>
      </c>
      <c r="I2023" t="str">
        <f>IFERROR(VLOOKUP(Tabela6[[#This Row],[Descrição]],Materiais!B:C,2,0),"")</f>
        <v/>
      </c>
    </row>
    <row r="2024" spans="2:9">
      <c r="B2024" s="11">
        <f>43265+(365*4)</f>
        <v>44725</v>
      </c>
      <c r="C2024" s="19">
        <f>MONTH(Tabela6[[#This Row],[Data]])</f>
        <v>6</v>
      </c>
      <c r="D2024" s="19">
        <f>YEAR(Tabela6[[#This Row],[Data]])</f>
        <v>2022</v>
      </c>
      <c r="E2024" s="12" t="s">
        <v>78</v>
      </c>
      <c r="F2024" t="s">
        <v>61</v>
      </c>
      <c r="G2024" s="26">
        <v>8</v>
      </c>
      <c r="I2024" t="str">
        <f>IFERROR(VLOOKUP(Tabela6[[#This Row],[Descrição]],Materiais!B:C,2,0),"")</f>
        <v/>
      </c>
    </row>
    <row r="2025" spans="2:9">
      <c r="B2025" s="11">
        <f>43265+(365*4)</f>
        <v>44725</v>
      </c>
      <c r="C2025" s="19">
        <f>MONTH(Tabela6[[#This Row],[Data]])</f>
        <v>6</v>
      </c>
      <c r="D2025" s="19">
        <f>YEAR(Tabela6[[#This Row],[Data]])</f>
        <v>2022</v>
      </c>
      <c r="E2025" s="12" t="s">
        <v>78</v>
      </c>
      <c r="F2025" t="s">
        <v>148</v>
      </c>
      <c r="G2025" s="26">
        <v>4</v>
      </c>
      <c r="I2025" t="str">
        <f>IFERROR(VLOOKUP(Tabela6[[#This Row],[Descrição]],Materiais!B:C,2,0),"")</f>
        <v/>
      </c>
    </row>
    <row r="2026" spans="2:9">
      <c r="B2026" s="11">
        <f>43266+(365*4)</f>
        <v>44726</v>
      </c>
      <c r="C2026" s="19">
        <f>MONTH(Tabela6[[#This Row],[Data]])</f>
        <v>6</v>
      </c>
      <c r="D2026" s="19">
        <f>YEAR(Tabela6[[#This Row],[Data]])</f>
        <v>2022</v>
      </c>
      <c r="E2026" s="12" t="s">
        <v>72</v>
      </c>
      <c r="F2026" t="s">
        <v>161</v>
      </c>
      <c r="G2026" s="26">
        <v>-8.99</v>
      </c>
      <c r="I2026" t="str">
        <f>IFERROR(VLOOKUP(Tabela6[[#This Row],[Descrição]],Materiais!B:C,2,0),"")</f>
        <v/>
      </c>
    </row>
    <row r="2027" spans="2:9">
      <c r="B2027" s="11">
        <f>43268+(365*4)</f>
        <v>44728</v>
      </c>
      <c r="C2027" s="19">
        <f>MONTH(Tabela6[[#This Row],[Data]])</f>
        <v>6</v>
      </c>
      <c r="D2027" s="19">
        <f>YEAR(Tabela6[[#This Row],[Data]])</f>
        <v>2022</v>
      </c>
      <c r="E2027" s="12" t="s">
        <v>78</v>
      </c>
      <c r="F2027" t="s">
        <v>56</v>
      </c>
      <c r="G2027" s="26">
        <v>105</v>
      </c>
      <c r="I2027" t="str">
        <f>IFERROR(VLOOKUP(Tabela6[[#This Row],[Descrição]],Materiais!B:C,2,0),"")</f>
        <v/>
      </c>
    </row>
    <row r="2028" spans="2:9">
      <c r="B2028" s="11">
        <f>43268+(365*4)</f>
        <v>44728</v>
      </c>
      <c r="C2028" s="19">
        <f>MONTH(Tabela6[[#This Row],[Data]])</f>
        <v>6</v>
      </c>
      <c r="D2028" s="19">
        <f>YEAR(Tabela6[[#This Row],[Data]])</f>
        <v>2022</v>
      </c>
      <c r="E2028" s="12" t="s">
        <v>78</v>
      </c>
      <c r="F2028" t="s">
        <v>162</v>
      </c>
      <c r="G2028" s="26">
        <v>40</v>
      </c>
      <c r="I2028" t="str">
        <f>IFERROR(VLOOKUP(Tabela6[[#This Row],[Descrição]],Materiais!B:C,2,0),"")</f>
        <v/>
      </c>
    </row>
    <row r="2029" spans="2:9">
      <c r="B2029" s="11">
        <f t="shared" ref="B2029:B2036" si="185">43270+(365*4)</f>
        <v>44730</v>
      </c>
      <c r="C2029" s="19">
        <f>MONTH(Tabela6[[#This Row],[Data]])</f>
        <v>6</v>
      </c>
      <c r="D2029" s="19">
        <f>YEAR(Tabela6[[#This Row],[Data]])</f>
        <v>2022</v>
      </c>
      <c r="E2029" s="12" t="s">
        <v>78</v>
      </c>
      <c r="F2029" t="s">
        <v>56</v>
      </c>
      <c r="G2029" s="26">
        <v>12</v>
      </c>
      <c r="I2029" t="str">
        <f>IFERROR(VLOOKUP(Tabela6[[#This Row],[Descrição]],Materiais!B:C,2,0),"")</f>
        <v/>
      </c>
    </row>
    <row r="2030" spans="2:9">
      <c r="B2030" s="11">
        <f t="shared" si="185"/>
        <v>44730</v>
      </c>
      <c r="C2030" s="19">
        <f>MONTH(Tabela6[[#This Row],[Data]])</f>
        <v>6</v>
      </c>
      <c r="D2030" s="19">
        <f>YEAR(Tabela6[[#This Row],[Data]])</f>
        <v>2022</v>
      </c>
      <c r="E2030" s="12" t="s">
        <v>78</v>
      </c>
      <c r="F2030" t="s">
        <v>63</v>
      </c>
      <c r="G2030" s="26">
        <v>2</v>
      </c>
      <c r="I2030" t="str">
        <f>IFERROR(VLOOKUP(Tabela6[[#This Row],[Descrição]],Materiais!B:C,2,0),"")</f>
        <v/>
      </c>
    </row>
    <row r="2031" spans="2:9">
      <c r="B2031" s="11">
        <f t="shared" si="185"/>
        <v>44730</v>
      </c>
      <c r="C2031" s="19">
        <f>MONTH(Tabela6[[#This Row],[Data]])</f>
        <v>6</v>
      </c>
      <c r="D2031" s="19">
        <f>YEAR(Tabela6[[#This Row],[Data]])</f>
        <v>2022</v>
      </c>
      <c r="E2031" s="12" t="s">
        <v>78</v>
      </c>
      <c r="F2031" t="s">
        <v>58</v>
      </c>
      <c r="G2031" s="26">
        <v>4</v>
      </c>
      <c r="I2031" t="str">
        <f>IFERROR(VLOOKUP(Tabela6[[#This Row],[Descrição]],Materiais!B:C,2,0),"")</f>
        <v/>
      </c>
    </row>
    <row r="2032" spans="2:9">
      <c r="B2032" s="11">
        <f t="shared" si="185"/>
        <v>44730</v>
      </c>
      <c r="C2032" s="19">
        <f>MONTH(Tabela6[[#This Row],[Data]])</f>
        <v>6</v>
      </c>
      <c r="D2032" s="19">
        <f>YEAR(Tabela6[[#This Row],[Data]])</f>
        <v>2022</v>
      </c>
      <c r="E2032" s="12" t="s">
        <v>78</v>
      </c>
      <c r="F2032" t="s">
        <v>61</v>
      </c>
      <c r="G2032" s="26">
        <v>2</v>
      </c>
      <c r="I2032" t="str">
        <f>IFERROR(VLOOKUP(Tabela6[[#This Row],[Descrição]],Materiais!B:C,2,0),"")</f>
        <v/>
      </c>
    </row>
    <row r="2033" spans="2:9">
      <c r="B2033" s="11">
        <f t="shared" si="185"/>
        <v>44730</v>
      </c>
      <c r="C2033" s="19">
        <f>MONTH(Tabela6[[#This Row],[Data]])</f>
        <v>6</v>
      </c>
      <c r="D2033" s="19">
        <f>YEAR(Tabela6[[#This Row],[Data]])</f>
        <v>2022</v>
      </c>
      <c r="E2033" s="12" t="s">
        <v>78</v>
      </c>
      <c r="F2033" t="s">
        <v>148</v>
      </c>
      <c r="G2033" s="26">
        <v>4</v>
      </c>
      <c r="I2033" t="str">
        <f>IFERROR(VLOOKUP(Tabela6[[#This Row],[Descrição]],Materiais!B:C,2,0),"")</f>
        <v/>
      </c>
    </row>
    <row r="2034" spans="2:9">
      <c r="B2034" s="11">
        <f t="shared" si="185"/>
        <v>44730</v>
      </c>
      <c r="C2034" s="19">
        <f>MONTH(Tabela6[[#This Row],[Data]])</f>
        <v>6</v>
      </c>
      <c r="D2034" s="19">
        <f>YEAR(Tabela6[[#This Row],[Data]])</f>
        <v>2022</v>
      </c>
      <c r="E2034" s="12" t="s">
        <v>78</v>
      </c>
      <c r="F2034" t="s">
        <v>95</v>
      </c>
      <c r="G2034" s="26">
        <v>2</v>
      </c>
      <c r="I2034" t="str">
        <f>IFERROR(VLOOKUP(Tabela6[[#This Row],[Descrição]],Materiais!B:C,2,0),"")</f>
        <v/>
      </c>
    </row>
    <row r="2035" spans="2:9">
      <c r="B2035" s="11">
        <f t="shared" si="185"/>
        <v>44730</v>
      </c>
      <c r="C2035" s="19">
        <f>MONTH(Tabela6[[#This Row],[Data]])</f>
        <v>6</v>
      </c>
      <c r="D2035" s="19">
        <f>YEAR(Tabela6[[#This Row],[Data]])</f>
        <v>2022</v>
      </c>
      <c r="E2035" s="12" t="s">
        <v>78</v>
      </c>
      <c r="F2035" t="s">
        <v>152</v>
      </c>
      <c r="G2035" s="26">
        <v>6</v>
      </c>
      <c r="I2035" t="str">
        <f>IFERROR(VLOOKUP(Tabela6[[#This Row],[Descrição]],Materiais!B:C,2,0),"")</f>
        <v/>
      </c>
    </row>
    <row r="2036" spans="2:9">
      <c r="B2036" s="11">
        <f t="shared" si="185"/>
        <v>44730</v>
      </c>
      <c r="C2036" s="19">
        <f>MONTH(Tabela6[[#This Row],[Data]])</f>
        <v>6</v>
      </c>
      <c r="D2036" s="19">
        <f>YEAR(Tabela6[[#This Row],[Data]])</f>
        <v>2022</v>
      </c>
      <c r="E2036" s="12" t="s">
        <v>78</v>
      </c>
      <c r="F2036" t="s">
        <v>163</v>
      </c>
      <c r="G2036" s="26">
        <v>10</v>
      </c>
      <c r="I2036" t="str">
        <f>IFERROR(VLOOKUP(Tabela6[[#This Row],[Descrição]],Materiais!B:C,2,0),"")</f>
        <v/>
      </c>
    </row>
    <row r="2037" spans="2:9">
      <c r="B2037" s="11">
        <f t="shared" ref="B2037:B2042" si="186">43271+(365*4)</f>
        <v>44731</v>
      </c>
      <c r="C2037" s="19">
        <f>MONTH(Tabela6[[#This Row],[Data]])</f>
        <v>6</v>
      </c>
      <c r="D2037" s="19">
        <f>YEAR(Tabela6[[#This Row],[Data]])</f>
        <v>2022</v>
      </c>
      <c r="E2037" s="12" t="s">
        <v>78</v>
      </c>
      <c r="F2037" t="s">
        <v>62</v>
      </c>
      <c r="G2037" s="26">
        <v>2</v>
      </c>
      <c r="I2037" t="str">
        <f>IFERROR(VLOOKUP(Tabela6[[#This Row],[Descrição]],Materiais!B:C,2,0),"")</f>
        <v/>
      </c>
    </row>
    <row r="2038" spans="2:9">
      <c r="B2038" s="11">
        <f t="shared" si="186"/>
        <v>44731</v>
      </c>
      <c r="C2038" s="19">
        <f>MONTH(Tabela6[[#This Row],[Data]])</f>
        <v>6</v>
      </c>
      <c r="D2038" s="19">
        <f>YEAR(Tabela6[[#This Row],[Data]])</f>
        <v>2022</v>
      </c>
      <c r="E2038" s="12" t="s">
        <v>78</v>
      </c>
      <c r="F2038" t="s">
        <v>142</v>
      </c>
      <c r="G2038" s="26">
        <v>2</v>
      </c>
      <c r="I2038" t="str">
        <f>IFERROR(VLOOKUP(Tabela6[[#This Row],[Descrição]],Materiais!B:C,2,0),"")</f>
        <v/>
      </c>
    </row>
    <row r="2039" spans="2:9">
      <c r="B2039" s="11">
        <f t="shared" si="186"/>
        <v>44731</v>
      </c>
      <c r="C2039" s="19">
        <f>MONTH(Tabela6[[#This Row],[Data]])</f>
        <v>6</v>
      </c>
      <c r="D2039" s="19">
        <f>YEAR(Tabela6[[#This Row],[Data]])</f>
        <v>2022</v>
      </c>
      <c r="E2039" s="12" t="s">
        <v>78</v>
      </c>
      <c r="F2039" t="s">
        <v>56</v>
      </c>
      <c r="G2039" s="26">
        <v>10</v>
      </c>
      <c r="I2039" t="str">
        <f>IFERROR(VLOOKUP(Tabela6[[#This Row],[Descrição]],Materiais!B:C,2,0),"")</f>
        <v/>
      </c>
    </row>
    <row r="2040" spans="2:9">
      <c r="B2040" s="11">
        <f t="shared" si="186"/>
        <v>44731</v>
      </c>
      <c r="C2040" s="19">
        <f>MONTH(Tabela6[[#This Row],[Data]])</f>
        <v>6</v>
      </c>
      <c r="D2040" s="19">
        <f>YEAR(Tabela6[[#This Row],[Data]])</f>
        <v>2022</v>
      </c>
      <c r="E2040" s="12" t="s">
        <v>78</v>
      </c>
      <c r="F2040" t="s">
        <v>63</v>
      </c>
      <c r="G2040" s="26">
        <v>2</v>
      </c>
      <c r="I2040" t="str">
        <f>IFERROR(VLOOKUP(Tabela6[[#This Row],[Descrição]],Materiais!B:C,2,0),"")</f>
        <v/>
      </c>
    </row>
    <row r="2041" spans="2:9">
      <c r="B2041" s="11">
        <f t="shared" si="186"/>
        <v>44731</v>
      </c>
      <c r="C2041" s="19">
        <f>MONTH(Tabela6[[#This Row],[Data]])</f>
        <v>6</v>
      </c>
      <c r="D2041" s="19">
        <f>YEAR(Tabela6[[#This Row],[Data]])</f>
        <v>2022</v>
      </c>
      <c r="E2041" s="12" t="s">
        <v>78</v>
      </c>
      <c r="F2041" t="s">
        <v>58</v>
      </c>
      <c r="G2041" s="26">
        <v>4</v>
      </c>
      <c r="I2041" t="str">
        <f>IFERROR(VLOOKUP(Tabela6[[#This Row],[Descrição]],Materiais!B:C,2,0),"")</f>
        <v/>
      </c>
    </row>
    <row r="2042" spans="2:9">
      <c r="B2042" s="11">
        <f t="shared" si="186"/>
        <v>44731</v>
      </c>
      <c r="C2042" s="19">
        <f>MONTH(Tabela6[[#This Row],[Data]])</f>
        <v>6</v>
      </c>
      <c r="D2042" s="19">
        <f>YEAR(Tabela6[[#This Row],[Data]])</f>
        <v>2022</v>
      </c>
      <c r="E2042" s="12" t="s">
        <v>78</v>
      </c>
      <c r="F2042" t="s">
        <v>61</v>
      </c>
      <c r="G2042" s="26">
        <v>8</v>
      </c>
      <c r="I2042" t="str">
        <f>IFERROR(VLOOKUP(Tabela6[[#This Row],[Descrição]],Materiais!B:C,2,0),"")</f>
        <v/>
      </c>
    </row>
    <row r="2043" spans="2:9">
      <c r="B2043" s="11">
        <f t="shared" ref="B2043:B2048" si="187">43272+(365*4)</f>
        <v>44732</v>
      </c>
      <c r="C2043" s="19">
        <f>MONTH(Tabela6[[#This Row],[Data]])</f>
        <v>6</v>
      </c>
      <c r="D2043" s="19">
        <f>YEAR(Tabela6[[#This Row],[Data]])</f>
        <v>2022</v>
      </c>
      <c r="E2043" s="12" t="s">
        <v>78</v>
      </c>
      <c r="F2043" t="s">
        <v>56</v>
      </c>
      <c r="G2043" s="26">
        <v>6</v>
      </c>
      <c r="I2043" t="str">
        <f>IFERROR(VLOOKUP(Tabela6[[#This Row],[Descrição]],Materiais!B:C,2,0),"")</f>
        <v/>
      </c>
    </row>
    <row r="2044" spans="2:9">
      <c r="B2044" s="11">
        <f t="shared" si="187"/>
        <v>44732</v>
      </c>
      <c r="C2044" s="19">
        <f>MONTH(Tabela6[[#This Row],[Data]])</f>
        <v>6</v>
      </c>
      <c r="D2044" s="19">
        <f>YEAR(Tabela6[[#This Row],[Data]])</f>
        <v>2022</v>
      </c>
      <c r="E2044" s="12" t="s">
        <v>78</v>
      </c>
      <c r="F2044" t="s">
        <v>63</v>
      </c>
      <c r="G2044" s="26">
        <v>2</v>
      </c>
      <c r="I2044" t="str">
        <f>IFERROR(VLOOKUP(Tabela6[[#This Row],[Descrição]],Materiais!B:C,2,0),"")</f>
        <v/>
      </c>
    </row>
    <row r="2045" spans="2:9">
      <c r="B2045" s="11">
        <f t="shared" si="187"/>
        <v>44732</v>
      </c>
      <c r="C2045" s="19">
        <f>MONTH(Tabela6[[#This Row],[Data]])</f>
        <v>6</v>
      </c>
      <c r="D2045" s="19">
        <f>YEAR(Tabela6[[#This Row],[Data]])</f>
        <v>2022</v>
      </c>
      <c r="E2045" s="12" t="s">
        <v>78</v>
      </c>
      <c r="F2045" t="s">
        <v>58</v>
      </c>
      <c r="G2045" s="26">
        <v>4</v>
      </c>
      <c r="I2045" t="str">
        <f>IFERROR(VLOOKUP(Tabela6[[#This Row],[Descrição]],Materiais!B:C,2,0),"")</f>
        <v/>
      </c>
    </row>
    <row r="2046" spans="2:9">
      <c r="B2046" s="11">
        <f t="shared" si="187"/>
        <v>44732</v>
      </c>
      <c r="C2046" s="19">
        <f>MONTH(Tabela6[[#This Row],[Data]])</f>
        <v>6</v>
      </c>
      <c r="D2046" s="19">
        <f>YEAR(Tabela6[[#This Row],[Data]])</f>
        <v>2022</v>
      </c>
      <c r="E2046" s="12" t="s">
        <v>78</v>
      </c>
      <c r="F2046" t="s">
        <v>61</v>
      </c>
      <c r="G2046" s="26">
        <v>4</v>
      </c>
      <c r="I2046" t="str">
        <f>IFERROR(VLOOKUP(Tabela6[[#This Row],[Descrição]],Materiais!B:C,2,0),"")</f>
        <v/>
      </c>
    </row>
    <row r="2047" spans="2:9">
      <c r="B2047" s="11">
        <f t="shared" si="187"/>
        <v>44732</v>
      </c>
      <c r="C2047" s="19">
        <f>MONTH(Tabela6[[#This Row],[Data]])</f>
        <v>6</v>
      </c>
      <c r="D2047" s="19">
        <f>YEAR(Tabela6[[#This Row],[Data]])</f>
        <v>2022</v>
      </c>
      <c r="E2047" s="12" t="s">
        <v>78</v>
      </c>
      <c r="F2047" t="s">
        <v>148</v>
      </c>
      <c r="G2047" s="26">
        <v>2</v>
      </c>
      <c r="I2047" t="str">
        <f>IFERROR(VLOOKUP(Tabela6[[#This Row],[Descrição]],Materiais!B:C,2,0),"")</f>
        <v/>
      </c>
    </row>
    <row r="2048" spans="2:9">
      <c r="B2048" s="11">
        <f t="shared" si="187"/>
        <v>44732</v>
      </c>
      <c r="C2048" s="19">
        <f>MONTH(Tabela6[[#This Row],[Data]])</f>
        <v>6</v>
      </c>
      <c r="D2048" s="19">
        <f>YEAR(Tabela6[[#This Row],[Data]])</f>
        <v>2022</v>
      </c>
      <c r="E2048" s="12" t="s">
        <v>78</v>
      </c>
      <c r="F2048" t="s">
        <v>133</v>
      </c>
      <c r="G2048" s="26">
        <v>2</v>
      </c>
      <c r="I2048" t="str">
        <f>IFERROR(VLOOKUP(Tabela6[[#This Row],[Descrição]],Materiais!B:C,2,0),"")</f>
        <v/>
      </c>
    </row>
    <row r="2049" spans="2:9">
      <c r="B2049" s="11">
        <f t="shared" ref="B2049:B2058" si="188">43277+(365*4)</f>
        <v>44737</v>
      </c>
      <c r="C2049" s="19">
        <f>MONTH(Tabela6[[#This Row],[Data]])</f>
        <v>6</v>
      </c>
      <c r="D2049" s="19">
        <f>YEAR(Tabela6[[#This Row],[Data]])</f>
        <v>2022</v>
      </c>
      <c r="E2049" s="12" t="s">
        <v>78</v>
      </c>
      <c r="F2049" t="s">
        <v>163</v>
      </c>
      <c r="G2049" s="26">
        <v>2.5</v>
      </c>
      <c r="I2049" t="str">
        <f>IFERROR(VLOOKUP(Tabela6[[#This Row],[Descrição]],Materiais!B:C,2,0),"")</f>
        <v/>
      </c>
    </row>
    <row r="2050" spans="2:9">
      <c r="B2050" s="11">
        <f t="shared" si="188"/>
        <v>44737</v>
      </c>
      <c r="C2050" s="19">
        <f>MONTH(Tabela6[[#This Row],[Data]])</f>
        <v>6</v>
      </c>
      <c r="D2050" s="19">
        <f>YEAR(Tabela6[[#This Row],[Data]])</f>
        <v>2022</v>
      </c>
      <c r="E2050" s="12" t="s">
        <v>78</v>
      </c>
      <c r="F2050" t="s">
        <v>56</v>
      </c>
      <c r="G2050" s="26">
        <v>2</v>
      </c>
      <c r="I2050" t="str">
        <f>IFERROR(VLOOKUP(Tabela6[[#This Row],[Descrição]],Materiais!B:C,2,0),"")</f>
        <v/>
      </c>
    </row>
    <row r="2051" spans="2:9">
      <c r="B2051" s="11">
        <f t="shared" si="188"/>
        <v>44737</v>
      </c>
      <c r="C2051" s="19">
        <f>MONTH(Tabela6[[#This Row],[Data]])</f>
        <v>6</v>
      </c>
      <c r="D2051" s="19">
        <f>YEAR(Tabela6[[#This Row],[Data]])</f>
        <v>2022</v>
      </c>
      <c r="E2051" s="12" t="s">
        <v>78</v>
      </c>
      <c r="F2051" t="s">
        <v>56</v>
      </c>
      <c r="G2051" s="26">
        <v>8</v>
      </c>
      <c r="I2051" t="str">
        <f>IFERROR(VLOOKUP(Tabela6[[#This Row],[Descrição]],Materiais!B:C,2,0),"")</f>
        <v/>
      </c>
    </row>
    <row r="2052" spans="2:9">
      <c r="B2052" s="11">
        <f t="shared" si="188"/>
        <v>44737</v>
      </c>
      <c r="C2052" s="19">
        <f>MONTH(Tabela6[[#This Row],[Data]])</f>
        <v>6</v>
      </c>
      <c r="D2052" s="19">
        <f>YEAR(Tabela6[[#This Row],[Data]])</f>
        <v>2022</v>
      </c>
      <c r="E2052" s="12" t="s">
        <v>78</v>
      </c>
      <c r="F2052" t="s">
        <v>63</v>
      </c>
      <c r="G2052" s="26">
        <v>6</v>
      </c>
      <c r="I2052" t="str">
        <f>IFERROR(VLOOKUP(Tabela6[[#This Row],[Descrição]],Materiais!B:C,2,0),"")</f>
        <v/>
      </c>
    </row>
    <row r="2053" spans="2:9">
      <c r="B2053" s="11">
        <f t="shared" si="188"/>
        <v>44737</v>
      </c>
      <c r="C2053" s="19">
        <f>MONTH(Tabela6[[#This Row],[Data]])</f>
        <v>6</v>
      </c>
      <c r="D2053" s="19">
        <f>YEAR(Tabela6[[#This Row],[Data]])</f>
        <v>2022</v>
      </c>
      <c r="E2053" s="12" t="s">
        <v>78</v>
      </c>
      <c r="F2053" t="s">
        <v>58</v>
      </c>
      <c r="G2053" s="26">
        <v>8</v>
      </c>
      <c r="I2053" t="str">
        <f>IFERROR(VLOOKUP(Tabela6[[#This Row],[Descrição]],Materiais!B:C,2,0),"")</f>
        <v/>
      </c>
    </row>
    <row r="2054" spans="2:9">
      <c r="B2054" s="11">
        <f t="shared" si="188"/>
        <v>44737</v>
      </c>
      <c r="C2054" s="19">
        <f>MONTH(Tabela6[[#This Row],[Data]])</f>
        <v>6</v>
      </c>
      <c r="D2054" s="19">
        <f>YEAR(Tabela6[[#This Row],[Data]])</f>
        <v>2022</v>
      </c>
      <c r="E2054" s="12" t="s">
        <v>78</v>
      </c>
      <c r="F2054" t="s">
        <v>61</v>
      </c>
      <c r="G2054" s="26">
        <v>10</v>
      </c>
      <c r="I2054" t="str">
        <f>IFERROR(VLOOKUP(Tabela6[[#This Row],[Descrição]],Materiais!B:C,2,0),"")</f>
        <v/>
      </c>
    </row>
    <row r="2055" spans="2:9">
      <c r="B2055" s="11">
        <f t="shared" si="188"/>
        <v>44737</v>
      </c>
      <c r="C2055" s="19">
        <f>MONTH(Tabela6[[#This Row],[Data]])</f>
        <v>6</v>
      </c>
      <c r="D2055" s="19">
        <f>YEAR(Tabela6[[#This Row],[Data]])</f>
        <v>2022</v>
      </c>
      <c r="E2055" s="12" t="s">
        <v>78</v>
      </c>
      <c r="F2055" t="s">
        <v>148</v>
      </c>
      <c r="G2055" s="26">
        <v>6</v>
      </c>
      <c r="I2055" t="str">
        <f>IFERROR(VLOOKUP(Tabela6[[#This Row],[Descrição]],Materiais!B:C,2,0),"")</f>
        <v/>
      </c>
    </row>
    <row r="2056" spans="2:9">
      <c r="B2056" s="11">
        <f t="shared" si="188"/>
        <v>44737</v>
      </c>
      <c r="C2056" s="19">
        <f>MONTH(Tabela6[[#This Row],[Data]])</f>
        <v>6</v>
      </c>
      <c r="D2056" s="19">
        <f>YEAR(Tabela6[[#This Row],[Data]])</f>
        <v>2022</v>
      </c>
      <c r="E2056" s="12" t="s">
        <v>78</v>
      </c>
      <c r="F2056" t="s">
        <v>152</v>
      </c>
      <c r="G2056" s="26">
        <v>6</v>
      </c>
      <c r="I2056" t="str">
        <f>IFERROR(VLOOKUP(Tabela6[[#This Row],[Descrição]],Materiais!B:C,2,0),"")</f>
        <v/>
      </c>
    </row>
    <row r="2057" spans="2:9">
      <c r="B2057" s="11">
        <f t="shared" si="188"/>
        <v>44737</v>
      </c>
      <c r="C2057" s="19">
        <f>MONTH(Tabela6[[#This Row],[Data]])</f>
        <v>6</v>
      </c>
      <c r="D2057" s="19">
        <f>YEAR(Tabela6[[#This Row],[Data]])</f>
        <v>2022</v>
      </c>
      <c r="E2057" s="12" t="s">
        <v>78</v>
      </c>
      <c r="F2057" t="s">
        <v>163</v>
      </c>
      <c r="G2057" s="26">
        <v>7.5</v>
      </c>
      <c r="I2057" t="str">
        <f>IFERROR(VLOOKUP(Tabela6[[#This Row],[Descrição]],Materiais!B:C,2,0),"")</f>
        <v/>
      </c>
    </row>
    <row r="2058" spans="2:9">
      <c r="B2058" s="11">
        <f t="shared" si="188"/>
        <v>44737</v>
      </c>
      <c r="C2058" s="19">
        <f>MONTH(Tabela6[[#This Row],[Data]])</f>
        <v>6</v>
      </c>
      <c r="D2058" s="19">
        <f>YEAR(Tabela6[[#This Row],[Data]])</f>
        <v>2022</v>
      </c>
      <c r="E2058" s="12" t="s">
        <v>78</v>
      </c>
      <c r="F2058" t="s">
        <v>142</v>
      </c>
      <c r="G2058" s="26">
        <v>4</v>
      </c>
      <c r="I2058" t="str">
        <f>IFERROR(VLOOKUP(Tabela6[[#This Row],[Descrição]],Materiais!B:C,2,0),"")</f>
        <v/>
      </c>
    </row>
    <row r="2059" spans="2:9">
      <c r="B2059" s="11">
        <f t="shared" ref="B2059:B2071" si="189">43279+(365*4)</f>
        <v>44739</v>
      </c>
      <c r="C2059" s="19">
        <f>MONTH(Tabela6[[#This Row],[Data]])</f>
        <v>6</v>
      </c>
      <c r="D2059" s="19">
        <f>YEAR(Tabela6[[#This Row],[Data]])</f>
        <v>2022</v>
      </c>
      <c r="E2059" s="12" t="s">
        <v>78</v>
      </c>
      <c r="F2059" t="s">
        <v>56</v>
      </c>
      <c r="G2059" s="26">
        <v>4</v>
      </c>
      <c r="I2059" t="str">
        <f>IFERROR(VLOOKUP(Tabela6[[#This Row],[Descrição]],Materiais!B:C,2,0),"")</f>
        <v/>
      </c>
    </row>
    <row r="2060" spans="2:9">
      <c r="B2060" s="11">
        <f t="shared" si="189"/>
        <v>44739</v>
      </c>
      <c r="C2060" s="19">
        <f>MONTH(Tabela6[[#This Row],[Data]])</f>
        <v>6</v>
      </c>
      <c r="D2060" s="19">
        <f>YEAR(Tabela6[[#This Row],[Data]])</f>
        <v>2022</v>
      </c>
      <c r="E2060" s="12" t="s">
        <v>78</v>
      </c>
      <c r="F2060" t="s">
        <v>148</v>
      </c>
      <c r="G2060" s="26">
        <v>2</v>
      </c>
      <c r="I2060" t="str">
        <f>IFERROR(VLOOKUP(Tabela6[[#This Row],[Descrição]],Materiais!B:C,2,0),"")</f>
        <v/>
      </c>
    </row>
    <row r="2061" spans="2:9">
      <c r="B2061" s="11">
        <f t="shared" si="189"/>
        <v>44739</v>
      </c>
      <c r="C2061" s="19">
        <f>MONTH(Tabela6[[#This Row],[Data]])</f>
        <v>6</v>
      </c>
      <c r="D2061" s="19">
        <f>YEAR(Tabela6[[#This Row],[Data]])</f>
        <v>2022</v>
      </c>
      <c r="E2061" s="12" t="s">
        <v>78</v>
      </c>
      <c r="F2061" t="s">
        <v>58</v>
      </c>
      <c r="G2061" s="26">
        <v>2</v>
      </c>
      <c r="I2061" t="str">
        <f>IFERROR(VLOOKUP(Tabela6[[#This Row],[Descrição]],Materiais!B:C,2,0),"")</f>
        <v/>
      </c>
    </row>
    <row r="2062" spans="2:9">
      <c r="B2062" s="11">
        <f t="shared" si="189"/>
        <v>44739</v>
      </c>
      <c r="C2062" s="19">
        <f>MONTH(Tabela6[[#This Row],[Data]])</f>
        <v>6</v>
      </c>
      <c r="D2062" s="19">
        <f>YEAR(Tabela6[[#This Row],[Data]])</f>
        <v>2022</v>
      </c>
      <c r="E2062" s="12" t="s">
        <v>78</v>
      </c>
      <c r="F2062" t="s">
        <v>61</v>
      </c>
      <c r="G2062" s="26">
        <v>6</v>
      </c>
      <c r="I2062" t="str">
        <f>IFERROR(VLOOKUP(Tabela6[[#This Row],[Descrição]],Materiais!B:C,2,0),"")</f>
        <v/>
      </c>
    </row>
    <row r="2063" spans="2:9">
      <c r="B2063" s="11">
        <f t="shared" si="189"/>
        <v>44739</v>
      </c>
      <c r="C2063" s="19">
        <f>MONTH(Tabela6[[#This Row],[Data]])</f>
        <v>6</v>
      </c>
      <c r="D2063" s="19">
        <f>YEAR(Tabela6[[#This Row],[Data]])</f>
        <v>2022</v>
      </c>
      <c r="E2063" s="12" t="s">
        <v>78</v>
      </c>
      <c r="F2063" t="s">
        <v>56</v>
      </c>
      <c r="G2063" s="26">
        <v>8</v>
      </c>
      <c r="I2063" t="str">
        <f>IFERROR(VLOOKUP(Tabela6[[#This Row],[Descrição]],Materiais!B:C,2,0),"")</f>
        <v/>
      </c>
    </row>
    <row r="2064" spans="2:9">
      <c r="B2064" s="11">
        <f t="shared" si="189"/>
        <v>44739</v>
      </c>
      <c r="C2064" s="19">
        <f>MONTH(Tabela6[[#This Row],[Data]])</f>
        <v>6</v>
      </c>
      <c r="D2064" s="19">
        <f>YEAR(Tabela6[[#This Row],[Data]])</f>
        <v>2022</v>
      </c>
      <c r="E2064" s="12" t="s">
        <v>78</v>
      </c>
      <c r="F2064" t="s">
        <v>148</v>
      </c>
      <c r="G2064" s="26">
        <v>4</v>
      </c>
      <c r="I2064" t="str">
        <f>IFERROR(VLOOKUP(Tabela6[[#This Row],[Descrição]],Materiais!B:C,2,0),"")</f>
        <v/>
      </c>
    </row>
    <row r="2065" spans="2:9">
      <c r="B2065" s="11">
        <f t="shared" si="189"/>
        <v>44739</v>
      </c>
      <c r="C2065" s="19">
        <f>MONTH(Tabela6[[#This Row],[Data]])</f>
        <v>6</v>
      </c>
      <c r="D2065" s="19">
        <f>YEAR(Tabela6[[#This Row],[Data]])</f>
        <v>2022</v>
      </c>
      <c r="E2065" s="12" t="s">
        <v>72</v>
      </c>
      <c r="F2065" t="s">
        <v>161</v>
      </c>
      <c r="G2065" s="26">
        <v>-7.95</v>
      </c>
      <c r="I2065" t="str">
        <f>IFERROR(VLOOKUP(Tabela6[[#This Row],[Descrição]],Materiais!B:C,2,0),"")</f>
        <v/>
      </c>
    </row>
    <row r="2066" spans="2:9">
      <c r="B2066" s="11">
        <f t="shared" si="189"/>
        <v>44739</v>
      </c>
      <c r="C2066" s="19">
        <f>MONTH(Tabela6[[#This Row],[Data]])</f>
        <v>6</v>
      </c>
      <c r="D2066" s="19">
        <f>YEAR(Tabela6[[#This Row],[Data]])</f>
        <v>2022</v>
      </c>
      <c r="E2066" s="12" t="s">
        <v>72</v>
      </c>
      <c r="F2066" t="s">
        <v>7</v>
      </c>
      <c r="G2066" s="26">
        <v>-1.81</v>
      </c>
      <c r="I2066" t="str">
        <f>IFERROR(VLOOKUP(Tabela6[[#This Row],[Descrição]],Materiais!B:C,2,0),"")</f>
        <v>g</v>
      </c>
    </row>
    <row r="2067" spans="2:9">
      <c r="B2067" s="11">
        <f t="shared" si="189"/>
        <v>44739</v>
      </c>
      <c r="C2067" s="19">
        <f>MONTH(Tabela6[[#This Row],[Data]])</f>
        <v>6</v>
      </c>
      <c r="D2067" s="19">
        <f>YEAR(Tabela6[[#This Row],[Data]])</f>
        <v>2022</v>
      </c>
      <c r="E2067" s="12" t="s">
        <v>72</v>
      </c>
      <c r="F2067" t="s">
        <v>130</v>
      </c>
      <c r="G2067" s="26">
        <v>-3.92</v>
      </c>
      <c r="I2067" t="str">
        <f>IFERROR(VLOOKUP(Tabela6[[#This Row],[Descrição]],Materiais!B:C,2,0),"")</f>
        <v/>
      </c>
    </row>
    <row r="2068" spans="2:9">
      <c r="B2068" s="11">
        <f t="shared" si="189"/>
        <v>44739</v>
      </c>
      <c r="C2068" s="19">
        <f>MONTH(Tabela6[[#This Row],[Data]])</f>
        <v>6</v>
      </c>
      <c r="D2068" s="19">
        <f>YEAR(Tabela6[[#This Row],[Data]])</f>
        <v>2022</v>
      </c>
      <c r="E2068" s="12" t="s">
        <v>72</v>
      </c>
      <c r="F2068" t="s">
        <v>15</v>
      </c>
      <c r="G2068" s="26">
        <v>-4.41</v>
      </c>
      <c r="I2068" t="str">
        <f>IFERROR(VLOOKUP(Tabela6[[#This Row],[Descrição]],Materiais!B:C,2,0),"")</f>
        <v>g</v>
      </c>
    </row>
    <row r="2069" spans="2:9">
      <c r="B2069" s="11">
        <f t="shared" si="189"/>
        <v>44739</v>
      </c>
      <c r="C2069" s="19">
        <f>MONTH(Tabela6[[#This Row],[Data]])</f>
        <v>6</v>
      </c>
      <c r="D2069" s="19">
        <f>YEAR(Tabela6[[#This Row],[Data]])</f>
        <v>2022</v>
      </c>
      <c r="E2069" s="12" t="s">
        <v>72</v>
      </c>
      <c r="F2069" t="s">
        <v>16</v>
      </c>
      <c r="G2069" s="26">
        <v>-3.94</v>
      </c>
      <c r="I2069" t="str">
        <f>IFERROR(VLOOKUP(Tabela6[[#This Row],[Descrição]],Materiais!B:C,2,0),"")</f>
        <v>g</v>
      </c>
    </row>
    <row r="2070" spans="2:9">
      <c r="B2070" s="11">
        <f t="shared" si="189"/>
        <v>44739</v>
      </c>
      <c r="C2070" s="19">
        <f>MONTH(Tabela6[[#This Row],[Data]])</f>
        <v>6</v>
      </c>
      <c r="D2070" s="19">
        <f>YEAR(Tabela6[[#This Row],[Data]])</f>
        <v>2022</v>
      </c>
      <c r="E2070" s="12" t="s">
        <v>72</v>
      </c>
      <c r="F2070" t="s">
        <v>14</v>
      </c>
      <c r="G2070" s="26">
        <v>-8.1</v>
      </c>
      <c r="I2070" t="str">
        <f>IFERROR(VLOOKUP(Tabela6[[#This Row],[Descrição]],Materiais!B:C,2,0),"")</f>
        <v>g</v>
      </c>
    </row>
    <row r="2071" spans="2:9">
      <c r="B2071" s="11">
        <f t="shared" si="189"/>
        <v>44739</v>
      </c>
      <c r="C2071" s="19">
        <f>MONTH(Tabela6[[#This Row],[Data]])</f>
        <v>6</v>
      </c>
      <c r="D2071" s="19">
        <f>YEAR(Tabela6[[#This Row],[Data]])</f>
        <v>2022</v>
      </c>
      <c r="E2071" s="12" t="s">
        <v>72</v>
      </c>
      <c r="F2071" t="s">
        <v>131</v>
      </c>
      <c r="G2071" s="26">
        <v>-6.7</v>
      </c>
      <c r="I2071" t="str">
        <f>IFERROR(VLOOKUP(Tabela6[[#This Row],[Descrição]],Materiais!B:C,2,0),"")</f>
        <v/>
      </c>
    </row>
    <row r="2072" spans="2:9">
      <c r="B2072" s="11">
        <f>43280+(365*4)</f>
        <v>44740</v>
      </c>
      <c r="C2072" s="19">
        <f>MONTH(Tabela6[[#This Row],[Data]])</f>
        <v>6</v>
      </c>
      <c r="D2072" s="19">
        <f>YEAR(Tabela6[[#This Row],[Data]])</f>
        <v>2022</v>
      </c>
      <c r="E2072" s="12" t="s">
        <v>78</v>
      </c>
      <c r="F2072" t="s">
        <v>58</v>
      </c>
      <c r="G2072" s="26">
        <v>4</v>
      </c>
      <c r="I2072" t="str">
        <f>IFERROR(VLOOKUP(Tabela6[[#This Row],[Descrição]],Materiais!B:C,2,0),"")</f>
        <v/>
      </c>
    </row>
    <row r="2073" spans="2:9">
      <c r="B2073" s="11">
        <f>43280+(365*4)</f>
        <v>44740</v>
      </c>
      <c r="C2073" s="19">
        <f>MONTH(Tabela6[[#This Row],[Data]])</f>
        <v>6</v>
      </c>
      <c r="D2073" s="19">
        <f>YEAR(Tabela6[[#This Row],[Data]])</f>
        <v>2022</v>
      </c>
      <c r="E2073" s="12" t="s">
        <v>78</v>
      </c>
      <c r="F2073" t="s">
        <v>61</v>
      </c>
      <c r="G2073" s="26">
        <v>2</v>
      </c>
      <c r="I2073" t="str">
        <f>IFERROR(VLOOKUP(Tabela6[[#This Row],[Descrição]],Materiais!B:C,2,0),"")</f>
        <v/>
      </c>
    </row>
    <row r="2074" spans="2:9">
      <c r="B2074" s="11">
        <f>43280+(365*4)</f>
        <v>44740</v>
      </c>
      <c r="C2074" s="19">
        <f>MONTH(Tabela6[[#This Row],[Data]])</f>
        <v>6</v>
      </c>
      <c r="D2074" s="19">
        <f>YEAR(Tabela6[[#This Row],[Data]])</f>
        <v>2022</v>
      </c>
      <c r="E2074" s="12" t="s">
        <v>78</v>
      </c>
      <c r="F2074" t="s">
        <v>56</v>
      </c>
      <c r="G2074" s="26">
        <v>4</v>
      </c>
      <c r="I2074" t="str">
        <f>IFERROR(VLOOKUP(Tabela6[[#This Row],[Descrição]],Materiais!B:C,2,0),"")</f>
        <v/>
      </c>
    </row>
    <row r="2075" spans="2:9">
      <c r="B2075" s="11">
        <f>43281+(365*4)</f>
        <v>44741</v>
      </c>
      <c r="C2075" s="19">
        <f>MONTH(Tabela6[[#This Row],[Data]])</f>
        <v>6</v>
      </c>
      <c r="D2075" s="19">
        <f>YEAR(Tabela6[[#This Row],[Data]])</f>
        <v>2022</v>
      </c>
      <c r="E2075" s="12" t="s">
        <v>78</v>
      </c>
      <c r="F2075" t="s">
        <v>56</v>
      </c>
      <c r="G2075" s="26">
        <v>122.5</v>
      </c>
      <c r="I2075" t="str">
        <f>IFERROR(VLOOKUP(Tabela6[[#This Row],[Descrição]],Materiais!B:C,2,0),"")</f>
        <v/>
      </c>
    </row>
    <row r="2076" spans="2:9">
      <c r="B2076" s="11">
        <f>43281+(365*4)</f>
        <v>44741</v>
      </c>
      <c r="C2076" s="19">
        <f>MONTH(Tabela6[[#This Row],[Data]])</f>
        <v>6</v>
      </c>
      <c r="D2076" s="19">
        <f>YEAR(Tabela6[[#This Row],[Data]])</f>
        <v>2022</v>
      </c>
      <c r="E2076" s="12" t="s">
        <v>78</v>
      </c>
      <c r="F2076" t="s">
        <v>162</v>
      </c>
      <c r="G2076" s="26">
        <v>60</v>
      </c>
      <c r="I2076" t="str">
        <f>IFERROR(VLOOKUP(Tabela6[[#This Row],[Descrição]],Materiais!B:C,2,0),"")</f>
        <v/>
      </c>
    </row>
    <row r="2077" spans="2:9">
      <c r="B2077" s="11">
        <f t="shared" ref="B2077:B2084" si="190">43284+(365*4)</f>
        <v>44744</v>
      </c>
      <c r="C2077" s="19">
        <f>MONTH(Tabela6[[#This Row],[Data]])</f>
        <v>7</v>
      </c>
      <c r="D2077" s="19">
        <f>YEAR(Tabela6[[#This Row],[Data]])</f>
        <v>2022</v>
      </c>
      <c r="E2077" s="12" t="s">
        <v>78</v>
      </c>
      <c r="F2077" t="s">
        <v>58</v>
      </c>
      <c r="G2077" s="26">
        <v>8</v>
      </c>
      <c r="I2077" t="str">
        <f>IFERROR(VLOOKUP(Tabela6[[#This Row],[Descrição]],Materiais!B:C,2,0),"")</f>
        <v/>
      </c>
    </row>
    <row r="2078" spans="2:9">
      <c r="B2078" s="11">
        <f t="shared" si="190"/>
        <v>44744</v>
      </c>
      <c r="C2078" s="19">
        <f>MONTH(Tabela6[[#This Row],[Data]])</f>
        <v>7</v>
      </c>
      <c r="D2078" s="19">
        <f>YEAR(Tabela6[[#This Row],[Data]])</f>
        <v>2022</v>
      </c>
      <c r="E2078" s="12" t="s">
        <v>78</v>
      </c>
      <c r="F2078" t="s">
        <v>61</v>
      </c>
      <c r="G2078" s="26">
        <v>10</v>
      </c>
      <c r="I2078" t="str">
        <f>IFERROR(VLOOKUP(Tabela6[[#This Row],[Descrição]],Materiais!B:C,2,0),"")</f>
        <v/>
      </c>
    </row>
    <row r="2079" spans="2:9">
      <c r="B2079" s="11">
        <f t="shared" si="190"/>
        <v>44744</v>
      </c>
      <c r="C2079" s="19">
        <f>MONTH(Tabela6[[#This Row],[Data]])</f>
        <v>7</v>
      </c>
      <c r="D2079" s="19">
        <f>YEAR(Tabela6[[#This Row],[Data]])</f>
        <v>2022</v>
      </c>
      <c r="E2079" s="12" t="s">
        <v>78</v>
      </c>
      <c r="F2079" t="s">
        <v>56</v>
      </c>
      <c r="G2079" s="26">
        <v>12</v>
      </c>
      <c r="I2079" t="str">
        <f>IFERROR(VLOOKUP(Tabela6[[#This Row],[Descrição]],Materiais!B:C,2,0),"")</f>
        <v/>
      </c>
    </row>
    <row r="2080" spans="2:9">
      <c r="B2080" s="11">
        <f t="shared" si="190"/>
        <v>44744</v>
      </c>
      <c r="C2080" s="19">
        <f>MONTH(Tabela6[[#This Row],[Data]])</f>
        <v>7</v>
      </c>
      <c r="D2080" s="19">
        <f>YEAR(Tabela6[[#This Row],[Data]])</f>
        <v>2022</v>
      </c>
      <c r="E2080" s="12" t="s">
        <v>78</v>
      </c>
      <c r="F2080" t="s">
        <v>152</v>
      </c>
      <c r="G2080" s="26">
        <v>2</v>
      </c>
      <c r="I2080" t="str">
        <f>IFERROR(VLOOKUP(Tabela6[[#This Row],[Descrição]],Materiais!B:C,2,0),"")</f>
        <v/>
      </c>
    </row>
    <row r="2081" spans="2:9">
      <c r="B2081" s="11">
        <f t="shared" si="190"/>
        <v>44744</v>
      </c>
      <c r="C2081" s="19">
        <f>MONTH(Tabela6[[#This Row],[Data]])</f>
        <v>7</v>
      </c>
      <c r="D2081" s="19">
        <f>YEAR(Tabela6[[#This Row],[Data]])</f>
        <v>2022</v>
      </c>
      <c r="E2081" s="12" t="s">
        <v>78</v>
      </c>
      <c r="F2081" t="s">
        <v>148</v>
      </c>
      <c r="G2081" s="26">
        <v>6</v>
      </c>
      <c r="I2081" t="str">
        <f>IFERROR(VLOOKUP(Tabela6[[#This Row],[Descrição]],Materiais!B:C,2,0),"")</f>
        <v/>
      </c>
    </row>
    <row r="2082" spans="2:9">
      <c r="B2082" s="11">
        <f t="shared" si="190"/>
        <v>44744</v>
      </c>
      <c r="C2082" s="19">
        <f>MONTH(Tabela6[[#This Row],[Data]])</f>
        <v>7</v>
      </c>
      <c r="D2082" s="19">
        <f>YEAR(Tabela6[[#This Row],[Data]])</f>
        <v>2022</v>
      </c>
      <c r="E2082" s="12" t="s">
        <v>78</v>
      </c>
      <c r="F2082" t="s">
        <v>142</v>
      </c>
      <c r="G2082" s="26">
        <v>4</v>
      </c>
      <c r="I2082" t="str">
        <f>IFERROR(VLOOKUP(Tabela6[[#This Row],[Descrição]],Materiais!B:C,2,0),"")</f>
        <v/>
      </c>
    </row>
    <row r="2083" spans="2:9">
      <c r="B2083" s="11">
        <f t="shared" si="190"/>
        <v>44744</v>
      </c>
      <c r="C2083" s="19">
        <f>MONTH(Tabela6[[#This Row],[Data]])</f>
        <v>7</v>
      </c>
      <c r="D2083" s="19">
        <f>YEAR(Tabela6[[#This Row],[Data]])</f>
        <v>2022</v>
      </c>
      <c r="E2083" s="12" t="s">
        <v>78</v>
      </c>
      <c r="F2083" t="s">
        <v>63</v>
      </c>
      <c r="G2083" s="26">
        <v>6</v>
      </c>
      <c r="I2083" t="str">
        <f>IFERROR(VLOOKUP(Tabela6[[#This Row],[Descrição]],Materiais!B:C,2,0),"")</f>
        <v/>
      </c>
    </row>
    <row r="2084" spans="2:9">
      <c r="B2084" s="11">
        <f t="shared" si="190"/>
        <v>44744</v>
      </c>
      <c r="C2084" s="19">
        <f>MONTH(Tabela6[[#This Row],[Data]])</f>
        <v>7</v>
      </c>
      <c r="D2084" s="19">
        <f>YEAR(Tabela6[[#This Row],[Data]])</f>
        <v>2022</v>
      </c>
      <c r="E2084" s="12" t="s">
        <v>78</v>
      </c>
      <c r="F2084" t="s">
        <v>163</v>
      </c>
      <c r="G2084" s="26">
        <v>7.5</v>
      </c>
      <c r="I2084" t="str">
        <f>IFERROR(VLOOKUP(Tabela6[[#This Row],[Descrição]],Materiais!B:C,2,0),"")</f>
        <v/>
      </c>
    </row>
    <row r="2085" spans="2:9">
      <c r="B2085" s="11">
        <f t="shared" ref="B2085:B2090" si="191">43285+(365*4)</f>
        <v>44745</v>
      </c>
      <c r="C2085" s="19">
        <f>MONTH(Tabela6[[#This Row],[Data]])</f>
        <v>7</v>
      </c>
      <c r="D2085" s="19">
        <f>YEAR(Tabela6[[#This Row],[Data]])</f>
        <v>2022</v>
      </c>
      <c r="E2085" s="12" t="s">
        <v>78</v>
      </c>
      <c r="F2085" t="s">
        <v>163</v>
      </c>
      <c r="G2085" s="26">
        <v>7.5</v>
      </c>
      <c r="I2085" t="str">
        <f>IFERROR(VLOOKUP(Tabela6[[#This Row],[Descrição]],Materiais!B:C,2,0),"")</f>
        <v/>
      </c>
    </row>
    <row r="2086" spans="2:9">
      <c r="B2086" s="11">
        <f t="shared" si="191"/>
        <v>44745</v>
      </c>
      <c r="C2086" s="19">
        <f>MONTH(Tabela6[[#This Row],[Data]])</f>
        <v>7</v>
      </c>
      <c r="D2086" s="19">
        <f>YEAR(Tabela6[[#This Row],[Data]])</f>
        <v>2022</v>
      </c>
      <c r="E2086" s="12" t="s">
        <v>78</v>
      </c>
      <c r="F2086" t="s">
        <v>58</v>
      </c>
      <c r="G2086" s="26">
        <v>4</v>
      </c>
      <c r="I2086" t="str">
        <f>IFERROR(VLOOKUP(Tabela6[[#This Row],[Descrição]],Materiais!B:C,2,0),"")</f>
        <v/>
      </c>
    </row>
    <row r="2087" spans="2:9">
      <c r="B2087" s="11">
        <f t="shared" si="191"/>
        <v>44745</v>
      </c>
      <c r="C2087" s="19">
        <f>MONTH(Tabela6[[#This Row],[Data]])</f>
        <v>7</v>
      </c>
      <c r="D2087" s="19">
        <f>YEAR(Tabela6[[#This Row],[Data]])</f>
        <v>2022</v>
      </c>
      <c r="E2087" s="12" t="s">
        <v>78</v>
      </c>
      <c r="F2087" t="s">
        <v>61</v>
      </c>
      <c r="G2087" s="26">
        <v>8</v>
      </c>
      <c r="I2087" t="str">
        <f>IFERROR(VLOOKUP(Tabela6[[#This Row],[Descrição]],Materiais!B:C,2,0),"")</f>
        <v/>
      </c>
    </row>
    <row r="2088" spans="2:9">
      <c r="B2088" s="11">
        <f t="shared" si="191"/>
        <v>44745</v>
      </c>
      <c r="C2088" s="19">
        <f>MONTH(Tabela6[[#This Row],[Data]])</f>
        <v>7</v>
      </c>
      <c r="D2088" s="19">
        <f>YEAR(Tabela6[[#This Row],[Data]])</f>
        <v>2022</v>
      </c>
      <c r="E2088" s="12" t="s">
        <v>78</v>
      </c>
      <c r="F2088" t="s">
        <v>56</v>
      </c>
      <c r="G2088" s="26">
        <v>10</v>
      </c>
      <c r="I2088" t="str">
        <f>IFERROR(VLOOKUP(Tabela6[[#This Row],[Descrição]],Materiais!B:C,2,0),"")</f>
        <v/>
      </c>
    </row>
    <row r="2089" spans="2:9">
      <c r="B2089" s="11">
        <f t="shared" si="191"/>
        <v>44745</v>
      </c>
      <c r="C2089" s="19">
        <f>MONTH(Tabela6[[#This Row],[Data]])</f>
        <v>7</v>
      </c>
      <c r="D2089" s="19">
        <f>YEAR(Tabela6[[#This Row],[Data]])</f>
        <v>2022</v>
      </c>
      <c r="E2089" s="12" t="s">
        <v>78</v>
      </c>
      <c r="F2089" t="s">
        <v>63</v>
      </c>
      <c r="G2089" s="26">
        <v>4</v>
      </c>
      <c r="I2089" t="str">
        <f>IFERROR(VLOOKUP(Tabela6[[#This Row],[Descrição]],Materiais!B:C,2,0),"")</f>
        <v/>
      </c>
    </row>
    <row r="2090" spans="2:9">
      <c r="B2090" s="11">
        <f t="shared" si="191"/>
        <v>44745</v>
      </c>
      <c r="C2090" s="19">
        <f>MONTH(Tabela6[[#This Row],[Data]])</f>
        <v>7</v>
      </c>
      <c r="D2090" s="19">
        <f>YEAR(Tabela6[[#This Row],[Data]])</f>
        <v>2022</v>
      </c>
      <c r="E2090" s="12" t="s">
        <v>78</v>
      </c>
      <c r="F2090" t="s">
        <v>148</v>
      </c>
      <c r="G2090" s="26">
        <v>4</v>
      </c>
      <c r="I2090" t="str">
        <f>IFERROR(VLOOKUP(Tabela6[[#This Row],[Descrição]],Materiais!B:C,2,0),"")</f>
        <v/>
      </c>
    </row>
    <row r="2091" spans="2:9">
      <c r="B2091" s="11">
        <f>43287+(365*4)</f>
        <v>44747</v>
      </c>
      <c r="C2091" s="19">
        <f>MONTH(Tabela6[[#This Row],[Data]])</f>
        <v>7</v>
      </c>
      <c r="D2091" s="19">
        <f>YEAR(Tabela6[[#This Row],[Data]])</f>
        <v>2022</v>
      </c>
      <c r="E2091" s="12" t="s">
        <v>78</v>
      </c>
      <c r="F2091" t="s">
        <v>56</v>
      </c>
      <c r="G2091" s="26">
        <v>70</v>
      </c>
      <c r="I2091" t="str">
        <f>IFERROR(VLOOKUP(Tabela6[[#This Row],[Descrição]],Materiais!B:C,2,0),"")</f>
        <v/>
      </c>
    </row>
    <row r="2092" spans="2:9">
      <c r="B2092" s="11">
        <f>43288+(365*4)</f>
        <v>44748</v>
      </c>
      <c r="C2092" s="19">
        <f>MONTH(Tabela6[[#This Row],[Data]])</f>
        <v>7</v>
      </c>
      <c r="D2092" s="19">
        <f>YEAR(Tabela6[[#This Row],[Data]])</f>
        <v>2022</v>
      </c>
      <c r="E2092" s="12" t="s">
        <v>78</v>
      </c>
      <c r="F2092" t="s">
        <v>56</v>
      </c>
      <c r="G2092" s="26">
        <v>2</v>
      </c>
      <c r="I2092" t="str">
        <f>IFERROR(VLOOKUP(Tabela6[[#This Row],[Descrição]],Materiais!B:C,2,0),"")</f>
        <v/>
      </c>
    </row>
    <row r="2093" spans="2:9">
      <c r="B2093" s="11">
        <f>43288+(365*4)</f>
        <v>44748</v>
      </c>
      <c r="C2093" s="19">
        <f>MONTH(Tabela6[[#This Row],[Data]])</f>
        <v>7</v>
      </c>
      <c r="D2093" s="19">
        <f>YEAR(Tabela6[[#This Row],[Data]])</f>
        <v>2022</v>
      </c>
      <c r="E2093" s="12" t="s">
        <v>78</v>
      </c>
      <c r="F2093" t="s">
        <v>56</v>
      </c>
      <c r="G2093" s="26">
        <v>2</v>
      </c>
      <c r="I2093" t="str">
        <f>IFERROR(VLOOKUP(Tabela6[[#This Row],[Descrição]],Materiais!B:C,2,0),"")</f>
        <v/>
      </c>
    </row>
    <row r="2094" spans="2:9">
      <c r="B2094" s="11">
        <f t="shared" ref="B2094:B2099" si="192">43291+(365*4)</f>
        <v>44751</v>
      </c>
      <c r="C2094" s="19">
        <f>MONTH(Tabela6[[#This Row],[Data]])</f>
        <v>7</v>
      </c>
      <c r="D2094" s="19">
        <f>YEAR(Tabela6[[#This Row],[Data]])</f>
        <v>2022</v>
      </c>
      <c r="E2094" s="12" t="s">
        <v>78</v>
      </c>
      <c r="F2094" t="s">
        <v>61</v>
      </c>
      <c r="G2094" s="26">
        <v>8</v>
      </c>
      <c r="I2094" t="str">
        <f>IFERROR(VLOOKUP(Tabela6[[#This Row],[Descrição]],Materiais!B:C,2,0),"")</f>
        <v/>
      </c>
    </row>
    <row r="2095" spans="2:9">
      <c r="B2095" s="11">
        <f t="shared" si="192"/>
        <v>44751</v>
      </c>
      <c r="C2095" s="19">
        <f>MONTH(Tabela6[[#This Row],[Data]])</f>
        <v>7</v>
      </c>
      <c r="D2095" s="19">
        <f>YEAR(Tabela6[[#This Row],[Data]])</f>
        <v>2022</v>
      </c>
      <c r="E2095" s="12" t="s">
        <v>78</v>
      </c>
      <c r="F2095" t="s">
        <v>58</v>
      </c>
      <c r="G2095" s="26">
        <v>6</v>
      </c>
      <c r="I2095" t="str">
        <f>IFERROR(VLOOKUP(Tabela6[[#This Row],[Descrição]],Materiais!B:C,2,0),"")</f>
        <v/>
      </c>
    </row>
    <row r="2096" spans="2:9">
      <c r="B2096" s="11">
        <f t="shared" si="192"/>
        <v>44751</v>
      </c>
      <c r="C2096" s="19">
        <f>MONTH(Tabela6[[#This Row],[Data]])</f>
        <v>7</v>
      </c>
      <c r="D2096" s="19">
        <f>YEAR(Tabela6[[#This Row],[Data]])</f>
        <v>2022</v>
      </c>
      <c r="E2096" s="12" t="s">
        <v>78</v>
      </c>
      <c r="F2096" t="s">
        <v>63</v>
      </c>
      <c r="G2096" s="26">
        <v>6</v>
      </c>
      <c r="I2096" t="str">
        <f>IFERROR(VLOOKUP(Tabela6[[#This Row],[Descrição]],Materiais!B:C,2,0),"")</f>
        <v/>
      </c>
    </row>
    <row r="2097" spans="2:9">
      <c r="B2097" s="11">
        <f t="shared" si="192"/>
        <v>44751</v>
      </c>
      <c r="C2097" s="19">
        <f>MONTH(Tabela6[[#This Row],[Data]])</f>
        <v>7</v>
      </c>
      <c r="D2097" s="19">
        <f>YEAR(Tabela6[[#This Row],[Data]])</f>
        <v>2022</v>
      </c>
      <c r="E2097" s="12" t="s">
        <v>78</v>
      </c>
      <c r="F2097" t="s">
        <v>148</v>
      </c>
      <c r="G2097" s="26">
        <v>6</v>
      </c>
      <c r="I2097" t="str">
        <f>IFERROR(VLOOKUP(Tabela6[[#This Row],[Descrição]],Materiais!B:C,2,0),"")</f>
        <v/>
      </c>
    </row>
    <row r="2098" spans="2:9">
      <c r="B2098" s="11">
        <f t="shared" si="192"/>
        <v>44751</v>
      </c>
      <c r="C2098" s="19">
        <f>MONTH(Tabela6[[#This Row],[Data]])</f>
        <v>7</v>
      </c>
      <c r="D2098" s="19">
        <f>YEAR(Tabela6[[#This Row],[Data]])</f>
        <v>2022</v>
      </c>
      <c r="E2098" s="12" t="s">
        <v>78</v>
      </c>
      <c r="F2098" t="s">
        <v>56</v>
      </c>
      <c r="G2098" s="26">
        <v>8</v>
      </c>
      <c r="I2098" t="str">
        <f>IFERROR(VLOOKUP(Tabela6[[#This Row],[Descrição]],Materiais!B:C,2,0),"")</f>
        <v/>
      </c>
    </row>
    <row r="2099" spans="2:9">
      <c r="B2099" s="11">
        <f t="shared" si="192"/>
        <v>44751</v>
      </c>
      <c r="C2099" s="19">
        <f>MONTH(Tabela6[[#This Row],[Data]])</f>
        <v>7</v>
      </c>
      <c r="D2099" s="19">
        <f>YEAR(Tabela6[[#This Row],[Data]])</f>
        <v>2022</v>
      </c>
      <c r="E2099" s="12" t="s">
        <v>78</v>
      </c>
      <c r="F2099" t="s">
        <v>133</v>
      </c>
      <c r="G2099" s="26">
        <v>4</v>
      </c>
      <c r="I2099" t="str">
        <f>IFERROR(VLOOKUP(Tabela6[[#This Row],[Descrição]],Materiais!B:C,2,0),"")</f>
        <v/>
      </c>
    </row>
    <row r="2100" spans="2:9">
      <c r="B2100" s="11">
        <f t="shared" ref="B2100:B2109" si="193">43292+(365*4)</f>
        <v>44752</v>
      </c>
      <c r="C2100" s="19">
        <f>MONTH(Tabela6[[#This Row],[Data]])</f>
        <v>7</v>
      </c>
      <c r="D2100" s="19">
        <f>YEAR(Tabela6[[#This Row],[Data]])</f>
        <v>2022</v>
      </c>
      <c r="E2100" s="12" t="s">
        <v>78</v>
      </c>
      <c r="F2100" t="s">
        <v>162</v>
      </c>
      <c r="G2100" s="26">
        <v>40</v>
      </c>
      <c r="I2100" t="str">
        <f>IFERROR(VLOOKUP(Tabela6[[#This Row],[Descrição]],Materiais!B:C,2,0),"")</f>
        <v/>
      </c>
    </row>
    <row r="2101" spans="2:9">
      <c r="B2101" s="11">
        <f t="shared" si="193"/>
        <v>44752</v>
      </c>
      <c r="C2101" s="19">
        <f>MONTH(Tabela6[[#This Row],[Data]])</f>
        <v>7</v>
      </c>
      <c r="D2101" s="19">
        <f>YEAR(Tabela6[[#This Row],[Data]])</f>
        <v>2022</v>
      </c>
      <c r="E2101" s="12" t="s">
        <v>78</v>
      </c>
      <c r="F2101" t="s">
        <v>56</v>
      </c>
      <c r="G2101" s="26">
        <v>70</v>
      </c>
      <c r="I2101" t="str">
        <f>IFERROR(VLOOKUP(Tabela6[[#This Row],[Descrição]],Materiais!B:C,2,0),"")</f>
        <v/>
      </c>
    </row>
    <row r="2102" spans="2:9">
      <c r="B2102" s="11">
        <f t="shared" si="193"/>
        <v>44752</v>
      </c>
      <c r="C2102" s="19">
        <f>MONTH(Tabela6[[#This Row],[Data]])</f>
        <v>7</v>
      </c>
      <c r="D2102" s="19">
        <f>YEAR(Tabela6[[#This Row],[Data]])</f>
        <v>2022</v>
      </c>
      <c r="E2102" s="12" t="s">
        <v>78</v>
      </c>
      <c r="F2102" t="s">
        <v>121</v>
      </c>
      <c r="G2102" s="26">
        <v>70</v>
      </c>
      <c r="I2102" t="str">
        <f>IFERROR(VLOOKUP(Tabela6[[#This Row],[Descrição]],Materiais!B:C,2,0),"")</f>
        <v/>
      </c>
    </row>
    <row r="2103" spans="2:9">
      <c r="B2103" s="11">
        <f t="shared" si="193"/>
        <v>44752</v>
      </c>
      <c r="C2103" s="19">
        <f>MONTH(Tabela6[[#This Row],[Data]])</f>
        <v>7</v>
      </c>
      <c r="D2103" s="19">
        <f>YEAR(Tabela6[[#This Row],[Data]])</f>
        <v>2022</v>
      </c>
      <c r="E2103" s="12" t="s">
        <v>78</v>
      </c>
      <c r="F2103" t="s">
        <v>122</v>
      </c>
      <c r="G2103" s="26">
        <v>35</v>
      </c>
      <c r="I2103" t="str">
        <f>IFERROR(VLOOKUP(Tabela6[[#This Row],[Descrição]],Materiais!B:C,2,0),"")</f>
        <v/>
      </c>
    </row>
    <row r="2104" spans="2:9">
      <c r="B2104" s="11">
        <f t="shared" si="193"/>
        <v>44752</v>
      </c>
      <c r="C2104" s="19">
        <f>MONTH(Tabela6[[#This Row],[Data]])</f>
        <v>7</v>
      </c>
      <c r="D2104" s="19">
        <f>YEAR(Tabela6[[#This Row],[Data]])</f>
        <v>2022</v>
      </c>
      <c r="E2104" s="12" t="s">
        <v>78</v>
      </c>
      <c r="F2104" t="s">
        <v>63</v>
      </c>
      <c r="G2104" s="26">
        <v>2</v>
      </c>
      <c r="I2104" t="str">
        <f>IFERROR(VLOOKUP(Tabela6[[#This Row],[Descrição]],Materiais!B:C,2,0),"")</f>
        <v/>
      </c>
    </row>
    <row r="2105" spans="2:9">
      <c r="B2105" s="11">
        <f t="shared" si="193"/>
        <v>44752</v>
      </c>
      <c r="C2105" s="19">
        <f>MONTH(Tabela6[[#This Row],[Data]])</f>
        <v>7</v>
      </c>
      <c r="D2105" s="19">
        <f>YEAR(Tabela6[[#This Row],[Data]])</f>
        <v>2022</v>
      </c>
      <c r="E2105" s="12" t="s">
        <v>78</v>
      </c>
      <c r="F2105" t="s">
        <v>133</v>
      </c>
      <c r="G2105" s="26">
        <v>2</v>
      </c>
      <c r="I2105" t="str">
        <f>IFERROR(VLOOKUP(Tabela6[[#This Row],[Descrição]],Materiais!B:C,2,0),"")</f>
        <v/>
      </c>
    </row>
    <row r="2106" spans="2:9">
      <c r="B2106" s="11">
        <f t="shared" si="193"/>
        <v>44752</v>
      </c>
      <c r="C2106" s="19">
        <f>MONTH(Tabela6[[#This Row],[Data]])</f>
        <v>7</v>
      </c>
      <c r="D2106" s="19">
        <f>YEAR(Tabela6[[#This Row],[Data]])</f>
        <v>2022</v>
      </c>
      <c r="E2106" s="12" t="s">
        <v>78</v>
      </c>
      <c r="F2106" t="s">
        <v>148</v>
      </c>
      <c r="G2106" s="26">
        <v>6</v>
      </c>
      <c r="I2106" t="str">
        <f>IFERROR(VLOOKUP(Tabela6[[#This Row],[Descrição]],Materiais!B:C,2,0),"")</f>
        <v/>
      </c>
    </row>
    <row r="2107" spans="2:9">
      <c r="B2107" s="11">
        <f t="shared" si="193"/>
        <v>44752</v>
      </c>
      <c r="C2107" s="19">
        <f>MONTH(Tabela6[[#This Row],[Data]])</f>
        <v>7</v>
      </c>
      <c r="D2107" s="19">
        <f>YEAR(Tabela6[[#This Row],[Data]])</f>
        <v>2022</v>
      </c>
      <c r="E2107" s="12" t="s">
        <v>78</v>
      </c>
      <c r="F2107" t="s">
        <v>58</v>
      </c>
      <c r="G2107" s="26">
        <v>4</v>
      </c>
      <c r="I2107" t="str">
        <f>IFERROR(VLOOKUP(Tabela6[[#This Row],[Descrição]],Materiais!B:C,2,0),"")</f>
        <v/>
      </c>
    </row>
    <row r="2108" spans="2:9">
      <c r="B2108" s="11">
        <f t="shared" si="193"/>
        <v>44752</v>
      </c>
      <c r="C2108" s="19">
        <f>MONTH(Tabela6[[#This Row],[Data]])</f>
        <v>7</v>
      </c>
      <c r="D2108" s="19">
        <f>YEAR(Tabela6[[#This Row],[Data]])</f>
        <v>2022</v>
      </c>
      <c r="E2108" s="12" t="s">
        <v>78</v>
      </c>
      <c r="F2108" t="s">
        <v>61</v>
      </c>
      <c r="G2108" s="26">
        <v>10</v>
      </c>
      <c r="I2108" t="str">
        <f>IFERROR(VLOOKUP(Tabela6[[#This Row],[Descrição]],Materiais!B:C,2,0),"")</f>
        <v/>
      </c>
    </row>
    <row r="2109" spans="2:9">
      <c r="B2109" s="11">
        <f t="shared" si="193"/>
        <v>44752</v>
      </c>
      <c r="C2109" s="19">
        <f>MONTH(Tabela6[[#This Row],[Data]])</f>
        <v>7</v>
      </c>
      <c r="D2109" s="19">
        <f>YEAR(Tabela6[[#This Row],[Data]])</f>
        <v>2022</v>
      </c>
      <c r="E2109" s="12" t="s">
        <v>78</v>
      </c>
      <c r="F2109" t="s">
        <v>56</v>
      </c>
      <c r="G2109" s="26">
        <v>12</v>
      </c>
      <c r="I2109" t="str">
        <f>IFERROR(VLOOKUP(Tabela6[[#This Row],[Descrição]],Materiais!B:C,2,0),"")</f>
        <v/>
      </c>
    </row>
    <row r="2110" spans="2:9">
      <c r="B2110" s="11">
        <f>43293+(365*4)</f>
        <v>44753</v>
      </c>
      <c r="C2110" s="19">
        <f>MONTH(Tabela6[[#This Row],[Data]])</f>
        <v>7</v>
      </c>
      <c r="D2110" s="19">
        <f>YEAR(Tabela6[[#This Row],[Data]])</f>
        <v>2022</v>
      </c>
      <c r="E2110" s="12" t="s">
        <v>78</v>
      </c>
      <c r="F2110" t="s">
        <v>142</v>
      </c>
      <c r="G2110" s="26">
        <v>2</v>
      </c>
      <c r="I2110" t="str">
        <f>IFERROR(VLOOKUP(Tabela6[[#This Row],[Descrição]],Materiais!B:C,2,0),"")</f>
        <v/>
      </c>
    </row>
    <row r="2111" spans="2:9">
      <c r="B2111" s="11">
        <f>43293+(365*4)</f>
        <v>44753</v>
      </c>
      <c r="C2111" s="19">
        <f>MONTH(Tabela6[[#This Row],[Data]])</f>
        <v>7</v>
      </c>
      <c r="D2111" s="19">
        <f>YEAR(Tabela6[[#This Row],[Data]])</f>
        <v>2022</v>
      </c>
      <c r="E2111" s="12" t="s">
        <v>78</v>
      </c>
      <c r="F2111" t="s">
        <v>58</v>
      </c>
      <c r="G2111" s="26">
        <v>4</v>
      </c>
      <c r="I2111" t="str">
        <f>IFERROR(VLOOKUP(Tabela6[[#This Row],[Descrição]],Materiais!B:C,2,0),"")</f>
        <v/>
      </c>
    </row>
    <row r="2112" spans="2:9">
      <c r="B2112" s="11">
        <f>43293+(365*4)</f>
        <v>44753</v>
      </c>
      <c r="C2112" s="19">
        <f>MONTH(Tabela6[[#This Row],[Data]])</f>
        <v>7</v>
      </c>
      <c r="D2112" s="19">
        <f>YEAR(Tabela6[[#This Row],[Data]])</f>
        <v>2022</v>
      </c>
      <c r="E2112" s="12" t="s">
        <v>78</v>
      </c>
      <c r="F2112" t="s">
        <v>63</v>
      </c>
      <c r="G2112" s="26">
        <v>4</v>
      </c>
      <c r="I2112" t="str">
        <f>IFERROR(VLOOKUP(Tabela6[[#This Row],[Descrição]],Materiais!B:C,2,0),"")</f>
        <v/>
      </c>
    </row>
    <row r="2113" spans="2:9">
      <c r="B2113" s="11">
        <f>43293+(365*4)</f>
        <v>44753</v>
      </c>
      <c r="C2113" s="19">
        <f>MONTH(Tabela6[[#This Row],[Data]])</f>
        <v>7</v>
      </c>
      <c r="D2113" s="19">
        <f>YEAR(Tabela6[[#This Row],[Data]])</f>
        <v>2022</v>
      </c>
      <c r="E2113" s="12" t="s">
        <v>78</v>
      </c>
      <c r="F2113" t="s">
        <v>133</v>
      </c>
      <c r="G2113" s="26">
        <v>2</v>
      </c>
      <c r="I2113" t="str">
        <f>IFERROR(VLOOKUP(Tabela6[[#This Row],[Descrição]],Materiais!B:C,2,0),"")</f>
        <v/>
      </c>
    </row>
    <row r="2114" spans="2:9">
      <c r="B2114" s="11">
        <f t="shared" ref="B2114:B2120" si="194">43297+(365*4)</f>
        <v>44757</v>
      </c>
      <c r="C2114" s="19">
        <f>MONTH(Tabela6[[#This Row],[Data]])</f>
        <v>7</v>
      </c>
      <c r="D2114" s="19">
        <f>YEAR(Tabela6[[#This Row],[Data]])</f>
        <v>2022</v>
      </c>
      <c r="E2114" s="12" t="s">
        <v>78</v>
      </c>
      <c r="F2114" t="s">
        <v>133</v>
      </c>
      <c r="G2114" s="26">
        <v>4</v>
      </c>
      <c r="I2114" t="str">
        <f>IFERROR(VLOOKUP(Tabela6[[#This Row],[Descrição]],Materiais!B:C,2,0),"")</f>
        <v/>
      </c>
    </row>
    <row r="2115" spans="2:9">
      <c r="B2115" s="11">
        <f t="shared" si="194"/>
        <v>44757</v>
      </c>
      <c r="C2115" s="19">
        <f>MONTH(Tabela6[[#This Row],[Data]])</f>
        <v>7</v>
      </c>
      <c r="D2115" s="19">
        <f>YEAR(Tabela6[[#This Row],[Data]])</f>
        <v>2022</v>
      </c>
      <c r="E2115" s="12" t="s">
        <v>78</v>
      </c>
      <c r="F2115" t="s">
        <v>147</v>
      </c>
      <c r="G2115" s="26">
        <v>2</v>
      </c>
      <c r="I2115" t="str">
        <f>IFERROR(VLOOKUP(Tabela6[[#This Row],[Descrição]],Materiais!B:C,2,0),"")</f>
        <v/>
      </c>
    </row>
    <row r="2116" spans="2:9">
      <c r="B2116" s="11">
        <f t="shared" si="194"/>
        <v>44757</v>
      </c>
      <c r="C2116" s="19">
        <f>MONTH(Tabela6[[#This Row],[Data]])</f>
        <v>7</v>
      </c>
      <c r="D2116" s="19">
        <f>YEAR(Tabela6[[#This Row],[Data]])</f>
        <v>2022</v>
      </c>
      <c r="E2116" s="12" t="s">
        <v>78</v>
      </c>
      <c r="F2116" t="s">
        <v>58</v>
      </c>
      <c r="G2116" s="26">
        <v>2</v>
      </c>
      <c r="I2116" t="str">
        <f>IFERROR(VLOOKUP(Tabela6[[#This Row],[Descrição]],Materiais!B:C,2,0),"")</f>
        <v/>
      </c>
    </row>
    <row r="2117" spans="2:9">
      <c r="B2117" s="11">
        <f t="shared" si="194"/>
        <v>44757</v>
      </c>
      <c r="C2117" s="19">
        <f>MONTH(Tabela6[[#This Row],[Data]])</f>
        <v>7</v>
      </c>
      <c r="D2117" s="19">
        <f>YEAR(Tabela6[[#This Row],[Data]])</f>
        <v>2022</v>
      </c>
      <c r="E2117" s="12" t="s">
        <v>78</v>
      </c>
      <c r="F2117" t="s">
        <v>61</v>
      </c>
      <c r="G2117" s="26">
        <v>2</v>
      </c>
      <c r="I2117" t="str">
        <f>IFERROR(VLOOKUP(Tabela6[[#This Row],[Descrição]],Materiais!B:C,2,0),"")</f>
        <v/>
      </c>
    </row>
    <row r="2118" spans="2:9">
      <c r="B2118" s="11">
        <f t="shared" si="194"/>
        <v>44757</v>
      </c>
      <c r="C2118" s="19">
        <f>MONTH(Tabela6[[#This Row],[Data]])</f>
        <v>7</v>
      </c>
      <c r="D2118" s="19">
        <f>YEAR(Tabela6[[#This Row],[Data]])</f>
        <v>2022</v>
      </c>
      <c r="E2118" s="12" t="s">
        <v>78</v>
      </c>
      <c r="F2118" t="s">
        <v>56</v>
      </c>
      <c r="G2118" s="26">
        <v>2</v>
      </c>
      <c r="I2118" t="str">
        <f>IFERROR(VLOOKUP(Tabela6[[#This Row],[Descrição]],Materiais!B:C,2,0),"")</f>
        <v/>
      </c>
    </row>
    <row r="2119" spans="2:9">
      <c r="B2119" s="11">
        <f t="shared" si="194"/>
        <v>44757</v>
      </c>
      <c r="C2119" s="19">
        <f>MONTH(Tabela6[[#This Row],[Data]])</f>
        <v>7</v>
      </c>
      <c r="D2119" s="19">
        <f>YEAR(Tabela6[[#This Row],[Data]])</f>
        <v>2022</v>
      </c>
      <c r="E2119" s="12" t="s">
        <v>78</v>
      </c>
      <c r="F2119" t="s">
        <v>63</v>
      </c>
      <c r="G2119" s="26">
        <v>4</v>
      </c>
      <c r="I2119" t="str">
        <f>IFERROR(VLOOKUP(Tabela6[[#This Row],[Descrição]],Materiais!B:C,2,0),"")</f>
        <v/>
      </c>
    </row>
    <row r="2120" spans="2:9">
      <c r="B2120" s="11">
        <f t="shared" si="194"/>
        <v>44757</v>
      </c>
      <c r="C2120" s="19">
        <f>MONTH(Tabela6[[#This Row],[Data]])</f>
        <v>7</v>
      </c>
      <c r="D2120" s="19">
        <f>YEAR(Tabela6[[#This Row],[Data]])</f>
        <v>2022</v>
      </c>
      <c r="E2120" s="12" t="s">
        <v>78</v>
      </c>
      <c r="F2120" t="s">
        <v>152</v>
      </c>
      <c r="G2120" s="26">
        <v>2</v>
      </c>
      <c r="I2120" t="str">
        <f>IFERROR(VLOOKUP(Tabela6[[#This Row],[Descrição]],Materiais!B:C,2,0),"")</f>
        <v/>
      </c>
    </row>
    <row r="2121" spans="2:9">
      <c r="B2121" s="11">
        <f t="shared" ref="B2121:B2127" si="195">43298+(365*4)</f>
        <v>44758</v>
      </c>
      <c r="C2121" s="19">
        <f>MONTH(Tabela6[[#This Row],[Data]])</f>
        <v>7</v>
      </c>
      <c r="D2121" s="19">
        <f>YEAR(Tabela6[[#This Row],[Data]])</f>
        <v>2022</v>
      </c>
      <c r="E2121" s="12" t="s">
        <v>78</v>
      </c>
      <c r="F2121" t="s">
        <v>133</v>
      </c>
      <c r="G2121" s="26">
        <v>2</v>
      </c>
      <c r="I2121" t="str">
        <f>IFERROR(VLOOKUP(Tabela6[[#This Row],[Descrição]],Materiais!B:C,2,0),"")</f>
        <v/>
      </c>
    </row>
    <row r="2122" spans="2:9">
      <c r="B2122" s="11">
        <f t="shared" si="195"/>
        <v>44758</v>
      </c>
      <c r="C2122" s="19">
        <f>MONTH(Tabela6[[#This Row],[Data]])</f>
        <v>7</v>
      </c>
      <c r="D2122" s="19">
        <f>YEAR(Tabela6[[#This Row],[Data]])</f>
        <v>2022</v>
      </c>
      <c r="E2122" s="12" t="s">
        <v>78</v>
      </c>
      <c r="F2122" t="s">
        <v>148</v>
      </c>
      <c r="G2122" s="26">
        <v>4</v>
      </c>
      <c r="I2122" t="str">
        <f>IFERROR(VLOOKUP(Tabela6[[#This Row],[Descrição]],Materiais!B:C,2,0),"")</f>
        <v/>
      </c>
    </row>
    <row r="2123" spans="2:9">
      <c r="B2123" s="11">
        <f t="shared" si="195"/>
        <v>44758</v>
      </c>
      <c r="C2123" s="19">
        <f>MONTH(Tabela6[[#This Row],[Data]])</f>
        <v>7</v>
      </c>
      <c r="D2123" s="19">
        <f>YEAR(Tabela6[[#This Row],[Data]])</f>
        <v>2022</v>
      </c>
      <c r="E2123" s="12" t="s">
        <v>78</v>
      </c>
      <c r="F2123" t="s">
        <v>58</v>
      </c>
      <c r="G2123" s="26">
        <v>4</v>
      </c>
      <c r="I2123" t="str">
        <f>IFERROR(VLOOKUP(Tabela6[[#This Row],[Descrição]],Materiais!B:C,2,0),"")</f>
        <v/>
      </c>
    </row>
    <row r="2124" spans="2:9">
      <c r="B2124" s="11">
        <f t="shared" si="195"/>
        <v>44758</v>
      </c>
      <c r="C2124" s="19">
        <f>MONTH(Tabela6[[#This Row],[Data]])</f>
        <v>7</v>
      </c>
      <c r="D2124" s="19">
        <f>YEAR(Tabela6[[#This Row],[Data]])</f>
        <v>2022</v>
      </c>
      <c r="E2124" s="12" t="s">
        <v>78</v>
      </c>
      <c r="F2124" t="s">
        <v>61</v>
      </c>
      <c r="G2124" s="26">
        <v>2</v>
      </c>
      <c r="I2124" t="str">
        <f>IFERROR(VLOOKUP(Tabela6[[#This Row],[Descrição]],Materiais!B:C,2,0),"")</f>
        <v/>
      </c>
    </row>
    <row r="2125" spans="2:9">
      <c r="B2125" s="11">
        <f t="shared" si="195"/>
        <v>44758</v>
      </c>
      <c r="C2125" s="19">
        <f>MONTH(Tabela6[[#This Row],[Data]])</f>
        <v>7</v>
      </c>
      <c r="D2125" s="19">
        <f>YEAR(Tabela6[[#This Row],[Data]])</f>
        <v>2022</v>
      </c>
      <c r="E2125" s="12" t="s">
        <v>78</v>
      </c>
      <c r="F2125" t="s">
        <v>56</v>
      </c>
      <c r="G2125" s="26">
        <v>2</v>
      </c>
      <c r="I2125" t="str">
        <f>IFERROR(VLOOKUP(Tabela6[[#This Row],[Descrição]],Materiais!B:C,2,0),"")</f>
        <v/>
      </c>
    </row>
    <row r="2126" spans="2:9">
      <c r="B2126" s="11">
        <f t="shared" si="195"/>
        <v>44758</v>
      </c>
      <c r="C2126" s="19">
        <f>MONTH(Tabela6[[#This Row],[Data]])</f>
        <v>7</v>
      </c>
      <c r="D2126" s="19">
        <f>YEAR(Tabela6[[#This Row],[Data]])</f>
        <v>2022</v>
      </c>
      <c r="E2126" s="12" t="s">
        <v>78</v>
      </c>
      <c r="F2126" t="s">
        <v>63</v>
      </c>
      <c r="G2126" s="26">
        <v>2</v>
      </c>
      <c r="I2126" t="str">
        <f>IFERROR(VLOOKUP(Tabela6[[#This Row],[Descrição]],Materiais!B:C,2,0),"")</f>
        <v/>
      </c>
    </row>
    <row r="2127" spans="2:9">
      <c r="B2127" s="11">
        <f t="shared" si="195"/>
        <v>44758</v>
      </c>
      <c r="C2127" s="19">
        <f>MONTH(Tabela6[[#This Row],[Data]])</f>
        <v>7</v>
      </c>
      <c r="D2127" s="19">
        <f>YEAR(Tabela6[[#This Row],[Data]])</f>
        <v>2022</v>
      </c>
      <c r="E2127" s="12" t="s">
        <v>78</v>
      </c>
      <c r="F2127" t="s">
        <v>152</v>
      </c>
      <c r="G2127" s="26">
        <v>2</v>
      </c>
      <c r="I2127" t="str">
        <f>IFERROR(VLOOKUP(Tabela6[[#This Row],[Descrição]],Materiais!B:C,2,0),"")</f>
        <v/>
      </c>
    </row>
    <row r="2128" spans="2:9">
      <c r="B2128" s="11">
        <f t="shared" ref="B2128:B2134" si="196">43299+(365*4)</f>
        <v>44759</v>
      </c>
      <c r="C2128" s="19">
        <f>MONTH(Tabela6[[#This Row],[Data]])</f>
        <v>7</v>
      </c>
      <c r="D2128" s="19">
        <f>YEAR(Tabela6[[#This Row],[Data]])</f>
        <v>2022</v>
      </c>
      <c r="E2128" s="12" t="s">
        <v>78</v>
      </c>
      <c r="F2128" t="s">
        <v>148</v>
      </c>
      <c r="G2128" s="26">
        <v>6</v>
      </c>
      <c r="I2128" t="str">
        <f>IFERROR(VLOOKUP(Tabela6[[#This Row],[Descrição]],Materiais!B:C,2,0),"")</f>
        <v/>
      </c>
    </row>
    <row r="2129" spans="2:9">
      <c r="B2129" s="11">
        <f t="shared" si="196"/>
        <v>44759</v>
      </c>
      <c r="C2129" s="19">
        <f>MONTH(Tabela6[[#This Row],[Data]])</f>
        <v>7</v>
      </c>
      <c r="D2129" s="19">
        <f>YEAR(Tabela6[[#This Row],[Data]])</f>
        <v>2022</v>
      </c>
      <c r="E2129" s="12" t="s">
        <v>78</v>
      </c>
      <c r="F2129" t="s">
        <v>58</v>
      </c>
      <c r="G2129" s="26">
        <v>4</v>
      </c>
      <c r="I2129" t="str">
        <f>IFERROR(VLOOKUP(Tabela6[[#This Row],[Descrição]],Materiais!B:C,2,0),"")</f>
        <v/>
      </c>
    </row>
    <row r="2130" spans="2:9">
      <c r="B2130" s="11">
        <f t="shared" si="196"/>
        <v>44759</v>
      </c>
      <c r="C2130" s="19">
        <f>MONTH(Tabela6[[#This Row],[Data]])</f>
        <v>7</v>
      </c>
      <c r="D2130" s="19">
        <f>YEAR(Tabela6[[#This Row],[Data]])</f>
        <v>2022</v>
      </c>
      <c r="E2130" s="12" t="s">
        <v>78</v>
      </c>
      <c r="F2130" t="s">
        <v>61</v>
      </c>
      <c r="G2130" s="26">
        <v>8</v>
      </c>
      <c r="I2130" t="str">
        <f>IFERROR(VLOOKUP(Tabela6[[#This Row],[Descrição]],Materiais!B:C,2,0),"")</f>
        <v/>
      </c>
    </row>
    <row r="2131" spans="2:9">
      <c r="B2131" s="11">
        <f t="shared" si="196"/>
        <v>44759</v>
      </c>
      <c r="C2131" s="19">
        <f>MONTH(Tabela6[[#This Row],[Data]])</f>
        <v>7</v>
      </c>
      <c r="D2131" s="19">
        <f>YEAR(Tabela6[[#This Row],[Data]])</f>
        <v>2022</v>
      </c>
      <c r="E2131" s="12" t="s">
        <v>78</v>
      </c>
      <c r="F2131" t="s">
        <v>56</v>
      </c>
      <c r="G2131" s="26">
        <v>8</v>
      </c>
      <c r="I2131" t="str">
        <f>IFERROR(VLOOKUP(Tabela6[[#This Row],[Descrição]],Materiais!B:C,2,0),"")</f>
        <v/>
      </c>
    </row>
    <row r="2132" spans="2:9">
      <c r="B2132" s="11">
        <f t="shared" si="196"/>
        <v>44759</v>
      </c>
      <c r="C2132" s="19">
        <f>MONTH(Tabela6[[#This Row],[Data]])</f>
        <v>7</v>
      </c>
      <c r="D2132" s="19">
        <f>YEAR(Tabela6[[#This Row],[Data]])</f>
        <v>2022</v>
      </c>
      <c r="E2132" s="12" t="s">
        <v>78</v>
      </c>
      <c r="F2132" t="s">
        <v>152</v>
      </c>
      <c r="G2132" s="26">
        <v>4</v>
      </c>
      <c r="I2132" t="str">
        <f>IFERROR(VLOOKUP(Tabela6[[#This Row],[Descrição]],Materiais!B:C,2,0),"")</f>
        <v/>
      </c>
    </row>
    <row r="2133" spans="2:9">
      <c r="B2133" s="11">
        <f t="shared" si="196"/>
        <v>44759</v>
      </c>
      <c r="C2133" s="19">
        <f>MONTH(Tabela6[[#This Row],[Data]])</f>
        <v>7</v>
      </c>
      <c r="D2133" s="19">
        <f>YEAR(Tabela6[[#This Row],[Data]])</f>
        <v>2022</v>
      </c>
      <c r="E2133" s="12" t="s">
        <v>78</v>
      </c>
      <c r="F2133" t="s">
        <v>147</v>
      </c>
      <c r="G2133" s="26">
        <v>2</v>
      </c>
      <c r="I2133" t="str">
        <f>IFERROR(VLOOKUP(Tabela6[[#This Row],[Descrição]],Materiais!B:C,2,0),"")</f>
        <v/>
      </c>
    </row>
    <row r="2134" spans="2:9">
      <c r="B2134" s="11">
        <f t="shared" si="196"/>
        <v>44759</v>
      </c>
      <c r="C2134" s="19">
        <f>MONTH(Tabela6[[#This Row],[Data]])</f>
        <v>7</v>
      </c>
      <c r="D2134" s="19">
        <f>YEAR(Tabela6[[#This Row],[Data]])</f>
        <v>2022</v>
      </c>
      <c r="E2134" s="12" t="s">
        <v>78</v>
      </c>
      <c r="F2134" t="s">
        <v>63</v>
      </c>
      <c r="G2134" s="26">
        <v>4</v>
      </c>
      <c r="I2134" t="str">
        <f>IFERROR(VLOOKUP(Tabela6[[#This Row],[Descrição]],Materiais!B:C,2,0),"")</f>
        <v/>
      </c>
    </row>
    <row r="2135" spans="2:9">
      <c r="B2135" s="11">
        <f>43300+(365*4)</f>
        <v>44760</v>
      </c>
      <c r="C2135" s="19">
        <f>MONTH(Tabela6[[#This Row],[Data]])</f>
        <v>7</v>
      </c>
      <c r="D2135" s="19">
        <f>YEAR(Tabela6[[#This Row],[Data]])</f>
        <v>2022</v>
      </c>
      <c r="E2135" s="12" t="s">
        <v>78</v>
      </c>
      <c r="F2135" t="s">
        <v>58</v>
      </c>
      <c r="G2135" s="26">
        <v>2</v>
      </c>
      <c r="I2135" t="str">
        <f>IFERROR(VLOOKUP(Tabela6[[#This Row],[Descrição]],Materiais!B:C,2,0),"")</f>
        <v/>
      </c>
    </row>
    <row r="2136" spans="2:9">
      <c r="B2136" s="11">
        <f>43300+(365*4)</f>
        <v>44760</v>
      </c>
      <c r="C2136" s="19">
        <f>MONTH(Tabela6[[#This Row],[Data]])</f>
        <v>7</v>
      </c>
      <c r="D2136" s="19">
        <f>YEAR(Tabela6[[#This Row],[Data]])</f>
        <v>2022</v>
      </c>
      <c r="E2136" s="12" t="s">
        <v>78</v>
      </c>
      <c r="F2136" t="s">
        <v>61</v>
      </c>
      <c r="G2136" s="26">
        <v>4</v>
      </c>
      <c r="I2136" t="str">
        <f>IFERROR(VLOOKUP(Tabela6[[#This Row],[Descrição]],Materiais!B:C,2,0),"")</f>
        <v/>
      </c>
    </row>
    <row r="2137" spans="2:9">
      <c r="B2137" s="11">
        <f>43300+(365*4)</f>
        <v>44760</v>
      </c>
      <c r="C2137" s="19">
        <f>MONTH(Tabela6[[#This Row],[Data]])</f>
        <v>7</v>
      </c>
      <c r="D2137" s="19">
        <f>YEAR(Tabela6[[#This Row],[Data]])</f>
        <v>2022</v>
      </c>
      <c r="E2137" s="12" t="s">
        <v>78</v>
      </c>
      <c r="F2137" t="s">
        <v>56</v>
      </c>
      <c r="G2137" s="26">
        <v>4</v>
      </c>
      <c r="I2137" t="str">
        <f>IFERROR(VLOOKUP(Tabela6[[#This Row],[Descrição]],Materiais!B:C,2,0),"")</f>
        <v/>
      </c>
    </row>
    <row r="2138" spans="2:9">
      <c r="B2138" s="11">
        <f>43300+(365*4)</f>
        <v>44760</v>
      </c>
      <c r="C2138" s="19">
        <f>MONTH(Tabela6[[#This Row],[Data]])</f>
        <v>7</v>
      </c>
      <c r="D2138" s="19">
        <f>YEAR(Tabela6[[#This Row],[Data]])</f>
        <v>2022</v>
      </c>
      <c r="E2138" s="12" t="s">
        <v>78</v>
      </c>
      <c r="F2138" t="s">
        <v>152</v>
      </c>
      <c r="G2138" s="26">
        <v>2</v>
      </c>
      <c r="I2138" t="str">
        <f>IFERROR(VLOOKUP(Tabela6[[#This Row],[Descrição]],Materiais!B:C,2,0),"")</f>
        <v/>
      </c>
    </row>
    <row r="2139" spans="2:9">
      <c r="B2139" s="11">
        <f>43300+(365*4)</f>
        <v>44760</v>
      </c>
      <c r="C2139" s="19">
        <f>MONTH(Tabela6[[#This Row],[Data]])</f>
        <v>7</v>
      </c>
      <c r="D2139" s="19">
        <f>YEAR(Tabela6[[#This Row],[Data]])</f>
        <v>2022</v>
      </c>
      <c r="E2139" s="12" t="s">
        <v>78</v>
      </c>
      <c r="F2139" t="s">
        <v>147</v>
      </c>
      <c r="G2139" s="26">
        <v>4</v>
      </c>
      <c r="I2139" t="str">
        <f>IFERROR(VLOOKUP(Tabela6[[#This Row],[Descrição]],Materiais!B:C,2,0),"")</f>
        <v/>
      </c>
    </row>
    <row r="2140" spans="2:9">
      <c r="B2140" s="11">
        <f>43301+(365*4)</f>
        <v>44761</v>
      </c>
      <c r="C2140" s="19">
        <f>MONTH(Tabela6[[#This Row],[Data]])</f>
        <v>7</v>
      </c>
      <c r="D2140" s="19">
        <f>YEAR(Tabela6[[#This Row],[Data]])</f>
        <v>2022</v>
      </c>
      <c r="E2140" s="12" t="s">
        <v>78</v>
      </c>
      <c r="F2140" t="s">
        <v>61</v>
      </c>
      <c r="G2140" s="26">
        <v>10</v>
      </c>
      <c r="I2140" t="str">
        <f>IFERROR(VLOOKUP(Tabela6[[#This Row],[Descrição]],Materiais!B:C,2,0),"")</f>
        <v/>
      </c>
    </row>
    <row r="2141" spans="2:9">
      <c r="B2141" s="11">
        <f>43301+(365*4)</f>
        <v>44761</v>
      </c>
      <c r="C2141" s="19">
        <f>MONTH(Tabela6[[#This Row],[Data]])</f>
        <v>7</v>
      </c>
      <c r="D2141" s="19">
        <f>YEAR(Tabela6[[#This Row],[Data]])</f>
        <v>2022</v>
      </c>
      <c r="E2141" s="12" t="s">
        <v>78</v>
      </c>
      <c r="F2141" t="s">
        <v>56</v>
      </c>
      <c r="G2141" s="26">
        <v>8</v>
      </c>
      <c r="I2141" t="str">
        <f>IFERROR(VLOOKUP(Tabela6[[#This Row],[Descrição]],Materiais!B:C,2,0),"")</f>
        <v/>
      </c>
    </row>
    <row r="2142" spans="2:9">
      <c r="B2142" s="11">
        <f>43302+(365*4)</f>
        <v>44762</v>
      </c>
      <c r="C2142" s="19">
        <f>MONTH(Tabela6[[#This Row],[Data]])</f>
        <v>7</v>
      </c>
      <c r="D2142" s="19">
        <f>YEAR(Tabela6[[#This Row],[Data]])</f>
        <v>2022</v>
      </c>
      <c r="E2142" s="12" t="s">
        <v>72</v>
      </c>
      <c r="F2142" t="s">
        <v>20</v>
      </c>
      <c r="G2142" s="26">
        <v>-71.820000000000007</v>
      </c>
      <c r="I2142" t="str">
        <f>IFERROR(VLOOKUP(Tabela6[[#This Row],[Descrição]],Materiais!B:C,2,0),"")</f>
        <v>g</v>
      </c>
    </row>
    <row r="2143" spans="2:9">
      <c r="B2143" s="11">
        <f>43302+(365*4)</f>
        <v>44762</v>
      </c>
      <c r="C2143" s="19">
        <f>MONTH(Tabela6[[#This Row],[Data]])</f>
        <v>7</v>
      </c>
      <c r="D2143" s="19">
        <f>YEAR(Tabela6[[#This Row],[Data]])</f>
        <v>2022</v>
      </c>
      <c r="E2143" s="12" t="s">
        <v>72</v>
      </c>
      <c r="F2143" t="s">
        <v>22</v>
      </c>
      <c r="G2143" s="26">
        <v>-37.400000000000006</v>
      </c>
      <c r="I2143" t="str">
        <f>IFERROR(VLOOKUP(Tabela6[[#This Row],[Descrição]],Materiais!B:C,2,0),"")</f>
        <v>g</v>
      </c>
    </row>
    <row r="2144" spans="2:9">
      <c r="B2144" s="11">
        <f t="shared" ref="B2144:B2150" si="197">43304+(365*4)</f>
        <v>44764</v>
      </c>
      <c r="C2144" s="19">
        <f>MONTH(Tabela6[[#This Row],[Data]])</f>
        <v>7</v>
      </c>
      <c r="D2144" s="19">
        <f>YEAR(Tabela6[[#This Row],[Data]])</f>
        <v>2022</v>
      </c>
      <c r="E2144" s="12" t="s">
        <v>78</v>
      </c>
      <c r="F2144" t="s">
        <v>148</v>
      </c>
      <c r="G2144" s="26">
        <v>4</v>
      </c>
      <c r="I2144" t="str">
        <f>IFERROR(VLOOKUP(Tabela6[[#This Row],[Descrição]],Materiais!B:C,2,0),"")</f>
        <v/>
      </c>
    </row>
    <row r="2145" spans="2:9">
      <c r="B2145" s="11">
        <f t="shared" si="197"/>
        <v>44764</v>
      </c>
      <c r="C2145" s="19">
        <f>MONTH(Tabela6[[#This Row],[Data]])</f>
        <v>7</v>
      </c>
      <c r="D2145" s="19">
        <f>YEAR(Tabela6[[#This Row],[Data]])</f>
        <v>2022</v>
      </c>
      <c r="E2145" s="12" t="s">
        <v>78</v>
      </c>
      <c r="F2145" t="s">
        <v>58</v>
      </c>
      <c r="G2145" s="26">
        <v>4</v>
      </c>
      <c r="I2145" t="str">
        <f>IFERROR(VLOOKUP(Tabela6[[#This Row],[Descrição]],Materiais!B:C,2,0),"")</f>
        <v/>
      </c>
    </row>
    <row r="2146" spans="2:9">
      <c r="B2146" s="11">
        <f t="shared" si="197"/>
        <v>44764</v>
      </c>
      <c r="C2146" s="19">
        <f>MONTH(Tabela6[[#This Row],[Data]])</f>
        <v>7</v>
      </c>
      <c r="D2146" s="19">
        <f>YEAR(Tabela6[[#This Row],[Data]])</f>
        <v>2022</v>
      </c>
      <c r="E2146" s="12" t="s">
        <v>78</v>
      </c>
      <c r="F2146" t="s">
        <v>61</v>
      </c>
      <c r="G2146" s="26">
        <v>2</v>
      </c>
      <c r="I2146" t="str">
        <f>IFERROR(VLOOKUP(Tabela6[[#This Row],[Descrição]],Materiais!B:C,2,0),"")</f>
        <v/>
      </c>
    </row>
    <row r="2147" spans="2:9">
      <c r="B2147" s="11">
        <f t="shared" si="197"/>
        <v>44764</v>
      </c>
      <c r="C2147" s="19">
        <f>MONTH(Tabela6[[#This Row],[Data]])</f>
        <v>7</v>
      </c>
      <c r="D2147" s="19">
        <f>YEAR(Tabela6[[#This Row],[Data]])</f>
        <v>2022</v>
      </c>
      <c r="E2147" s="12" t="s">
        <v>78</v>
      </c>
      <c r="F2147" t="s">
        <v>56</v>
      </c>
      <c r="G2147" s="26">
        <v>4</v>
      </c>
      <c r="I2147" t="str">
        <f>IFERROR(VLOOKUP(Tabela6[[#This Row],[Descrição]],Materiais!B:C,2,0),"")</f>
        <v/>
      </c>
    </row>
    <row r="2148" spans="2:9">
      <c r="B2148" s="11">
        <f t="shared" si="197"/>
        <v>44764</v>
      </c>
      <c r="C2148" s="19">
        <f>MONTH(Tabela6[[#This Row],[Data]])</f>
        <v>7</v>
      </c>
      <c r="D2148" s="19">
        <f>YEAR(Tabela6[[#This Row],[Data]])</f>
        <v>2022</v>
      </c>
      <c r="E2148" s="12" t="s">
        <v>78</v>
      </c>
      <c r="F2148" t="s">
        <v>152</v>
      </c>
      <c r="G2148" s="26">
        <v>2</v>
      </c>
      <c r="I2148" t="str">
        <f>IFERROR(VLOOKUP(Tabela6[[#This Row],[Descrição]],Materiais!B:C,2,0),"")</f>
        <v/>
      </c>
    </row>
    <row r="2149" spans="2:9">
      <c r="B2149" s="11">
        <f t="shared" si="197"/>
        <v>44764</v>
      </c>
      <c r="C2149" s="19">
        <f>MONTH(Tabela6[[#This Row],[Data]])</f>
        <v>7</v>
      </c>
      <c r="D2149" s="19">
        <f>YEAR(Tabela6[[#This Row],[Data]])</f>
        <v>2022</v>
      </c>
      <c r="E2149" s="12" t="s">
        <v>78</v>
      </c>
      <c r="F2149" t="s">
        <v>147</v>
      </c>
      <c r="G2149" s="26">
        <v>4</v>
      </c>
      <c r="I2149" t="str">
        <f>IFERROR(VLOOKUP(Tabela6[[#This Row],[Descrição]],Materiais!B:C,2,0),"")</f>
        <v/>
      </c>
    </row>
    <row r="2150" spans="2:9">
      <c r="B2150" s="11">
        <f t="shared" si="197"/>
        <v>44764</v>
      </c>
      <c r="C2150" s="19">
        <f>MONTH(Tabela6[[#This Row],[Data]])</f>
        <v>7</v>
      </c>
      <c r="D2150" s="19">
        <f>YEAR(Tabela6[[#This Row],[Data]])</f>
        <v>2022</v>
      </c>
      <c r="E2150" s="12" t="s">
        <v>78</v>
      </c>
      <c r="F2150" t="s">
        <v>133</v>
      </c>
      <c r="G2150" s="26">
        <v>2</v>
      </c>
      <c r="I2150" t="str">
        <f>IFERROR(VLOOKUP(Tabela6[[#This Row],[Descrição]],Materiais!B:C,2,0),"")</f>
        <v/>
      </c>
    </row>
    <row r="2151" spans="2:9">
      <c r="B2151" s="11">
        <f>43305+(365*4)</f>
        <v>44765</v>
      </c>
      <c r="C2151" s="19">
        <f>MONTH(Tabela6[[#This Row],[Data]])</f>
        <v>7</v>
      </c>
      <c r="D2151" s="19">
        <f>YEAR(Tabela6[[#This Row],[Data]])</f>
        <v>2022</v>
      </c>
      <c r="E2151" s="12" t="s">
        <v>78</v>
      </c>
      <c r="F2151" t="s">
        <v>58</v>
      </c>
      <c r="G2151" s="26">
        <v>2</v>
      </c>
      <c r="I2151" t="str">
        <f>IFERROR(VLOOKUP(Tabela6[[#This Row],[Descrição]],Materiais!B:C,2,0),"")</f>
        <v/>
      </c>
    </row>
    <row r="2152" spans="2:9">
      <c r="B2152" s="11">
        <f>43305+(365*4)</f>
        <v>44765</v>
      </c>
      <c r="C2152" s="19">
        <f>MONTH(Tabela6[[#This Row],[Data]])</f>
        <v>7</v>
      </c>
      <c r="D2152" s="19">
        <f>YEAR(Tabela6[[#This Row],[Data]])</f>
        <v>2022</v>
      </c>
      <c r="E2152" s="12" t="s">
        <v>78</v>
      </c>
      <c r="F2152" t="s">
        <v>61</v>
      </c>
      <c r="G2152" s="26">
        <v>2</v>
      </c>
      <c r="I2152" t="str">
        <f>IFERROR(VLOOKUP(Tabela6[[#This Row],[Descrição]],Materiais!B:C,2,0),"")</f>
        <v/>
      </c>
    </row>
    <row r="2153" spans="2:9">
      <c r="B2153" s="11">
        <f>43305+(365*4)</f>
        <v>44765</v>
      </c>
      <c r="C2153" s="19">
        <f>MONTH(Tabela6[[#This Row],[Data]])</f>
        <v>7</v>
      </c>
      <c r="D2153" s="19">
        <f>YEAR(Tabela6[[#This Row],[Data]])</f>
        <v>2022</v>
      </c>
      <c r="E2153" s="12" t="s">
        <v>78</v>
      </c>
      <c r="F2153" t="s">
        <v>56</v>
      </c>
      <c r="G2153" s="26">
        <v>4</v>
      </c>
      <c r="I2153" t="str">
        <f>IFERROR(VLOOKUP(Tabela6[[#This Row],[Descrição]],Materiais!B:C,2,0),"")</f>
        <v/>
      </c>
    </row>
    <row r="2154" spans="2:9">
      <c r="B2154" s="11">
        <f>43305+(365*4)</f>
        <v>44765</v>
      </c>
      <c r="C2154" s="19">
        <f>MONTH(Tabela6[[#This Row],[Data]])</f>
        <v>7</v>
      </c>
      <c r="D2154" s="19">
        <f>YEAR(Tabela6[[#This Row],[Data]])</f>
        <v>2022</v>
      </c>
      <c r="E2154" s="12" t="s">
        <v>78</v>
      </c>
      <c r="F2154" t="s">
        <v>152</v>
      </c>
      <c r="G2154" s="26">
        <v>4</v>
      </c>
      <c r="I2154" t="str">
        <f>IFERROR(VLOOKUP(Tabela6[[#This Row],[Descrição]],Materiais!B:C,2,0),"")</f>
        <v/>
      </c>
    </row>
    <row r="2155" spans="2:9">
      <c r="B2155" s="11">
        <f t="shared" ref="B2155:B2161" si="198">43306+(365*4)</f>
        <v>44766</v>
      </c>
      <c r="C2155" s="19">
        <f>MONTH(Tabela6[[#This Row],[Data]])</f>
        <v>7</v>
      </c>
      <c r="D2155" s="19">
        <f>YEAR(Tabela6[[#This Row],[Data]])</f>
        <v>2022</v>
      </c>
      <c r="E2155" s="12" t="s">
        <v>78</v>
      </c>
      <c r="F2155" t="s">
        <v>148</v>
      </c>
      <c r="G2155" s="26">
        <v>4</v>
      </c>
      <c r="I2155" t="str">
        <f>IFERROR(VLOOKUP(Tabela6[[#This Row],[Descrição]],Materiais!B:C,2,0),"")</f>
        <v/>
      </c>
    </row>
    <row r="2156" spans="2:9">
      <c r="B2156" s="11">
        <f t="shared" si="198"/>
        <v>44766</v>
      </c>
      <c r="C2156" s="19">
        <f>MONTH(Tabela6[[#This Row],[Data]])</f>
        <v>7</v>
      </c>
      <c r="D2156" s="19">
        <f>YEAR(Tabela6[[#This Row],[Data]])</f>
        <v>2022</v>
      </c>
      <c r="E2156" s="12" t="s">
        <v>78</v>
      </c>
      <c r="F2156" t="s">
        <v>147</v>
      </c>
      <c r="G2156" s="26">
        <v>4</v>
      </c>
      <c r="I2156" t="str">
        <f>IFERROR(VLOOKUP(Tabela6[[#This Row],[Descrição]],Materiais!B:C,2,0),"")</f>
        <v/>
      </c>
    </row>
    <row r="2157" spans="2:9">
      <c r="B2157" s="11">
        <f t="shared" si="198"/>
        <v>44766</v>
      </c>
      <c r="C2157" s="19">
        <f>MONTH(Tabela6[[#This Row],[Data]])</f>
        <v>7</v>
      </c>
      <c r="D2157" s="19">
        <f>YEAR(Tabela6[[#This Row],[Data]])</f>
        <v>2022</v>
      </c>
      <c r="E2157" s="12" t="s">
        <v>78</v>
      </c>
      <c r="F2157" t="s">
        <v>133</v>
      </c>
      <c r="G2157" s="26">
        <v>4</v>
      </c>
      <c r="I2157" t="str">
        <f>IFERROR(VLOOKUP(Tabela6[[#This Row],[Descrição]],Materiais!B:C,2,0),"")</f>
        <v/>
      </c>
    </row>
    <row r="2158" spans="2:9">
      <c r="B2158" s="11">
        <f t="shared" si="198"/>
        <v>44766</v>
      </c>
      <c r="C2158" s="19">
        <f>MONTH(Tabela6[[#This Row],[Data]])</f>
        <v>7</v>
      </c>
      <c r="D2158" s="19">
        <f>YEAR(Tabela6[[#This Row],[Data]])</f>
        <v>2022</v>
      </c>
      <c r="E2158" s="12" t="s">
        <v>78</v>
      </c>
      <c r="F2158" t="s">
        <v>152</v>
      </c>
      <c r="G2158" s="26">
        <v>2</v>
      </c>
      <c r="I2158" t="str">
        <f>IFERROR(VLOOKUP(Tabela6[[#This Row],[Descrição]],Materiais!B:C,2,0),"")</f>
        <v/>
      </c>
    </row>
    <row r="2159" spans="2:9">
      <c r="B2159" s="11">
        <f t="shared" si="198"/>
        <v>44766</v>
      </c>
      <c r="C2159" s="19">
        <f>MONTH(Tabela6[[#This Row],[Data]])</f>
        <v>7</v>
      </c>
      <c r="D2159" s="19">
        <f>YEAR(Tabela6[[#This Row],[Data]])</f>
        <v>2022</v>
      </c>
      <c r="E2159" s="12" t="s">
        <v>78</v>
      </c>
      <c r="F2159" t="s">
        <v>56</v>
      </c>
      <c r="G2159" s="26">
        <v>4</v>
      </c>
      <c r="I2159" t="str">
        <f>IFERROR(VLOOKUP(Tabela6[[#This Row],[Descrição]],Materiais!B:C,2,0),"")</f>
        <v/>
      </c>
    </row>
    <row r="2160" spans="2:9">
      <c r="B2160" s="11">
        <f t="shared" si="198"/>
        <v>44766</v>
      </c>
      <c r="C2160" s="19">
        <f>MONTH(Tabela6[[#This Row],[Data]])</f>
        <v>7</v>
      </c>
      <c r="D2160" s="19">
        <f>YEAR(Tabela6[[#This Row],[Data]])</f>
        <v>2022</v>
      </c>
      <c r="E2160" s="12" t="s">
        <v>78</v>
      </c>
      <c r="F2160" t="s">
        <v>61</v>
      </c>
      <c r="G2160" s="26">
        <v>6</v>
      </c>
      <c r="I2160" t="str">
        <f>IFERROR(VLOOKUP(Tabela6[[#This Row],[Descrição]],Materiais!B:C,2,0),"")</f>
        <v/>
      </c>
    </row>
    <row r="2161" spans="2:9">
      <c r="B2161" s="11">
        <f t="shared" si="198"/>
        <v>44766</v>
      </c>
      <c r="C2161" s="19">
        <f>MONTH(Tabela6[[#This Row],[Data]])</f>
        <v>7</v>
      </c>
      <c r="D2161" s="19">
        <f>YEAR(Tabela6[[#This Row],[Data]])</f>
        <v>2022</v>
      </c>
      <c r="E2161" s="12" t="s">
        <v>78</v>
      </c>
      <c r="F2161" t="s">
        <v>58</v>
      </c>
      <c r="G2161" s="26">
        <v>2</v>
      </c>
      <c r="I2161" t="str">
        <f>IFERROR(VLOOKUP(Tabela6[[#This Row],[Descrição]],Materiais!B:C,2,0),"")</f>
        <v/>
      </c>
    </row>
    <row r="2162" spans="2:9">
      <c r="B2162" s="11">
        <f>43308+(365*4)</f>
        <v>44768</v>
      </c>
      <c r="C2162" s="19">
        <f>MONTH(Tabela6[[#This Row],[Data]])</f>
        <v>7</v>
      </c>
      <c r="D2162" s="19">
        <f>YEAR(Tabela6[[#This Row],[Data]])</f>
        <v>2022</v>
      </c>
      <c r="E2162" s="12" t="s">
        <v>72</v>
      </c>
      <c r="F2162" t="s">
        <v>10</v>
      </c>
      <c r="G2162" s="26">
        <v>-58.5</v>
      </c>
      <c r="I2162" t="str">
        <f>IFERROR(VLOOKUP(Tabela6[[#This Row],[Descrição]],Materiais!B:C,2,0),"")</f>
        <v>g</v>
      </c>
    </row>
    <row r="2163" spans="2:9">
      <c r="B2163" s="11">
        <f>43308+(365*4)</f>
        <v>44768</v>
      </c>
      <c r="C2163" s="19">
        <f>MONTH(Tabela6[[#This Row],[Data]])</f>
        <v>7</v>
      </c>
      <c r="D2163" s="19">
        <f>YEAR(Tabela6[[#This Row],[Data]])</f>
        <v>2022</v>
      </c>
      <c r="E2163" s="12" t="s">
        <v>75</v>
      </c>
      <c r="F2163" t="s">
        <v>119</v>
      </c>
      <c r="G2163" s="26">
        <v>-2.9699999999999998</v>
      </c>
      <c r="I2163" t="str">
        <f>IFERROR(VLOOKUP(Tabela6[[#This Row],[Descrição]],Materiais!B:C,2,0),"")</f>
        <v/>
      </c>
    </row>
    <row r="2164" spans="2:9">
      <c r="B2164" s="11">
        <f t="shared" ref="B2164:B2172" si="199">43311+(365*4)</f>
        <v>44771</v>
      </c>
      <c r="C2164" s="19">
        <f>MONTH(Tabela6[[#This Row],[Data]])</f>
        <v>7</v>
      </c>
      <c r="D2164" s="19">
        <f>YEAR(Tabela6[[#This Row],[Data]])</f>
        <v>2022</v>
      </c>
      <c r="E2164" s="12" t="s">
        <v>78</v>
      </c>
      <c r="F2164" t="s">
        <v>152</v>
      </c>
      <c r="G2164" s="26">
        <v>2</v>
      </c>
      <c r="I2164" t="str">
        <f>IFERROR(VLOOKUP(Tabela6[[#This Row],[Descrição]],Materiais!B:C,2,0),"")</f>
        <v/>
      </c>
    </row>
    <row r="2165" spans="2:9">
      <c r="B2165" s="11">
        <f t="shared" si="199"/>
        <v>44771</v>
      </c>
      <c r="C2165" s="19">
        <f>MONTH(Tabela6[[#This Row],[Data]])</f>
        <v>7</v>
      </c>
      <c r="D2165" s="19">
        <f>YEAR(Tabela6[[#This Row],[Data]])</f>
        <v>2022</v>
      </c>
      <c r="E2165" s="12" t="s">
        <v>78</v>
      </c>
      <c r="F2165" t="s">
        <v>147</v>
      </c>
      <c r="G2165" s="26">
        <v>4</v>
      </c>
      <c r="I2165" t="str">
        <f>IFERROR(VLOOKUP(Tabela6[[#This Row],[Descrição]],Materiais!B:C,2,0),"")</f>
        <v/>
      </c>
    </row>
    <row r="2166" spans="2:9">
      <c r="B2166" s="11">
        <f t="shared" si="199"/>
        <v>44771</v>
      </c>
      <c r="C2166" s="19">
        <f>MONTH(Tabela6[[#This Row],[Data]])</f>
        <v>7</v>
      </c>
      <c r="D2166" s="19">
        <f>YEAR(Tabela6[[#This Row],[Data]])</f>
        <v>2022</v>
      </c>
      <c r="E2166" s="12" t="s">
        <v>78</v>
      </c>
      <c r="F2166" t="s">
        <v>133</v>
      </c>
      <c r="G2166" s="26">
        <v>2</v>
      </c>
      <c r="I2166" t="str">
        <f>IFERROR(VLOOKUP(Tabela6[[#This Row],[Descrição]],Materiais!B:C,2,0),"")</f>
        <v/>
      </c>
    </row>
    <row r="2167" spans="2:9">
      <c r="B2167" s="11">
        <f t="shared" si="199"/>
        <v>44771</v>
      </c>
      <c r="C2167" s="19">
        <f>MONTH(Tabela6[[#This Row],[Data]])</f>
        <v>7</v>
      </c>
      <c r="D2167" s="19">
        <f>YEAR(Tabela6[[#This Row],[Data]])</f>
        <v>2022</v>
      </c>
      <c r="E2167" s="12" t="s">
        <v>78</v>
      </c>
      <c r="F2167" t="s">
        <v>148</v>
      </c>
      <c r="G2167" s="26">
        <v>4</v>
      </c>
      <c r="I2167" t="str">
        <f>IFERROR(VLOOKUP(Tabela6[[#This Row],[Descrição]],Materiais!B:C,2,0),"")</f>
        <v/>
      </c>
    </row>
    <row r="2168" spans="2:9">
      <c r="B2168" s="11">
        <f t="shared" si="199"/>
        <v>44771</v>
      </c>
      <c r="C2168" s="19">
        <f>MONTH(Tabela6[[#This Row],[Data]])</f>
        <v>7</v>
      </c>
      <c r="D2168" s="19">
        <f>YEAR(Tabela6[[#This Row],[Data]])</f>
        <v>2022</v>
      </c>
      <c r="E2168" s="12" t="s">
        <v>78</v>
      </c>
      <c r="F2168" t="s">
        <v>58</v>
      </c>
      <c r="G2168" s="26">
        <v>2</v>
      </c>
      <c r="I2168" t="str">
        <f>IFERROR(VLOOKUP(Tabela6[[#This Row],[Descrição]],Materiais!B:C,2,0),"")</f>
        <v/>
      </c>
    </row>
    <row r="2169" spans="2:9">
      <c r="B2169" s="11">
        <f t="shared" si="199"/>
        <v>44771</v>
      </c>
      <c r="C2169" s="19">
        <f>MONTH(Tabela6[[#This Row],[Data]])</f>
        <v>7</v>
      </c>
      <c r="D2169" s="19">
        <f>YEAR(Tabela6[[#This Row],[Data]])</f>
        <v>2022</v>
      </c>
      <c r="E2169" s="12" t="s">
        <v>78</v>
      </c>
      <c r="F2169" t="s">
        <v>61</v>
      </c>
      <c r="G2169" s="26">
        <v>6</v>
      </c>
      <c r="I2169" t="str">
        <f>IFERROR(VLOOKUP(Tabela6[[#This Row],[Descrição]],Materiais!B:C,2,0),"")</f>
        <v/>
      </c>
    </row>
    <row r="2170" spans="2:9">
      <c r="B2170" s="11">
        <f t="shared" si="199"/>
        <v>44771</v>
      </c>
      <c r="C2170" s="19">
        <f>MONTH(Tabela6[[#This Row],[Data]])</f>
        <v>7</v>
      </c>
      <c r="D2170" s="19">
        <f>YEAR(Tabela6[[#This Row],[Data]])</f>
        <v>2022</v>
      </c>
      <c r="E2170" s="12" t="s">
        <v>78</v>
      </c>
      <c r="F2170" t="s">
        <v>56</v>
      </c>
      <c r="G2170" s="26">
        <v>6</v>
      </c>
      <c r="I2170" t="str">
        <f>IFERROR(VLOOKUP(Tabela6[[#This Row],[Descrição]],Materiais!B:C,2,0),"")</f>
        <v/>
      </c>
    </row>
    <row r="2171" spans="2:9">
      <c r="B2171" s="11">
        <f t="shared" si="199"/>
        <v>44771</v>
      </c>
      <c r="C2171" s="19">
        <f>MONTH(Tabela6[[#This Row],[Data]])</f>
        <v>7</v>
      </c>
      <c r="D2171" s="19">
        <f>YEAR(Tabela6[[#This Row],[Data]])</f>
        <v>2022</v>
      </c>
      <c r="E2171" s="12" t="s">
        <v>78</v>
      </c>
      <c r="F2171" t="s">
        <v>63</v>
      </c>
      <c r="G2171" s="26">
        <v>4</v>
      </c>
      <c r="I2171" t="str">
        <f>IFERROR(VLOOKUP(Tabela6[[#This Row],[Descrição]],Materiais!B:C,2,0),"")</f>
        <v/>
      </c>
    </row>
    <row r="2172" spans="2:9">
      <c r="B2172" s="11">
        <f t="shared" si="199"/>
        <v>44771</v>
      </c>
      <c r="C2172" s="19">
        <f>MONTH(Tabela6[[#This Row],[Data]])</f>
        <v>7</v>
      </c>
      <c r="D2172" s="19">
        <f>YEAR(Tabela6[[#This Row],[Data]])</f>
        <v>2022</v>
      </c>
      <c r="E2172" s="12" t="s">
        <v>78</v>
      </c>
      <c r="F2172" t="s">
        <v>152</v>
      </c>
      <c r="G2172" s="26">
        <v>6</v>
      </c>
      <c r="I2172" t="str">
        <f>IFERROR(VLOOKUP(Tabela6[[#This Row],[Descrição]],Materiais!B:C,2,0),"")</f>
        <v/>
      </c>
    </row>
    <row r="2173" spans="2:9">
      <c r="B2173" s="11">
        <f t="shared" ref="B2173:B2178" si="200">43313+(365*4)</f>
        <v>44773</v>
      </c>
      <c r="C2173" s="19">
        <f>MONTH(Tabela6[[#This Row],[Data]])</f>
        <v>7</v>
      </c>
      <c r="D2173" s="19">
        <f>YEAR(Tabela6[[#This Row],[Data]])</f>
        <v>2022</v>
      </c>
      <c r="E2173" s="12" t="s">
        <v>78</v>
      </c>
      <c r="F2173" t="s">
        <v>147</v>
      </c>
      <c r="G2173" s="26">
        <v>4</v>
      </c>
      <c r="I2173" t="str">
        <f>IFERROR(VLOOKUP(Tabela6[[#This Row],[Descrição]],Materiais!B:C,2,0),"")</f>
        <v/>
      </c>
    </row>
    <row r="2174" spans="2:9">
      <c r="B2174" s="11">
        <f t="shared" si="200"/>
        <v>44773</v>
      </c>
      <c r="C2174" s="19">
        <f>MONTH(Tabela6[[#This Row],[Data]])</f>
        <v>7</v>
      </c>
      <c r="D2174" s="19">
        <f>YEAR(Tabela6[[#This Row],[Data]])</f>
        <v>2022</v>
      </c>
      <c r="E2174" s="12" t="s">
        <v>78</v>
      </c>
      <c r="F2174" t="s">
        <v>133</v>
      </c>
      <c r="G2174" s="26">
        <v>4</v>
      </c>
      <c r="I2174" t="str">
        <f>IFERROR(VLOOKUP(Tabela6[[#This Row],[Descrição]],Materiais!B:C,2,0),"")</f>
        <v/>
      </c>
    </row>
    <row r="2175" spans="2:9">
      <c r="B2175" s="11">
        <f t="shared" si="200"/>
        <v>44773</v>
      </c>
      <c r="C2175" s="19">
        <f>MONTH(Tabela6[[#This Row],[Data]])</f>
        <v>7</v>
      </c>
      <c r="D2175" s="19">
        <f>YEAR(Tabela6[[#This Row],[Data]])</f>
        <v>2022</v>
      </c>
      <c r="E2175" s="12" t="s">
        <v>78</v>
      </c>
      <c r="F2175" t="s">
        <v>58</v>
      </c>
      <c r="G2175" s="26">
        <v>8</v>
      </c>
      <c r="I2175" t="str">
        <f>IFERROR(VLOOKUP(Tabela6[[#This Row],[Descrição]],Materiais!B:C,2,0),"")</f>
        <v/>
      </c>
    </row>
    <row r="2176" spans="2:9">
      <c r="B2176" s="11">
        <f t="shared" si="200"/>
        <v>44773</v>
      </c>
      <c r="C2176" s="19">
        <f>MONTH(Tabela6[[#This Row],[Data]])</f>
        <v>7</v>
      </c>
      <c r="D2176" s="19">
        <f>YEAR(Tabela6[[#This Row],[Data]])</f>
        <v>2022</v>
      </c>
      <c r="E2176" s="12" t="s">
        <v>78</v>
      </c>
      <c r="F2176" t="s">
        <v>61</v>
      </c>
      <c r="G2176" s="26">
        <v>6</v>
      </c>
      <c r="I2176" t="str">
        <f>IFERROR(VLOOKUP(Tabela6[[#This Row],[Descrição]],Materiais!B:C,2,0),"")</f>
        <v/>
      </c>
    </row>
    <row r="2177" spans="2:9">
      <c r="B2177" s="11">
        <f t="shared" si="200"/>
        <v>44773</v>
      </c>
      <c r="C2177" s="19">
        <f>MONTH(Tabela6[[#This Row],[Data]])</f>
        <v>7</v>
      </c>
      <c r="D2177" s="19">
        <f>YEAR(Tabela6[[#This Row],[Data]])</f>
        <v>2022</v>
      </c>
      <c r="E2177" s="12" t="s">
        <v>78</v>
      </c>
      <c r="F2177" t="s">
        <v>56</v>
      </c>
      <c r="G2177" s="26">
        <v>6</v>
      </c>
      <c r="I2177" t="str">
        <f>IFERROR(VLOOKUP(Tabela6[[#This Row],[Descrição]],Materiais!B:C,2,0),"")</f>
        <v/>
      </c>
    </row>
    <row r="2178" spans="2:9">
      <c r="B2178" s="11">
        <f t="shared" si="200"/>
        <v>44773</v>
      </c>
      <c r="C2178" s="19">
        <f>MONTH(Tabela6[[#This Row],[Data]])</f>
        <v>7</v>
      </c>
      <c r="D2178" s="19">
        <f>YEAR(Tabela6[[#This Row],[Data]])</f>
        <v>2022</v>
      </c>
      <c r="E2178" s="12" t="s">
        <v>78</v>
      </c>
      <c r="F2178" t="s">
        <v>63</v>
      </c>
      <c r="G2178" s="26">
        <v>4</v>
      </c>
      <c r="I2178" t="str">
        <f>IFERROR(VLOOKUP(Tabela6[[#This Row],[Descrição]],Materiais!B:C,2,0),"")</f>
        <v/>
      </c>
    </row>
    <row r="2179" spans="2:9">
      <c r="B2179" s="11">
        <f t="shared" ref="B2179:B2185" si="201">43314+(365*4)</f>
        <v>44774</v>
      </c>
      <c r="C2179" s="19">
        <f>MONTH(Tabela6[[#This Row],[Data]])</f>
        <v>8</v>
      </c>
      <c r="D2179" s="19">
        <f>YEAR(Tabela6[[#This Row],[Data]])</f>
        <v>2022</v>
      </c>
      <c r="E2179" s="12" t="s">
        <v>78</v>
      </c>
      <c r="F2179" t="s">
        <v>56</v>
      </c>
      <c r="G2179" s="26">
        <v>4</v>
      </c>
      <c r="I2179" t="str">
        <f>IFERROR(VLOOKUP(Tabela6[[#This Row],[Descrição]],Materiais!B:C,2,0),"")</f>
        <v/>
      </c>
    </row>
    <row r="2180" spans="2:9">
      <c r="B2180" s="11">
        <f t="shared" si="201"/>
        <v>44774</v>
      </c>
      <c r="C2180" s="19">
        <f>MONTH(Tabela6[[#This Row],[Data]])</f>
        <v>8</v>
      </c>
      <c r="D2180" s="19">
        <f>YEAR(Tabela6[[#This Row],[Data]])</f>
        <v>2022</v>
      </c>
      <c r="E2180" s="12" t="s">
        <v>78</v>
      </c>
      <c r="F2180" t="s">
        <v>61</v>
      </c>
      <c r="G2180" s="26">
        <v>2</v>
      </c>
      <c r="I2180" t="str">
        <f>IFERROR(VLOOKUP(Tabela6[[#This Row],[Descrição]],Materiais!B:C,2,0),"")</f>
        <v/>
      </c>
    </row>
    <row r="2181" spans="2:9">
      <c r="B2181" s="11">
        <f t="shared" si="201"/>
        <v>44774</v>
      </c>
      <c r="C2181" s="19">
        <f>MONTH(Tabela6[[#This Row],[Data]])</f>
        <v>8</v>
      </c>
      <c r="D2181" s="19">
        <f>YEAR(Tabela6[[#This Row],[Data]])</f>
        <v>2022</v>
      </c>
      <c r="E2181" s="12" t="s">
        <v>78</v>
      </c>
      <c r="F2181" t="s">
        <v>58</v>
      </c>
      <c r="G2181" s="26">
        <v>4</v>
      </c>
      <c r="I2181" t="str">
        <f>IFERROR(VLOOKUP(Tabela6[[#This Row],[Descrição]],Materiais!B:C,2,0),"")</f>
        <v/>
      </c>
    </row>
    <row r="2182" spans="2:9">
      <c r="B2182" s="11">
        <f t="shared" si="201"/>
        <v>44774</v>
      </c>
      <c r="C2182" s="19">
        <f>MONTH(Tabela6[[#This Row],[Data]])</f>
        <v>8</v>
      </c>
      <c r="D2182" s="19">
        <f>YEAR(Tabela6[[#This Row],[Data]])</f>
        <v>2022</v>
      </c>
      <c r="E2182" s="12" t="s">
        <v>78</v>
      </c>
      <c r="F2182" t="s">
        <v>147</v>
      </c>
      <c r="G2182" s="26">
        <v>2</v>
      </c>
      <c r="I2182" t="str">
        <f>IFERROR(VLOOKUP(Tabela6[[#This Row],[Descrição]],Materiais!B:C,2,0),"")</f>
        <v/>
      </c>
    </row>
    <row r="2183" spans="2:9">
      <c r="B2183" s="11">
        <f t="shared" si="201"/>
        <v>44774</v>
      </c>
      <c r="C2183" s="19">
        <f>MONTH(Tabela6[[#This Row],[Data]])</f>
        <v>8</v>
      </c>
      <c r="D2183" s="19">
        <f>YEAR(Tabela6[[#This Row],[Data]])</f>
        <v>2022</v>
      </c>
      <c r="E2183" s="12" t="s">
        <v>78</v>
      </c>
      <c r="F2183" t="s">
        <v>95</v>
      </c>
      <c r="G2183" s="26">
        <v>2</v>
      </c>
      <c r="I2183" t="str">
        <f>IFERROR(VLOOKUP(Tabela6[[#This Row],[Descrição]],Materiais!B:C,2,0),"")</f>
        <v/>
      </c>
    </row>
    <row r="2184" spans="2:9">
      <c r="B2184" s="11">
        <f t="shared" si="201"/>
        <v>44774</v>
      </c>
      <c r="C2184" s="19">
        <f>MONTH(Tabela6[[#This Row],[Data]])</f>
        <v>8</v>
      </c>
      <c r="D2184" s="19">
        <f>YEAR(Tabela6[[#This Row],[Data]])</f>
        <v>2022</v>
      </c>
      <c r="E2184" s="12" t="s">
        <v>78</v>
      </c>
      <c r="F2184" t="s">
        <v>133</v>
      </c>
      <c r="G2184" s="26">
        <v>4</v>
      </c>
      <c r="I2184" t="str">
        <f>IFERROR(VLOOKUP(Tabela6[[#This Row],[Descrição]],Materiais!B:C,2,0),"")</f>
        <v/>
      </c>
    </row>
    <row r="2185" spans="2:9">
      <c r="B2185" s="11">
        <f t="shared" si="201"/>
        <v>44774</v>
      </c>
      <c r="C2185" s="19">
        <f>MONTH(Tabela6[[#This Row],[Data]])</f>
        <v>8</v>
      </c>
      <c r="D2185" s="19">
        <f>YEAR(Tabela6[[#This Row],[Data]])</f>
        <v>2022</v>
      </c>
      <c r="E2185" s="12" t="s">
        <v>78</v>
      </c>
      <c r="F2185" t="s">
        <v>63</v>
      </c>
      <c r="G2185" s="26">
        <v>2</v>
      </c>
      <c r="I2185" t="str">
        <f>IFERROR(VLOOKUP(Tabela6[[#This Row],[Descrição]],Materiais!B:C,2,0),"")</f>
        <v/>
      </c>
    </row>
    <row r="2186" spans="2:9">
      <c r="B2186" s="11">
        <f t="shared" ref="B2186:B2191" si="202">43315+(365*4)</f>
        <v>44775</v>
      </c>
      <c r="C2186" s="19">
        <f>MONTH(Tabela6[[#This Row],[Data]])</f>
        <v>8</v>
      </c>
      <c r="D2186" s="19">
        <f>YEAR(Tabela6[[#This Row],[Data]])</f>
        <v>2022</v>
      </c>
      <c r="E2186" s="12" t="s">
        <v>78</v>
      </c>
      <c r="F2186" t="s">
        <v>61</v>
      </c>
      <c r="G2186" s="26">
        <v>8</v>
      </c>
      <c r="I2186" t="str">
        <f>IFERROR(VLOOKUP(Tabela6[[#This Row],[Descrição]],Materiais!B:C,2,0),"")</f>
        <v/>
      </c>
    </row>
    <row r="2187" spans="2:9">
      <c r="B2187" s="11">
        <f t="shared" si="202"/>
        <v>44775</v>
      </c>
      <c r="C2187" s="19">
        <f>MONTH(Tabela6[[#This Row],[Data]])</f>
        <v>8</v>
      </c>
      <c r="D2187" s="19">
        <f>YEAR(Tabela6[[#This Row],[Data]])</f>
        <v>2022</v>
      </c>
      <c r="E2187" s="12" t="s">
        <v>78</v>
      </c>
      <c r="F2187" t="s">
        <v>58</v>
      </c>
      <c r="G2187" s="26">
        <v>4</v>
      </c>
      <c r="I2187" t="str">
        <f>IFERROR(VLOOKUP(Tabela6[[#This Row],[Descrição]],Materiais!B:C,2,0),"")</f>
        <v/>
      </c>
    </row>
    <row r="2188" spans="2:9">
      <c r="B2188" s="11">
        <f t="shared" si="202"/>
        <v>44775</v>
      </c>
      <c r="C2188" s="19">
        <f>MONTH(Tabela6[[#This Row],[Data]])</f>
        <v>8</v>
      </c>
      <c r="D2188" s="19">
        <f>YEAR(Tabela6[[#This Row],[Data]])</f>
        <v>2022</v>
      </c>
      <c r="E2188" s="12" t="s">
        <v>78</v>
      </c>
      <c r="F2188" t="s">
        <v>147</v>
      </c>
      <c r="G2188" s="26">
        <v>4</v>
      </c>
      <c r="I2188" t="str">
        <f>IFERROR(VLOOKUP(Tabela6[[#This Row],[Descrição]],Materiais!B:C,2,0),"")</f>
        <v/>
      </c>
    </row>
    <row r="2189" spans="2:9">
      <c r="B2189" s="11">
        <f t="shared" si="202"/>
        <v>44775</v>
      </c>
      <c r="C2189" s="19">
        <f>MONTH(Tabela6[[#This Row],[Data]])</f>
        <v>8</v>
      </c>
      <c r="D2189" s="19">
        <f>YEAR(Tabela6[[#This Row],[Data]])</f>
        <v>2022</v>
      </c>
      <c r="E2189" s="12" t="s">
        <v>78</v>
      </c>
      <c r="F2189" t="s">
        <v>133</v>
      </c>
      <c r="G2189" s="26">
        <v>2</v>
      </c>
      <c r="I2189" t="str">
        <f>IFERROR(VLOOKUP(Tabela6[[#This Row],[Descrição]],Materiais!B:C,2,0),"")</f>
        <v/>
      </c>
    </row>
    <row r="2190" spans="2:9">
      <c r="B2190" s="11">
        <f t="shared" si="202"/>
        <v>44775</v>
      </c>
      <c r="C2190" s="19">
        <f>MONTH(Tabela6[[#This Row],[Data]])</f>
        <v>8</v>
      </c>
      <c r="D2190" s="19">
        <f>YEAR(Tabela6[[#This Row],[Data]])</f>
        <v>2022</v>
      </c>
      <c r="E2190" s="12" t="s">
        <v>78</v>
      </c>
      <c r="F2190" t="s">
        <v>63</v>
      </c>
      <c r="G2190" s="26">
        <v>2</v>
      </c>
      <c r="I2190" t="str">
        <f>IFERROR(VLOOKUP(Tabela6[[#This Row],[Descrição]],Materiais!B:C,2,0),"")</f>
        <v/>
      </c>
    </row>
    <row r="2191" spans="2:9">
      <c r="B2191" s="11">
        <f t="shared" si="202"/>
        <v>44775</v>
      </c>
      <c r="C2191" s="19">
        <f>MONTH(Tabela6[[#This Row],[Data]])</f>
        <v>8</v>
      </c>
      <c r="D2191" s="19">
        <f>YEAR(Tabela6[[#This Row],[Data]])</f>
        <v>2022</v>
      </c>
      <c r="E2191" s="12" t="s">
        <v>78</v>
      </c>
      <c r="F2191" t="s">
        <v>152</v>
      </c>
      <c r="G2191" s="26">
        <v>6</v>
      </c>
      <c r="I2191" t="str">
        <f>IFERROR(VLOOKUP(Tabela6[[#This Row],[Descrição]],Materiais!B:C,2,0),"")</f>
        <v/>
      </c>
    </row>
    <row r="2192" spans="2:9">
      <c r="B2192" s="11">
        <f t="shared" ref="B2192:B2198" si="203">43318+(365*4)</f>
        <v>44778</v>
      </c>
      <c r="C2192" s="19">
        <f>MONTH(Tabela6[[#This Row],[Data]])</f>
        <v>8</v>
      </c>
      <c r="D2192" s="19">
        <f>YEAR(Tabela6[[#This Row],[Data]])</f>
        <v>2022</v>
      </c>
      <c r="E2192" s="12" t="s">
        <v>78</v>
      </c>
      <c r="F2192" t="s">
        <v>163</v>
      </c>
      <c r="G2192" s="26">
        <v>7.5</v>
      </c>
      <c r="I2192" t="str">
        <f>IFERROR(VLOOKUP(Tabela6[[#This Row],[Descrição]],Materiais!B:C,2,0),"")</f>
        <v/>
      </c>
    </row>
    <row r="2193" spans="2:9">
      <c r="B2193" s="11">
        <f t="shared" si="203"/>
        <v>44778</v>
      </c>
      <c r="C2193" s="19">
        <f>MONTH(Tabela6[[#This Row],[Data]])</f>
        <v>8</v>
      </c>
      <c r="D2193" s="19">
        <f>YEAR(Tabela6[[#This Row],[Data]])</f>
        <v>2022</v>
      </c>
      <c r="E2193" s="12" t="s">
        <v>78</v>
      </c>
      <c r="F2193" t="s">
        <v>63</v>
      </c>
      <c r="G2193" s="26">
        <v>2</v>
      </c>
      <c r="I2193" t="str">
        <f>IFERROR(VLOOKUP(Tabela6[[#This Row],[Descrição]],Materiais!B:C,2,0),"")</f>
        <v/>
      </c>
    </row>
    <row r="2194" spans="2:9">
      <c r="B2194" s="11">
        <f t="shared" si="203"/>
        <v>44778</v>
      </c>
      <c r="C2194" s="19">
        <f>MONTH(Tabela6[[#This Row],[Data]])</f>
        <v>8</v>
      </c>
      <c r="D2194" s="19">
        <f>YEAR(Tabela6[[#This Row],[Data]])</f>
        <v>2022</v>
      </c>
      <c r="E2194" s="12" t="s">
        <v>78</v>
      </c>
      <c r="F2194" t="s">
        <v>61</v>
      </c>
      <c r="G2194" s="26">
        <v>6</v>
      </c>
      <c r="I2194" t="str">
        <f>IFERROR(VLOOKUP(Tabela6[[#This Row],[Descrição]],Materiais!B:C,2,0),"")</f>
        <v/>
      </c>
    </row>
    <row r="2195" spans="2:9">
      <c r="B2195" s="11">
        <f t="shared" si="203"/>
        <v>44778</v>
      </c>
      <c r="C2195" s="19">
        <f>MONTH(Tabela6[[#This Row],[Data]])</f>
        <v>8</v>
      </c>
      <c r="D2195" s="19">
        <f>YEAR(Tabela6[[#This Row],[Data]])</f>
        <v>2022</v>
      </c>
      <c r="E2195" s="12" t="s">
        <v>78</v>
      </c>
      <c r="F2195" t="s">
        <v>147</v>
      </c>
      <c r="G2195" s="26">
        <v>2</v>
      </c>
      <c r="I2195" t="str">
        <f>IFERROR(VLOOKUP(Tabela6[[#This Row],[Descrição]],Materiais!B:C,2,0),"")</f>
        <v/>
      </c>
    </row>
    <row r="2196" spans="2:9">
      <c r="B2196" s="11">
        <f t="shared" si="203"/>
        <v>44778</v>
      </c>
      <c r="C2196" s="19">
        <f>MONTH(Tabela6[[#This Row],[Data]])</f>
        <v>8</v>
      </c>
      <c r="D2196" s="19">
        <f>YEAR(Tabela6[[#This Row],[Data]])</f>
        <v>2022</v>
      </c>
      <c r="E2196" s="12" t="s">
        <v>78</v>
      </c>
      <c r="F2196" t="s">
        <v>56</v>
      </c>
      <c r="G2196" s="26">
        <v>6</v>
      </c>
      <c r="I2196" t="str">
        <f>IFERROR(VLOOKUP(Tabela6[[#This Row],[Descrição]],Materiais!B:C,2,0),"")</f>
        <v/>
      </c>
    </row>
    <row r="2197" spans="2:9">
      <c r="B2197" s="11">
        <f t="shared" si="203"/>
        <v>44778</v>
      </c>
      <c r="C2197" s="19">
        <f>MONTH(Tabela6[[#This Row],[Data]])</f>
        <v>8</v>
      </c>
      <c r="D2197" s="19">
        <f>YEAR(Tabela6[[#This Row],[Data]])</f>
        <v>2022</v>
      </c>
      <c r="E2197" s="12" t="s">
        <v>78</v>
      </c>
      <c r="F2197" t="s">
        <v>152</v>
      </c>
      <c r="G2197" s="26">
        <v>6</v>
      </c>
      <c r="I2197" t="str">
        <f>IFERROR(VLOOKUP(Tabela6[[#This Row],[Descrição]],Materiais!B:C,2,0),"")</f>
        <v/>
      </c>
    </row>
    <row r="2198" spans="2:9">
      <c r="B2198" s="11">
        <f t="shared" si="203"/>
        <v>44778</v>
      </c>
      <c r="C2198" s="19">
        <f>MONTH(Tabela6[[#This Row],[Data]])</f>
        <v>8</v>
      </c>
      <c r="D2198" s="19">
        <f>YEAR(Tabela6[[#This Row],[Data]])</f>
        <v>2022</v>
      </c>
      <c r="E2198" s="12" t="s">
        <v>78</v>
      </c>
      <c r="F2198" t="s">
        <v>62</v>
      </c>
      <c r="G2198" s="26">
        <v>2</v>
      </c>
      <c r="I2198" t="str">
        <f>IFERROR(VLOOKUP(Tabela6[[#This Row],[Descrição]],Materiais!B:C,2,0),"")</f>
        <v/>
      </c>
    </row>
    <row r="2199" spans="2:9">
      <c r="B2199" s="11">
        <f t="shared" ref="B2199:B2206" si="204">43319+(365*4)</f>
        <v>44779</v>
      </c>
      <c r="C2199" s="19">
        <f>MONTH(Tabela6[[#This Row],[Data]])</f>
        <v>8</v>
      </c>
      <c r="D2199" s="19">
        <f>YEAR(Tabela6[[#This Row],[Data]])</f>
        <v>2022</v>
      </c>
      <c r="E2199" s="12" t="s">
        <v>78</v>
      </c>
      <c r="F2199" t="s">
        <v>163</v>
      </c>
      <c r="G2199" s="26">
        <v>2.5</v>
      </c>
      <c r="I2199" t="str">
        <f>IFERROR(VLOOKUP(Tabela6[[#This Row],[Descrição]],Materiais!B:C,2,0),"")</f>
        <v/>
      </c>
    </row>
    <row r="2200" spans="2:9">
      <c r="B2200" s="11">
        <f t="shared" si="204"/>
        <v>44779</v>
      </c>
      <c r="C2200" s="19">
        <f>MONTH(Tabela6[[#This Row],[Data]])</f>
        <v>8</v>
      </c>
      <c r="D2200" s="19">
        <f>YEAR(Tabela6[[#This Row],[Data]])</f>
        <v>2022</v>
      </c>
      <c r="E2200" s="12" t="s">
        <v>78</v>
      </c>
      <c r="F2200" t="s">
        <v>63</v>
      </c>
      <c r="G2200" s="26">
        <v>4</v>
      </c>
      <c r="I2200" t="str">
        <f>IFERROR(VLOOKUP(Tabela6[[#This Row],[Descrição]],Materiais!B:C,2,0),"")</f>
        <v/>
      </c>
    </row>
    <row r="2201" spans="2:9">
      <c r="B2201" s="11">
        <f t="shared" si="204"/>
        <v>44779</v>
      </c>
      <c r="C2201" s="19">
        <f>MONTH(Tabela6[[#This Row],[Data]])</f>
        <v>8</v>
      </c>
      <c r="D2201" s="19">
        <f>YEAR(Tabela6[[#This Row],[Data]])</f>
        <v>2022</v>
      </c>
      <c r="E2201" s="12" t="s">
        <v>78</v>
      </c>
      <c r="F2201" t="s">
        <v>61</v>
      </c>
      <c r="G2201" s="26">
        <v>6</v>
      </c>
      <c r="I2201" t="str">
        <f>IFERROR(VLOOKUP(Tabela6[[#This Row],[Descrição]],Materiais!B:C,2,0),"")</f>
        <v/>
      </c>
    </row>
    <row r="2202" spans="2:9">
      <c r="B2202" s="11">
        <f t="shared" si="204"/>
        <v>44779</v>
      </c>
      <c r="C2202" s="19">
        <f>MONTH(Tabela6[[#This Row],[Data]])</f>
        <v>8</v>
      </c>
      <c r="D2202" s="19">
        <f>YEAR(Tabela6[[#This Row],[Data]])</f>
        <v>2022</v>
      </c>
      <c r="E2202" s="12" t="s">
        <v>78</v>
      </c>
      <c r="F2202" t="s">
        <v>58</v>
      </c>
      <c r="G2202" s="26">
        <v>8</v>
      </c>
      <c r="I2202" t="str">
        <f>IFERROR(VLOOKUP(Tabela6[[#This Row],[Descrição]],Materiais!B:C,2,0),"")</f>
        <v/>
      </c>
    </row>
    <row r="2203" spans="2:9">
      <c r="B2203" s="11">
        <f t="shared" si="204"/>
        <v>44779</v>
      </c>
      <c r="C2203" s="19">
        <f>MONTH(Tabela6[[#This Row],[Data]])</f>
        <v>8</v>
      </c>
      <c r="D2203" s="19">
        <f>YEAR(Tabela6[[#This Row],[Data]])</f>
        <v>2022</v>
      </c>
      <c r="E2203" s="12" t="s">
        <v>78</v>
      </c>
      <c r="F2203" t="s">
        <v>147</v>
      </c>
      <c r="G2203" s="26">
        <v>2</v>
      </c>
      <c r="I2203" t="str">
        <f>IFERROR(VLOOKUP(Tabela6[[#This Row],[Descrição]],Materiais!B:C,2,0),"")</f>
        <v/>
      </c>
    </row>
    <row r="2204" spans="2:9">
      <c r="B2204" s="11">
        <f t="shared" si="204"/>
        <v>44779</v>
      </c>
      <c r="C2204" s="19">
        <f>MONTH(Tabela6[[#This Row],[Data]])</f>
        <v>8</v>
      </c>
      <c r="D2204" s="19">
        <f>YEAR(Tabela6[[#This Row],[Data]])</f>
        <v>2022</v>
      </c>
      <c r="E2204" s="12" t="s">
        <v>78</v>
      </c>
      <c r="F2204" t="s">
        <v>56</v>
      </c>
      <c r="G2204" s="26">
        <v>16</v>
      </c>
      <c r="I2204" t="str">
        <f>IFERROR(VLOOKUP(Tabela6[[#This Row],[Descrição]],Materiais!B:C,2,0),"")</f>
        <v/>
      </c>
    </row>
    <row r="2205" spans="2:9">
      <c r="B2205" s="11">
        <f t="shared" si="204"/>
        <v>44779</v>
      </c>
      <c r="C2205" s="19">
        <f>MONTH(Tabela6[[#This Row],[Data]])</f>
        <v>8</v>
      </c>
      <c r="D2205" s="19">
        <f>YEAR(Tabela6[[#This Row],[Data]])</f>
        <v>2022</v>
      </c>
      <c r="E2205" s="12" t="s">
        <v>78</v>
      </c>
      <c r="F2205" t="s">
        <v>152</v>
      </c>
      <c r="G2205" s="26">
        <v>2</v>
      </c>
      <c r="I2205" t="str">
        <f>IFERROR(VLOOKUP(Tabela6[[#This Row],[Descrição]],Materiais!B:C,2,0),"")</f>
        <v/>
      </c>
    </row>
    <row r="2206" spans="2:9">
      <c r="B2206" s="11">
        <f t="shared" si="204"/>
        <v>44779</v>
      </c>
      <c r="C2206" s="19">
        <f>MONTH(Tabela6[[#This Row],[Data]])</f>
        <v>8</v>
      </c>
      <c r="D2206" s="19">
        <f>YEAR(Tabela6[[#This Row],[Data]])</f>
        <v>2022</v>
      </c>
      <c r="E2206" s="12" t="s">
        <v>78</v>
      </c>
      <c r="F2206" t="s">
        <v>62</v>
      </c>
      <c r="G2206" s="26">
        <v>2</v>
      </c>
      <c r="I2206" t="str">
        <f>IFERROR(VLOOKUP(Tabela6[[#This Row],[Descrição]],Materiais!B:C,2,0),"")</f>
        <v/>
      </c>
    </row>
    <row r="2207" spans="2:9">
      <c r="B2207" s="11">
        <f t="shared" ref="B2207:B2215" si="205">43321+(365*4)</f>
        <v>44781</v>
      </c>
      <c r="C2207" s="19">
        <f>MONTH(Tabela6[[#This Row],[Data]])</f>
        <v>8</v>
      </c>
      <c r="D2207" s="19">
        <f>YEAR(Tabela6[[#This Row],[Data]])</f>
        <v>2022</v>
      </c>
      <c r="E2207" s="12" t="s">
        <v>78</v>
      </c>
      <c r="F2207" t="s">
        <v>133</v>
      </c>
      <c r="G2207" s="26">
        <v>4</v>
      </c>
      <c r="I2207" t="str">
        <f>IFERROR(VLOOKUP(Tabela6[[#This Row],[Descrição]],Materiais!B:C,2,0),"")</f>
        <v/>
      </c>
    </row>
    <row r="2208" spans="2:9">
      <c r="B2208" s="11">
        <f t="shared" si="205"/>
        <v>44781</v>
      </c>
      <c r="C2208" s="19">
        <f>MONTH(Tabela6[[#This Row],[Data]])</f>
        <v>8</v>
      </c>
      <c r="D2208" s="19">
        <f>YEAR(Tabela6[[#This Row],[Data]])</f>
        <v>2022</v>
      </c>
      <c r="E2208" s="12" t="s">
        <v>78</v>
      </c>
      <c r="F2208" t="s">
        <v>163</v>
      </c>
      <c r="G2208" s="26">
        <v>5</v>
      </c>
      <c r="I2208" t="str">
        <f>IFERROR(VLOOKUP(Tabela6[[#This Row],[Descrição]],Materiais!B:C,2,0),"")</f>
        <v/>
      </c>
    </row>
    <row r="2209" spans="2:9">
      <c r="B2209" s="11">
        <f t="shared" si="205"/>
        <v>44781</v>
      </c>
      <c r="C2209" s="19">
        <f>MONTH(Tabela6[[#This Row],[Data]])</f>
        <v>8</v>
      </c>
      <c r="D2209" s="19">
        <f>YEAR(Tabela6[[#This Row],[Data]])</f>
        <v>2022</v>
      </c>
      <c r="E2209" s="12" t="s">
        <v>78</v>
      </c>
      <c r="F2209" t="s">
        <v>163</v>
      </c>
      <c r="G2209" s="26">
        <v>10</v>
      </c>
      <c r="I2209" t="str">
        <f>IFERROR(VLOOKUP(Tabela6[[#This Row],[Descrição]],Materiais!B:C,2,0),"")</f>
        <v/>
      </c>
    </row>
    <row r="2210" spans="2:9">
      <c r="B2210" s="11">
        <f t="shared" si="205"/>
        <v>44781</v>
      </c>
      <c r="C2210" s="19">
        <f>MONTH(Tabela6[[#This Row],[Data]])</f>
        <v>8</v>
      </c>
      <c r="D2210" s="19">
        <f>YEAR(Tabela6[[#This Row],[Data]])</f>
        <v>2022</v>
      </c>
      <c r="E2210" s="12" t="s">
        <v>78</v>
      </c>
      <c r="F2210" t="s">
        <v>63</v>
      </c>
      <c r="G2210" s="26">
        <v>8</v>
      </c>
      <c r="I2210" t="str">
        <f>IFERROR(VLOOKUP(Tabela6[[#This Row],[Descrição]],Materiais!B:C,2,0),"")</f>
        <v/>
      </c>
    </row>
    <row r="2211" spans="2:9">
      <c r="B2211" s="11">
        <f t="shared" si="205"/>
        <v>44781</v>
      </c>
      <c r="C2211" s="19">
        <f>MONTH(Tabela6[[#This Row],[Data]])</f>
        <v>8</v>
      </c>
      <c r="D2211" s="19">
        <f>YEAR(Tabela6[[#This Row],[Data]])</f>
        <v>2022</v>
      </c>
      <c r="E2211" s="12" t="s">
        <v>78</v>
      </c>
      <c r="F2211" t="s">
        <v>61</v>
      </c>
      <c r="G2211" s="26">
        <v>12</v>
      </c>
      <c r="I2211" t="str">
        <f>IFERROR(VLOOKUP(Tabela6[[#This Row],[Descrição]],Materiais!B:C,2,0),"")</f>
        <v/>
      </c>
    </row>
    <row r="2212" spans="2:9">
      <c r="B2212" s="11">
        <f t="shared" si="205"/>
        <v>44781</v>
      </c>
      <c r="C2212" s="19">
        <f>MONTH(Tabela6[[#This Row],[Data]])</f>
        <v>8</v>
      </c>
      <c r="D2212" s="19">
        <f>YEAR(Tabela6[[#This Row],[Data]])</f>
        <v>2022</v>
      </c>
      <c r="E2212" s="12" t="s">
        <v>78</v>
      </c>
      <c r="F2212" t="s">
        <v>58</v>
      </c>
      <c r="G2212" s="26">
        <v>8</v>
      </c>
      <c r="I2212" t="str">
        <f>IFERROR(VLOOKUP(Tabela6[[#This Row],[Descrição]],Materiais!B:C,2,0),"")</f>
        <v/>
      </c>
    </row>
    <row r="2213" spans="2:9">
      <c r="B2213" s="11">
        <f t="shared" si="205"/>
        <v>44781</v>
      </c>
      <c r="C2213" s="19">
        <f>MONTH(Tabela6[[#This Row],[Data]])</f>
        <v>8</v>
      </c>
      <c r="D2213" s="19">
        <f>YEAR(Tabela6[[#This Row],[Data]])</f>
        <v>2022</v>
      </c>
      <c r="E2213" s="12" t="s">
        <v>78</v>
      </c>
      <c r="F2213" t="s">
        <v>152</v>
      </c>
      <c r="G2213" s="26">
        <v>10</v>
      </c>
      <c r="I2213" t="str">
        <f>IFERROR(VLOOKUP(Tabela6[[#This Row],[Descrição]],Materiais!B:C,2,0),"")</f>
        <v/>
      </c>
    </row>
    <row r="2214" spans="2:9">
      <c r="B2214" s="11">
        <f t="shared" si="205"/>
        <v>44781</v>
      </c>
      <c r="C2214" s="19">
        <f>MONTH(Tabela6[[#This Row],[Data]])</f>
        <v>8</v>
      </c>
      <c r="D2214" s="19">
        <f>YEAR(Tabela6[[#This Row],[Data]])</f>
        <v>2022</v>
      </c>
      <c r="E2214" s="12" t="s">
        <v>78</v>
      </c>
      <c r="F2214" t="s">
        <v>62</v>
      </c>
      <c r="G2214" s="26">
        <v>2</v>
      </c>
      <c r="I2214" t="str">
        <f>IFERROR(VLOOKUP(Tabela6[[#This Row],[Descrição]],Materiais!B:C,2,0),"")</f>
        <v/>
      </c>
    </row>
    <row r="2215" spans="2:9">
      <c r="B2215" s="11">
        <f t="shared" si="205"/>
        <v>44781</v>
      </c>
      <c r="C2215" s="19">
        <f>MONTH(Tabela6[[#This Row],[Data]])</f>
        <v>8</v>
      </c>
      <c r="D2215" s="19">
        <f>YEAR(Tabela6[[#This Row],[Data]])</f>
        <v>2022</v>
      </c>
      <c r="E2215" s="12" t="s">
        <v>78</v>
      </c>
      <c r="F2215" t="s">
        <v>95</v>
      </c>
      <c r="G2215" s="26">
        <v>4</v>
      </c>
      <c r="I2215" t="str">
        <f>IFERROR(VLOOKUP(Tabela6[[#This Row],[Descrição]],Materiais!B:C,2,0),"")</f>
        <v/>
      </c>
    </row>
    <row r="2216" spans="2:9">
      <c r="B2216" s="11">
        <f>43323+(365*4)</f>
        <v>44783</v>
      </c>
      <c r="C2216" s="19">
        <f>MONTH(Tabela6[[#This Row],[Data]])</f>
        <v>8</v>
      </c>
      <c r="D2216" s="19">
        <f>YEAR(Tabela6[[#This Row],[Data]])</f>
        <v>2022</v>
      </c>
      <c r="E2216" s="12" t="s">
        <v>72</v>
      </c>
      <c r="F2216" t="s">
        <v>15</v>
      </c>
      <c r="G2216" s="26">
        <v>-6.46</v>
      </c>
      <c r="I2216" t="str">
        <f>IFERROR(VLOOKUP(Tabela6[[#This Row],[Descrição]],Materiais!B:C,2,0),"")</f>
        <v>g</v>
      </c>
    </row>
    <row r="2217" spans="2:9">
      <c r="B2217" s="11">
        <f>43323+(365*4)</f>
        <v>44783</v>
      </c>
      <c r="C2217" s="19">
        <f>MONTH(Tabela6[[#This Row],[Data]])</f>
        <v>8</v>
      </c>
      <c r="D2217" s="19">
        <f>YEAR(Tabela6[[#This Row],[Data]])</f>
        <v>2022</v>
      </c>
      <c r="E2217" s="12" t="s">
        <v>72</v>
      </c>
      <c r="F2217" t="s">
        <v>16</v>
      </c>
      <c r="G2217" s="26">
        <v>-5.6</v>
      </c>
      <c r="I2217" t="str">
        <f>IFERROR(VLOOKUP(Tabela6[[#This Row],[Descrição]],Materiais!B:C,2,0),"")</f>
        <v>g</v>
      </c>
    </row>
    <row r="2218" spans="2:9">
      <c r="B2218" s="11">
        <f>43323+(365*4)</f>
        <v>44783</v>
      </c>
      <c r="C2218" s="19">
        <f>MONTH(Tabela6[[#This Row],[Data]])</f>
        <v>8</v>
      </c>
      <c r="D2218" s="19">
        <f>YEAR(Tabela6[[#This Row],[Data]])</f>
        <v>2022</v>
      </c>
      <c r="E2218" s="12" t="s">
        <v>72</v>
      </c>
      <c r="F2218" t="s">
        <v>77</v>
      </c>
      <c r="G2218" s="26">
        <v>-17.2</v>
      </c>
      <c r="I2218" t="str">
        <f>IFERROR(VLOOKUP(Tabela6[[#This Row],[Descrição]],Materiais!B:C,2,0),"")</f>
        <v/>
      </c>
    </row>
    <row r="2219" spans="2:9">
      <c r="B2219" s="11">
        <f>43323+(365*4)</f>
        <v>44783</v>
      </c>
      <c r="C2219" s="19">
        <f>MONTH(Tabela6[[#This Row],[Data]])</f>
        <v>8</v>
      </c>
      <c r="D2219" s="19">
        <f>YEAR(Tabela6[[#This Row],[Data]])</f>
        <v>2022</v>
      </c>
      <c r="E2219" s="12" t="s">
        <v>75</v>
      </c>
      <c r="F2219" t="s">
        <v>76</v>
      </c>
      <c r="G2219" s="26">
        <v>-13.299999999999999</v>
      </c>
      <c r="I2219" t="str">
        <f>IFERROR(VLOOKUP(Tabela6[[#This Row],[Descrição]],Materiais!B:C,2,0),"")</f>
        <v/>
      </c>
    </row>
    <row r="2220" spans="2:9">
      <c r="B2220" s="11">
        <f>43325+(365*4)</f>
        <v>44785</v>
      </c>
      <c r="C2220" s="19">
        <f>MONTH(Tabela6[[#This Row],[Data]])</f>
        <v>8</v>
      </c>
      <c r="D2220" s="19">
        <f>YEAR(Tabela6[[#This Row],[Data]])</f>
        <v>2022</v>
      </c>
      <c r="E2220" s="12" t="s">
        <v>78</v>
      </c>
      <c r="F2220" t="s">
        <v>56</v>
      </c>
      <c r="G2220" s="26">
        <v>4</v>
      </c>
      <c r="I2220" t="str">
        <f>IFERROR(VLOOKUP(Tabela6[[#This Row],[Descrição]],Materiais!B:C,2,0),"")</f>
        <v/>
      </c>
    </row>
    <row r="2221" spans="2:9">
      <c r="B2221" s="11">
        <f>43325+(365*4)</f>
        <v>44785</v>
      </c>
      <c r="C2221" s="19">
        <f>MONTH(Tabela6[[#This Row],[Data]])</f>
        <v>8</v>
      </c>
      <c r="D2221" s="19">
        <f>YEAR(Tabela6[[#This Row],[Data]])</f>
        <v>2022</v>
      </c>
      <c r="E2221" s="12" t="s">
        <v>78</v>
      </c>
      <c r="F2221" t="s">
        <v>163</v>
      </c>
      <c r="G2221" s="26">
        <v>2.5</v>
      </c>
      <c r="I2221" t="str">
        <f>IFERROR(VLOOKUP(Tabela6[[#This Row],[Descrição]],Materiais!B:C,2,0),"")</f>
        <v/>
      </c>
    </row>
    <row r="2222" spans="2:9">
      <c r="B2222" s="11">
        <f>43325+(365*4)</f>
        <v>44785</v>
      </c>
      <c r="C2222" s="19">
        <f>MONTH(Tabela6[[#This Row],[Data]])</f>
        <v>8</v>
      </c>
      <c r="D2222" s="19">
        <f>YEAR(Tabela6[[#This Row],[Data]])</f>
        <v>2022</v>
      </c>
      <c r="E2222" s="12" t="s">
        <v>78</v>
      </c>
      <c r="F2222" t="s">
        <v>147</v>
      </c>
      <c r="G2222" s="26">
        <v>2</v>
      </c>
      <c r="I2222" t="str">
        <f>IFERROR(VLOOKUP(Tabela6[[#This Row],[Descrição]],Materiais!B:C,2,0),"")</f>
        <v/>
      </c>
    </row>
    <row r="2223" spans="2:9">
      <c r="B2223" s="11">
        <f>43325+(365*4)</f>
        <v>44785</v>
      </c>
      <c r="C2223" s="19">
        <f>MONTH(Tabela6[[#This Row],[Data]])</f>
        <v>8</v>
      </c>
      <c r="D2223" s="19">
        <f>YEAR(Tabela6[[#This Row],[Data]])</f>
        <v>2022</v>
      </c>
      <c r="E2223" s="12" t="s">
        <v>78</v>
      </c>
      <c r="F2223" t="s">
        <v>56</v>
      </c>
      <c r="G2223" s="26">
        <v>6</v>
      </c>
      <c r="I2223" t="str">
        <f>IFERROR(VLOOKUP(Tabela6[[#This Row],[Descrição]],Materiais!B:C,2,0),"")</f>
        <v/>
      </c>
    </row>
    <row r="2224" spans="2:9">
      <c r="B2224" s="11">
        <f>43325+(365*4)</f>
        <v>44785</v>
      </c>
      <c r="C2224" s="19">
        <f>MONTH(Tabela6[[#This Row],[Data]])</f>
        <v>8</v>
      </c>
      <c r="D2224" s="19">
        <f>YEAR(Tabela6[[#This Row],[Data]])</f>
        <v>2022</v>
      </c>
      <c r="E2224" s="12" t="s">
        <v>78</v>
      </c>
      <c r="F2224" t="s">
        <v>58</v>
      </c>
      <c r="G2224" s="26">
        <v>6</v>
      </c>
      <c r="I2224" t="str">
        <f>IFERROR(VLOOKUP(Tabela6[[#This Row],[Descrição]],Materiais!B:C,2,0),"")</f>
        <v/>
      </c>
    </row>
    <row r="2225" spans="2:9">
      <c r="B2225" s="11">
        <f>43327+(365*4)</f>
        <v>44787</v>
      </c>
      <c r="C2225" s="19">
        <f>MONTH(Tabela6[[#This Row],[Data]])</f>
        <v>8</v>
      </c>
      <c r="D2225" s="19">
        <f>YEAR(Tabela6[[#This Row],[Data]])</f>
        <v>2022</v>
      </c>
      <c r="E2225" s="12" t="s">
        <v>78</v>
      </c>
      <c r="F2225" t="s">
        <v>56</v>
      </c>
      <c r="G2225" s="26">
        <v>2</v>
      </c>
      <c r="I2225" t="str">
        <f>IFERROR(VLOOKUP(Tabela6[[#This Row],[Descrição]],Materiais!B:C,2,0),"")</f>
        <v/>
      </c>
    </row>
    <row r="2226" spans="2:9">
      <c r="B2226" s="11">
        <f>43327+(365*4)</f>
        <v>44787</v>
      </c>
      <c r="C2226" s="19">
        <f>MONTH(Tabela6[[#This Row],[Data]])</f>
        <v>8</v>
      </c>
      <c r="D2226" s="19">
        <f>YEAR(Tabela6[[#This Row],[Data]])</f>
        <v>2022</v>
      </c>
      <c r="E2226" s="12" t="s">
        <v>78</v>
      </c>
      <c r="F2226" t="s">
        <v>163</v>
      </c>
      <c r="G2226" s="26">
        <v>7.5</v>
      </c>
      <c r="I2226" t="str">
        <f>IFERROR(VLOOKUP(Tabela6[[#This Row],[Descrição]],Materiais!B:C,2,0),"")</f>
        <v/>
      </c>
    </row>
    <row r="2227" spans="2:9">
      <c r="B2227" s="11">
        <f t="shared" ref="B2227:B2234" si="206">43328+(365*4)</f>
        <v>44788</v>
      </c>
      <c r="C2227" s="19">
        <f>MONTH(Tabela6[[#This Row],[Data]])</f>
        <v>8</v>
      </c>
      <c r="D2227" s="19">
        <f>YEAR(Tabela6[[#This Row],[Data]])</f>
        <v>2022</v>
      </c>
      <c r="E2227" s="12" t="s">
        <v>78</v>
      </c>
      <c r="F2227" t="s">
        <v>61</v>
      </c>
      <c r="G2227" s="26">
        <v>8</v>
      </c>
      <c r="I2227" t="str">
        <f>IFERROR(VLOOKUP(Tabela6[[#This Row],[Descrição]],Materiais!B:C,2,0),"")</f>
        <v/>
      </c>
    </row>
    <row r="2228" spans="2:9">
      <c r="B2228" s="11">
        <f t="shared" si="206"/>
        <v>44788</v>
      </c>
      <c r="C2228" s="19">
        <f>MONTH(Tabela6[[#This Row],[Data]])</f>
        <v>8</v>
      </c>
      <c r="D2228" s="19">
        <f>YEAR(Tabela6[[#This Row],[Data]])</f>
        <v>2022</v>
      </c>
      <c r="E2228" s="12" t="s">
        <v>78</v>
      </c>
      <c r="F2228" t="s">
        <v>58</v>
      </c>
      <c r="G2228" s="26">
        <v>4</v>
      </c>
      <c r="I2228" t="str">
        <f>IFERROR(VLOOKUP(Tabela6[[#This Row],[Descrição]],Materiais!B:C,2,0),"")</f>
        <v/>
      </c>
    </row>
    <row r="2229" spans="2:9">
      <c r="B2229" s="11">
        <f t="shared" si="206"/>
        <v>44788</v>
      </c>
      <c r="C2229" s="19">
        <f>MONTH(Tabela6[[#This Row],[Data]])</f>
        <v>8</v>
      </c>
      <c r="D2229" s="19">
        <f>YEAR(Tabela6[[#This Row],[Data]])</f>
        <v>2022</v>
      </c>
      <c r="E2229" s="12" t="s">
        <v>78</v>
      </c>
      <c r="F2229" t="s">
        <v>147</v>
      </c>
      <c r="G2229" s="26">
        <v>6</v>
      </c>
      <c r="I2229" t="str">
        <f>IFERROR(VLOOKUP(Tabela6[[#This Row],[Descrição]],Materiais!B:C,2,0),"")</f>
        <v/>
      </c>
    </row>
    <row r="2230" spans="2:9">
      <c r="B2230" s="11">
        <f t="shared" si="206"/>
        <v>44788</v>
      </c>
      <c r="C2230" s="19">
        <f>MONTH(Tabela6[[#This Row],[Data]])</f>
        <v>8</v>
      </c>
      <c r="D2230" s="19">
        <f>YEAR(Tabela6[[#This Row],[Data]])</f>
        <v>2022</v>
      </c>
      <c r="E2230" s="12" t="s">
        <v>78</v>
      </c>
      <c r="F2230" t="s">
        <v>56</v>
      </c>
      <c r="G2230" s="26">
        <v>4</v>
      </c>
      <c r="I2230" t="str">
        <f>IFERROR(VLOOKUP(Tabela6[[#This Row],[Descrição]],Materiais!B:C,2,0),"")</f>
        <v/>
      </c>
    </row>
    <row r="2231" spans="2:9">
      <c r="B2231" s="11">
        <f t="shared" si="206"/>
        <v>44788</v>
      </c>
      <c r="C2231" s="19">
        <f>MONTH(Tabela6[[#This Row],[Data]])</f>
        <v>8</v>
      </c>
      <c r="D2231" s="19">
        <f>YEAR(Tabela6[[#This Row],[Data]])</f>
        <v>2022</v>
      </c>
      <c r="E2231" s="12" t="s">
        <v>78</v>
      </c>
      <c r="F2231" t="s">
        <v>148</v>
      </c>
      <c r="G2231" s="26">
        <v>6</v>
      </c>
      <c r="I2231" t="str">
        <f>IFERROR(VLOOKUP(Tabela6[[#This Row],[Descrição]],Materiais!B:C,2,0),"")</f>
        <v/>
      </c>
    </row>
    <row r="2232" spans="2:9">
      <c r="B2232" s="11">
        <f t="shared" si="206"/>
        <v>44788</v>
      </c>
      <c r="C2232" s="19">
        <f>MONTH(Tabela6[[#This Row],[Data]])</f>
        <v>8</v>
      </c>
      <c r="D2232" s="19">
        <f>YEAR(Tabela6[[#This Row],[Data]])</f>
        <v>2022</v>
      </c>
      <c r="E2232" s="12" t="s">
        <v>78</v>
      </c>
      <c r="F2232" t="s">
        <v>152</v>
      </c>
      <c r="G2232" s="26">
        <v>8</v>
      </c>
      <c r="I2232" t="str">
        <f>IFERROR(VLOOKUP(Tabela6[[#This Row],[Descrição]],Materiais!B:C,2,0),"")</f>
        <v/>
      </c>
    </row>
    <row r="2233" spans="2:9">
      <c r="B2233" s="11">
        <f t="shared" si="206"/>
        <v>44788</v>
      </c>
      <c r="C2233" s="19">
        <f>MONTH(Tabela6[[#This Row],[Data]])</f>
        <v>8</v>
      </c>
      <c r="D2233" s="19">
        <f>YEAR(Tabela6[[#This Row],[Data]])</f>
        <v>2022</v>
      </c>
      <c r="E2233" s="12" t="s">
        <v>78</v>
      </c>
      <c r="F2233" t="s">
        <v>163</v>
      </c>
      <c r="G2233" s="26">
        <v>2.5</v>
      </c>
      <c r="I2233" t="str">
        <f>IFERROR(VLOOKUP(Tabela6[[#This Row],[Descrição]],Materiais!B:C,2,0),"")</f>
        <v/>
      </c>
    </row>
    <row r="2234" spans="2:9">
      <c r="B2234" s="11">
        <f t="shared" si="206"/>
        <v>44788</v>
      </c>
      <c r="C2234" s="19">
        <f>MONTH(Tabela6[[#This Row],[Data]])</f>
        <v>8</v>
      </c>
      <c r="D2234" s="19">
        <f>YEAR(Tabela6[[#This Row],[Data]])</f>
        <v>2022</v>
      </c>
      <c r="E2234" s="12" t="s">
        <v>78</v>
      </c>
      <c r="F2234" t="s">
        <v>63</v>
      </c>
      <c r="G2234" s="26">
        <v>8</v>
      </c>
      <c r="I2234" t="str">
        <f>IFERROR(VLOOKUP(Tabela6[[#This Row],[Descrição]],Materiais!B:C,2,0),"")</f>
        <v/>
      </c>
    </row>
    <row r="2235" spans="2:9">
      <c r="B2235" s="11">
        <f>43329+(365*4)</f>
        <v>44789</v>
      </c>
      <c r="C2235" s="19">
        <f>MONTH(Tabela6[[#This Row],[Data]])</f>
        <v>8</v>
      </c>
      <c r="D2235" s="19">
        <f>YEAR(Tabela6[[#This Row],[Data]])</f>
        <v>2022</v>
      </c>
      <c r="E2235" s="12" t="s">
        <v>78</v>
      </c>
      <c r="F2235" t="s">
        <v>61</v>
      </c>
      <c r="G2235" s="26">
        <v>4</v>
      </c>
      <c r="I2235" t="str">
        <f>IFERROR(VLOOKUP(Tabela6[[#This Row],[Descrição]],Materiais!B:C,2,0),"")</f>
        <v/>
      </c>
    </row>
    <row r="2236" spans="2:9">
      <c r="B2236" s="11">
        <f>43329+(365*4)</f>
        <v>44789</v>
      </c>
      <c r="C2236" s="19">
        <f>MONTH(Tabela6[[#This Row],[Data]])</f>
        <v>8</v>
      </c>
      <c r="D2236" s="19">
        <f>YEAR(Tabela6[[#This Row],[Data]])</f>
        <v>2022</v>
      </c>
      <c r="E2236" s="12" t="s">
        <v>78</v>
      </c>
      <c r="F2236" t="s">
        <v>58</v>
      </c>
      <c r="G2236" s="26">
        <v>6</v>
      </c>
      <c r="I2236" t="str">
        <f>IFERROR(VLOOKUP(Tabela6[[#This Row],[Descrição]],Materiais!B:C,2,0),"")</f>
        <v/>
      </c>
    </row>
    <row r="2237" spans="2:9">
      <c r="B2237" s="11">
        <f>43329+(365*4)</f>
        <v>44789</v>
      </c>
      <c r="C2237" s="19">
        <f>MONTH(Tabela6[[#This Row],[Data]])</f>
        <v>8</v>
      </c>
      <c r="D2237" s="19">
        <f>YEAR(Tabela6[[#This Row],[Data]])</f>
        <v>2022</v>
      </c>
      <c r="E2237" s="12" t="s">
        <v>78</v>
      </c>
      <c r="F2237" t="s">
        <v>147</v>
      </c>
      <c r="G2237" s="26">
        <v>2</v>
      </c>
      <c r="I2237" t="str">
        <f>IFERROR(VLOOKUP(Tabela6[[#This Row],[Descrição]],Materiais!B:C,2,0),"")</f>
        <v/>
      </c>
    </row>
    <row r="2238" spans="2:9">
      <c r="B2238" s="11">
        <f>43329+(365*4)</f>
        <v>44789</v>
      </c>
      <c r="C2238" s="19">
        <f>MONTH(Tabela6[[#This Row],[Data]])</f>
        <v>8</v>
      </c>
      <c r="D2238" s="19">
        <f>YEAR(Tabela6[[#This Row],[Data]])</f>
        <v>2022</v>
      </c>
      <c r="E2238" s="12" t="s">
        <v>78</v>
      </c>
      <c r="F2238" t="s">
        <v>56</v>
      </c>
      <c r="G2238" s="26">
        <v>4</v>
      </c>
      <c r="I2238" t="str">
        <f>IFERROR(VLOOKUP(Tabela6[[#This Row],[Descrição]],Materiais!B:C,2,0),"")</f>
        <v/>
      </c>
    </row>
    <row r="2239" spans="2:9">
      <c r="B2239" s="11">
        <f>43329+(365*4)</f>
        <v>44789</v>
      </c>
      <c r="C2239" s="19">
        <f>MONTH(Tabela6[[#This Row],[Data]])</f>
        <v>8</v>
      </c>
      <c r="D2239" s="19">
        <f>YEAR(Tabela6[[#This Row],[Data]])</f>
        <v>2022</v>
      </c>
      <c r="E2239" s="12" t="s">
        <v>78</v>
      </c>
      <c r="F2239" t="s">
        <v>163</v>
      </c>
      <c r="G2239" s="26">
        <v>2.5</v>
      </c>
      <c r="I2239" t="str">
        <f>IFERROR(VLOOKUP(Tabela6[[#This Row],[Descrição]],Materiais!B:C,2,0),"")</f>
        <v/>
      </c>
    </row>
    <row r="2240" spans="2:9">
      <c r="B2240" s="11">
        <f t="shared" ref="B2240:B2249" si="207">43332+(365*4)</f>
        <v>44792</v>
      </c>
      <c r="C2240" s="19">
        <f>MONTH(Tabela6[[#This Row],[Data]])</f>
        <v>8</v>
      </c>
      <c r="D2240" s="19">
        <f>YEAR(Tabela6[[#This Row],[Data]])</f>
        <v>2022</v>
      </c>
      <c r="E2240" s="12" t="s">
        <v>78</v>
      </c>
      <c r="F2240" t="s">
        <v>163</v>
      </c>
      <c r="G2240" s="26">
        <v>5</v>
      </c>
      <c r="I2240" t="str">
        <f>IFERROR(VLOOKUP(Tabela6[[#This Row],[Descrição]],Materiais!B:C,2,0),"")</f>
        <v/>
      </c>
    </row>
    <row r="2241" spans="2:9">
      <c r="B2241" s="11">
        <f t="shared" si="207"/>
        <v>44792</v>
      </c>
      <c r="C2241" s="19">
        <f>MONTH(Tabela6[[#This Row],[Data]])</f>
        <v>8</v>
      </c>
      <c r="D2241" s="19">
        <f>YEAR(Tabela6[[#This Row],[Data]])</f>
        <v>2022</v>
      </c>
      <c r="E2241" s="12" t="s">
        <v>78</v>
      </c>
      <c r="F2241" t="s">
        <v>147</v>
      </c>
      <c r="G2241" s="26">
        <v>2</v>
      </c>
      <c r="I2241" t="str">
        <f>IFERROR(VLOOKUP(Tabela6[[#This Row],[Descrição]],Materiais!B:C,2,0),"")</f>
        <v/>
      </c>
    </row>
    <row r="2242" spans="2:9">
      <c r="B2242" s="11">
        <f t="shared" si="207"/>
        <v>44792</v>
      </c>
      <c r="C2242" s="19">
        <f>MONTH(Tabela6[[#This Row],[Data]])</f>
        <v>8</v>
      </c>
      <c r="D2242" s="19">
        <f>YEAR(Tabela6[[#This Row],[Data]])</f>
        <v>2022</v>
      </c>
      <c r="E2242" s="12" t="s">
        <v>78</v>
      </c>
      <c r="F2242" t="s">
        <v>61</v>
      </c>
      <c r="G2242" s="26">
        <v>14</v>
      </c>
      <c r="I2242" t="str">
        <f>IFERROR(VLOOKUP(Tabela6[[#This Row],[Descrição]],Materiais!B:C,2,0),"")</f>
        <v/>
      </c>
    </row>
    <row r="2243" spans="2:9">
      <c r="B2243" s="11">
        <f t="shared" si="207"/>
        <v>44792</v>
      </c>
      <c r="C2243" s="19">
        <f>MONTH(Tabela6[[#This Row],[Data]])</f>
        <v>8</v>
      </c>
      <c r="D2243" s="19">
        <f>YEAR(Tabela6[[#This Row],[Data]])</f>
        <v>2022</v>
      </c>
      <c r="E2243" s="12" t="s">
        <v>78</v>
      </c>
      <c r="F2243" t="s">
        <v>58</v>
      </c>
      <c r="G2243" s="26">
        <v>8</v>
      </c>
      <c r="I2243" t="str">
        <f>IFERROR(VLOOKUP(Tabela6[[#This Row],[Descrição]],Materiais!B:C,2,0),"")</f>
        <v/>
      </c>
    </row>
    <row r="2244" spans="2:9">
      <c r="B2244" s="11">
        <f t="shared" si="207"/>
        <v>44792</v>
      </c>
      <c r="C2244" s="19">
        <f>MONTH(Tabela6[[#This Row],[Data]])</f>
        <v>8</v>
      </c>
      <c r="D2244" s="19">
        <f>YEAR(Tabela6[[#This Row],[Data]])</f>
        <v>2022</v>
      </c>
      <c r="E2244" s="12" t="s">
        <v>78</v>
      </c>
      <c r="F2244" t="s">
        <v>147</v>
      </c>
      <c r="G2244" s="26">
        <v>6</v>
      </c>
      <c r="I2244" t="str">
        <f>IFERROR(VLOOKUP(Tabela6[[#This Row],[Descrição]],Materiais!B:C,2,0),"")</f>
        <v/>
      </c>
    </row>
    <row r="2245" spans="2:9">
      <c r="B2245" s="11">
        <f t="shared" si="207"/>
        <v>44792</v>
      </c>
      <c r="C2245" s="19">
        <f>MONTH(Tabela6[[#This Row],[Data]])</f>
        <v>8</v>
      </c>
      <c r="D2245" s="19">
        <f>YEAR(Tabela6[[#This Row],[Data]])</f>
        <v>2022</v>
      </c>
      <c r="E2245" s="12" t="s">
        <v>78</v>
      </c>
      <c r="F2245" t="s">
        <v>56</v>
      </c>
      <c r="G2245" s="26">
        <v>14</v>
      </c>
      <c r="I2245" t="str">
        <f>IFERROR(VLOOKUP(Tabela6[[#This Row],[Descrição]],Materiais!B:C,2,0),"")</f>
        <v/>
      </c>
    </row>
    <row r="2246" spans="2:9">
      <c r="B2246" s="11">
        <f t="shared" si="207"/>
        <v>44792</v>
      </c>
      <c r="C2246" s="19">
        <f>MONTH(Tabela6[[#This Row],[Data]])</f>
        <v>8</v>
      </c>
      <c r="D2246" s="19">
        <f>YEAR(Tabela6[[#This Row],[Data]])</f>
        <v>2022</v>
      </c>
      <c r="E2246" s="12" t="s">
        <v>78</v>
      </c>
      <c r="F2246" t="s">
        <v>148</v>
      </c>
      <c r="G2246" s="26">
        <v>6</v>
      </c>
      <c r="I2246" t="str">
        <f>IFERROR(VLOOKUP(Tabela6[[#This Row],[Descrição]],Materiais!B:C,2,0),"")</f>
        <v/>
      </c>
    </row>
    <row r="2247" spans="2:9">
      <c r="B2247" s="11">
        <f t="shared" si="207"/>
        <v>44792</v>
      </c>
      <c r="C2247" s="19">
        <f>MONTH(Tabela6[[#This Row],[Data]])</f>
        <v>8</v>
      </c>
      <c r="D2247" s="19">
        <f>YEAR(Tabela6[[#This Row],[Data]])</f>
        <v>2022</v>
      </c>
      <c r="E2247" s="12" t="s">
        <v>78</v>
      </c>
      <c r="F2247" t="s">
        <v>152</v>
      </c>
      <c r="G2247" s="26">
        <v>4</v>
      </c>
      <c r="I2247" t="str">
        <f>IFERROR(VLOOKUP(Tabela6[[#This Row],[Descrição]],Materiais!B:C,2,0),"")</f>
        <v/>
      </c>
    </row>
    <row r="2248" spans="2:9">
      <c r="B2248" s="11">
        <f t="shared" si="207"/>
        <v>44792</v>
      </c>
      <c r="C2248" s="19">
        <f>MONTH(Tabela6[[#This Row],[Data]])</f>
        <v>8</v>
      </c>
      <c r="D2248" s="19">
        <f>YEAR(Tabela6[[#This Row],[Data]])</f>
        <v>2022</v>
      </c>
      <c r="E2248" s="12" t="s">
        <v>78</v>
      </c>
      <c r="F2248" t="s">
        <v>163</v>
      </c>
      <c r="G2248" s="26">
        <v>7.5</v>
      </c>
      <c r="I2248" t="str">
        <f>IFERROR(VLOOKUP(Tabela6[[#This Row],[Descrição]],Materiais!B:C,2,0),"")</f>
        <v/>
      </c>
    </row>
    <row r="2249" spans="2:9">
      <c r="B2249" s="11">
        <f t="shared" si="207"/>
        <v>44792</v>
      </c>
      <c r="C2249" s="19">
        <f>MONTH(Tabela6[[#This Row],[Data]])</f>
        <v>8</v>
      </c>
      <c r="D2249" s="19">
        <f>YEAR(Tabela6[[#This Row],[Data]])</f>
        <v>2022</v>
      </c>
      <c r="E2249" s="12" t="s">
        <v>78</v>
      </c>
      <c r="F2249" t="s">
        <v>63</v>
      </c>
      <c r="G2249" s="26">
        <v>4</v>
      </c>
      <c r="I2249" t="str">
        <f>IFERROR(VLOOKUP(Tabela6[[#This Row],[Descrição]],Materiais!B:C,2,0),"")</f>
        <v/>
      </c>
    </row>
    <row r="2250" spans="2:9">
      <c r="B2250" s="11">
        <f t="shared" ref="B2250:B2257" si="208">43333+(365*4)</f>
        <v>44793</v>
      </c>
      <c r="C2250" s="19">
        <f>MONTH(Tabela6[[#This Row],[Data]])</f>
        <v>8</v>
      </c>
      <c r="D2250" s="19">
        <f>YEAR(Tabela6[[#This Row],[Data]])</f>
        <v>2022</v>
      </c>
      <c r="E2250" s="12" t="s">
        <v>78</v>
      </c>
      <c r="F2250" t="s">
        <v>61</v>
      </c>
      <c r="G2250" s="26">
        <v>8</v>
      </c>
      <c r="I2250" t="str">
        <f>IFERROR(VLOOKUP(Tabela6[[#This Row],[Descrição]],Materiais!B:C,2,0),"")</f>
        <v/>
      </c>
    </row>
    <row r="2251" spans="2:9">
      <c r="B2251" s="11">
        <f t="shared" si="208"/>
        <v>44793</v>
      </c>
      <c r="C2251" s="19">
        <f>MONTH(Tabela6[[#This Row],[Data]])</f>
        <v>8</v>
      </c>
      <c r="D2251" s="19">
        <f>YEAR(Tabela6[[#This Row],[Data]])</f>
        <v>2022</v>
      </c>
      <c r="E2251" s="12" t="s">
        <v>78</v>
      </c>
      <c r="F2251" t="s">
        <v>58</v>
      </c>
      <c r="G2251" s="26">
        <v>4</v>
      </c>
      <c r="I2251" t="str">
        <f>IFERROR(VLOOKUP(Tabela6[[#This Row],[Descrição]],Materiais!B:C,2,0),"")</f>
        <v/>
      </c>
    </row>
    <row r="2252" spans="2:9">
      <c r="B2252" s="11">
        <f t="shared" si="208"/>
        <v>44793</v>
      </c>
      <c r="C2252" s="19">
        <f>MONTH(Tabela6[[#This Row],[Data]])</f>
        <v>8</v>
      </c>
      <c r="D2252" s="19">
        <f>YEAR(Tabela6[[#This Row],[Data]])</f>
        <v>2022</v>
      </c>
      <c r="E2252" s="12" t="s">
        <v>78</v>
      </c>
      <c r="F2252" t="s">
        <v>147</v>
      </c>
      <c r="G2252" s="26">
        <v>6</v>
      </c>
      <c r="I2252" t="str">
        <f>IFERROR(VLOOKUP(Tabela6[[#This Row],[Descrição]],Materiais!B:C,2,0),"")</f>
        <v/>
      </c>
    </row>
    <row r="2253" spans="2:9">
      <c r="B2253" s="11">
        <f t="shared" si="208"/>
        <v>44793</v>
      </c>
      <c r="C2253" s="19">
        <f>MONTH(Tabela6[[#This Row],[Data]])</f>
        <v>8</v>
      </c>
      <c r="D2253" s="19">
        <f>YEAR(Tabela6[[#This Row],[Data]])</f>
        <v>2022</v>
      </c>
      <c r="E2253" s="12" t="s">
        <v>78</v>
      </c>
      <c r="F2253" t="s">
        <v>56</v>
      </c>
      <c r="G2253" s="26">
        <v>6</v>
      </c>
      <c r="I2253" t="str">
        <f>IFERROR(VLOOKUP(Tabela6[[#This Row],[Descrição]],Materiais!B:C,2,0),"")</f>
        <v/>
      </c>
    </row>
    <row r="2254" spans="2:9">
      <c r="B2254" s="11">
        <f t="shared" si="208"/>
        <v>44793</v>
      </c>
      <c r="C2254" s="19">
        <f>MONTH(Tabela6[[#This Row],[Data]])</f>
        <v>8</v>
      </c>
      <c r="D2254" s="19">
        <f>YEAR(Tabela6[[#This Row],[Data]])</f>
        <v>2022</v>
      </c>
      <c r="E2254" s="12" t="s">
        <v>78</v>
      </c>
      <c r="F2254" t="s">
        <v>152</v>
      </c>
      <c r="G2254" s="26">
        <v>4</v>
      </c>
      <c r="I2254" t="str">
        <f>IFERROR(VLOOKUP(Tabela6[[#This Row],[Descrição]],Materiais!B:C,2,0),"")</f>
        <v/>
      </c>
    </row>
    <row r="2255" spans="2:9">
      <c r="B2255" s="11">
        <f t="shared" si="208"/>
        <v>44793</v>
      </c>
      <c r="C2255" s="19">
        <f>MONTH(Tabela6[[#This Row],[Data]])</f>
        <v>8</v>
      </c>
      <c r="D2255" s="19">
        <f>YEAR(Tabela6[[#This Row],[Data]])</f>
        <v>2022</v>
      </c>
      <c r="E2255" s="12" t="s">
        <v>78</v>
      </c>
      <c r="F2255" t="s">
        <v>163</v>
      </c>
      <c r="G2255" s="26">
        <v>2.5</v>
      </c>
      <c r="I2255" t="str">
        <f>IFERROR(VLOOKUP(Tabela6[[#This Row],[Descrição]],Materiais!B:C,2,0),"")</f>
        <v/>
      </c>
    </row>
    <row r="2256" spans="2:9">
      <c r="B2256" s="11">
        <f t="shared" si="208"/>
        <v>44793</v>
      </c>
      <c r="C2256" s="19">
        <f>MONTH(Tabela6[[#This Row],[Data]])</f>
        <v>8</v>
      </c>
      <c r="D2256" s="19">
        <f>YEAR(Tabela6[[#This Row],[Data]])</f>
        <v>2022</v>
      </c>
      <c r="E2256" s="12" t="s">
        <v>78</v>
      </c>
      <c r="F2256" t="s">
        <v>63</v>
      </c>
      <c r="G2256" s="26">
        <v>8</v>
      </c>
      <c r="I2256" t="str">
        <f>IFERROR(VLOOKUP(Tabela6[[#This Row],[Descrição]],Materiais!B:C,2,0),"")</f>
        <v/>
      </c>
    </row>
    <row r="2257" spans="2:9">
      <c r="B2257" s="11">
        <f t="shared" si="208"/>
        <v>44793</v>
      </c>
      <c r="C2257" s="19">
        <f>MONTH(Tabela6[[#This Row],[Data]])</f>
        <v>8</v>
      </c>
      <c r="D2257" s="19">
        <f>YEAR(Tabela6[[#This Row],[Data]])</f>
        <v>2022</v>
      </c>
      <c r="E2257" s="12" t="s">
        <v>78</v>
      </c>
      <c r="F2257" t="s">
        <v>95</v>
      </c>
      <c r="G2257" s="26">
        <v>2</v>
      </c>
      <c r="I2257" t="str">
        <f>IFERROR(VLOOKUP(Tabela6[[#This Row],[Descrição]],Materiais!B:C,2,0),"")</f>
        <v/>
      </c>
    </row>
    <row r="2258" spans="2:9">
      <c r="B2258" s="11">
        <f>43334+(365*4)</f>
        <v>44794</v>
      </c>
      <c r="C2258" s="19">
        <f>MONTH(Tabela6[[#This Row],[Data]])</f>
        <v>8</v>
      </c>
      <c r="D2258" s="19">
        <f>YEAR(Tabela6[[#This Row],[Data]])</f>
        <v>2022</v>
      </c>
      <c r="E2258" s="12" t="s">
        <v>78</v>
      </c>
      <c r="F2258" t="s">
        <v>56</v>
      </c>
      <c r="G2258" s="26">
        <v>2</v>
      </c>
      <c r="I2258" t="str">
        <f>IFERROR(VLOOKUP(Tabela6[[#This Row],[Descrição]],Materiais!B:C,2,0),"")</f>
        <v/>
      </c>
    </row>
    <row r="2259" spans="2:9">
      <c r="B2259" s="11">
        <f>43334+(365*4)</f>
        <v>44794</v>
      </c>
      <c r="C2259" s="19">
        <f>MONTH(Tabela6[[#This Row],[Data]])</f>
        <v>8</v>
      </c>
      <c r="D2259" s="19">
        <f>YEAR(Tabela6[[#This Row],[Data]])</f>
        <v>2022</v>
      </c>
      <c r="E2259" s="12" t="s">
        <v>78</v>
      </c>
      <c r="F2259" t="s">
        <v>152</v>
      </c>
      <c r="G2259" s="26">
        <v>2</v>
      </c>
      <c r="I2259" t="str">
        <f>IFERROR(VLOOKUP(Tabela6[[#This Row],[Descrição]],Materiais!B:C,2,0),"")</f>
        <v/>
      </c>
    </row>
    <row r="2260" spans="2:9">
      <c r="B2260" s="11">
        <f>43334+(365*4)</f>
        <v>44794</v>
      </c>
      <c r="C2260" s="19">
        <f>MONTH(Tabela6[[#This Row],[Data]])</f>
        <v>8</v>
      </c>
      <c r="D2260" s="19">
        <f>YEAR(Tabela6[[#This Row],[Data]])</f>
        <v>2022</v>
      </c>
      <c r="E2260" s="12" t="s">
        <v>78</v>
      </c>
      <c r="F2260" t="s">
        <v>58</v>
      </c>
      <c r="G2260" s="26">
        <v>4</v>
      </c>
      <c r="I2260" t="str">
        <f>IFERROR(VLOOKUP(Tabela6[[#This Row],[Descrição]],Materiais!B:C,2,0),"")</f>
        <v/>
      </c>
    </row>
    <row r="2261" spans="2:9">
      <c r="B2261" s="11">
        <f>43334+(365*4)</f>
        <v>44794</v>
      </c>
      <c r="C2261" s="19">
        <f>MONTH(Tabela6[[#This Row],[Data]])</f>
        <v>8</v>
      </c>
      <c r="D2261" s="19">
        <f>YEAR(Tabela6[[#This Row],[Data]])</f>
        <v>2022</v>
      </c>
      <c r="E2261" s="12" t="s">
        <v>78</v>
      </c>
      <c r="F2261" t="s">
        <v>163</v>
      </c>
      <c r="G2261" s="26">
        <v>7.5</v>
      </c>
      <c r="I2261" t="str">
        <f>IFERROR(VLOOKUP(Tabela6[[#This Row],[Descrição]],Materiais!B:C,2,0),"")</f>
        <v/>
      </c>
    </row>
    <row r="2262" spans="2:9">
      <c r="B2262" s="11">
        <f t="shared" ref="B2262:B2267" si="209">43335+(365*4)</f>
        <v>44795</v>
      </c>
      <c r="C2262" s="19">
        <f>MONTH(Tabela6[[#This Row],[Data]])</f>
        <v>8</v>
      </c>
      <c r="D2262" s="19">
        <f>YEAR(Tabela6[[#This Row],[Data]])</f>
        <v>2022</v>
      </c>
      <c r="E2262" s="12" t="s">
        <v>78</v>
      </c>
      <c r="F2262" t="s">
        <v>147</v>
      </c>
      <c r="G2262" s="26">
        <v>2</v>
      </c>
      <c r="I2262" t="str">
        <f>IFERROR(VLOOKUP(Tabela6[[#This Row],[Descrição]],Materiais!B:C,2,0),"")</f>
        <v/>
      </c>
    </row>
    <row r="2263" spans="2:9">
      <c r="B2263" s="11">
        <f t="shared" si="209"/>
        <v>44795</v>
      </c>
      <c r="C2263" s="19">
        <f>MONTH(Tabela6[[#This Row],[Data]])</f>
        <v>8</v>
      </c>
      <c r="D2263" s="19">
        <f>YEAR(Tabela6[[#This Row],[Data]])</f>
        <v>2022</v>
      </c>
      <c r="E2263" s="12" t="s">
        <v>78</v>
      </c>
      <c r="F2263" t="s">
        <v>56</v>
      </c>
      <c r="G2263" s="26">
        <v>2</v>
      </c>
      <c r="I2263" t="str">
        <f>IFERROR(VLOOKUP(Tabela6[[#This Row],[Descrição]],Materiais!B:C,2,0),"")</f>
        <v/>
      </c>
    </row>
    <row r="2264" spans="2:9">
      <c r="B2264" s="11">
        <f t="shared" si="209"/>
        <v>44795</v>
      </c>
      <c r="C2264" s="19">
        <f>MONTH(Tabela6[[#This Row],[Data]])</f>
        <v>8</v>
      </c>
      <c r="D2264" s="19">
        <f>YEAR(Tabela6[[#This Row],[Data]])</f>
        <v>2022</v>
      </c>
      <c r="E2264" s="12" t="s">
        <v>78</v>
      </c>
      <c r="F2264" t="s">
        <v>63</v>
      </c>
      <c r="G2264" s="26">
        <v>6</v>
      </c>
      <c r="I2264" t="str">
        <f>IFERROR(VLOOKUP(Tabela6[[#This Row],[Descrição]],Materiais!B:C,2,0),"")</f>
        <v/>
      </c>
    </row>
    <row r="2265" spans="2:9">
      <c r="B2265" s="11">
        <f t="shared" si="209"/>
        <v>44795</v>
      </c>
      <c r="C2265" s="19">
        <f>MONTH(Tabela6[[#This Row],[Data]])</f>
        <v>8</v>
      </c>
      <c r="D2265" s="19">
        <f>YEAR(Tabela6[[#This Row],[Data]])</f>
        <v>2022</v>
      </c>
      <c r="E2265" s="12" t="s">
        <v>78</v>
      </c>
      <c r="F2265" t="s">
        <v>95</v>
      </c>
      <c r="G2265" s="26">
        <v>2</v>
      </c>
      <c r="I2265" t="str">
        <f>IFERROR(VLOOKUP(Tabela6[[#This Row],[Descrição]],Materiais!B:C,2,0),"")</f>
        <v/>
      </c>
    </row>
    <row r="2266" spans="2:9">
      <c r="B2266" s="11">
        <f t="shared" si="209"/>
        <v>44795</v>
      </c>
      <c r="C2266" s="19">
        <f>MONTH(Tabela6[[#This Row],[Data]])</f>
        <v>8</v>
      </c>
      <c r="D2266" s="19">
        <f>YEAR(Tabela6[[#This Row],[Data]])</f>
        <v>2022</v>
      </c>
      <c r="E2266" s="12" t="s">
        <v>78</v>
      </c>
      <c r="F2266" t="s">
        <v>152</v>
      </c>
      <c r="G2266" s="26">
        <v>2</v>
      </c>
      <c r="I2266" t="str">
        <f>IFERROR(VLOOKUP(Tabela6[[#This Row],[Descrição]],Materiais!B:C,2,0),"")</f>
        <v/>
      </c>
    </row>
    <row r="2267" spans="2:9">
      <c r="B2267" s="11">
        <f t="shared" si="209"/>
        <v>44795</v>
      </c>
      <c r="C2267" s="19">
        <f>MONTH(Tabela6[[#This Row],[Data]])</f>
        <v>8</v>
      </c>
      <c r="D2267" s="19">
        <f>YEAR(Tabela6[[#This Row],[Data]])</f>
        <v>2022</v>
      </c>
      <c r="E2267" s="12" t="s">
        <v>78</v>
      </c>
      <c r="F2267" t="s">
        <v>133</v>
      </c>
      <c r="G2267" s="26">
        <v>2</v>
      </c>
      <c r="I2267" t="str">
        <f>IFERROR(VLOOKUP(Tabela6[[#This Row],[Descrição]],Materiais!B:C,2,0),"")</f>
        <v/>
      </c>
    </row>
    <row r="2268" spans="2:9">
      <c r="B2268" s="11">
        <f>43336+(365*4)</f>
        <v>44796</v>
      </c>
      <c r="C2268" s="19">
        <f>MONTH(Tabela6[[#This Row],[Data]])</f>
        <v>8</v>
      </c>
      <c r="D2268" s="19">
        <f>YEAR(Tabela6[[#This Row],[Data]])</f>
        <v>2022</v>
      </c>
      <c r="E2268" s="12" t="s">
        <v>78</v>
      </c>
      <c r="F2268" t="s">
        <v>147</v>
      </c>
      <c r="G2268" s="26">
        <v>4</v>
      </c>
      <c r="I2268" t="str">
        <f>IFERROR(VLOOKUP(Tabela6[[#This Row],[Descrição]],Materiais!B:C,2,0),"")</f>
        <v/>
      </c>
    </row>
    <row r="2269" spans="2:9">
      <c r="B2269" s="11">
        <f>43336+(365*4)</f>
        <v>44796</v>
      </c>
      <c r="C2269" s="19">
        <f>MONTH(Tabela6[[#This Row],[Data]])</f>
        <v>8</v>
      </c>
      <c r="D2269" s="19">
        <f>YEAR(Tabela6[[#This Row],[Data]])</f>
        <v>2022</v>
      </c>
      <c r="E2269" s="12" t="s">
        <v>78</v>
      </c>
      <c r="F2269" t="s">
        <v>56</v>
      </c>
      <c r="G2269" s="26">
        <v>12</v>
      </c>
      <c r="I2269" t="str">
        <f>IFERROR(VLOOKUP(Tabela6[[#This Row],[Descrição]],Materiais!B:C,2,0),"")</f>
        <v/>
      </c>
    </row>
    <row r="2270" spans="2:9">
      <c r="B2270" s="11">
        <f>43336+(365*4)</f>
        <v>44796</v>
      </c>
      <c r="C2270" s="19">
        <f>MONTH(Tabela6[[#This Row],[Data]])</f>
        <v>8</v>
      </c>
      <c r="D2270" s="19">
        <f>YEAR(Tabela6[[#This Row],[Data]])</f>
        <v>2022</v>
      </c>
      <c r="E2270" s="12" t="s">
        <v>78</v>
      </c>
      <c r="F2270" t="s">
        <v>63</v>
      </c>
      <c r="G2270" s="26">
        <v>2</v>
      </c>
      <c r="I2270" t="str">
        <f>IFERROR(VLOOKUP(Tabela6[[#This Row],[Descrição]],Materiais!B:C,2,0),"")</f>
        <v/>
      </c>
    </row>
    <row r="2271" spans="2:9">
      <c r="B2271" s="11">
        <f>43336+(365*4)</f>
        <v>44796</v>
      </c>
      <c r="C2271" s="19">
        <f>MONTH(Tabela6[[#This Row],[Data]])</f>
        <v>8</v>
      </c>
      <c r="D2271" s="19">
        <f>YEAR(Tabela6[[#This Row],[Data]])</f>
        <v>2022</v>
      </c>
      <c r="E2271" s="12" t="s">
        <v>78</v>
      </c>
      <c r="F2271" t="s">
        <v>152</v>
      </c>
      <c r="G2271" s="26">
        <v>4</v>
      </c>
      <c r="I2271" t="str">
        <f>IFERROR(VLOOKUP(Tabela6[[#This Row],[Descrição]],Materiais!B:C,2,0),"")</f>
        <v/>
      </c>
    </row>
    <row r="2272" spans="2:9">
      <c r="B2272" s="11">
        <f t="shared" ref="B2272:B2279" si="210">43339+(365*4)</f>
        <v>44799</v>
      </c>
      <c r="C2272" s="19">
        <f>MONTH(Tabela6[[#This Row],[Data]])</f>
        <v>8</v>
      </c>
      <c r="D2272" s="19">
        <f>YEAR(Tabela6[[#This Row],[Data]])</f>
        <v>2022</v>
      </c>
      <c r="E2272" s="12" t="s">
        <v>78</v>
      </c>
      <c r="F2272" t="s">
        <v>56</v>
      </c>
      <c r="G2272" s="26">
        <v>12</v>
      </c>
      <c r="I2272" t="str">
        <f>IFERROR(VLOOKUP(Tabela6[[#This Row],[Descrição]],Materiais!B:C,2,0),"")</f>
        <v/>
      </c>
    </row>
    <row r="2273" spans="2:9">
      <c r="B2273" s="11">
        <f t="shared" si="210"/>
        <v>44799</v>
      </c>
      <c r="C2273" s="19">
        <f>MONTH(Tabela6[[#This Row],[Data]])</f>
        <v>8</v>
      </c>
      <c r="D2273" s="19">
        <f>YEAR(Tabela6[[#This Row],[Data]])</f>
        <v>2022</v>
      </c>
      <c r="E2273" s="12" t="s">
        <v>78</v>
      </c>
      <c r="F2273" t="s">
        <v>152</v>
      </c>
      <c r="G2273" s="26">
        <v>8</v>
      </c>
      <c r="I2273" t="str">
        <f>IFERROR(VLOOKUP(Tabela6[[#This Row],[Descrição]],Materiais!B:C,2,0),"")</f>
        <v/>
      </c>
    </row>
    <row r="2274" spans="2:9">
      <c r="B2274" s="11">
        <f t="shared" si="210"/>
        <v>44799</v>
      </c>
      <c r="C2274" s="19">
        <f>MONTH(Tabela6[[#This Row],[Data]])</f>
        <v>8</v>
      </c>
      <c r="D2274" s="19">
        <f>YEAR(Tabela6[[#This Row],[Data]])</f>
        <v>2022</v>
      </c>
      <c r="E2274" s="12" t="s">
        <v>78</v>
      </c>
      <c r="F2274" t="s">
        <v>58</v>
      </c>
      <c r="G2274" s="26">
        <v>6</v>
      </c>
      <c r="I2274" t="str">
        <f>IFERROR(VLOOKUP(Tabela6[[#This Row],[Descrição]],Materiais!B:C,2,0),"")</f>
        <v/>
      </c>
    </row>
    <row r="2275" spans="2:9">
      <c r="B2275" s="11">
        <f t="shared" si="210"/>
        <v>44799</v>
      </c>
      <c r="C2275" s="19">
        <f>MONTH(Tabela6[[#This Row],[Data]])</f>
        <v>8</v>
      </c>
      <c r="D2275" s="19">
        <f>YEAR(Tabela6[[#This Row],[Data]])</f>
        <v>2022</v>
      </c>
      <c r="E2275" s="12" t="s">
        <v>78</v>
      </c>
      <c r="F2275" t="s">
        <v>163</v>
      </c>
      <c r="G2275" s="26">
        <v>6</v>
      </c>
      <c r="I2275" t="str">
        <f>IFERROR(VLOOKUP(Tabela6[[#This Row],[Descrição]],Materiais!B:C,2,0),"")</f>
        <v/>
      </c>
    </row>
    <row r="2276" spans="2:9">
      <c r="B2276" s="11">
        <f t="shared" si="210"/>
        <v>44799</v>
      </c>
      <c r="C2276" s="19">
        <f>MONTH(Tabela6[[#This Row],[Data]])</f>
        <v>8</v>
      </c>
      <c r="D2276" s="19">
        <f>YEAR(Tabela6[[#This Row],[Data]])</f>
        <v>2022</v>
      </c>
      <c r="E2276" s="12" t="s">
        <v>78</v>
      </c>
      <c r="F2276" t="s">
        <v>147</v>
      </c>
      <c r="G2276" s="26">
        <v>8</v>
      </c>
      <c r="I2276" t="str">
        <f>IFERROR(VLOOKUP(Tabela6[[#This Row],[Descrição]],Materiais!B:C,2,0),"")</f>
        <v/>
      </c>
    </row>
    <row r="2277" spans="2:9">
      <c r="B2277" s="11">
        <f t="shared" si="210"/>
        <v>44799</v>
      </c>
      <c r="C2277" s="19">
        <f>MONTH(Tabela6[[#This Row],[Data]])</f>
        <v>8</v>
      </c>
      <c r="D2277" s="19">
        <f>YEAR(Tabela6[[#This Row],[Data]])</f>
        <v>2022</v>
      </c>
      <c r="E2277" s="12" t="s">
        <v>78</v>
      </c>
      <c r="F2277" t="s">
        <v>61</v>
      </c>
      <c r="G2277" s="26">
        <v>12</v>
      </c>
      <c r="I2277" t="str">
        <f>IFERROR(VLOOKUP(Tabela6[[#This Row],[Descrição]],Materiais!B:C,2,0),"")</f>
        <v/>
      </c>
    </row>
    <row r="2278" spans="2:9">
      <c r="B2278" s="11">
        <f t="shared" si="210"/>
        <v>44799</v>
      </c>
      <c r="C2278" s="19">
        <f>MONTH(Tabela6[[#This Row],[Data]])</f>
        <v>8</v>
      </c>
      <c r="D2278" s="19">
        <f>YEAR(Tabela6[[#This Row],[Data]])</f>
        <v>2022</v>
      </c>
      <c r="E2278" s="12" t="s">
        <v>78</v>
      </c>
      <c r="F2278" t="s">
        <v>63</v>
      </c>
      <c r="G2278" s="26">
        <v>8</v>
      </c>
      <c r="I2278" t="str">
        <f>IFERROR(VLOOKUP(Tabela6[[#This Row],[Descrição]],Materiais!B:C,2,0),"")</f>
        <v/>
      </c>
    </row>
    <row r="2279" spans="2:9">
      <c r="B2279" s="11">
        <f t="shared" si="210"/>
        <v>44799</v>
      </c>
      <c r="C2279" s="19">
        <f>MONTH(Tabela6[[#This Row],[Data]])</f>
        <v>8</v>
      </c>
      <c r="D2279" s="19">
        <f>YEAR(Tabela6[[#This Row],[Data]])</f>
        <v>2022</v>
      </c>
      <c r="E2279" s="12" t="s">
        <v>78</v>
      </c>
      <c r="F2279" t="s">
        <v>148</v>
      </c>
      <c r="G2279" s="26">
        <v>6</v>
      </c>
      <c r="I2279" t="str">
        <f>IFERROR(VLOOKUP(Tabela6[[#This Row],[Descrição]],Materiais!B:C,2,0),"")</f>
        <v/>
      </c>
    </row>
    <row r="2280" spans="2:9">
      <c r="B2280" s="11">
        <f t="shared" ref="B2280:B2287" si="211">43340+(365*4)</f>
        <v>44800</v>
      </c>
      <c r="C2280" s="19">
        <f>MONTH(Tabela6[[#This Row],[Data]])</f>
        <v>8</v>
      </c>
      <c r="D2280" s="19">
        <f>YEAR(Tabela6[[#This Row],[Data]])</f>
        <v>2022</v>
      </c>
      <c r="E2280" s="12" t="s">
        <v>78</v>
      </c>
      <c r="F2280" t="s">
        <v>56</v>
      </c>
      <c r="G2280" s="26">
        <v>8</v>
      </c>
      <c r="I2280" t="str">
        <f>IFERROR(VLOOKUP(Tabela6[[#This Row],[Descrição]],Materiais!B:C,2,0),"")</f>
        <v/>
      </c>
    </row>
    <row r="2281" spans="2:9">
      <c r="B2281" s="11">
        <f t="shared" si="211"/>
        <v>44800</v>
      </c>
      <c r="C2281" s="19">
        <f>MONTH(Tabela6[[#This Row],[Data]])</f>
        <v>8</v>
      </c>
      <c r="D2281" s="19">
        <f>YEAR(Tabela6[[#This Row],[Data]])</f>
        <v>2022</v>
      </c>
      <c r="E2281" s="12" t="s">
        <v>78</v>
      </c>
      <c r="F2281" t="s">
        <v>152</v>
      </c>
      <c r="G2281" s="26">
        <v>4</v>
      </c>
      <c r="I2281" t="str">
        <f>IFERROR(VLOOKUP(Tabela6[[#This Row],[Descrição]],Materiais!B:C,2,0),"")</f>
        <v/>
      </c>
    </row>
    <row r="2282" spans="2:9">
      <c r="B2282" s="11">
        <f t="shared" si="211"/>
        <v>44800</v>
      </c>
      <c r="C2282" s="19">
        <f>MONTH(Tabela6[[#This Row],[Data]])</f>
        <v>8</v>
      </c>
      <c r="D2282" s="19">
        <f>YEAR(Tabela6[[#This Row],[Data]])</f>
        <v>2022</v>
      </c>
      <c r="E2282" s="12" t="s">
        <v>78</v>
      </c>
      <c r="F2282" t="s">
        <v>58</v>
      </c>
      <c r="G2282" s="26">
        <v>4</v>
      </c>
      <c r="I2282" t="str">
        <f>IFERROR(VLOOKUP(Tabela6[[#This Row],[Descrição]],Materiais!B:C,2,0),"")</f>
        <v/>
      </c>
    </row>
    <row r="2283" spans="2:9">
      <c r="B2283" s="11">
        <f t="shared" si="211"/>
        <v>44800</v>
      </c>
      <c r="C2283" s="19">
        <f>MONTH(Tabela6[[#This Row],[Data]])</f>
        <v>8</v>
      </c>
      <c r="D2283" s="19">
        <f>YEAR(Tabela6[[#This Row],[Data]])</f>
        <v>2022</v>
      </c>
      <c r="E2283" s="12" t="s">
        <v>78</v>
      </c>
      <c r="F2283" t="s">
        <v>163</v>
      </c>
      <c r="G2283" s="26">
        <v>5</v>
      </c>
      <c r="I2283" t="str">
        <f>IFERROR(VLOOKUP(Tabela6[[#This Row],[Descrição]],Materiais!B:C,2,0),"")</f>
        <v/>
      </c>
    </row>
    <row r="2284" spans="2:9">
      <c r="B2284" s="11">
        <f t="shared" si="211"/>
        <v>44800</v>
      </c>
      <c r="C2284" s="19">
        <f>MONTH(Tabela6[[#This Row],[Data]])</f>
        <v>8</v>
      </c>
      <c r="D2284" s="19">
        <f>YEAR(Tabela6[[#This Row],[Data]])</f>
        <v>2022</v>
      </c>
      <c r="E2284" s="12" t="s">
        <v>78</v>
      </c>
      <c r="F2284" t="s">
        <v>147</v>
      </c>
      <c r="G2284" s="26">
        <v>4</v>
      </c>
      <c r="I2284" t="str">
        <f>IFERROR(VLOOKUP(Tabela6[[#This Row],[Descrição]],Materiais!B:C,2,0),"")</f>
        <v/>
      </c>
    </row>
    <row r="2285" spans="2:9">
      <c r="B2285" s="11">
        <f t="shared" si="211"/>
        <v>44800</v>
      </c>
      <c r="C2285" s="19">
        <f>MONTH(Tabela6[[#This Row],[Data]])</f>
        <v>8</v>
      </c>
      <c r="D2285" s="19">
        <f>YEAR(Tabela6[[#This Row],[Data]])</f>
        <v>2022</v>
      </c>
      <c r="E2285" s="12" t="s">
        <v>78</v>
      </c>
      <c r="F2285" t="s">
        <v>61</v>
      </c>
      <c r="G2285" s="26">
        <v>8</v>
      </c>
      <c r="I2285" t="str">
        <f>IFERROR(VLOOKUP(Tabela6[[#This Row],[Descrição]],Materiais!B:C,2,0),"")</f>
        <v/>
      </c>
    </row>
    <row r="2286" spans="2:9">
      <c r="B2286" s="11">
        <f t="shared" si="211"/>
        <v>44800</v>
      </c>
      <c r="C2286" s="19">
        <f>MONTH(Tabela6[[#This Row],[Data]])</f>
        <v>8</v>
      </c>
      <c r="D2286" s="19">
        <f>YEAR(Tabela6[[#This Row],[Data]])</f>
        <v>2022</v>
      </c>
      <c r="E2286" s="12" t="s">
        <v>78</v>
      </c>
      <c r="F2286" t="s">
        <v>133</v>
      </c>
      <c r="G2286" s="26">
        <v>2</v>
      </c>
      <c r="I2286" t="str">
        <f>IFERROR(VLOOKUP(Tabela6[[#This Row],[Descrição]],Materiais!B:C,2,0),"")</f>
        <v/>
      </c>
    </row>
    <row r="2287" spans="2:9">
      <c r="B2287" s="11">
        <f t="shared" si="211"/>
        <v>44800</v>
      </c>
      <c r="C2287" s="19">
        <f>MONTH(Tabela6[[#This Row],[Data]])</f>
        <v>8</v>
      </c>
      <c r="D2287" s="19">
        <f>YEAR(Tabela6[[#This Row],[Data]])</f>
        <v>2022</v>
      </c>
      <c r="E2287" s="12" t="s">
        <v>78</v>
      </c>
      <c r="F2287" t="s">
        <v>148</v>
      </c>
      <c r="G2287" s="26">
        <v>2</v>
      </c>
      <c r="I2287" t="str">
        <f>IFERROR(VLOOKUP(Tabela6[[#This Row],[Descrição]],Materiais!B:C,2,0),"")</f>
        <v/>
      </c>
    </row>
    <row r="2288" spans="2:9">
      <c r="B2288" s="11">
        <f t="shared" ref="B2288:B2296" si="212">43341+(365*4)</f>
        <v>44801</v>
      </c>
      <c r="C2288" s="19">
        <f>MONTH(Tabela6[[#This Row],[Data]])</f>
        <v>8</v>
      </c>
      <c r="D2288" s="19">
        <f>YEAR(Tabela6[[#This Row],[Data]])</f>
        <v>2022</v>
      </c>
      <c r="E2288" s="12" t="s">
        <v>78</v>
      </c>
      <c r="F2288" t="s">
        <v>56</v>
      </c>
      <c r="G2288" s="26">
        <v>4</v>
      </c>
      <c r="I2288" t="str">
        <f>IFERROR(VLOOKUP(Tabela6[[#This Row],[Descrição]],Materiais!B:C,2,0),"")</f>
        <v/>
      </c>
    </row>
    <row r="2289" spans="2:9">
      <c r="B2289" s="11">
        <f t="shared" si="212"/>
        <v>44801</v>
      </c>
      <c r="C2289" s="19">
        <f>MONTH(Tabela6[[#This Row],[Data]])</f>
        <v>8</v>
      </c>
      <c r="D2289" s="19">
        <f>YEAR(Tabela6[[#This Row],[Data]])</f>
        <v>2022</v>
      </c>
      <c r="E2289" s="12" t="s">
        <v>78</v>
      </c>
      <c r="F2289" t="s">
        <v>152</v>
      </c>
      <c r="G2289" s="26">
        <v>4</v>
      </c>
      <c r="I2289" t="str">
        <f>IFERROR(VLOOKUP(Tabela6[[#This Row],[Descrição]],Materiais!B:C,2,0),"")</f>
        <v/>
      </c>
    </row>
    <row r="2290" spans="2:9">
      <c r="B2290" s="11">
        <f t="shared" si="212"/>
        <v>44801</v>
      </c>
      <c r="C2290" s="19">
        <f>MONTH(Tabela6[[#This Row],[Data]])</f>
        <v>8</v>
      </c>
      <c r="D2290" s="19">
        <f>YEAR(Tabela6[[#This Row],[Data]])</f>
        <v>2022</v>
      </c>
      <c r="E2290" s="12" t="s">
        <v>78</v>
      </c>
      <c r="F2290" t="s">
        <v>58</v>
      </c>
      <c r="G2290" s="26">
        <v>2</v>
      </c>
      <c r="I2290" t="str">
        <f>IFERROR(VLOOKUP(Tabela6[[#This Row],[Descrição]],Materiais!B:C,2,0),"")</f>
        <v/>
      </c>
    </row>
    <row r="2291" spans="2:9">
      <c r="B2291" s="11">
        <f t="shared" si="212"/>
        <v>44801</v>
      </c>
      <c r="C2291" s="19">
        <f>MONTH(Tabela6[[#This Row],[Data]])</f>
        <v>8</v>
      </c>
      <c r="D2291" s="19">
        <f>YEAR(Tabela6[[#This Row],[Data]])</f>
        <v>2022</v>
      </c>
      <c r="E2291" s="12" t="s">
        <v>78</v>
      </c>
      <c r="F2291" t="s">
        <v>63</v>
      </c>
      <c r="G2291" s="26">
        <v>2</v>
      </c>
      <c r="I2291" t="str">
        <f>IFERROR(VLOOKUP(Tabela6[[#This Row],[Descrição]],Materiais!B:C,2,0),"")</f>
        <v/>
      </c>
    </row>
    <row r="2292" spans="2:9">
      <c r="B2292" s="11">
        <f t="shared" si="212"/>
        <v>44801</v>
      </c>
      <c r="C2292" s="19">
        <f>MONTH(Tabela6[[#This Row],[Data]])</f>
        <v>8</v>
      </c>
      <c r="D2292" s="19">
        <f>YEAR(Tabela6[[#This Row],[Data]])</f>
        <v>2022</v>
      </c>
      <c r="E2292" s="12" t="s">
        <v>78</v>
      </c>
      <c r="F2292" t="s">
        <v>147</v>
      </c>
      <c r="G2292" s="26">
        <v>4</v>
      </c>
      <c r="I2292" t="str">
        <f>IFERROR(VLOOKUP(Tabela6[[#This Row],[Descrição]],Materiais!B:C,2,0),"")</f>
        <v/>
      </c>
    </row>
    <row r="2293" spans="2:9">
      <c r="B2293" s="11">
        <f t="shared" si="212"/>
        <v>44801</v>
      </c>
      <c r="C2293" s="19">
        <f>MONTH(Tabela6[[#This Row],[Data]])</f>
        <v>8</v>
      </c>
      <c r="D2293" s="19">
        <f>YEAR(Tabela6[[#This Row],[Data]])</f>
        <v>2022</v>
      </c>
      <c r="E2293" s="12" t="s">
        <v>78</v>
      </c>
      <c r="F2293" t="s">
        <v>61</v>
      </c>
      <c r="G2293" s="26">
        <v>2</v>
      </c>
      <c r="I2293" t="str">
        <f>IFERROR(VLOOKUP(Tabela6[[#This Row],[Descrição]],Materiais!B:C,2,0),"")</f>
        <v/>
      </c>
    </row>
    <row r="2294" spans="2:9">
      <c r="B2294" s="11">
        <f t="shared" si="212"/>
        <v>44801</v>
      </c>
      <c r="C2294" s="19">
        <f>MONTH(Tabela6[[#This Row],[Data]])</f>
        <v>8</v>
      </c>
      <c r="D2294" s="19">
        <f>YEAR(Tabela6[[#This Row],[Data]])</f>
        <v>2022</v>
      </c>
      <c r="E2294" s="12" t="s">
        <v>78</v>
      </c>
      <c r="F2294" t="s">
        <v>148</v>
      </c>
      <c r="G2294" s="26">
        <v>4</v>
      </c>
      <c r="I2294" t="str">
        <f>IFERROR(VLOOKUP(Tabela6[[#This Row],[Descrição]],Materiais!B:C,2,0),"")</f>
        <v/>
      </c>
    </row>
    <row r="2295" spans="2:9">
      <c r="B2295" s="11">
        <f t="shared" si="212"/>
        <v>44801</v>
      </c>
      <c r="C2295" s="19">
        <f>MONTH(Tabela6[[#This Row],[Data]])</f>
        <v>8</v>
      </c>
      <c r="D2295" s="19">
        <f>YEAR(Tabela6[[#This Row],[Data]])</f>
        <v>2022</v>
      </c>
      <c r="E2295" s="12" t="s">
        <v>72</v>
      </c>
      <c r="F2295" t="s">
        <v>161</v>
      </c>
      <c r="G2295" s="26">
        <v>-7.99</v>
      </c>
      <c r="I2295" t="str">
        <f>IFERROR(VLOOKUP(Tabela6[[#This Row],[Descrição]],Materiais!B:C,2,0),"")</f>
        <v/>
      </c>
    </row>
    <row r="2296" spans="2:9">
      <c r="B2296" s="11">
        <f t="shared" si="212"/>
        <v>44801</v>
      </c>
      <c r="C2296" s="19">
        <f>MONTH(Tabela6[[#This Row],[Data]])</f>
        <v>8</v>
      </c>
      <c r="D2296" s="19">
        <f>YEAR(Tabela6[[#This Row],[Data]])</f>
        <v>2022</v>
      </c>
      <c r="E2296" s="12" t="s">
        <v>72</v>
      </c>
      <c r="F2296" t="s">
        <v>15</v>
      </c>
      <c r="G2296" s="26">
        <v>-3.85</v>
      </c>
      <c r="I2296" t="str">
        <f>IFERROR(VLOOKUP(Tabela6[[#This Row],[Descrição]],Materiais!B:C,2,0),"")</f>
        <v>g</v>
      </c>
    </row>
    <row r="2297" spans="2:9">
      <c r="B2297" s="11">
        <f t="shared" ref="B2297:B2303" si="213">43342+(365*4)</f>
        <v>44802</v>
      </c>
      <c r="C2297" s="19">
        <f>MONTH(Tabela6[[#This Row],[Data]])</f>
        <v>8</v>
      </c>
      <c r="D2297" s="19">
        <f>YEAR(Tabela6[[#This Row],[Data]])</f>
        <v>2022</v>
      </c>
      <c r="E2297" s="12" t="s">
        <v>78</v>
      </c>
      <c r="F2297" t="s">
        <v>56</v>
      </c>
      <c r="G2297" s="26">
        <v>4</v>
      </c>
      <c r="I2297" t="str">
        <f>IFERROR(VLOOKUP(Tabela6[[#This Row],[Descrição]],Materiais!B:C,2,0),"")</f>
        <v/>
      </c>
    </row>
    <row r="2298" spans="2:9">
      <c r="B2298" s="11">
        <f t="shared" si="213"/>
        <v>44802</v>
      </c>
      <c r="C2298" s="19">
        <f>MONTH(Tabela6[[#This Row],[Data]])</f>
        <v>8</v>
      </c>
      <c r="D2298" s="19">
        <f>YEAR(Tabela6[[#This Row],[Data]])</f>
        <v>2022</v>
      </c>
      <c r="E2298" s="12" t="s">
        <v>78</v>
      </c>
      <c r="F2298" t="s">
        <v>133</v>
      </c>
      <c r="G2298" s="26">
        <v>4</v>
      </c>
      <c r="I2298" t="str">
        <f>IFERROR(VLOOKUP(Tabela6[[#This Row],[Descrição]],Materiais!B:C,2,0),"")</f>
        <v/>
      </c>
    </row>
    <row r="2299" spans="2:9">
      <c r="B2299" s="11">
        <f t="shared" si="213"/>
        <v>44802</v>
      </c>
      <c r="C2299" s="19">
        <f>MONTH(Tabela6[[#This Row],[Data]])</f>
        <v>8</v>
      </c>
      <c r="D2299" s="19">
        <f>YEAR(Tabela6[[#This Row],[Data]])</f>
        <v>2022</v>
      </c>
      <c r="E2299" s="12" t="s">
        <v>78</v>
      </c>
      <c r="F2299" t="s">
        <v>58</v>
      </c>
      <c r="G2299" s="26">
        <v>2</v>
      </c>
      <c r="I2299" t="str">
        <f>IFERROR(VLOOKUP(Tabela6[[#This Row],[Descrição]],Materiais!B:C,2,0),"")</f>
        <v/>
      </c>
    </row>
    <row r="2300" spans="2:9">
      <c r="B2300" s="11">
        <f t="shared" si="213"/>
        <v>44802</v>
      </c>
      <c r="C2300" s="19">
        <f>MONTH(Tabela6[[#This Row],[Data]])</f>
        <v>8</v>
      </c>
      <c r="D2300" s="19">
        <f>YEAR(Tabela6[[#This Row],[Data]])</f>
        <v>2022</v>
      </c>
      <c r="E2300" s="12" t="s">
        <v>78</v>
      </c>
      <c r="F2300" t="s">
        <v>63</v>
      </c>
      <c r="G2300" s="26">
        <v>8</v>
      </c>
      <c r="I2300" t="str">
        <f>IFERROR(VLOOKUP(Tabela6[[#This Row],[Descrição]],Materiais!B:C,2,0),"")</f>
        <v/>
      </c>
    </row>
    <row r="2301" spans="2:9">
      <c r="B2301" s="11">
        <f t="shared" si="213"/>
        <v>44802</v>
      </c>
      <c r="C2301" s="19">
        <f>MONTH(Tabela6[[#This Row],[Data]])</f>
        <v>8</v>
      </c>
      <c r="D2301" s="19">
        <f>YEAR(Tabela6[[#This Row],[Data]])</f>
        <v>2022</v>
      </c>
      <c r="E2301" s="12" t="s">
        <v>78</v>
      </c>
      <c r="F2301" t="s">
        <v>147</v>
      </c>
      <c r="G2301" s="26">
        <v>16</v>
      </c>
      <c r="I2301" t="str">
        <f>IFERROR(VLOOKUP(Tabela6[[#This Row],[Descrição]],Materiais!B:C,2,0),"")</f>
        <v/>
      </c>
    </row>
    <row r="2302" spans="2:9">
      <c r="B2302" s="11">
        <f t="shared" si="213"/>
        <v>44802</v>
      </c>
      <c r="C2302" s="19">
        <f>MONTH(Tabela6[[#This Row],[Data]])</f>
        <v>8</v>
      </c>
      <c r="D2302" s="19">
        <f>YEAR(Tabela6[[#This Row],[Data]])</f>
        <v>2022</v>
      </c>
      <c r="E2302" s="12" t="s">
        <v>78</v>
      </c>
      <c r="F2302" t="s">
        <v>61</v>
      </c>
      <c r="G2302" s="26">
        <v>6</v>
      </c>
      <c r="I2302" t="str">
        <f>IFERROR(VLOOKUP(Tabela6[[#This Row],[Descrição]],Materiais!B:C,2,0),"")</f>
        <v/>
      </c>
    </row>
    <row r="2303" spans="2:9">
      <c r="B2303" s="11">
        <f t="shared" si="213"/>
        <v>44802</v>
      </c>
      <c r="C2303" s="19">
        <f>MONTH(Tabela6[[#This Row],[Data]])</f>
        <v>8</v>
      </c>
      <c r="D2303" s="19">
        <f>YEAR(Tabela6[[#This Row],[Data]])</f>
        <v>2022</v>
      </c>
      <c r="E2303" s="12" t="s">
        <v>78</v>
      </c>
      <c r="F2303" t="s">
        <v>148</v>
      </c>
      <c r="G2303" s="26">
        <v>2</v>
      </c>
      <c r="I2303" t="str">
        <f>IFERROR(VLOOKUP(Tabela6[[#This Row],[Descrição]],Materiais!B:C,2,0),"")</f>
        <v/>
      </c>
    </row>
    <row r="2304" spans="2:9">
      <c r="B2304" s="11">
        <f>43345+(365*4)</f>
        <v>44805</v>
      </c>
      <c r="C2304" s="19">
        <f>MONTH(Tabela6[[#This Row],[Data]])</f>
        <v>9</v>
      </c>
      <c r="D2304" s="19">
        <f>YEAR(Tabela6[[#This Row],[Data]])</f>
        <v>2022</v>
      </c>
      <c r="E2304" s="12" t="s">
        <v>72</v>
      </c>
      <c r="F2304" t="s">
        <v>20</v>
      </c>
      <c r="G2304" s="26">
        <v>-59.85</v>
      </c>
      <c r="I2304" t="str">
        <f>IFERROR(VLOOKUP(Tabela6[[#This Row],[Descrição]],Materiais!B:C,2,0),"")</f>
        <v>g</v>
      </c>
    </row>
    <row r="2305" spans="2:9">
      <c r="B2305" s="11">
        <f t="shared" ref="B2305:B2311" si="214">43346+(365*4)</f>
        <v>44806</v>
      </c>
      <c r="C2305" s="19">
        <f>MONTH(Tabela6[[#This Row],[Data]])</f>
        <v>9</v>
      </c>
      <c r="D2305" s="19">
        <f>YEAR(Tabela6[[#This Row],[Data]])</f>
        <v>2022</v>
      </c>
      <c r="E2305" s="12" t="s">
        <v>78</v>
      </c>
      <c r="F2305" t="s">
        <v>56</v>
      </c>
      <c r="G2305" s="26">
        <v>2</v>
      </c>
      <c r="I2305" t="str">
        <f>IFERROR(VLOOKUP(Tabela6[[#This Row],[Descrição]],Materiais!B:C,2,0),"")</f>
        <v/>
      </c>
    </row>
    <row r="2306" spans="2:9">
      <c r="B2306" s="11">
        <f t="shared" si="214"/>
        <v>44806</v>
      </c>
      <c r="C2306" s="19">
        <f>MONTH(Tabela6[[#This Row],[Data]])</f>
        <v>9</v>
      </c>
      <c r="D2306" s="19">
        <f>YEAR(Tabela6[[#This Row],[Data]])</f>
        <v>2022</v>
      </c>
      <c r="E2306" s="12" t="s">
        <v>78</v>
      </c>
      <c r="F2306" t="s">
        <v>152</v>
      </c>
      <c r="G2306" s="26">
        <v>4</v>
      </c>
      <c r="I2306" t="str">
        <f>IFERROR(VLOOKUP(Tabela6[[#This Row],[Descrição]],Materiais!B:C,2,0),"")</f>
        <v/>
      </c>
    </row>
    <row r="2307" spans="2:9">
      <c r="B2307" s="11">
        <f t="shared" si="214"/>
        <v>44806</v>
      </c>
      <c r="C2307" s="19">
        <f>MONTH(Tabela6[[#This Row],[Data]])</f>
        <v>9</v>
      </c>
      <c r="D2307" s="19">
        <f>YEAR(Tabela6[[#This Row],[Data]])</f>
        <v>2022</v>
      </c>
      <c r="E2307" s="12" t="s">
        <v>78</v>
      </c>
      <c r="F2307" t="s">
        <v>58</v>
      </c>
      <c r="G2307" s="26">
        <v>4</v>
      </c>
      <c r="I2307" t="str">
        <f>IFERROR(VLOOKUP(Tabela6[[#This Row],[Descrição]],Materiais!B:C,2,0),"")</f>
        <v/>
      </c>
    </row>
    <row r="2308" spans="2:9">
      <c r="B2308" s="11">
        <f t="shared" si="214"/>
        <v>44806</v>
      </c>
      <c r="C2308" s="19">
        <f>MONTH(Tabela6[[#This Row],[Data]])</f>
        <v>9</v>
      </c>
      <c r="D2308" s="19">
        <f>YEAR(Tabela6[[#This Row],[Data]])</f>
        <v>2022</v>
      </c>
      <c r="E2308" s="12" t="s">
        <v>78</v>
      </c>
      <c r="F2308" t="s">
        <v>163</v>
      </c>
      <c r="G2308" s="26">
        <v>10</v>
      </c>
      <c r="I2308" t="str">
        <f>IFERROR(VLOOKUP(Tabela6[[#This Row],[Descrição]],Materiais!B:C,2,0),"")</f>
        <v/>
      </c>
    </row>
    <row r="2309" spans="2:9">
      <c r="B2309" s="11">
        <f t="shared" si="214"/>
        <v>44806</v>
      </c>
      <c r="C2309" s="19">
        <f>MONTH(Tabela6[[#This Row],[Data]])</f>
        <v>9</v>
      </c>
      <c r="D2309" s="19">
        <f>YEAR(Tabela6[[#This Row],[Data]])</f>
        <v>2022</v>
      </c>
      <c r="E2309" s="12" t="s">
        <v>78</v>
      </c>
      <c r="F2309" t="s">
        <v>63</v>
      </c>
      <c r="G2309" s="26">
        <v>2</v>
      </c>
      <c r="I2309" t="str">
        <f>IFERROR(VLOOKUP(Tabela6[[#This Row],[Descrição]],Materiais!B:C,2,0),"")</f>
        <v/>
      </c>
    </row>
    <row r="2310" spans="2:9">
      <c r="B2310" s="11">
        <f t="shared" si="214"/>
        <v>44806</v>
      </c>
      <c r="C2310" s="19">
        <f>MONTH(Tabela6[[#This Row],[Data]])</f>
        <v>9</v>
      </c>
      <c r="D2310" s="19">
        <f>YEAR(Tabela6[[#This Row],[Data]])</f>
        <v>2022</v>
      </c>
      <c r="E2310" s="12" t="s">
        <v>78</v>
      </c>
      <c r="F2310" t="s">
        <v>61</v>
      </c>
      <c r="G2310" s="26">
        <v>8</v>
      </c>
      <c r="I2310" t="str">
        <f>IFERROR(VLOOKUP(Tabela6[[#This Row],[Descrição]],Materiais!B:C,2,0),"")</f>
        <v/>
      </c>
    </row>
    <row r="2311" spans="2:9">
      <c r="B2311" s="11">
        <f t="shared" si="214"/>
        <v>44806</v>
      </c>
      <c r="C2311" s="19">
        <f>MONTH(Tabela6[[#This Row],[Data]])</f>
        <v>9</v>
      </c>
      <c r="D2311" s="19">
        <f>YEAR(Tabela6[[#This Row],[Data]])</f>
        <v>2022</v>
      </c>
      <c r="E2311" s="12" t="s">
        <v>78</v>
      </c>
      <c r="F2311" t="s">
        <v>148</v>
      </c>
      <c r="G2311" s="26">
        <v>2</v>
      </c>
      <c r="I2311" t="str">
        <f>IFERROR(VLOOKUP(Tabela6[[#This Row],[Descrição]],Materiais!B:C,2,0),"")</f>
        <v/>
      </c>
    </row>
    <row r="2312" spans="2:9">
      <c r="B2312" s="11">
        <f>43347+(365*4)</f>
        <v>44807</v>
      </c>
      <c r="C2312" s="19">
        <f>MONTH(Tabela6[[#This Row],[Data]])</f>
        <v>9</v>
      </c>
      <c r="D2312" s="19">
        <f>YEAR(Tabela6[[#This Row],[Data]])</f>
        <v>2022</v>
      </c>
      <c r="E2312" s="12" t="s">
        <v>78</v>
      </c>
      <c r="F2312" t="s">
        <v>56</v>
      </c>
      <c r="G2312" s="26">
        <v>12</v>
      </c>
      <c r="I2312" t="str">
        <f>IFERROR(VLOOKUP(Tabela6[[#This Row],[Descrição]],Materiais!B:C,2,0),"")</f>
        <v/>
      </c>
    </row>
    <row r="2313" spans="2:9">
      <c r="B2313" s="11">
        <f>43347+(365*4)</f>
        <v>44807</v>
      </c>
      <c r="C2313" s="19">
        <f>MONTH(Tabela6[[#This Row],[Data]])</f>
        <v>9</v>
      </c>
      <c r="D2313" s="19">
        <f>YEAR(Tabela6[[#This Row],[Data]])</f>
        <v>2022</v>
      </c>
      <c r="E2313" s="12" t="s">
        <v>78</v>
      </c>
      <c r="F2313" t="s">
        <v>147</v>
      </c>
      <c r="G2313" s="26">
        <v>8</v>
      </c>
      <c r="I2313" t="str">
        <f>IFERROR(VLOOKUP(Tabela6[[#This Row],[Descrição]],Materiais!B:C,2,0),"")</f>
        <v/>
      </c>
    </row>
    <row r="2314" spans="2:9">
      <c r="B2314" s="11">
        <f>43347+(365*4)</f>
        <v>44807</v>
      </c>
      <c r="C2314" s="19">
        <f>MONTH(Tabela6[[#This Row],[Data]])</f>
        <v>9</v>
      </c>
      <c r="D2314" s="19">
        <f>YEAR(Tabela6[[#This Row],[Data]])</f>
        <v>2022</v>
      </c>
      <c r="E2314" s="12" t="s">
        <v>78</v>
      </c>
      <c r="F2314" t="s">
        <v>61</v>
      </c>
      <c r="G2314" s="26">
        <v>6</v>
      </c>
      <c r="I2314" t="str">
        <f>IFERROR(VLOOKUP(Tabela6[[#This Row],[Descrição]],Materiais!B:C,2,0),"")</f>
        <v/>
      </c>
    </row>
    <row r="2315" spans="2:9">
      <c r="B2315" s="11">
        <f>43347+(365*4)</f>
        <v>44807</v>
      </c>
      <c r="C2315" s="19">
        <f>MONTH(Tabela6[[#This Row],[Data]])</f>
        <v>9</v>
      </c>
      <c r="D2315" s="19">
        <f>YEAR(Tabela6[[#This Row],[Data]])</f>
        <v>2022</v>
      </c>
      <c r="E2315" s="12" t="s">
        <v>78</v>
      </c>
      <c r="F2315" t="s">
        <v>63</v>
      </c>
      <c r="G2315" s="26">
        <v>4</v>
      </c>
      <c r="I2315" t="str">
        <f>IFERROR(VLOOKUP(Tabela6[[#This Row],[Descrição]],Materiais!B:C,2,0),"")</f>
        <v/>
      </c>
    </row>
    <row r="2316" spans="2:9">
      <c r="B2316" s="11">
        <f>43348+(365*4)</f>
        <v>44808</v>
      </c>
      <c r="C2316" s="19">
        <f>MONTH(Tabela6[[#This Row],[Data]])</f>
        <v>9</v>
      </c>
      <c r="D2316" s="19">
        <f>YEAR(Tabela6[[#This Row],[Data]])</f>
        <v>2022</v>
      </c>
      <c r="E2316" s="12" t="s">
        <v>78</v>
      </c>
      <c r="F2316" t="s">
        <v>56</v>
      </c>
      <c r="G2316" s="26">
        <v>28</v>
      </c>
      <c r="I2316" t="str">
        <f>IFERROR(VLOOKUP(Tabela6[[#This Row],[Descrição]],Materiais!B:C,2,0),"")</f>
        <v/>
      </c>
    </row>
    <row r="2317" spans="2:9">
      <c r="B2317" s="11">
        <f>43348+(365*4)</f>
        <v>44808</v>
      </c>
      <c r="C2317" s="19">
        <f>MONTH(Tabela6[[#This Row],[Data]])</f>
        <v>9</v>
      </c>
      <c r="D2317" s="19">
        <f>YEAR(Tabela6[[#This Row],[Data]])</f>
        <v>2022</v>
      </c>
      <c r="E2317" s="12" t="s">
        <v>78</v>
      </c>
      <c r="F2317" t="s">
        <v>152</v>
      </c>
      <c r="G2317" s="26">
        <v>4</v>
      </c>
      <c r="I2317" t="str">
        <f>IFERROR(VLOOKUP(Tabela6[[#This Row],[Descrição]],Materiais!B:C,2,0),"")</f>
        <v/>
      </c>
    </row>
    <row r="2318" spans="2:9">
      <c r="B2318" s="11">
        <f>43348+(365*4)</f>
        <v>44808</v>
      </c>
      <c r="C2318" s="19">
        <f>MONTH(Tabela6[[#This Row],[Data]])</f>
        <v>9</v>
      </c>
      <c r="D2318" s="19">
        <f>YEAR(Tabela6[[#This Row],[Data]])</f>
        <v>2022</v>
      </c>
      <c r="E2318" s="12" t="s">
        <v>78</v>
      </c>
      <c r="F2318" t="s">
        <v>58</v>
      </c>
      <c r="G2318" s="26">
        <v>2</v>
      </c>
      <c r="I2318" t="str">
        <f>IFERROR(VLOOKUP(Tabela6[[#This Row],[Descrição]],Materiais!B:C,2,0),"")</f>
        <v/>
      </c>
    </row>
    <row r="2319" spans="2:9">
      <c r="B2319" s="11">
        <f>43348+(365*4)</f>
        <v>44808</v>
      </c>
      <c r="C2319" s="19">
        <f>MONTH(Tabela6[[#This Row],[Data]])</f>
        <v>9</v>
      </c>
      <c r="D2319" s="19">
        <f>YEAR(Tabela6[[#This Row],[Data]])</f>
        <v>2022</v>
      </c>
      <c r="E2319" s="12" t="s">
        <v>78</v>
      </c>
      <c r="F2319" t="s">
        <v>163</v>
      </c>
      <c r="G2319" s="26">
        <v>2.5</v>
      </c>
      <c r="I2319" t="str">
        <f>IFERROR(VLOOKUP(Tabela6[[#This Row],[Descrição]],Materiais!B:C,2,0),"")</f>
        <v/>
      </c>
    </row>
    <row r="2320" spans="2:9">
      <c r="B2320" s="11">
        <f>43349+(365*4)</f>
        <v>44809</v>
      </c>
      <c r="C2320" s="19">
        <f>MONTH(Tabela6[[#This Row],[Data]])</f>
        <v>9</v>
      </c>
      <c r="D2320" s="19">
        <f>YEAR(Tabela6[[#This Row],[Data]])</f>
        <v>2022</v>
      </c>
      <c r="E2320" s="12" t="s">
        <v>78</v>
      </c>
      <c r="F2320" t="s">
        <v>56</v>
      </c>
      <c r="G2320" s="26">
        <v>28</v>
      </c>
      <c r="I2320" t="str">
        <f>IFERROR(VLOOKUP(Tabela6[[#This Row],[Descrição]],Materiais!B:C,2,0),"")</f>
        <v/>
      </c>
    </row>
    <row r="2321" spans="2:9">
      <c r="B2321" s="11">
        <f t="shared" ref="B2321:B2326" si="215">43353+(365*4)</f>
        <v>44813</v>
      </c>
      <c r="C2321" s="19">
        <f>MONTH(Tabela6[[#This Row],[Data]])</f>
        <v>9</v>
      </c>
      <c r="D2321" s="19">
        <f>YEAR(Tabela6[[#This Row],[Data]])</f>
        <v>2022</v>
      </c>
      <c r="E2321" s="12" t="s">
        <v>78</v>
      </c>
      <c r="F2321" t="s">
        <v>56</v>
      </c>
      <c r="G2321" s="26">
        <v>12</v>
      </c>
      <c r="I2321" t="str">
        <f>IFERROR(VLOOKUP(Tabela6[[#This Row],[Descrição]],Materiais!B:C,2,0),"")</f>
        <v/>
      </c>
    </row>
    <row r="2322" spans="2:9">
      <c r="B2322" s="11">
        <f t="shared" si="215"/>
        <v>44813</v>
      </c>
      <c r="C2322" s="19">
        <f>MONTH(Tabela6[[#This Row],[Data]])</f>
        <v>9</v>
      </c>
      <c r="D2322" s="19">
        <f>YEAR(Tabela6[[#This Row],[Data]])</f>
        <v>2022</v>
      </c>
      <c r="E2322" s="12" t="s">
        <v>78</v>
      </c>
      <c r="F2322" t="s">
        <v>61</v>
      </c>
      <c r="G2322" s="26">
        <v>6</v>
      </c>
      <c r="I2322" t="str">
        <f>IFERROR(VLOOKUP(Tabela6[[#This Row],[Descrição]],Materiais!B:C,2,0),"")</f>
        <v/>
      </c>
    </row>
    <row r="2323" spans="2:9">
      <c r="B2323" s="11">
        <f t="shared" si="215"/>
        <v>44813</v>
      </c>
      <c r="C2323" s="19">
        <f>MONTH(Tabela6[[#This Row],[Data]])</f>
        <v>9</v>
      </c>
      <c r="D2323" s="19">
        <f>YEAR(Tabela6[[#This Row],[Data]])</f>
        <v>2022</v>
      </c>
      <c r="E2323" s="12" t="s">
        <v>78</v>
      </c>
      <c r="F2323" t="s">
        <v>147</v>
      </c>
      <c r="G2323" s="26">
        <v>2</v>
      </c>
      <c r="I2323" t="str">
        <f>IFERROR(VLOOKUP(Tabela6[[#This Row],[Descrição]],Materiais!B:C,2,0),"")</f>
        <v/>
      </c>
    </row>
    <row r="2324" spans="2:9">
      <c r="B2324" s="11">
        <f t="shared" si="215"/>
        <v>44813</v>
      </c>
      <c r="C2324" s="19">
        <f>MONTH(Tabela6[[#This Row],[Data]])</f>
        <v>9</v>
      </c>
      <c r="D2324" s="19">
        <f>YEAR(Tabela6[[#This Row],[Data]])</f>
        <v>2022</v>
      </c>
      <c r="E2324" s="12" t="s">
        <v>78</v>
      </c>
      <c r="F2324" t="s">
        <v>152</v>
      </c>
      <c r="G2324" s="26">
        <v>4</v>
      </c>
      <c r="I2324" t="str">
        <f>IFERROR(VLOOKUP(Tabela6[[#This Row],[Descrição]],Materiais!B:C,2,0),"")</f>
        <v/>
      </c>
    </row>
    <row r="2325" spans="2:9">
      <c r="B2325" s="11">
        <f t="shared" si="215"/>
        <v>44813</v>
      </c>
      <c r="C2325" s="19">
        <f>MONTH(Tabela6[[#This Row],[Data]])</f>
        <v>9</v>
      </c>
      <c r="D2325" s="19">
        <f>YEAR(Tabela6[[#This Row],[Data]])</f>
        <v>2022</v>
      </c>
      <c r="E2325" s="12" t="s">
        <v>78</v>
      </c>
      <c r="F2325" t="s">
        <v>163</v>
      </c>
      <c r="G2325" s="26">
        <v>5</v>
      </c>
      <c r="I2325" t="str">
        <f>IFERROR(VLOOKUP(Tabela6[[#This Row],[Descrição]],Materiais!B:C,2,0),"")</f>
        <v/>
      </c>
    </row>
    <row r="2326" spans="2:9">
      <c r="B2326" s="11">
        <f t="shared" si="215"/>
        <v>44813</v>
      </c>
      <c r="C2326" s="19">
        <f>MONTH(Tabela6[[#This Row],[Data]])</f>
        <v>9</v>
      </c>
      <c r="D2326" s="19">
        <f>YEAR(Tabela6[[#This Row],[Data]])</f>
        <v>2022</v>
      </c>
      <c r="E2326" s="12" t="s">
        <v>78</v>
      </c>
      <c r="F2326" t="s">
        <v>133</v>
      </c>
      <c r="G2326" s="26">
        <v>2</v>
      </c>
      <c r="I2326" t="str">
        <f>IFERROR(VLOOKUP(Tabela6[[#This Row],[Descrição]],Materiais!B:C,2,0),"")</f>
        <v/>
      </c>
    </row>
    <row r="2327" spans="2:9">
      <c r="B2327" s="11">
        <f>43355+(365*4)</f>
        <v>44815</v>
      </c>
      <c r="C2327" s="19">
        <f>MONTH(Tabela6[[#This Row],[Data]])</f>
        <v>9</v>
      </c>
      <c r="D2327" s="19">
        <f>YEAR(Tabela6[[#This Row],[Data]])</f>
        <v>2022</v>
      </c>
      <c r="E2327" s="12" t="s">
        <v>78</v>
      </c>
      <c r="F2327" t="s">
        <v>152</v>
      </c>
      <c r="G2327" s="26">
        <v>4</v>
      </c>
      <c r="I2327" t="str">
        <f>IFERROR(VLOOKUP(Tabela6[[#This Row],[Descrição]],Materiais!B:C,2,0),"")</f>
        <v/>
      </c>
    </row>
    <row r="2328" spans="2:9">
      <c r="B2328" s="11">
        <f>43355+(365*4)</f>
        <v>44815</v>
      </c>
      <c r="C2328" s="19">
        <f>MONTH(Tabela6[[#This Row],[Data]])</f>
        <v>9</v>
      </c>
      <c r="D2328" s="19">
        <f>YEAR(Tabela6[[#This Row],[Data]])</f>
        <v>2022</v>
      </c>
      <c r="E2328" s="12" t="s">
        <v>78</v>
      </c>
      <c r="F2328" t="s">
        <v>58</v>
      </c>
      <c r="G2328" s="26">
        <v>6</v>
      </c>
      <c r="I2328" t="str">
        <f>IFERROR(VLOOKUP(Tabela6[[#This Row],[Descrição]],Materiais!B:C,2,0),"")</f>
        <v/>
      </c>
    </row>
    <row r="2329" spans="2:9">
      <c r="B2329" s="11">
        <f>43355+(365*4)</f>
        <v>44815</v>
      </c>
      <c r="C2329" s="19">
        <f>MONTH(Tabela6[[#This Row],[Data]])</f>
        <v>9</v>
      </c>
      <c r="D2329" s="19">
        <f>YEAR(Tabela6[[#This Row],[Data]])</f>
        <v>2022</v>
      </c>
      <c r="E2329" s="12" t="s">
        <v>78</v>
      </c>
      <c r="F2329" t="s">
        <v>163</v>
      </c>
      <c r="G2329" s="26">
        <v>2.5</v>
      </c>
      <c r="I2329" t="str">
        <f>IFERROR(VLOOKUP(Tabela6[[#This Row],[Descrição]],Materiais!B:C,2,0),"")</f>
        <v/>
      </c>
    </row>
    <row r="2330" spans="2:9">
      <c r="B2330" s="11">
        <f>43355+(365*4)</f>
        <v>44815</v>
      </c>
      <c r="C2330" s="19">
        <f>MONTH(Tabela6[[#This Row],[Data]])</f>
        <v>9</v>
      </c>
      <c r="D2330" s="19">
        <f>YEAR(Tabela6[[#This Row],[Data]])</f>
        <v>2022</v>
      </c>
      <c r="E2330" s="12" t="s">
        <v>78</v>
      </c>
      <c r="F2330" t="s">
        <v>147</v>
      </c>
      <c r="G2330" s="26">
        <v>6</v>
      </c>
      <c r="I2330" t="str">
        <f>IFERROR(VLOOKUP(Tabela6[[#This Row],[Descrição]],Materiais!B:C,2,0),"")</f>
        <v/>
      </c>
    </row>
    <row r="2331" spans="2:9">
      <c r="B2331" s="11">
        <f>43355+(365*4)</f>
        <v>44815</v>
      </c>
      <c r="C2331" s="19">
        <f>MONTH(Tabela6[[#This Row],[Data]])</f>
        <v>9</v>
      </c>
      <c r="D2331" s="19">
        <f>YEAR(Tabela6[[#This Row],[Data]])</f>
        <v>2022</v>
      </c>
      <c r="E2331" s="12" t="s">
        <v>78</v>
      </c>
      <c r="F2331" t="s">
        <v>61</v>
      </c>
      <c r="G2331" s="26">
        <v>6</v>
      </c>
      <c r="I2331" t="str">
        <f>IFERROR(VLOOKUP(Tabela6[[#This Row],[Descrição]],Materiais!B:C,2,0),"")</f>
        <v/>
      </c>
    </row>
    <row r="2332" spans="2:9">
      <c r="B2332" s="11">
        <f>43367+(365*4)</f>
        <v>44827</v>
      </c>
      <c r="C2332" s="19">
        <f>MONTH(Tabela6[[#This Row],[Data]])</f>
        <v>9</v>
      </c>
      <c r="D2332" s="19">
        <f>YEAR(Tabela6[[#This Row],[Data]])</f>
        <v>2022</v>
      </c>
      <c r="E2332" s="12" t="s">
        <v>78</v>
      </c>
      <c r="F2332" t="s">
        <v>56</v>
      </c>
      <c r="G2332" s="26">
        <v>14</v>
      </c>
      <c r="I2332" t="str">
        <f>IFERROR(VLOOKUP(Tabela6[[#This Row],[Descrição]],Materiais!B:C,2,0),"")</f>
        <v/>
      </c>
    </row>
    <row r="2333" spans="2:9">
      <c r="B2333" s="11">
        <f>43367+(365*4)</f>
        <v>44827</v>
      </c>
      <c r="C2333" s="19">
        <f>MONTH(Tabela6[[#This Row],[Data]])</f>
        <v>9</v>
      </c>
      <c r="D2333" s="19">
        <f>YEAR(Tabela6[[#This Row],[Data]])</f>
        <v>2022</v>
      </c>
      <c r="E2333" s="12" t="s">
        <v>78</v>
      </c>
      <c r="F2333" t="s">
        <v>61</v>
      </c>
      <c r="G2333" s="26">
        <v>10</v>
      </c>
      <c r="I2333" t="str">
        <f>IFERROR(VLOOKUP(Tabela6[[#This Row],[Descrição]],Materiais!B:C,2,0),"")</f>
        <v/>
      </c>
    </row>
    <row r="2334" spans="2:9">
      <c r="B2334" s="11">
        <f>43367+(365*4)</f>
        <v>44827</v>
      </c>
      <c r="C2334" s="19">
        <f>MONTH(Tabela6[[#This Row],[Data]])</f>
        <v>9</v>
      </c>
      <c r="D2334" s="19">
        <f>YEAR(Tabela6[[#This Row],[Data]])</f>
        <v>2022</v>
      </c>
      <c r="E2334" s="12" t="s">
        <v>78</v>
      </c>
      <c r="F2334" t="s">
        <v>147</v>
      </c>
      <c r="G2334" s="26">
        <v>6</v>
      </c>
      <c r="I2334" t="str">
        <f>IFERROR(VLOOKUP(Tabela6[[#This Row],[Descrição]],Materiais!B:C,2,0),"")</f>
        <v/>
      </c>
    </row>
    <row r="2335" spans="2:9">
      <c r="B2335" s="11">
        <f>43367+(365*4)</f>
        <v>44827</v>
      </c>
      <c r="C2335" s="19">
        <f>MONTH(Tabela6[[#This Row],[Data]])</f>
        <v>9</v>
      </c>
      <c r="D2335" s="19">
        <f>YEAR(Tabela6[[#This Row],[Data]])</f>
        <v>2022</v>
      </c>
      <c r="E2335" s="12" t="s">
        <v>78</v>
      </c>
      <c r="F2335" t="s">
        <v>152</v>
      </c>
      <c r="G2335" s="26">
        <v>6</v>
      </c>
      <c r="I2335" t="str">
        <f>IFERROR(VLOOKUP(Tabela6[[#This Row],[Descrição]],Materiais!B:C,2,0),"")</f>
        <v/>
      </c>
    </row>
    <row r="2336" spans="2:9">
      <c r="B2336" s="11">
        <f>43367+(365*4)</f>
        <v>44827</v>
      </c>
      <c r="C2336" s="19">
        <f>MONTH(Tabela6[[#This Row],[Data]])</f>
        <v>9</v>
      </c>
      <c r="D2336" s="19">
        <f>YEAR(Tabela6[[#This Row],[Data]])</f>
        <v>2022</v>
      </c>
      <c r="E2336" s="12" t="s">
        <v>78</v>
      </c>
      <c r="F2336" t="s">
        <v>163</v>
      </c>
      <c r="G2336" s="26">
        <v>10</v>
      </c>
      <c r="I2336" t="str">
        <f>IFERROR(VLOOKUP(Tabela6[[#This Row],[Descrição]],Materiais!B:C,2,0),"")</f>
        <v/>
      </c>
    </row>
    <row r="2337" spans="2:9">
      <c r="B2337" s="11">
        <f>43369+(365*4)</f>
        <v>44829</v>
      </c>
      <c r="C2337" s="19">
        <f>MONTH(Tabela6[[#This Row],[Data]])</f>
        <v>9</v>
      </c>
      <c r="D2337" s="19">
        <f>YEAR(Tabela6[[#This Row],[Data]])</f>
        <v>2022</v>
      </c>
      <c r="E2337" s="12" t="s">
        <v>78</v>
      </c>
      <c r="F2337" t="s">
        <v>152</v>
      </c>
      <c r="G2337" s="26">
        <v>8</v>
      </c>
      <c r="I2337" t="str">
        <f>IFERROR(VLOOKUP(Tabela6[[#This Row],[Descrição]],Materiais!B:C,2,0),"")</f>
        <v/>
      </c>
    </row>
    <row r="2338" spans="2:9">
      <c r="B2338" s="11">
        <f>43369+(365*4)</f>
        <v>44829</v>
      </c>
      <c r="C2338" s="19">
        <f>MONTH(Tabela6[[#This Row],[Data]])</f>
        <v>9</v>
      </c>
      <c r="D2338" s="19">
        <f>YEAR(Tabela6[[#This Row],[Data]])</f>
        <v>2022</v>
      </c>
      <c r="E2338" s="12" t="s">
        <v>78</v>
      </c>
      <c r="F2338" t="s">
        <v>163</v>
      </c>
      <c r="G2338" s="26">
        <v>5</v>
      </c>
      <c r="I2338" t="str">
        <f>IFERROR(VLOOKUP(Tabela6[[#This Row],[Descrição]],Materiais!B:C,2,0),"")</f>
        <v/>
      </c>
    </row>
    <row r="2339" spans="2:9">
      <c r="B2339" s="11">
        <f>43369+(365*4)</f>
        <v>44829</v>
      </c>
      <c r="C2339" s="19">
        <f>MONTH(Tabela6[[#This Row],[Data]])</f>
        <v>9</v>
      </c>
      <c r="D2339" s="19">
        <f>YEAR(Tabela6[[#This Row],[Data]])</f>
        <v>2022</v>
      </c>
      <c r="E2339" s="12" t="s">
        <v>78</v>
      </c>
      <c r="F2339" t="s">
        <v>133</v>
      </c>
      <c r="G2339" s="26">
        <v>4</v>
      </c>
      <c r="I2339" t="str">
        <f>IFERROR(VLOOKUP(Tabela6[[#This Row],[Descrição]],Materiais!B:C,2,0),"")</f>
        <v/>
      </c>
    </row>
    <row r="2340" spans="2:9">
      <c r="B2340" s="11">
        <f>43369+(365*4)</f>
        <v>44829</v>
      </c>
      <c r="C2340" s="19">
        <f>MONTH(Tabela6[[#This Row],[Data]])</f>
        <v>9</v>
      </c>
      <c r="D2340" s="19">
        <f>YEAR(Tabela6[[#This Row],[Data]])</f>
        <v>2022</v>
      </c>
      <c r="E2340" s="12" t="s">
        <v>78</v>
      </c>
      <c r="F2340" t="s">
        <v>56</v>
      </c>
      <c r="G2340" s="26">
        <v>16</v>
      </c>
      <c r="I2340" t="str">
        <f>IFERROR(VLOOKUP(Tabela6[[#This Row],[Descrição]],Materiais!B:C,2,0),"")</f>
        <v/>
      </c>
    </row>
    <row r="2341" spans="2:9">
      <c r="B2341" s="11">
        <f t="shared" ref="B2341:B2348" si="216">43374+(365*4)</f>
        <v>44834</v>
      </c>
      <c r="C2341" s="19">
        <f>MONTH(Tabela6[[#This Row],[Data]])</f>
        <v>9</v>
      </c>
      <c r="D2341" s="19">
        <f>YEAR(Tabela6[[#This Row],[Data]])</f>
        <v>2022</v>
      </c>
      <c r="E2341" s="12" t="s">
        <v>78</v>
      </c>
      <c r="F2341" t="s">
        <v>152</v>
      </c>
      <c r="G2341" s="26">
        <v>2</v>
      </c>
      <c r="I2341" t="str">
        <f>IFERROR(VLOOKUP(Tabela6[[#This Row],[Descrição]],Materiais!B:C,2,0),"")</f>
        <v/>
      </c>
    </row>
    <row r="2342" spans="2:9">
      <c r="B2342" s="11">
        <f t="shared" si="216"/>
        <v>44834</v>
      </c>
      <c r="C2342" s="19">
        <f>MONTH(Tabela6[[#This Row],[Data]])</f>
        <v>9</v>
      </c>
      <c r="D2342" s="19">
        <f>YEAR(Tabela6[[#This Row],[Data]])</f>
        <v>2022</v>
      </c>
      <c r="E2342" s="12" t="s">
        <v>78</v>
      </c>
      <c r="F2342" t="s">
        <v>163</v>
      </c>
      <c r="G2342" s="26">
        <v>12.5</v>
      </c>
      <c r="I2342" t="str">
        <f>IFERROR(VLOOKUP(Tabela6[[#This Row],[Descrição]],Materiais!B:C,2,0),"")</f>
        <v/>
      </c>
    </row>
    <row r="2343" spans="2:9">
      <c r="B2343" s="11">
        <f t="shared" si="216"/>
        <v>44834</v>
      </c>
      <c r="C2343" s="19">
        <f>MONTH(Tabela6[[#This Row],[Data]])</f>
        <v>9</v>
      </c>
      <c r="D2343" s="19">
        <f>YEAR(Tabela6[[#This Row],[Data]])</f>
        <v>2022</v>
      </c>
      <c r="E2343" s="12" t="s">
        <v>78</v>
      </c>
      <c r="F2343" t="s">
        <v>56</v>
      </c>
      <c r="G2343" s="26">
        <v>12</v>
      </c>
      <c r="I2343" t="str">
        <f>IFERROR(VLOOKUP(Tabela6[[#This Row],[Descrição]],Materiais!B:C,2,0),"")</f>
        <v/>
      </c>
    </row>
    <row r="2344" spans="2:9">
      <c r="B2344" s="11">
        <f t="shared" si="216"/>
        <v>44834</v>
      </c>
      <c r="C2344" s="19">
        <f>MONTH(Tabela6[[#This Row],[Data]])</f>
        <v>9</v>
      </c>
      <c r="D2344" s="19">
        <f>YEAR(Tabela6[[#This Row],[Data]])</f>
        <v>2022</v>
      </c>
      <c r="E2344" s="12" t="s">
        <v>78</v>
      </c>
      <c r="F2344" t="s">
        <v>61</v>
      </c>
      <c r="G2344" s="26">
        <v>12</v>
      </c>
      <c r="I2344" t="str">
        <f>IFERROR(VLOOKUP(Tabela6[[#This Row],[Descrição]],Materiais!B:C,2,0),"")</f>
        <v/>
      </c>
    </row>
    <row r="2345" spans="2:9">
      <c r="B2345" s="11">
        <f t="shared" si="216"/>
        <v>44834</v>
      </c>
      <c r="C2345" s="19">
        <f>MONTH(Tabela6[[#This Row],[Data]])</f>
        <v>9</v>
      </c>
      <c r="D2345" s="19">
        <f>YEAR(Tabela6[[#This Row],[Data]])</f>
        <v>2022</v>
      </c>
      <c r="E2345" s="12" t="s">
        <v>78</v>
      </c>
      <c r="F2345" t="s">
        <v>147</v>
      </c>
      <c r="G2345" s="26">
        <v>8</v>
      </c>
      <c r="I2345" t="str">
        <f>IFERROR(VLOOKUP(Tabela6[[#This Row],[Descrição]],Materiais!B:C,2,0),"")</f>
        <v/>
      </c>
    </row>
    <row r="2346" spans="2:9">
      <c r="B2346" s="11">
        <f t="shared" si="216"/>
        <v>44834</v>
      </c>
      <c r="C2346" s="19">
        <f>MONTH(Tabela6[[#This Row],[Data]])</f>
        <v>9</v>
      </c>
      <c r="D2346" s="19">
        <f>YEAR(Tabela6[[#This Row],[Data]])</f>
        <v>2022</v>
      </c>
      <c r="E2346" s="12" t="s">
        <v>78</v>
      </c>
      <c r="F2346" t="s">
        <v>148</v>
      </c>
      <c r="G2346" s="26">
        <v>6</v>
      </c>
      <c r="I2346" t="str">
        <f>IFERROR(VLOOKUP(Tabela6[[#This Row],[Descrição]],Materiais!B:C,2,0),"")</f>
        <v/>
      </c>
    </row>
    <row r="2347" spans="2:9">
      <c r="B2347" s="11">
        <f t="shared" si="216"/>
        <v>44834</v>
      </c>
      <c r="C2347" s="19">
        <f>MONTH(Tabela6[[#This Row],[Data]])</f>
        <v>9</v>
      </c>
      <c r="D2347" s="19">
        <f>YEAR(Tabela6[[#This Row],[Data]])</f>
        <v>2022</v>
      </c>
      <c r="E2347" s="12" t="s">
        <v>78</v>
      </c>
      <c r="F2347" t="s">
        <v>58</v>
      </c>
      <c r="G2347" s="26">
        <v>6</v>
      </c>
      <c r="I2347" t="str">
        <f>IFERROR(VLOOKUP(Tabela6[[#This Row],[Descrição]],Materiais!B:C,2,0),"")</f>
        <v/>
      </c>
    </row>
    <row r="2348" spans="2:9">
      <c r="B2348" s="11">
        <f t="shared" si="216"/>
        <v>44834</v>
      </c>
      <c r="C2348" s="19">
        <f>MONTH(Tabela6[[#This Row],[Data]])</f>
        <v>9</v>
      </c>
      <c r="D2348" s="19">
        <f>YEAR(Tabela6[[#This Row],[Data]])</f>
        <v>2022</v>
      </c>
      <c r="E2348" s="12" t="s">
        <v>78</v>
      </c>
      <c r="F2348" t="s">
        <v>63</v>
      </c>
      <c r="G2348" s="26">
        <v>4</v>
      </c>
      <c r="I2348" t="str">
        <f>IFERROR(VLOOKUP(Tabela6[[#This Row],[Descrição]],Materiais!B:C,2,0),"")</f>
        <v/>
      </c>
    </row>
    <row r="2349" spans="2:9">
      <c r="B2349" s="11">
        <f t="shared" ref="B2349:B2354" si="217">43379+(365*4)</f>
        <v>44839</v>
      </c>
      <c r="C2349" s="19">
        <f>MONTH(Tabela6[[#This Row],[Data]])</f>
        <v>10</v>
      </c>
      <c r="D2349" s="19">
        <f>YEAR(Tabela6[[#This Row],[Data]])</f>
        <v>2022</v>
      </c>
      <c r="E2349" s="12" t="s">
        <v>78</v>
      </c>
      <c r="F2349" t="s">
        <v>56</v>
      </c>
      <c r="G2349" s="26">
        <v>200</v>
      </c>
      <c r="I2349" t="str">
        <f>IFERROR(VLOOKUP(Tabela6[[#This Row],[Descrição]],Materiais!B:C,2,0),"")</f>
        <v/>
      </c>
    </row>
    <row r="2350" spans="2:9">
      <c r="B2350" s="11">
        <f t="shared" si="217"/>
        <v>44839</v>
      </c>
      <c r="C2350" s="19">
        <f>MONTH(Tabela6[[#This Row],[Data]])</f>
        <v>10</v>
      </c>
      <c r="D2350" s="19">
        <f>YEAR(Tabela6[[#This Row],[Data]])</f>
        <v>2022</v>
      </c>
      <c r="E2350" s="12" t="s">
        <v>75</v>
      </c>
      <c r="F2350" t="s">
        <v>104</v>
      </c>
      <c r="G2350" s="26">
        <v>-2</v>
      </c>
      <c r="I2350" t="str">
        <f>IFERROR(VLOOKUP(Tabela6[[#This Row],[Descrição]],Materiais!B:C,2,0),"")</f>
        <v/>
      </c>
    </row>
    <row r="2351" spans="2:9">
      <c r="B2351" s="11">
        <f t="shared" si="217"/>
        <v>44839</v>
      </c>
      <c r="C2351" s="19">
        <f>MONTH(Tabela6[[#This Row],[Data]])</f>
        <v>10</v>
      </c>
      <c r="D2351" s="19">
        <f>YEAR(Tabela6[[#This Row],[Data]])</f>
        <v>2022</v>
      </c>
      <c r="E2351" s="12" t="s">
        <v>75</v>
      </c>
      <c r="F2351" t="s">
        <v>76</v>
      </c>
      <c r="G2351" s="26">
        <v>-5.6999999999999993</v>
      </c>
      <c r="I2351" t="str">
        <f>IFERROR(VLOOKUP(Tabela6[[#This Row],[Descrição]],Materiais!B:C,2,0),"")</f>
        <v/>
      </c>
    </row>
    <row r="2352" spans="2:9">
      <c r="B2352" s="11">
        <f t="shared" si="217"/>
        <v>44839</v>
      </c>
      <c r="C2352" s="19">
        <f>MONTH(Tabela6[[#This Row],[Data]])</f>
        <v>10</v>
      </c>
      <c r="D2352" s="19">
        <f>YEAR(Tabela6[[#This Row],[Data]])</f>
        <v>2022</v>
      </c>
      <c r="E2352" s="12" t="s">
        <v>72</v>
      </c>
      <c r="F2352" t="s">
        <v>105</v>
      </c>
      <c r="G2352" s="26">
        <v>-13.95</v>
      </c>
      <c r="I2352" t="str">
        <f>IFERROR(VLOOKUP(Tabela6[[#This Row],[Descrição]],Materiais!B:C,2,0),"")</f>
        <v/>
      </c>
    </row>
    <row r="2353" spans="2:9">
      <c r="B2353" s="11">
        <f t="shared" si="217"/>
        <v>44839</v>
      </c>
      <c r="C2353" s="19">
        <f>MONTH(Tabela6[[#This Row],[Data]])</f>
        <v>10</v>
      </c>
      <c r="D2353" s="19">
        <f>YEAR(Tabela6[[#This Row],[Data]])</f>
        <v>2022</v>
      </c>
      <c r="E2353" s="12" t="s">
        <v>72</v>
      </c>
      <c r="F2353" t="s">
        <v>16</v>
      </c>
      <c r="G2353" s="26">
        <v>-5.99</v>
      </c>
      <c r="I2353" t="str">
        <f>IFERROR(VLOOKUP(Tabela6[[#This Row],[Descrição]],Materiais!B:C,2,0),"")</f>
        <v>g</v>
      </c>
    </row>
    <row r="2354" spans="2:9">
      <c r="B2354" s="11">
        <f t="shared" si="217"/>
        <v>44839</v>
      </c>
      <c r="C2354" s="19">
        <f>MONTH(Tabela6[[#This Row],[Data]])</f>
        <v>10</v>
      </c>
      <c r="D2354" s="19">
        <f>YEAR(Tabela6[[#This Row],[Data]])</f>
        <v>2022</v>
      </c>
      <c r="E2354" s="12" t="s">
        <v>72</v>
      </c>
      <c r="F2354" t="s">
        <v>74</v>
      </c>
      <c r="G2354" s="26">
        <v>-52.9</v>
      </c>
      <c r="I2354" t="str">
        <f>IFERROR(VLOOKUP(Tabela6[[#This Row],[Descrição]],Materiais!B:C,2,0),"")</f>
        <v/>
      </c>
    </row>
    <row r="2355" spans="2:9">
      <c r="B2355" s="11">
        <f>43389+(365*4)</f>
        <v>44849</v>
      </c>
      <c r="C2355" s="19">
        <f>MONTH(Tabela6[[#This Row],[Data]])</f>
        <v>10</v>
      </c>
      <c r="D2355" s="19">
        <f>YEAR(Tabela6[[#This Row],[Data]])</f>
        <v>2022</v>
      </c>
      <c r="E2355" s="12" t="s">
        <v>78</v>
      </c>
      <c r="F2355" t="s">
        <v>56</v>
      </c>
      <c r="G2355" s="26">
        <v>12</v>
      </c>
      <c r="I2355" t="str">
        <f>IFERROR(VLOOKUP(Tabela6[[#This Row],[Descrição]],Materiais!B:C,2,0),"")</f>
        <v/>
      </c>
    </row>
    <row r="2356" spans="2:9">
      <c r="B2356" s="11">
        <f>43389+(365*4)</f>
        <v>44849</v>
      </c>
      <c r="C2356" s="19">
        <f>MONTH(Tabela6[[#This Row],[Data]])</f>
        <v>10</v>
      </c>
      <c r="D2356" s="19">
        <f>YEAR(Tabela6[[#This Row],[Data]])</f>
        <v>2022</v>
      </c>
      <c r="E2356" s="12" t="s">
        <v>78</v>
      </c>
      <c r="F2356" t="s">
        <v>61</v>
      </c>
      <c r="G2356" s="26">
        <v>10</v>
      </c>
      <c r="I2356" t="str">
        <f>IFERROR(VLOOKUP(Tabela6[[#This Row],[Descrição]],Materiais!B:C,2,0),"")</f>
        <v/>
      </c>
    </row>
    <row r="2357" spans="2:9">
      <c r="B2357" s="11">
        <f t="shared" ref="B2357:B2362" si="218">43390+(365*4)</f>
        <v>44850</v>
      </c>
      <c r="C2357" s="19">
        <f>MONTH(Tabela6[[#This Row],[Data]])</f>
        <v>10</v>
      </c>
      <c r="D2357" s="19">
        <f>YEAR(Tabela6[[#This Row],[Data]])</f>
        <v>2022</v>
      </c>
      <c r="E2357" s="12" t="s">
        <v>78</v>
      </c>
      <c r="F2357" t="s">
        <v>147</v>
      </c>
      <c r="G2357" s="26">
        <v>8</v>
      </c>
      <c r="I2357" t="str">
        <f>IFERROR(VLOOKUP(Tabela6[[#This Row],[Descrição]],Materiais!B:C,2,0),"")</f>
        <v/>
      </c>
    </row>
    <row r="2358" spans="2:9">
      <c r="B2358" s="11">
        <f t="shared" si="218"/>
        <v>44850</v>
      </c>
      <c r="C2358" s="19">
        <f>MONTH(Tabela6[[#This Row],[Data]])</f>
        <v>10</v>
      </c>
      <c r="D2358" s="19">
        <f>YEAR(Tabela6[[#This Row],[Data]])</f>
        <v>2022</v>
      </c>
      <c r="E2358" s="12" t="s">
        <v>78</v>
      </c>
      <c r="F2358" t="s">
        <v>148</v>
      </c>
      <c r="G2358" s="26">
        <v>8</v>
      </c>
      <c r="I2358" t="str">
        <f>IFERROR(VLOOKUP(Tabela6[[#This Row],[Descrição]],Materiais!B:C,2,0),"")</f>
        <v/>
      </c>
    </row>
    <row r="2359" spans="2:9">
      <c r="B2359" s="11">
        <f t="shared" si="218"/>
        <v>44850</v>
      </c>
      <c r="C2359" s="19">
        <f>MONTH(Tabela6[[#This Row],[Data]])</f>
        <v>10</v>
      </c>
      <c r="D2359" s="19">
        <f>YEAR(Tabela6[[#This Row],[Data]])</f>
        <v>2022</v>
      </c>
      <c r="E2359" s="12" t="s">
        <v>78</v>
      </c>
      <c r="F2359" t="s">
        <v>58</v>
      </c>
      <c r="G2359" s="26">
        <v>6</v>
      </c>
      <c r="I2359" t="str">
        <f>IFERROR(VLOOKUP(Tabela6[[#This Row],[Descrição]],Materiais!B:C,2,0),"")</f>
        <v/>
      </c>
    </row>
    <row r="2360" spans="2:9">
      <c r="B2360" s="11">
        <f t="shared" si="218"/>
        <v>44850</v>
      </c>
      <c r="C2360" s="19">
        <f>MONTH(Tabela6[[#This Row],[Data]])</f>
        <v>10</v>
      </c>
      <c r="D2360" s="19">
        <f>YEAR(Tabela6[[#This Row],[Data]])</f>
        <v>2022</v>
      </c>
      <c r="E2360" s="12" t="s">
        <v>78</v>
      </c>
      <c r="F2360" t="s">
        <v>63</v>
      </c>
      <c r="G2360" s="26">
        <v>6</v>
      </c>
      <c r="I2360" t="str">
        <f>IFERROR(VLOOKUP(Tabela6[[#This Row],[Descrição]],Materiais!B:C,2,0),"")</f>
        <v/>
      </c>
    </row>
    <row r="2361" spans="2:9">
      <c r="B2361" s="11">
        <f t="shared" si="218"/>
        <v>44850</v>
      </c>
      <c r="C2361" s="19">
        <f>MONTH(Tabela6[[#This Row],[Data]])</f>
        <v>10</v>
      </c>
      <c r="D2361" s="19">
        <f>YEAR(Tabela6[[#This Row],[Data]])</f>
        <v>2022</v>
      </c>
      <c r="E2361" s="12" t="s">
        <v>78</v>
      </c>
      <c r="F2361" t="s">
        <v>163</v>
      </c>
      <c r="G2361" s="26">
        <v>10</v>
      </c>
      <c r="I2361" t="str">
        <f>IFERROR(VLOOKUP(Tabela6[[#This Row],[Descrição]],Materiais!B:C,2,0),"")</f>
        <v/>
      </c>
    </row>
    <row r="2362" spans="2:9">
      <c r="B2362" s="11">
        <f t="shared" si="218"/>
        <v>44850</v>
      </c>
      <c r="C2362" s="19">
        <f>MONTH(Tabela6[[#This Row],[Data]])</f>
        <v>10</v>
      </c>
      <c r="D2362" s="19">
        <f>YEAR(Tabela6[[#This Row],[Data]])</f>
        <v>2022</v>
      </c>
      <c r="E2362" s="12" t="s">
        <v>78</v>
      </c>
      <c r="F2362" t="s">
        <v>152</v>
      </c>
      <c r="G2362" s="26">
        <v>8</v>
      </c>
      <c r="I2362" t="str">
        <f>IFERROR(VLOOKUP(Tabela6[[#This Row],[Descrição]],Materiais!B:C,2,0),"")</f>
        <v/>
      </c>
    </row>
    <row r="2363" spans="2:9">
      <c r="B2363" s="11">
        <f>43391+(365*4)</f>
        <v>44851</v>
      </c>
      <c r="C2363" s="19">
        <f>MONTH(Tabela6[[#This Row],[Data]])</f>
        <v>10</v>
      </c>
      <c r="D2363" s="19">
        <f>YEAR(Tabela6[[#This Row],[Data]])</f>
        <v>2022</v>
      </c>
      <c r="E2363" s="12" t="s">
        <v>78</v>
      </c>
      <c r="F2363" t="s">
        <v>61</v>
      </c>
      <c r="G2363" s="26">
        <v>4</v>
      </c>
      <c r="I2363" t="str">
        <f>IFERROR(VLOOKUP(Tabela6[[#This Row],[Descrição]],Materiais!B:C,2,0),"")</f>
        <v/>
      </c>
    </row>
    <row r="2364" spans="2:9">
      <c r="B2364" s="11">
        <f>43391+(365*4)</f>
        <v>44851</v>
      </c>
      <c r="C2364" s="19">
        <f>MONTH(Tabela6[[#This Row],[Data]])</f>
        <v>10</v>
      </c>
      <c r="D2364" s="19">
        <f>YEAR(Tabela6[[#This Row],[Data]])</f>
        <v>2022</v>
      </c>
      <c r="E2364" s="12" t="s">
        <v>78</v>
      </c>
      <c r="F2364" t="s">
        <v>147</v>
      </c>
      <c r="G2364" s="26">
        <v>4</v>
      </c>
      <c r="I2364" t="str">
        <f>IFERROR(VLOOKUP(Tabela6[[#This Row],[Descrição]],Materiais!B:C,2,0),"")</f>
        <v/>
      </c>
    </row>
    <row r="2365" spans="2:9">
      <c r="B2365" s="11">
        <f>43391+(365*4)</f>
        <v>44851</v>
      </c>
      <c r="C2365" s="19">
        <f>MONTH(Tabela6[[#This Row],[Data]])</f>
        <v>10</v>
      </c>
      <c r="D2365" s="19">
        <f>YEAR(Tabela6[[#This Row],[Data]])</f>
        <v>2022</v>
      </c>
      <c r="E2365" s="12" t="s">
        <v>78</v>
      </c>
      <c r="F2365" t="s">
        <v>148</v>
      </c>
      <c r="G2365" s="26">
        <v>4</v>
      </c>
      <c r="I2365" t="str">
        <f>IFERROR(VLOOKUP(Tabela6[[#This Row],[Descrição]],Materiais!B:C,2,0),"")</f>
        <v/>
      </c>
    </row>
    <row r="2366" spans="2:9">
      <c r="B2366" s="11">
        <f>43391+(365*4)</f>
        <v>44851</v>
      </c>
      <c r="C2366" s="19">
        <f>MONTH(Tabela6[[#This Row],[Data]])</f>
        <v>10</v>
      </c>
      <c r="D2366" s="19">
        <f>YEAR(Tabela6[[#This Row],[Data]])</f>
        <v>2022</v>
      </c>
      <c r="E2366" s="12" t="s">
        <v>78</v>
      </c>
      <c r="F2366" t="s">
        <v>63</v>
      </c>
      <c r="G2366" s="26">
        <v>4</v>
      </c>
      <c r="I2366" t="str">
        <f>IFERROR(VLOOKUP(Tabela6[[#This Row],[Descrição]],Materiais!B:C,2,0),"")</f>
        <v/>
      </c>
    </row>
    <row r="2367" spans="2:9">
      <c r="B2367" s="11">
        <f>43392+(365*4)</f>
        <v>44852</v>
      </c>
      <c r="C2367" s="19">
        <f>MONTH(Tabela6[[#This Row],[Data]])</f>
        <v>10</v>
      </c>
      <c r="D2367" s="19">
        <f>YEAR(Tabela6[[#This Row],[Data]])</f>
        <v>2022</v>
      </c>
      <c r="E2367" s="12" t="s">
        <v>72</v>
      </c>
      <c r="F2367" t="s">
        <v>20</v>
      </c>
      <c r="G2367" s="26">
        <v>-239.20000000000002</v>
      </c>
      <c r="I2367" t="str">
        <f>IFERROR(VLOOKUP(Tabela6[[#This Row],[Descrição]],Materiais!B:C,2,0),"")</f>
        <v>g</v>
      </c>
    </row>
    <row r="2368" spans="2:9">
      <c r="B2368" s="11">
        <f>43392+(365*4)</f>
        <v>44852</v>
      </c>
      <c r="C2368" s="19">
        <f>MONTH(Tabela6[[#This Row],[Data]])</f>
        <v>10</v>
      </c>
      <c r="D2368" s="19">
        <f>YEAR(Tabela6[[#This Row],[Data]])</f>
        <v>2022</v>
      </c>
      <c r="E2368" s="12" t="s">
        <v>72</v>
      </c>
      <c r="F2368" t="s">
        <v>17</v>
      </c>
      <c r="G2368" s="26">
        <v>-11.94</v>
      </c>
      <c r="I2368" t="str">
        <f>IFERROR(VLOOKUP(Tabela6[[#This Row],[Descrição]],Materiais!B:C,2,0),"")</f>
        <v>g</v>
      </c>
    </row>
    <row r="2369" spans="2:9">
      <c r="B2369" s="11">
        <f>43392+(365*4)</f>
        <v>44852</v>
      </c>
      <c r="C2369" s="19">
        <f>MONTH(Tabela6[[#This Row],[Data]])</f>
        <v>10</v>
      </c>
      <c r="D2369" s="19">
        <f>YEAR(Tabela6[[#This Row],[Data]])</f>
        <v>2022</v>
      </c>
      <c r="E2369" s="12" t="s">
        <v>72</v>
      </c>
      <c r="F2369" t="s">
        <v>132</v>
      </c>
      <c r="G2369" s="26">
        <v>-15.98</v>
      </c>
      <c r="I2369" t="str">
        <f>IFERROR(VLOOKUP(Tabela6[[#This Row],[Descrição]],Materiais!B:C,2,0),"")</f>
        <v/>
      </c>
    </row>
    <row r="2370" spans="2:9">
      <c r="B2370" s="11">
        <f>43394+(365*4)</f>
        <v>44854</v>
      </c>
      <c r="C2370" s="19">
        <f>MONTH(Tabela6[[#This Row],[Data]])</f>
        <v>10</v>
      </c>
      <c r="D2370" s="19">
        <f>YEAR(Tabela6[[#This Row],[Data]])</f>
        <v>2022</v>
      </c>
      <c r="E2370" s="12" t="s">
        <v>72</v>
      </c>
      <c r="F2370" t="s">
        <v>18</v>
      </c>
      <c r="G2370" s="26">
        <v>-6.8</v>
      </c>
      <c r="I2370" t="str">
        <f>IFERROR(VLOOKUP(Tabela6[[#This Row],[Descrição]],Materiais!B:C,2,0),"")</f>
        <v>g</v>
      </c>
    </row>
    <row r="2371" spans="2:9">
      <c r="B2371" s="11">
        <f t="shared" ref="B2371:B2377" si="219">43395+(365*4)</f>
        <v>44855</v>
      </c>
      <c r="C2371" s="19">
        <f>MONTH(Tabela6[[#This Row],[Data]])</f>
        <v>10</v>
      </c>
      <c r="D2371" s="19">
        <f>YEAR(Tabela6[[#This Row],[Data]])</f>
        <v>2022</v>
      </c>
      <c r="E2371" s="12" t="s">
        <v>78</v>
      </c>
      <c r="F2371" t="s">
        <v>56</v>
      </c>
      <c r="G2371" s="26">
        <v>10</v>
      </c>
      <c r="I2371" t="str">
        <f>IFERROR(VLOOKUP(Tabela6[[#This Row],[Descrição]],Materiais!B:C,2,0),"")</f>
        <v/>
      </c>
    </row>
    <row r="2372" spans="2:9">
      <c r="B2372" s="11">
        <f t="shared" si="219"/>
        <v>44855</v>
      </c>
      <c r="C2372" s="19">
        <f>MONTH(Tabela6[[#This Row],[Data]])</f>
        <v>10</v>
      </c>
      <c r="D2372" s="19">
        <f>YEAR(Tabela6[[#This Row],[Data]])</f>
        <v>2022</v>
      </c>
      <c r="E2372" s="12" t="s">
        <v>78</v>
      </c>
      <c r="F2372" t="s">
        <v>61</v>
      </c>
      <c r="G2372" s="26">
        <v>8</v>
      </c>
      <c r="I2372" t="str">
        <f>IFERROR(VLOOKUP(Tabela6[[#This Row],[Descrição]],Materiais!B:C,2,0),"")</f>
        <v/>
      </c>
    </row>
    <row r="2373" spans="2:9">
      <c r="B2373" s="11">
        <f t="shared" si="219"/>
        <v>44855</v>
      </c>
      <c r="C2373" s="19">
        <f>MONTH(Tabela6[[#This Row],[Data]])</f>
        <v>10</v>
      </c>
      <c r="D2373" s="19">
        <f>YEAR(Tabela6[[#This Row],[Data]])</f>
        <v>2022</v>
      </c>
      <c r="E2373" s="12" t="s">
        <v>78</v>
      </c>
      <c r="F2373" t="s">
        <v>147</v>
      </c>
      <c r="G2373" s="26">
        <v>4</v>
      </c>
      <c r="I2373" t="str">
        <f>IFERROR(VLOOKUP(Tabela6[[#This Row],[Descrição]],Materiais!B:C,2,0),"")</f>
        <v/>
      </c>
    </row>
    <row r="2374" spans="2:9">
      <c r="B2374" s="11">
        <f t="shared" si="219"/>
        <v>44855</v>
      </c>
      <c r="C2374" s="19">
        <f>MONTH(Tabela6[[#This Row],[Data]])</f>
        <v>10</v>
      </c>
      <c r="D2374" s="19">
        <f>YEAR(Tabela6[[#This Row],[Data]])</f>
        <v>2022</v>
      </c>
      <c r="E2374" s="12" t="s">
        <v>78</v>
      </c>
      <c r="F2374" t="s">
        <v>148</v>
      </c>
      <c r="G2374" s="26">
        <v>2</v>
      </c>
      <c r="I2374" t="str">
        <f>IFERROR(VLOOKUP(Tabela6[[#This Row],[Descrição]],Materiais!B:C,2,0),"")</f>
        <v/>
      </c>
    </row>
    <row r="2375" spans="2:9">
      <c r="B2375" s="11">
        <f t="shared" si="219"/>
        <v>44855</v>
      </c>
      <c r="C2375" s="19">
        <f>MONTH(Tabela6[[#This Row],[Data]])</f>
        <v>10</v>
      </c>
      <c r="D2375" s="19">
        <f>YEAR(Tabela6[[#This Row],[Data]])</f>
        <v>2022</v>
      </c>
      <c r="E2375" s="12" t="s">
        <v>78</v>
      </c>
      <c r="F2375" t="s">
        <v>58</v>
      </c>
      <c r="G2375" s="26">
        <v>4</v>
      </c>
      <c r="I2375" t="str">
        <f>IFERROR(VLOOKUP(Tabela6[[#This Row],[Descrição]],Materiais!B:C,2,0),"")</f>
        <v/>
      </c>
    </row>
    <row r="2376" spans="2:9">
      <c r="B2376" s="11">
        <f t="shared" si="219"/>
        <v>44855</v>
      </c>
      <c r="C2376" s="19">
        <f>MONTH(Tabela6[[#This Row],[Data]])</f>
        <v>10</v>
      </c>
      <c r="D2376" s="19">
        <f>YEAR(Tabela6[[#This Row],[Data]])</f>
        <v>2022</v>
      </c>
      <c r="E2376" s="12" t="s">
        <v>78</v>
      </c>
      <c r="F2376" t="s">
        <v>163</v>
      </c>
      <c r="G2376" s="26">
        <v>2.5</v>
      </c>
      <c r="I2376" t="str">
        <f>IFERROR(VLOOKUP(Tabela6[[#This Row],[Descrição]],Materiais!B:C,2,0),"")</f>
        <v/>
      </c>
    </row>
    <row r="2377" spans="2:9">
      <c r="B2377" s="11">
        <f t="shared" si="219"/>
        <v>44855</v>
      </c>
      <c r="C2377" s="19">
        <f>MONTH(Tabela6[[#This Row],[Data]])</f>
        <v>10</v>
      </c>
      <c r="D2377" s="19">
        <f>YEAR(Tabela6[[#This Row],[Data]])</f>
        <v>2022</v>
      </c>
      <c r="E2377" s="12" t="s">
        <v>78</v>
      </c>
      <c r="F2377" t="s">
        <v>152</v>
      </c>
      <c r="G2377" s="26">
        <v>4</v>
      </c>
      <c r="I2377" t="str">
        <f>IFERROR(VLOOKUP(Tabela6[[#This Row],[Descrição]],Materiais!B:C,2,0),"")</f>
        <v/>
      </c>
    </row>
    <row r="2378" spans="2:9">
      <c r="B2378" s="11">
        <f t="shared" ref="B2378:B2383" si="220">43396+(365*4)</f>
        <v>44856</v>
      </c>
      <c r="C2378" s="19">
        <f>MONTH(Tabela6[[#This Row],[Data]])</f>
        <v>10</v>
      </c>
      <c r="D2378" s="19">
        <f>YEAR(Tabela6[[#This Row],[Data]])</f>
        <v>2022</v>
      </c>
      <c r="E2378" s="12" t="s">
        <v>78</v>
      </c>
      <c r="F2378" t="s">
        <v>56</v>
      </c>
      <c r="G2378" s="26">
        <v>16</v>
      </c>
      <c r="I2378" t="str">
        <f>IFERROR(VLOOKUP(Tabela6[[#This Row],[Descrição]],Materiais!B:C,2,0),"")</f>
        <v/>
      </c>
    </row>
    <row r="2379" spans="2:9">
      <c r="B2379" s="11">
        <f t="shared" si="220"/>
        <v>44856</v>
      </c>
      <c r="C2379" s="19">
        <f>MONTH(Tabela6[[#This Row],[Data]])</f>
        <v>10</v>
      </c>
      <c r="D2379" s="19">
        <f>YEAR(Tabela6[[#This Row],[Data]])</f>
        <v>2022</v>
      </c>
      <c r="E2379" s="12" t="s">
        <v>78</v>
      </c>
      <c r="F2379" t="s">
        <v>61</v>
      </c>
      <c r="G2379" s="26">
        <v>6</v>
      </c>
      <c r="I2379" t="str">
        <f>IFERROR(VLOOKUP(Tabela6[[#This Row],[Descrição]],Materiais!B:C,2,0),"")</f>
        <v/>
      </c>
    </row>
    <row r="2380" spans="2:9">
      <c r="B2380" s="11">
        <f t="shared" si="220"/>
        <v>44856</v>
      </c>
      <c r="C2380" s="19">
        <f>MONTH(Tabela6[[#This Row],[Data]])</f>
        <v>10</v>
      </c>
      <c r="D2380" s="19">
        <f>YEAR(Tabela6[[#This Row],[Data]])</f>
        <v>2022</v>
      </c>
      <c r="E2380" s="12" t="s">
        <v>78</v>
      </c>
      <c r="F2380" t="s">
        <v>147</v>
      </c>
      <c r="G2380" s="26">
        <v>10</v>
      </c>
      <c r="I2380" t="str">
        <f>IFERROR(VLOOKUP(Tabela6[[#This Row],[Descrição]],Materiais!B:C,2,0),"")</f>
        <v/>
      </c>
    </row>
    <row r="2381" spans="2:9">
      <c r="B2381" s="11">
        <f t="shared" si="220"/>
        <v>44856</v>
      </c>
      <c r="C2381" s="19">
        <f>MONTH(Tabela6[[#This Row],[Data]])</f>
        <v>10</v>
      </c>
      <c r="D2381" s="19">
        <f>YEAR(Tabela6[[#This Row],[Data]])</f>
        <v>2022</v>
      </c>
      <c r="E2381" s="12" t="s">
        <v>78</v>
      </c>
      <c r="F2381" t="s">
        <v>63</v>
      </c>
      <c r="G2381" s="26">
        <v>4</v>
      </c>
      <c r="I2381" t="str">
        <f>IFERROR(VLOOKUP(Tabela6[[#This Row],[Descrição]],Materiais!B:C,2,0),"")</f>
        <v/>
      </c>
    </row>
    <row r="2382" spans="2:9">
      <c r="B2382" s="11">
        <f t="shared" si="220"/>
        <v>44856</v>
      </c>
      <c r="C2382" s="19">
        <f>MONTH(Tabela6[[#This Row],[Data]])</f>
        <v>10</v>
      </c>
      <c r="D2382" s="19">
        <f>YEAR(Tabela6[[#This Row],[Data]])</f>
        <v>2022</v>
      </c>
      <c r="E2382" s="12" t="s">
        <v>78</v>
      </c>
      <c r="F2382" t="s">
        <v>163</v>
      </c>
      <c r="G2382" s="26">
        <v>10</v>
      </c>
      <c r="I2382" t="str">
        <f>IFERROR(VLOOKUP(Tabela6[[#This Row],[Descrição]],Materiais!B:C,2,0),"")</f>
        <v/>
      </c>
    </row>
    <row r="2383" spans="2:9">
      <c r="B2383" s="11">
        <f t="shared" si="220"/>
        <v>44856</v>
      </c>
      <c r="C2383" s="19">
        <f>MONTH(Tabela6[[#This Row],[Data]])</f>
        <v>10</v>
      </c>
      <c r="D2383" s="19">
        <f>YEAR(Tabela6[[#This Row],[Data]])</f>
        <v>2022</v>
      </c>
      <c r="E2383" s="12" t="s">
        <v>78</v>
      </c>
      <c r="F2383" t="s">
        <v>152</v>
      </c>
      <c r="G2383" s="26">
        <v>6</v>
      </c>
      <c r="I2383" t="str">
        <f>IFERROR(VLOOKUP(Tabela6[[#This Row],[Descrição]],Materiais!B:C,2,0),"")</f>
        <v/>
      </c>
    </row>
    <row r="2384" spans="2:9">
      <c r="B2384" s="11">
        <f>43397+(365*4)</f>
        <v>44857</v>
      </c>
      <c r="C2384" s="19">
        <f>MONTH(Tabela6[[#This Row],[Data]])</f>
        <v>10</v>
      </c>
      <c r="D2384" s="19">
        <f>YEAR(Tabela6[[#This Row],[Data]])</f>
        <v>2022</v>
      </c>
      <c r="E2384" s="12" t="s">
        <v>78</v>
      </c>
      <c r="F2384" t="s">
        <v>61</v>
      </c>
      <c r="G2384" s="26">
        <v>6</v>
      </c>
      <c r="I2384" t="str">
        <f>IFERROR(VLOOKUP(Tabela6[[#This Row],[Descrição]],Materiais!B:C,2,0),"")</f>
        <v/>
      </c>
    </row>
    <row r="2385" spans="2:9">
      <c r="B2385" s="11">
        <f>43397+(365*4)</f>
        <v>44857</v>
      </c>
      <c r="C2385" s="19">
        <f>MONTH(Tabela6[[#This Row],[Data]])</f>
        <v>10</v>
      </c>
      <c r="D2385" s="19">
        <f>YEAR(Tabela6[[#This Row],[Data]])</f>
        <v>2022</v>
      </c>
      <c r="E2385" s="12" t="s">
        <v>78</v>
      </c>
      <c r="F2385" t="s">
        <v>163</v>
      </c>
      <c r="G2385" s="26">
        <v>12.5</v>
      </c>
      <c r="I2385" t="str">
        <f>IFERROR(VLOOKUP(Tabela6[[#This Row],[Descrição]],Materiais!B:C,2,0),"")</f>
        <v/>
      </c>
    </row>
    <row r="2386" spans="2:9">
      <c r="B2386" s="11">
        <f>43397+(365*4)</f>
        <v>44857</v>
      </c>
      <c r="C2386" s="19">
        <f>MONTH(Tabela6[[#This Row],[Data]])</f>
        <v>10</v>
      </c>
      <c r="D2386" s="19">
        <f>YEAR(Tabela6[[#This Row],[Data]])</f>
        <v>2022</v>
      </c>
      <c r="E2386" s="12" t="s">
        <v>78</v>
      </c>
      <c r="F2386" t="s">
        <v>152</v>
      </c>
      <c r="G2386" s="26">
        <v>6</v>
      </c>
      <c r="I2386" t="str">
        <f>IFERROR(VLOOKUP(Tabela6[[#This Row],[Descrição]],Materiais!B:C,2,0),"")</f>
        <v/>
      </c>
    </row>
    <row r="2387" spans="2:9">
      <c r="B2387" s="11">
        <f>43397+(365*4)</f>
        <v>44857</v>
      </c>
      <c r="C2387" s="19">
        <f>MONTH(Tabela6[[#This Row],[Data]])</f>
        <v>10</v>
      </c>
      <c r="D2387" s="19">
        <f>YEAR(Tabela6[[#This Row],[Data]])</f>
        <v>2022</v>
      </c>
      <c r="E2387" s="12" t="s">
        <v>78</v>
      </c>
      <c r="F2387" t="s">
        <v>56</v>
      </c>
      <c r="G2387" s="26">
        <v>35</v>
      </c>
      <c r="I2387" t="str">
        <f>IFERROR(VLOOKUP(Tabela6[[#This Row],[Descrição]],Materiais!B:C,2,0),"")</f>
        <v/>
      </c>
    </row>
    <row r="2388" spans="2:9">
      <c r="B2388" s="11">
        <f t="shared" ref="B2388:B2396" si="221">43402+(365*4)</f>
        <v>44862</v>
      </c>
      <c r="C2388" s="19">
        <f>MONTH(Tabela6[[#This Row],[Data]])</f>
        <v>10</v>
      </c>
      <c r="D2388" s="19">
        <f>YEAR(Tabela6[[#This Row],[Data]])</f>
        <v>2022</v>
      </c>
      <c r="E2388" s="12" t="s">
        <v>78</v>
      </c>
      <c r="F2388" t="s">
        <v>61</v>
      </c>
      <c r="G2388" s="26">
        <v>10</v>
      </c>
      <c r="I2388" t="str">
        <f>IFERROR(VLOOKUP(Tabela6[[#This Row],[Descrição]],Materiais!B:C,2,0),"")</f>
        <v/>
      </c>
    </row>
    <row r="2389" spans="2:9">
      <c r="B2389" s="11">
        <f t="shared" si="221"/>
        <v>44862</v>
      </c>
      <c r="C2389" s="19">
        <f>MONTH(Tabela6[[#This Row],[Data]])</f>
        <v>10</v>
      </c>
      <c r="D2389" s="19">
        <f>YEAR(Tabela6[[#This Row],[Data]])</f>
        <v>2022</v>
      </c>
      <c r="E2389" s="12" t="s">
        <v>78</v>
      </c>
      <c r="F2389" t="s">
        <v>163</v>
      </c>
      <c r="G2389" s="26">
        <v>7.5</v>
      </c>
      <c r="I2389" t="str">
        <f>IFERROR(VLOOKUP(Tabela6[[#This Row],[Descrição]],Materiais!B:C,2,0),"")</f>
        <v/>
      </c>
    </row>
    <row r="2390" spans="2:9">
      <c r="B2390" s="11">
        <f t="shared" si="221"/>
        <v>44862</v>
      </c>
      <c r="C2390" s="19">
        <f>MONTH(Tabela6[[#This Row],[Data]])</f>
        <v>10</v>
      </c>
      <c r="D2390" s="19">
        <f>YEAR(Tabela6[[#This Row],[Data]])</f>
        <v>2022</v>
      </c>
      <c r="E2390" s="12" t="s">
        <v>78</v>
      </c>
      <c r="F2390" t="s">
        <v>152</v>
      </c>
      <c r="G2390" s="26">
        <v>6</v>
      </c>
      <c r="I2390" t="str">
        <f>IFERROR(VLOOKUP(Tabela6[[#This Row],[Descrição]],Materiais!B:C,2,0),"")</f>
        <v/>
      </c>
    </row>
    <row r="2391" spans="2:9">
      <c r="B2391" s="11">
        <f t="shared" si="221"/>
        <v>44862</v>
      </c>
      <c r="C2391" s="19">
        <f>MONTH(Tabela6[[#This Row],[Data]])</f>
        <v>10</v>
      </c>
      <c r="D2391" s="19">
        <f>YEAR(Tabela6[[#This Row],[Data]])</f>
        <v>2022</v>
      </c>
      <c r="E2391" s="12" t="s">
        <v>78</v>
      </c>
      <c r="F2391" t="s">
        <v>147</v>
      </c>
      <c r="G2391" s="26">
        <v>6</v>
      </c>
      <c r="I2391" t="str">
        <f>IFERROR(VLOOKUP(Tabela6[[#This Row],[Descrição]],Materiais!B:C,2,0),"")</f>
        <v/>
      </c>
    </row>
    <row r="2392" spans="2:9">
      <c r="B2392" s="11">
        <f t="shared" si="221"/>
        <v>44862</v>
      </c>
      <c r="C2392" s="19">
        <f>MONTH(Tabela6[[#This Row],[Data]])</f>
        <v>10</v>
      </c>
      <c r="D2392" s="19">
        <f>YEAR(Tabela6[[#This Row],[Data]])</f>
        <v>2022</v>
      </c>
      <c r="E2392" s="12" t="s">
        <v>78</v>
      </c>
      <c r="F2392" t="s">
        <v>63</v>
      </c>
      <c r="G2392" s="26">
        <v>6</v>
      </c>
      <c r="I2392" t="str">
        <f>IFERROR(VLOOKUP(Tabela6[[#This Row],[Descrição]],Materiais!B:C,2,0),"")</f>
        <v/>
      </c>
    </row>
    <row r="2393" spans="2:9">
      <c r="B2393" s="11">
        <f t="shared" si="221"/>
        <v>44862</v>
      </c>
      <c r="C2393" s="19">
        <f>MONTH(Tabela6[[#This Row],[Data]])</f>
        <v>10</v>
      </c>
      <c r="D2393" s="19">
        <f>YEAR(Tabela6[[#This Row],[Data]])</f>
        <v>2022</v>
      </c>
      <c r="E2393" s="12" t="s">
        <v>78</v>
      </c>
      <c r="F2393" t="s">
        <v>58</v>
      </c>
      <c r="G2393" s="26">
        <v>6</v>
      </c>
      <c r="I2393" t="str">
        <f>IFERROR(VLOOKUP(Tabela6[[#This Row],[Descrição]],Materiais!B:C,2,0),"")</f>
        <v/>
      </c>
    </row>
    <row r="2394" spans="2:9">
      <c r="B2394" s="11">
        <f t="shared" si="221"/>
        <v>44862</v>
      </c>
      <c r="C2394" s="19">
        <f>MONTH(Tabela6[[#This Row],[Data]])</f>
        <v>10</v>
      </c>
      <c r="D2394" s="19">
        <f>YEAR(Tabela6[[#This Row],[Data]])</f>
        <v>2022</v>
      </c>
      <c r="E2394" s="12" t="s">
        <v>78</v>
      </c>
      <c r="F2394" t="s">
        <v>56</v>
      </c>
      <c r="G2394" s="26">
        <v>10</v>
      </c>
      <c r="I2394" t="str">
        <f>IFERROR(VLOOKUP(Tabela6[[#This Row],[Descrição]],Materiais!B:C,2,0),"")</f>
        <v/>
      </c>
    </row>
    <row r="2395" spans="2:9">
      <c r="B2395" s="11">
        <f t="shared" si="221"/>
        <v>44862</v>
      </c>
      <c r="C2395" s="19">
        <f>MONTH(Tabela6[[#This Row],[Data]])</f>
        <v>10</v>
      </c>
      <c r="D2395" s="19">
        <f>YEAR(Tabela6[[#This Row],[Data]])</f>
        <v>2022</v>
      </c>
      <c r="E2395" s="12" t="s">
        <v>78</v>
      </c>
      <c r="F2395" t="s">
        <v>60</v>
      </c>
      <c r="G2395" s="26">
        <v>7.5</v>
      </c>
      <c r="I2395" t="str">
        <f>IFERROR(VLOOKUP(Tabela6[[#This Row],[Descrição]],Materiais!B:C,2,0),"")</f>
        <v/>
      </c>
    </row>
    <row r="2396" spans="2:9">
      <c r="B2396" s="11">
        <f t="shared" si="221"/>
        <v>44862</v>
      </c>
      <c r="C2396" s="19">
        <f>MONTH(Tabela6[[#This Row],[Data]])</f>
        <v>10</v>
      </c>
      <c r="D2396" s="19">
        <f>YEAR(Tabela6[[#This Row],[Data]])</f>
        <v>2022</v>
      </c>
      <c r="E2396" s="12" t="s">
        <v>78</v>
      </c>
      <c r="F2396" t="s">
        <v>164</v>
      </c>
      <c r="G2396" s="26">
        <v>2.5</v>
      </c>
      <c r="I2396" t="str">
        <f>IFERROR(VLOOKUP(Tabela6[[#This Row],[Descrição]],Materiais!B:C,2,0),"")</f>
        <v/>
      </c>
    </row>
    <row r="2397" spans="2:9">
      <c r="B2397" s="11">
        <f>43403+(365*4)</f>
        <v>44863</v>
      </c>
      <c r="C2397" s="19">
        <f>MONTH(Tabela6[[#This Row],[Data]])</f>
        <v>10</v>
      </c>
      <c r="D2397" s="19">
        <f>YEAR(Tabela6[[#This Row],[Data]])</f>
        <v>2022</v>
      </c>
      <c r="E2397" s="12" t="s">
        <v>78</v>
      </c>
      <c r="F2397" t="s">
        <v>56</v>
      </c>
      <c r="G2397" s="26">
        <v>70</v>
      </c>
      <c r="I2397" t="str">
        <f>IFERROR(VLOOKUP(Tabela6[[#This Row],[Descrição]],Materiais!B:C,2,0),"")</f>
        <v/>
      </c>
    </row>
    <row r="2398" spans="2:9">
      <c r="B2398" s="11">
        <f t="shared" ref="B2398:B2405" si="222">43408+(365*4)</f>
        <v>44868</v>
      </c>
      <c r="C2398" s="19">
        <f>MONTH(Tabela6[[#This Row],[Data]])</f>
        <v>11</v>
      </c>
      <c r="D2398" s="19">
        <f>YEAR(Tabela6[[#This Row],[Data]])</f>
        <v>2022</v>
      </c>
      <c r="E2398" s="12" t="s">
        <v>78</v>
      </c>
      <c r="F2398" t="s">
        <v>163</v>
      </c>
      <c r="G2398" s="26">
        <v>10</v>
      </c>
      <c r="I2398" t="str">
        <f>IFERROR(VLOOKUP(Tabela6[[#This Row],[Descrição]],Materiais!B:C,2,0),"")</f>
        <v/>
      </c>
    </row>
    <row r="2399" spans="2:9">
      <c r="B2399" s="11">
        <f t="shared" si="222"/>
        <v>44868</v>
      </c>
      <c r="C2399" s="19">
        <f>MONTH(Tabela6[[#This Row],[Data]])</f>
        <v>11</v>
      </c>
      <c r="D2399" s="19">
        <f>YEAR(Tabela6[[#This Row],[Data]])</f>
        <v>2022</v>
      </c>
      <c r="E2399" s="12" t="s">
        <v>78</v>
      </c>
      <c r="F2399" t="s">
        <v>152</v>
      </c>
      <c r="G2399" s="26">
        <v>8</v>
      </c>
      <c r="I2399" t="str">
        <f>IFERROR(VLOOKUP(Tabela6[[#This Row],[Descrição]],Materiais!B:C,2,0),"")</f>
        <v/>
      </c>
    </row>
    <row r="2400" spans="2:9">
      <c r="B2400" s="11">
        <f t="shared" si="222"/>
        <v>44868</v>
      </c>
      <c r="C2400" s="19">
        <f>MONTH(Tabela6[[#This Row],[Data]])</f>
        <v>11</v>
      </c>
      <c r="D2400" s="19">
        <f>YEAR(Tabela6[[#This Row],[Data]])</f>
        <v>2022</v>
      </c>
      <c r="E2400" s="12" t="s">
        <v>78</v>
      </c>
      <c r="F2400" t="s">
        <v>147</v>
      </c>
      <c r="G2400" s="26">
        <v>4</v>
      </c>
      <c r="I2400" t="str">
        <f>IFERROR(VLOOKUP(Tabela6[[#This Row],[Descrição]],Materiais!B:C,2,0),"")</f>
        <v/>
      </c>
    </row>
    <row r="2401" spans="2:9">
      <c r="B2401" s="11">
        <f t="shared" si="222"/>
        <v>44868</v>
      </c>
      <c r="C2401" s="19">
        <f>MONTH(Tabela6[[#This Row],[Data]])</f>
        <v>11</v>
      </c>
      <c r="D2401" s="19">
        <f>YEAR(Tabela6[[#This Row],[Data]])</f>
        <v>2022</v>
      </c>
      <c r="E2401" s="12" t="s">
        <v>78</v>
      </c>
      <c r="F2401" t="s">
        <v>63</v>
      </c>
      <c r="G2401" s="26">
        <v>4</v>
      </c>
      <c r="I2401" t="str">
        <f>IFERROR(VLOOKUP(Tabela6[[#This Row],[Descrição]],Materiais!B:C,2,0),"")</f>
        <v/>
      </c>
    </row>
    <row r="2402" spans="2:9">
      <c r="B2402" s="11">
        <f t="shared" si="222"/>
        <v>44868</v>
      </c>
      <c r="C2402" s="19">
        <f>MONTH(Tabela6[[#This Row],[Data]])</f>
        <v>11</v>
      </c>
      <c r="D2402" s="19">
        <f>YEAR(Tabela6[[#This Row],[Data]])</f>
        <v>2022</v>
      </c>
      <c r="E2402" s="12" t="s">
        <v>78</v>
      </c>
      <c r="F2402" t="s">
        <v>58</v>
      </c>
      <c r="G2402" s="26">
        <v>6</v>
      </c>
      <c r="I2402" t="str">
        <f>IFERROR(VLOOKUP(Tabela6[[#This Row],[Descrição]],Materiais!B:C,2,0),"")</f>
        <v/>
      </c>
    </row>
    <row r="2403" spans="2:9">
      <c r="B2403" s="11">
        <f t="shared" si="222"/>
        <v>44868</v>
      </c>
      <c r="C2403" s="19">
        <f>MONTH(Tabela6[[#This Row],[Data]])</f>
        <v>11</v>
      </c>
      <c r="D2403" s="19">
        <f>YEAR(Tabela6[[#This Row],[Data]])</f>
        <v>2022</v>
      </c>
      <c r="E2403" s="12" t="s">
        <v>78</v>
      </c>
      <c r="F2403" t="s">
        <v>56</v>
      </c>
      <c r="G2403" s="26">
        <v>7.5</v>
      </c>
      <c r="I2403" t="str">
        <f>IFERROR(VLOOKUP(Tabela6[[#This Row],[Descrição]],Materiais!B:C,2,0),"")</f>
        <v/>
      </c>
    </row>
    <row r="2404" spans="2:9">
      <c r="B2404" s="11">
        <f t="shared" si="222"/>
        <v>44868</v>
      </c>
      <c r="C2404" s="19">
        <f>MONTH(Tabela6[[#This Row],[Data]])</f>
        <v>11</v>
      </c>
      <c r="D2404" s="19">
        <f>YEAR(Tabela6[[#This Row],[Data]])</f>
        <v>2022</v>
      </c>
      <c r="E2404" s="12" t="s">
        <v>78</v>
      </c>
      <c r="F2404" t="s">
        <v>60</v>
      </c>
      <c r="G2404" s="26">
        <v>10</v>
      </c>
      <c r="I2404" t="str">
        <f>IFERROR(VLOOKUP(Tabela6[[#This Row],[Descrição]],Materiais!B:C,2,0),"")</f>
        <v/>
      </c>
    </row>
    <row r="2405" spans="2:9">
      <c r="B2405" s="11">
        <f t="shared" si="222"/>
        <v>44868</v>
      </c>
      <c r="C2405" s="19">
        <f>MONTH(Tabela6[[#This Row],[Data]])</f>
        <v>11</v>
      </c>
      <c r="D2405" s="19">
        <f>YEAR(Tabela6[[#This Row],[Data]])</f>
        <v>2022</v>
      </c>
      <c r="E2405" s="12" t="s">
        <v>78</v>
      </c>
      <c r="F2405" t="s">
        <v>61</v>
      </c>
      <c r="G2405" s="26">
        <v>10</v>
      </c>
      <c r="I2405" t="str">
        <f>IFERROR(VLOOKUP(Tabela6[[#This Row],[Descrição]],Materiais!B:C,2,0),"")</f>
        <v/>
      </c>
    </row>
    <row r="2406" spans="2:9">
      <c r="B2406" s="11">
        <f>43413+(365*4)</f>
        <v>44873</v>
      </c>
      <c r="C2406" s="19">
        <f>MONTH(Tabela6[[#This Row],[Data]])</f>
        <v>11</v>
      </c>
      <c r="D2406" s="19">
        <f>YEAR(Tabela6[[#This Row],[Data]])</f>
        <v>2022</v>
      </c>
      <c r="E2406" s="12" t="s">
        <v>78</v>
      </c>
      <c r="F2406" t="s">
        <v>56</v>
      </c>
      <c r="G2406" s="26">
        <v>105</v>
      </c>
      <c r="I2406" t="str">
        <f>IFERROR(VLOOKUP(Tabela6[[#This Row],[Descrição]],Materiais!B:C,2,0),"")</f>
        <v/>
      </c>
    </row>
    <row r="2407" spans="2:9">
      <c r="B2407" s="11">
        <f>43416+(365*4)</f>
        <v>44876</v>
      </c>
      <c r="C2407" s="19">
        <f>MONTH(Tabela6[[#This Row],[Data]])</f>
        <v>11</v>
      </c>
      <c r="D2407" s="19">
        <f>YEAR(Tabela6[[#This Row],[Data]])</f>
        <v>2022</v>
      </c>
      <c r="E2407" s="12" t="s">
        <v>78</v>
      </c>
      <c r="F2407" t="s">
        <v>58</v>
      </c>
      <c r="G2407" s="26">
        <v>4</v>
      </c>
      <c r="I2407" t="str">
        <f>IFERROR(VLOOKUP(Tabela6[[#This Row],[Descrição]],Materiais!B:C,2,0),"")</f>
        <v/>
      </c>
    </row>
    <row r="2408" spans="2:9">
      <c r="B2408" s="11">
        <f>43416+(365*4)</f>
        <v>44876</v>
      </c>
      <c r="C2408" s="19">
        <f>MONTH(Tabela6[[#This Row],[Data]])</f>
        <v>11</v>
      </c>
      <c r="D2408" s="19">
        <f>YEAR(Tabela6[[#This Row],[Data]])</f>
        <v>2022</v>
      </c>
      <c r="E2408" s="12" t="s">
        <v>78</v>
      </c>
      <c r="F2408" t="s">
        <v>56</v>
      </c>
      <c r="G2408" s="26">
        <v>7.5</v>
      </c>
      <c r="I2408" t="str">
        <f>IFERROR(VLOOKUP(Tabela6[[#This Row],[Descrição]],Materiais!B:C,2,0),"")</f>
        <v/>
      </c>
    </row>
    <row r="2409" spans="2:9">
      <c r="B2409" s="11">
        <f>43416+(365*4)</f>
        <v>44876</v>
      </c>
      <c r="C2409" s="19">
        <f>MONTH(Tabela6[[#This Row],[Data]])</f>
        <v>11</v>
      </c>
      <c r="D2409" s="19">
        <f>YEAR(Tabela6[[#This Row],[Data]])</f>
        <v>2022</v>
      </c>
      <c r="E2409" s="12" t="s">
        <v>78</v>
      </c>
      <c r="F2409" t="s">
        <v>60</v>
      </c>
      <c r="G2409" s="26">
        <v>2.5</v>
      </c>
      <c r="I2409" t="str">
        <f>IFERROR(VLOOKUP(Tabela6[[#This Row],[Descrição]],Materiais!B:C,2,0),"")</f>
        <v/>
      </c>
    </row>
    <row r="2410" spans="2:9">
      <c r="B2410" s="11">
        <f>43416+(365*4)</f>
        <v>44876</v>
      </c>
      <c r="C2410" s="19">
        <f>MONTH(Tabela6[[#This Row],[Data]])</f>
        <v>11</v>
      </c>
      <c r="D2410" s="19">
        <f>YEAR(Tabela6[[#This Row],[Data]])</f>
        <v>2022</v>
      </c>
      <c r="E2410" s="12" t="s">
        <v>78</v>
      </c>
      <c r="F2410" t="s">
        <v>61</v>
      </c>
      <c r="G2410" s="26">
        <v>6</v>
      </c>
      <c r="I2410" t="str">
        <f>IFERROR(VLOOKUP(Tabela6[[#This Row],[Descrição]],Materiais!B:C,2,0),"")</f>
        <v/>
      </c>
    </row>
    <row r="2411" spans="2:9">
      <c r="B2411" s="11">
        <f>43416+(365*4)</f>
        <v>44876</v>
      </c>
      <c r="C2411" s="19">
        <f>MONTH(Tabela6[[#This Row],[Data]])</f>
        <v>11</v>
      </c>
      <c r="D2411" s="19">
        <f>YEAR(Tabela6[[#This Row],[Data]])</f>
        <v>2022</v>
      </c>
      <c r="E2411" s="12" t="s">
        <v>78</v>
      </c>
      <c r="F2411" t="s">
        <v>152</v>
      </c>
      <c r="G2411" s="26">
        <v>4</v>
      </c>
      <c r="I2411" t="str">
        <f>IFERROR(VLOOKUP(Tabela6[[#This Row],[Descrição]],Materiais!B:C,2,0),"")</f>
        <v/>
      </c>
    </row>
    <row r="2412" spans="2:9">
      <c r="B2412" s="11">
        <f>43417+(365*4)</f>
        <v>44877</v>
      </c>
      <c r="C2412" s="19">
        <f>MONTH(Tabela6[[#This Row],[Data]])</f>
        <v>11</v>
      </c>
      <c r="D2412" s="19">
        <f>YEAR(Tabela6[[#This Row],[Data]])</f>
        <v>2022</v>
      </c>
      <c r="E2412" s="12" t="s">
        <v>78</v>
      </c>
      <c r="F2412" t="s">
        <v>60</v>
      </c>
      <c r="G2412" s="26">
        <v>6</v>
      </c>
      <c r="I2412" t="str">
        <f>IFERROR(VLOOKUP(Tabela6[[#This Row],[Descrição]],Materiais!B:C,2,0),"")</f>
        <v/>
      </c>
    </row>
    <row r="2413" spans="2:9">
      <c r="B2413" s="11">
        <f>43417+(365*4)</f>
        <v>44877</v>
      </c>
      <c r="C2413" s="19">
        <f>MONTH(Tabela6[[#This Row],[Data]])</f>
        <v>11</v>
      </c>
      <c r="D2413" s="19">
        <f>YEAR(Tabela6[[#This Row],[Data]])</f>
        <v>2022</v>
      </c>
      <c r="E2413" s="12" t="s">
        <v>78</v>
      </c>
      <c r="F2413" t="s">
        <v>147</v>
      </c>
      <c r="G2413" s="26">
        <v>4</v>
      </c>
      <c r="I2413" t="str">
        <f>IFERROR(VLOOKUP(Tabela6[[#This Row],[Descrição]],Materiais!B:C,2,0),"")</f>
        <v/>
      </c>
    </row>
    <row r="2414" spans="2:9">
      <c r="B2414" s="11">
        <f>43417+(365*4)</f>
        <v>44877</v>
      </c>
      <c r="C2414" s="19">
        <f>MONTH(Tabela6[[#This Row],[Data]])</f>
        <v>11</v>
      </c>
      <c r="D2414" s="19">
        <f>YEAR(Tabela6[[#This Row],[Data]])</f>
        <v>2022</v>
      </c>
      <c r="E2414" s="12" t="s">
        <v>78</v>
      </c>
      <c r="F2414" t="s">
        <v>58</v>
      </c>
      <c r="G2414" s="26">
        <v>6</v>
      </c>
      <c r="I2414" t="str">
        <f>IFERROR(VLOOKUP(Tabela6[[#This Row],[Descrição]],Materiais!B:C,2,0),"")</f>
        <v/>
      </c>
    </row>
    <row r="2415" spans="2:9">
      <c r="B2415" s="11">
        <f>43417+(365*4)</f>
        <v>44877</v>
      </c>
      <c r="C2415" s="19">
        <f>MONTH(Tabela6[[#This Row],[Data]])</f>
        <v>11</v>
      </c>
      <c r="D2415" s="19">
        <f>YEAR(Tabela6[[#This Row],[Data]])</f>
        <v>2022</v>
      </c>
      <c r="E2415" s="12" t="s">
        <v>78</v>
      </c>
      <c r="F2415" t="s">
        <v>56</v>
      </c>
      <c r="G2415" s="26">
        <v>4</v>
      </c>
      <c r="I2415" t="str">
        <f>IFERROR(VLOOKUP(Tabela6[[#This Row],[Descrição]],Materiais!B:C,2,0),"")</f>
        <v/>
      </c>
    </row>
    <row r="2416" spans="2:9">
      <c r="B2416" s="11">
        <f>43417+(365*4)</f>
        <v>44877</v>
      </c>
      <c r="C2416" s="19">
        <f>MONTH(Tabela6[[#This Row],[Data]])</f>
        <v>11</v>
      </c>
      <c r="D2416" s="19">
        <f>YEAR(Tabela6[[#This Row],[Data]])</f>
        <v>2022</v>
      </c>
      <c r="E2416" s="12" t="s">
        <v>78</v>
      </c>
      <c r="F2416" t="s">
        <v>152</v>
      </c>
      <c r="G2416" s="26">
        <v>8</v>
      </c>
      <c r="I2416" t="str">
        <f>IFERROR(VLOOKUP(Tabela6[[#This Row],[Descrição]],Materiais!B:C,2,0),"")</f>
        <v/>
      </c>
    </row>
    <row r="2417" spans="2:9">
      <c r="B2417" s="11">
        <f t="shared" ref="B2417:B2423" si="223">43421+(365*4)</f>
        <v>44881</v>
      </c>
      <c r="C2417" s="19">
        <f>MONTH(Tabela6[[#This Row],[Data]])</f>
        <v>11</v>
      </c>
      <c r="D2417" s="19">
        <f>YEAR(Tabela6[[#This Row],[Data]])</f>
        <v>2022</v>
      </c>
      <c r="E2417" s="12" t="s">
        <v>75</v>
      </c>
      <c r="F2417" t="s">
        <v>104</v>
      </c>
      <c r="G2417" s="26">
        <v>-2.4</v>
      </c>
      <c r="I2417" t="str">
        <f>IFERROR(VLOOKUP(Tabela6[[#This Row],[Descrição]],Materiais!B:C,2,0),"")</f>
        <v/>
      </c>
    </row>
    <row r="2418" spans="2:9">
      <c r="B2418" s="11">
        <f t="shared" si="223"/>
        <v>44881</v>
      </c>
      <c r="C2418" s="19">
        <f>MONTH(Tabela6[[#This Row],[Data]])</f>
        <v>11</v>
      </c>
      <c r="D2418" s="19">
        <f>YEAR(Tabela6[[#This Row],[Data]])</f>
        <v>2022</v>
      </c>
      <c r="E2418" s="12" t="s">
        <v>75</v>
      </c>
      <c r="F2418" t="s">
        <v>104</v>
      </c>
      <c r="G2418" s="26">
        <v>-2</v>
      </c>
      <c r="I2418" t="str">
        <f>IFERROR(VLOOKUP(Tabela6[[#This Row],[Descrição]],Materiais!B:C,2,0),"")</f>
        <v/>
      </c>
    </row>
    <row r="2419" spans="2:9">
      <c r="B2419" s="11">
        <f t="shared" si="223"/>
        <v>44881</v>
      </c>
      <c r="C2419" s="19">
        <f>MONTH(Tabela6[[#This Row],[Data]])</f>
        <v>11</v>
      </c>
      <c r="D2419" s="19">
        <f>YEAR(Tabela6[[#This Row],[Data]])</f>
        <v>2022</v>
      </c>
      <c r="E2419" s="12" t="s">
        <v>75</v>
      </c>
      <c r="F2419" t="s">
        <v>76</v>
      </c>
      <c r="G2419" s="26">
        <v>-5.6999999999999993</v>
      </c>
      <c r="I2419" t="str">
        <f>IFERROR(VLOOKUP(Tabela6[[#This Row],[Descrição]],Materiais!B:C,2,0),"")</f>
        <v/>
      </c>
    </row>
    <row r="2420" spans="2:9">
      <c r="B2420" s="11">
        <f t="shared" si="223"/>
        <v>44881</v>
      </c>
      <c r="C2420" s="19">
        <f>MONTH(Tabela6[[#This Row],[Data]])</f>
        <v>11</v>
      </c>
      <c r="D2420" s="19">
        <f>YEAR(Tabela6[[#This Row],[Data]])</f>
        <v>2022</v>
      </c>
      <c r="E2420" s="12" t="s">
        <v>75</v>
      </c>
      <c r="F2420" t="s">
        <v>108</v>
      </c>
      <c r="G2420" s="26">
        <v>-5.25</v>
      </c>
      <c r="I2420" t="str">
        <f>IFERROR(VLOOKUP(Tabela6[[#This Row],[Descrição]],Materiais!B:C,2,0),"")</f>
        <v/>
      </c>
    </row>
    <row r="2421" spans="2:9">
      <c r="B2421" s="11">
        <f t="shared" si="223"/>
        <v>44881</v>
      </c>
      <c r="C2421" s="19">
        <f>MONTH(Tabela6[[#This Row],[Data]])</f>
        <v>11</v>
      </c>
      <c r="D2421" s="19">
        <f>YEAR(Tabela6[[#This Row],[Data]])</f>
        <v>2022</v>
      </c>
      <c r="E2421" s="12" t="s">
        <v>72</v>
      </c>
      <c r="F2421" t="s">
        <v>8</v>
      </c>
      <c r="G2421" s="26">
        <v>-1.86</v>
      </c>
      <c r="I2421" t="str">
        <f>IFERROR(VLOOKUP(Tabela6[[#This Row],[Descrição]],Materiais!B:C,2,0),"")</f>
        <v>g</v>
      </c>
    </row>
    <row r="2422" spans="2:9">
      <c r="B2422" s="11">
        <f t="shared" si="223"/>
        <v>44881</v>
      </c>
      <c r="C2422" s="19">
        <f>MONTH(Tabela6[[#This Row],[Data]])</f>
        <v>11</v>
      </c>
      <c r="D2422" s="19">
        <f>YEAR(Tabela6[[#This Row],[Data]])</f>
        <v>2022</v>
      </c>
      <c r="E2422" s="12" t="s">
        <v>72</v>
      </c>
      <c r="F2422" t="s">
        <v>77</v>
      </c>
      <c r="G2422" s="26">
        <v>-8.6</v>
      </c>
      <c r="I2422" t="str">
        <f>IFERROR(VLOOKUP(Tabela6[[#This Row],[Descrição]],Materiais!B:C,2,0),"")</f>
        <v/>
      </c>
    </row>
    <row r="2423" spans="2:9">
      <c r="B2423" s="11">
        <f t="shared" si="223"/>
        <v>44881</v>
      </c>
      <c r="C2423" s="19">
        <f>MONTH(Tabela6[[#This Row],[Data]])</f>
        <v>11</v>
      </c>
      <c r="D2423" s="19">
        <f>YEAR(Tabela6[[#This Row],[Data]])</f>
        <v>2022</v>
      </c>
      <c r="E2423" s="12" t="s">
        <v>72</v>
      </c>
      <c r="F2423" t="s">
        <v>127</v>
      </c>
      <c r="G2423" s="26">
        <v>-2.99</v>
      </c>
      <c r="I2423" t="str">
        <f>IFERROR(VLOOKUP(Tabela6[[#This Row],[Descrição]],Materiais!B:C,2,0),"")</f>
        <v/>
      </c>
    </row>
    <row r="2424" spans="2:9">
      <c r="B2424" s="11">
        <f>43428+(365*4)</f>
        <v>44888</v>
      </c>
      <c r="C2424" s="19">
        <f>MONTH(Tabela6[[#This Row],[Data]])</f>
        <v>11</v>
      </c>
      <c r="D2424" s="19">
        <f>YEAR(Tabela6[[#This Row],[Data]])</f>
        <v>2022</v>
      </c>
      <c r="E2424" s="12" t="s">
        <v>75</v>
      </c>
      <c r="F2424" t="s">
        <v>111</v>
      </c>
      <c r="G2424" s="26">
        <v>-10.9</v>
      </c>
      <c r="I2424" t="str">
        <f>IFERROR(VLOOKUP(Tabela6[[#This Row],[Descrição]],Materiais!B:C,2,0),"")</f>
        <v/>
      </c>
    </row>
    <row r="2425" spans="2:9">
      <c r="B2425" s="11">
        <f>43428+(365*4)</f>
        <v>44888</v>
      </c>
      <c r="C2425" s="19">
        <f>MONTH(Tabela6[[#This Row],[Data]])</f>
        <v>11</v>
      </c>
      <c r="D2425" s="19">
        <f>YEAR(Tabela6[[#This Row],[Data]])</f>
        <v>2022</v>
      </c>
      <c r="E2425" s="12" t="s">
        <v>75</v>
      </c>
      <c r="F2425" t="s">
        <v>76</v>
      </c>
      <c r="G2425" s="26">
        <v>-2.9699999999999998</v>
      </c>
      <c r="I2425" t="str">
        <f>IFERROR(VLOOKUP(Tabela6[[#This Row],[Descrição]],Materiais!B:C,2,0),"")</f>
        <v/>
      </c>
    </row>
    <row r="2426" spans="2:9">
      <c r="B2426" s="11">
        <f>43428+(365*4)</f>
        <v>44888</v>
      </c>
      <c r="C2426" s="19">
        <f>MONTH(Tabela6[[#This Row],[Data]])</f>
        <v>11</v>
      </c>
      <c r="D2426" s="19">
        <f>YEAR(Tabela6[[#This Row],[Data]])</f>
        <v>2022</v>
      </c>
      <c r="E2426" s="12" t="s">
        <v>72</v>
      </c>
      <c r="F2426" t="s">
        <v>77</v>
      </c>
      <c r="G2426" s="26">
        <v>-8.6</v>
      </c>
      <c r="I2426" t="str">
        <f>IFERROR(VLOOKUP(Tabela6[[#This Row],[Descrição]],Materiais!B:C,2,0),"")</f>
        <v/>
      </c>
    </row>
    <row r="2427" spans="2:9">
      <c r="B2427" s="11">
        <f>43428+(365*4)</f>
        <v>44888</v>
      </c>
      <c r="C2427" s="19">
        <f>MONTH(Tabela6[[#This Row],[Data]])</f>
        <v>11</v>
      </c>
      <c r="D2427" s="19">
        <f>YEAR(Tabela6[[#This Row],[Data]])</f>
        <v>2022</v>
      </c>
      <c r="E2427" s="12" t="s">
        <v>72</v>
      </c>
      <c r="F2427" t="s">
        <v>22</v>
      </c>
      <c r="G2427" s="26">
        <v>-17.97</v>
      </c>
      <c r="I2427" t="str">
        <f>IFERROR(VLOOKUP(Tabela6[[#This Row],[Descrição]],Materiais!B:C,2,0),"")</f>
        <v>g</v>
      </c>
    </row>
    <row r="2428" spans="2:9">
      <c r="B2428" s="11">
        <f t="shared" ref="B2428:B2435" si="224">43430+(365*4)</f>
        <v>44890</v>
      </c>
      <c r="C2428" s="19">
        <f>MONTH(Tabela6[[#This Row],[Data]])</f>
        <v>11</v>
      </c>
      <c r="D2428" s="19">
        <f>YEAR(Tabela6[[#This Row],[Data]])</f>
        <v>2022</v>
      </c>
      <c r="E2428" s="12" t="s">
        <v>78</v>
      </c>
      <c r="F2428" t="s">
        <v>60</v>
      </c>
      <c r="G2428" s="26">
        <v>7.5</v>
      </c>
      <c r="I2428" t="str">
        <f>IFERROR(VLOOKUP(Tabela6[[#This Row],[Descrição]],Materiais!B:C,2,0),"")</f>
        <v/>
      </c>
    </row>
    <row r="2429" spans="2:9">
      <c r="B2429" s="11">
        <f t="shared" si="224"/>
        <v>44890</v>
      </c>
      <c r="C2429" s="19">
        <f>MONTH(Tabela6[[#This Row],[Data]])</f>
        <v>11</v>
      </c>
      <c r="D2429" s="19">
        <f>YEAR(Tabela6[[#This Row],[Data]])</f>
        <v>2022</v>
      </c>
      <c r="E2429" s="12" t="s">
        <v>78</v>
      </c>
      <c r="F2429" t="s">
        <v>61</v>
      </c>
      <c r="G2429" s="26">
        <v>8</v>
      </c>
      <c r="I2429" t="str">
        <f>IFERROR(VLOOKUP(Tabela6[[#This Row],[Descrição]],Materiais!B:C,2,0),"")</f>
        <v/>
      </c>
    </row>
    <row r="2430" spans="2:9">
      <c r="B2430" s="11">
        <f t="shared" si="224"/>
        <v>44890</v>
      </c>
      <c r="C2430" s="19">
        <f>MONTH(Tabela6[[#This Row],[Data]])</f>
        <v>11</v>
      </c>
      <c r="D2430" s="19">
        <f>YEAR(Tabela6[[#This Row],[Data]])</f>
        <v>2022</v>
      </c>
      <c r="E2430" s="12" t="s">
        <v>78</v>
      </c>
      <c r="F2430" t="s">
        <v>58</v>
      </c>
      <c r="G2430" s="26">
        <v>6</v>
      </c>
      <c r="I2430" t="str">
        <f>IFERROR(VLOOKUP(Tabela6[[#This Row],[Descrição]],Materiais!B:C,2,0),"")</f>
        <v/>
      </c>
    </row>
    <row r="2431" spans="2:9">
      <c r="B2431" s="11">
        <f t="shared" si="224"/>
        <v>44890</v>
      </c>
      <c r="C2431" s="19">
        <f>MONTH(Tabela6[[#This Row],[Data]])</f>
        <v>11</v>
      </c>
      <c r="D2431" s="19">
        <f>YEAR(Tabela6[[#This Row],[Data]])</f>
        <v>2022</v>
      </c>
      <c r="E2431" s="12" t="s">
        <v>78</v>
      </c>
      <c r="F2431" t="s">
        <v>56</v>
      </c>
      <c r="G2431" s="26">
        <v>10</v>
      </c>
      <c r="I2431" t="str">
        <f>IFERROR(VLOOKUP(Tabela6[[#This Row],[Descrição]],Materiais!B:C,2,0),"")</f>
        <v/>
      </c>
    </row>
    <row r="2432" spans="2:9">
      <c r="B2432" s="11">
        <f t="shared" si="224"/>
        <v>44890</v>
      </c>
      <c r="C2432" s="19">
        <f>MONTH(Tabela6[[#This Row],[Data]])</f>
        <v>11</v>
      </c>
      <c r="D2432" s="19">
        <f>YEAR(Tabela6[[#This Row],[Data]])</f>
        <v>2022</v>
      </c>
      <c r="E2432" s="12" t="s">
        <v>78</v>
      </c>
      <c r="F2432" t="s">
        <v>152</v>
      </c>
      <c r="G2432" s="26">
        <v>4</v>
      </c>
      <c r="I2432" t="str">
        <f>IFERROR(VLOOKUP(Tabela6[[#This Row],[Descrição]],Materiais!B:C,2,0),"")</f>
        <v/>
      </c>
    </row>
    <row r="2433" spans="2:9">
      <c r="B2433" s="11">
        <f t="shared" si="224"/>
        <v>44890</v>
      </c>
      <c r="C2433" s="19">
        <f>MONTH(Tabela6[[#This Row],[Data]])</f>
        <v>11</v>
      </c>
      <c r="D2433" s="19">
        <f>YEAR(Tabela6[[#This Row],[Data]])</f>
        <v>2022</v>
      </c>
      <c r="E2433" s="12" t="s">
        <v>78</v>
      </c>
      <c r="F2433" t="s">
        <v>163</v>
      </c>
      <c r="G2433" s="26">
        <v>7.5</v>
      </c>
      <c r="I2433" t="str">
        <f>IFERROR(VLOOKUP(Tabela6[[#This Row],[Descrição]],Materiais!B:C,2,0),"")</f>
        <v/>
      </c>
    </row>
    <row r="2434" spans="2:9">
      <c r="B2434" s="11">
        <f t="shared" si="224"/>
        <v>44890</v>
      </c>
      <c r="C2434" s="19">
        <f>MONTH(Tabela6[[#This Row],[Data]])</f>
        <v>11</v>
      </c>
      <c r="D2434" s="19">
        <f>YEAR(Tabela6[[#This Row],[Data]])</f>
        <v>2022</v>
      </c>
      <c r="E2434" s="12" t="s">
        <v>78</v>
      </c>
      <c r="F2434" t="s">
        <v>148</v>
      </c>
      <c r="G2434" s="26">
        <v>4</v>
      </c>
      <c r="I2434" t="str">
        <f>IFERROR(VLOOKUP(Tabela6[[#This Row],[Descrição]],Materiais!B:C,2,0),"")</f>
        <v/>
      </c>
    </row>
    <row r="2435" spans="2:9">
      <c r="B2435" s="11">
        <f t="shared" si="224"/>
        <v>44890</v>
      </c>
      <c r="C2435" s="19">
        <f>MONTH(Tabela6[[#This Row],[Data]])</f>
        <v>11</v>
      </c>
      <c r="D2435" s="19">
        <f>YEAR(Tabela6[[#This Row],[Data]])</f>
        <v>2022</v>
      </c>
      <c r="E2435" s="12" t="s">
        <v>78</v>
      </c>
      <c r="F2435" t="s">
        <v>147</v>
      </c>
      <c r="G2435" s="26">
        <v>4</v>
      </c>
      <c r="I2435" t="str">
        <f>IFERROR(VLOOKUP(Tabela6[[#This Row],[Descrição]],Materiais!B:C,2,0),"")</f>
        <v/>
      </c>
    </row>
    <row r="2436" spans="2:9">
      <c r="B2436" s="11">
        <f t="shared" ref="B2436:B2444" si="225">43439+(365*4)</f>
        <v>44899</v>
      </c>
      <c r="C2436" s="19">
        <f>MONTH(Tabela6[[#This Row],[Data]])</f>
        <v>12</v>
      </c>
      <c r="D2436" s="19">
        <f>YEAR(Tabela6[[#This Row],[Data]])</f>
        <v>2022</v>
      </c>
      <c r="E2436" s="12" t="s">
        <v>78</v>
      </c>
      <c r="F2436" t="s">
        <v>61</v>
      </c>
      <c r="G2436" s="26">
        <v>12</v>
      </c>
      <c r="I2436" t="str">
        <f>IFERROR(VLOOKUP(Tabela6[[#This Row],[Descrição]],Materiais!B:C,2,0),"")</f>
        <v/>
      </c>
    </row>
    <row r="2437" spans="2:9">
      <c r="B2437" s="11">
        <f t="shared" si="225"/>
        <v>44899</v>
      </c>
      <c r="C2437" s="19">
        <f>MONTH(Tabela6[[#This Row],[Data]])</f>
        <v>12</v>
      </c>
      <c r="D2437" s="19">
        <f>YEAR(Tabela6[[#This Row],[Data]])</f>
        <v>2022</v>
      </c>
      <c r="E2437" s="12" t="s">
        <v>78</v>
      </c>
      <c r="F2437" t="s">
        <v>58</v>
      </c>
      <c r="G2437" s="26">
        <v>14</v>
      </c>
      <c r="I2437" t="str">
        <f>IFERROR(VLOOKUP(Tabela6[[#This Row],[Descrição]],Materiais!B:C,2,0),"")</f>
        <v/>
      </c>
    </row>
    <row r="2438" spans="2:9">
      <c r="B2438" s="11">
        <f t="shared" si="225"/>
        <v>44899</v>
      </c>
      <c r="C2438" s="19">
        <f>MONTH(Tabela6[[#This Row],[Data]])</f>
        <v>12</v>
      </c>
      <c r="D2438" s="19">
        <f>YEAR(Tabela6[[#This Row],[Data]])</f>
        <v>2022</v>
      </c>
      <c r="E2438" s="12" t="s">
        <v>78</v>
      </c>
      <c r="F2438" t="s">
        <v>56</v>
      </c>
      <c r="G2438" s="26">
        <v>16</v>
      </c>
      <c r="I2438" t="str">
        <f>IFERROR(VLOOKUP(Tabela6[[#This Row],[Descrição]],Materiais!B:C,2,0),"")</f>
        <v/>
      </c>
    </row>
    <row r="2439" spans="2:9">
      <c r="B2439" s="11">
        <f t="shared" si="225"/>
        <v>44899</v>
      </c>
      <c r="C2439" s="19">
        <f>MONTH(Tabela6[[#This Row],[Data]])</f>
        <v>12</v>
      </c>
      <c r="D2439" s="19">
        <f>YEAR(Tabela6[[#This Row],[Data]])</f>
        <v>2022</v>
      </c>
      <c r="E2439" s="12" t="s">
        <v>78</v>
      </c>
      <c r="F2439" t="s">
        <v>152</v>
      </c>
      <c r="G2439" s="26">
        <v>8</v>
      </c>
      <c r="I2439" t="str">
        <f>IFERROR(VLOOKUP(Tabela6[[#This Row],[Descrição]],Materiais!B:C,2,0),"")</f>
        <v/>
      </c>
    </row>
    <row r="2440" spans="2:9">
      <c r="B2440" s="11">
        <f t="shared" si="225"/>
        <v>44899</v>
      </c>
      <c r="C2440" s="19">
        <f>MONTH(Tabela6[[#This Row],[Data]])</f>
        <v>12</v>
      </c>
      <c r="D2440" s="19">
        <f>YEAR(Tabela6[[#This Row],[Data]])</f>
        <v>2022</v>
      </c>
      <c r="E2440" s="12" t="s">
        <v>78</v>
      </c>
      <c r="F2440" t="s">
        <v>163</v>
      </c>
      <c r="G2440" s="26">
        <v>7.5</v>
      </c>
      <c r="I2440" t="str">
        <f>IFERROR(VLOOKUP(Tabela6[[#This Row],[Descrição]],Materiais!B:C,2,0),"")</f>
        <v/>
      </c>
    </row>
    <row r="2441" spans="2:9">
      <c r="B2441" s="11">
        <f t="shared" si="225"/>
        <v>44899</v>
      </c>
      <c r="C2441" s="19">
        <f>MONTH(Tabela6[[#This Row],[Data]])</f>
        <v>12</v>
      </c>
      <c r="D2441" s="19">
        <f>YEAR(Tabela6[[#This Row],[Data]])</f>
        <v>2022</v>
      </c>
      <c r="E2441" s="12" t="s">
        <v>78</v>
      </c>
      <c r="F2441" t="s">
        <v>148</v>
      </c>
      <c r="G2441" s="26">
        <v>12</v>
      </c>
      <c r="I2441" t="str">
        <f>IFERROR(VLOOKUP(Tabela6[[#This Row],[Descrição]],Materiais!B:C,2,0),"")</f>
        <v/>
      </c>
    </row>
    <row r="2442" spans="2:9">
      <c r="B2442" s="11">
        <f t="shared" si="225"/>
        <v>44899</v>
      </c>
      <c r="C2442" s="19">
        <f>MONTH(Tabela6[[#This Row],[Data]])</f>
        <v>12</v>
      </c>
      <c r="D2442" s="19">
        <f>YEAR(Tabela6[[#This Row],[Data]])</f>
        <v>2022</v>
      </c>
      <c r="E2442" s="12" t="s">
        <v>78</v>
      </c>
      <c r="F2442" t="s">
        <v>147</v>
      </c>
      <c r="G2442" s="26">
        <v>8</v>
      </c>
      <c r="I2442" t="str">
        <f>IFERROR(VLOOKUP(Tabela6[[#This Row],[Descrição]],Materiais!B:C,2,0),"")</f>
        <v/>
      </c>
    </row>
    <row r="2443" spans="2:9">
      <c r="B2443" s="11">
        <f t="shared" si="225"/>
        <v>44899</v>
      </c>
      <c r="C2443" s="19">
        <f>MONTH(Tabela6[[#This Row],[Data]])</f>
        <v>12</v>
      </c>
      <c r="D2443" s="19">
        <f>YEAR(Tabela6[[#This Row],[Data]])</f>
        <v>2022</v>
      </c>
      <c r="E2443" s="12" t="s">
        <v>78</v>
      </c>
      <c r="F2443" t="s">
        <v>63</v>
      </c>
      <c r="G2443" s="26">
        <v>8</v>
      </c>
      <c r="I2443" t="str">
        <f>IFERROR(VLOOKUP(Tabela6[[#This Row],[Descrição]],Materiais!B:C,2,0),"")</f>
        <v/>
      </c>
    </row>
    <row r="2444" spans="2:9">
      <c r="B2444" s="11">
        <f t="shared" si="225"/>
        <v>44899</v>
      </c>
      <c r="C2444" s="19">
        <f>MONTH(Tabela6[[#This Row],[Data]])</f>
        <v>12</v>
      </c>
      <c r="D2444" s="19">
        <f>YEAR(Tabela6[[#This Row],[Data]])</f>
        <v>2022</v>
      </c>
      <c r="E2444" s="12" t="s">
        <v>78</v>
      </c>
      <c r="F2444" t="s">
        <v>133</v>
      </c>
      <c r="G2444" s="26">
        <v>2</v>
      </c>
      <c r="I2444" t="str">
        <f>IFERROR(VLOOKUP(Tabela6[[#This Row],[Descrição]],Materiais!B:C,2,0),"")</f>
        <v/>
      </c>
    </row>
    <row r="2445" spans="2:9">
      <c r="B2445" s="11">
        <f>43441+(365*4)</f>
        <v>44901</v>
      </c>
      <c r="C2445" s="19">
        <f>MONTH(Tabela6[[#This Row],[Data]])</f>
        <v>12</v>
      </c>
      <c r="D2445" s="19">
        <f>YEAR(Tabela6[[#This Row],[Data]])</f>
        <v>2022</v>
      </c>
      <c r="E2445" s="12" t="s">
        <v>75</v>
      </c>
      <c r="F2445" t="s">
        <v>165</v>
      </c>
      <c r="G2445" s="26">
        <v>-5.12</v>
      </c>
      <c r="I2445" t="str">
        <f>IFERROR(VLOOKUP(Tabela6[[#This Row],[Descrição]],Materiais!B:C,2,0),"")</f>
        <v/>
      </c>
    </row>
    <row r="2446" spans="2:9">
      <c r="B2446" s="11">
        <f t="shared" ref="B2446:B2453" si="226">43443+(365*4)</f>
        <v>44903</v>
      </c>
      <c r="C2446" s="19">
        <f>MONTH(Tabela6[[#This Row],[Data]])</f>
        <v>12</v>
      </c>
      <c r="D2446" s="19">
        <f>YEAR(Tabela6[[#This Row],[Data]])</f>
        <v>2022</v>
      </c>
      <c r="E2446" s="12" t="s">
        <v>78</v>
      </c>
      <c r="F2446" t="s">
        <v>61</v>
      </c>
      <c r="G2446" s="26">
        <v>12</v>
      </c>
      <c r="I2446" t="str">
        <f>IFERROR(VLOOKUP(Tabela6[[#This Row],[Descrição]],Materiais!B:C,2,0),"")</f>
        <v/>
      </c>
    </row>
    <row r="2447" spans="2:9">
      <c r="B2447" s="11">
        <f t="shared" si="226"/>
        <v>44903</v>
      </c>
      <c r="C2447" s="19">
        <f>MONTH(Tabela6[[#This Row],[Data]])</f>
        <v>12</v>
      </c>
      <c r="D2447" s="19">
        <f>YEAR(Tabela6[[#This Row],[Data]])</f>
        <v>2022</v>
      </c>
      <c r="E2447" s="12" t="s">
        <v>78</v>
      </c>
      <c r="F2447" t="s">
        <v>58</v>
      </c>
      <c r="G2447" s="26">
        <v>6</v>
      </c>
      <c r="I2447" t="str">
        <f>IFERROR(VLOOKUP(Tabela6[[#This Row],[Descrição]],Materiais!B:C,2,0),"")</f>
        <v/>
      </c>
    </row>
    <row r="2448" spans="2:9">
      <c r="B2448" s="11">
        <f t="shared" si="226"/>
        <v>44903</v>
      </c>
      <c r="C2448" s="19">
        <f>MONTH(Tabela6[[#This Row],[Data]])</f>
        <v>12</v>
      </c>
      <c r="D2448" s="19">
        <f>YEAR(Tabela6[[#This Row],[Data]])</f>
        <v>2022</v>
      </c>
      <c r="E2448" s="12" t="s">
        <v>78</v>
      </c>
      <c r="F2448" t="s">
        <v>56</v>
      </c>
      <c r="G2448" s="26">
        <v>8</v>
      </c>
      <c r="I2448" t="str">
        <f>IFERROR(VLOOKUP(Tabela6[[#This Row],[Descrição]],Materiais!B:C,2,0),"")</f>
        <v/>
      </c>
    </row>
    <row r="2449" spans="2:9">
      <c r="B2449" s="11">
        <f t="shared" si="226"/>
        <v>44903</v>
      </c>
      <c r="C2449" s="19">
        <f>MONTH(Tabela6[[#This Row],[Data]])</f>
        <v>12</v>
      </c>
      <c r="D2449" s="19">
        <f>YEAR(Tabela6[[#This Row],[Data]])</f>
        <v>2022</v>
      </c>
      <c r="E2449" s="12" t="s">
        <v>78</v>
      </c>
      <c r="F2449" t="s">
        <v>152</v>
      </c>
      <c r="G2449" s="26">
        <v>8</v>
      </c>
      <c r="I2449" t="str">
        <f>IFERROR(VLOOKUP(Tabela6[[#This Row],[Descrição]],Materiais!B:C,2,0),"")</f>
        <v/>
      </c>
    </row>
    <row r="2450" spans="2:9">
      <c r="B2450" s="11">
        <f t="shared" si="226"/>
        <v>44903</v>
      </c>
      <c r="C2450" s="19">
        <f>MONTH(Tabela6[[#This Row],[Data]])</f>
        <v>12</v>
      </c>
      <c r="D2450" s="19">
        <f>YEAR(Tabela6[[#This Row],[Data]])</f>
        <v>2022</v>
      </c>
      <c r="E2450" s="12" t="s">
        <v>78</v>
      </c>
      <c r="F2450" t="s">
        <v>163</v>
      </c>
      <c r="G2450" s="26">
        <v>10</v>
      </c>
      <c r="I2450" t="str">
        <f>IFERROR(VLOOKUP(Tabela6[[#This Row],[Descrição]],Materiais!B:C,2,0),"")</f>
        <v/>
      </c>
    </row>
    <row r="2451" spans="2:9">
      <c r="B2451" s="11">
        <f t="shared" si="226"/>
        <v>44903</v>
      </c>
      <c r="C2451" s="19">
        <f>MONTH(Tabela6[[#This Row],[Data]])</f>
        <v>12</v>
      </c>
      <c r="D2451" s="19">
        <f>YEAR(Tabela6[[#This Row],[Data]])</f>
        <v>2022</v>
      </c>
      <c r="E2451" s="12" t="s">
        <v>78</v>
      </c>
      <c r="F2451" t="s">
        <v>148</v>
      </c>
      <c r="G2451" s="26">
        <v>2</v>
      </c>
      <c r="I2451" t="str">
        <f>IFERROR(VLOOKUP(Tabela6[[#This Row],[Descrição]],Materiais!B:C,2,0),"")</f>
        <v/>
      </c>
    </row>
    <row r="2452" spans="2:9">
      <c r="B2452" s="11">
        <f t="shared" si="226"/>
        <v>44903</v>
      </c>
      <c r="C2452" s="19">
        <f>MONTH(Tabela6[[#This Row],[Data]])</f>
        <v>12</v>
      </c>
      <c r="D2452" s="19">
        <f>YEAR(Tabela6[[#This Row],[Data]])</f>
        <v>2022</v>
      </c>
      <c r="E2452" s="12" t="s">
        <v>78</v>
      </c>
      <c r="F2452" t="s">
        <v>147</v>
      </c>
      <c r="G2452" s="26">
        <v>6</v>
      </c>
      <c r="I2452" t="str">
        <f>IFERROR(VLOOKUP(Tabela6[[#This Row],[Descrição]],Materiais!B:C,2,0),"")</f>
        <v/>
      </c>
    </row>
    <row r="2453" spans="2:9">
      <c r="B2453" s="11">
        <f t="shared" si="226"/>
        <v>44903</v>
      </c>
      <c r="C2453" s="19">
        <f>MONTH(Tabela6[[#This Row],[Data]])</f>
        <v>12</v>
      </c>
      <c r="D2453" s="19">
        <f>YEAR(Tabela6[[#This Row],[Data]])</f>
        <v>2022</v>
      </c>
      <c r="E2453" s="12" t="s">
        <v>78</v>
      </c>
      <c r="F2453" t="s">
        <v>63</v>
      </c>
      <c r="G2453" s="26">
        <v>4</v>
      </c>
      <c r="I2453" t="str">
        <f>IFERROR(VLOOKUP(Tabela6[[#This Row],[Descrição]],Materiais!B:C,2,0),"")</f>
        <v/>
      </c>
    </row>
    <row r="2454" spans="2:9">
      <c r="B2454" s="11">
        <f>43449+(365*4)</f>
        <v>44909</v>
      </c>
      <c r="C2454" s="19">
        <f>MONTH(Tabela6[[#This Row],[Data]])</f>
        <v>12</v>
      </c>
      <c r="D2454" s="19">
        <f>YEAR(Tabela6[[#This Row],[Data]])</f>
        <v>2022</v>
      </c>
      <c r="E2454" s="12" t="s">
        <v>78</v>
      </c>
      <c r="F2454" t="s">
        <v>56</v>
      </c>
      <c r="G2454" s="26">
        <v>70</v>
      </c>
      <c r="I2454" t="str">
        <f>IFERROR(VLOOKUP(Tabela6[[#This Row],[Descrição]],Materiais!B:C,2,0),"")</f>
        <v/>
      </c>
    </row>
    <row r="2455" spans="2:9">
      <c r="B2455" s="11">
        <f t="shared" ref="B2455:B2460" si="227">43451+(365*4)</f>
        <v>44911</v>
      </c>
      <c r="C2455" s="19">
        <f>MONTH(Tabela6[[#This Row],[Data]])</f>
        <v>12</v>
      </c>
      <c r="D2455" s="19">
        <f>YEAR(Tabela6[[#This Row],[Data]])</f>
        <v>2022</v>
      </c>
      <c r="E2455" s="12" t="s">
        <v>78</v>
      </c>
      <c r="F2455" t="s">
        <v>61</v>
      </c>
      <c r="G2455" s="26">
        <v>10</v>
      </c>
      <c r="I2455" t="str">
        <f>IFERROR(VLOOKUP(Tabela6[[#This Row],[Descrição]],Materiais!B:C,2,0),"")</f>
        <v/>
      </c>
    </row>
    <row r="2456" spans="2:9">
      <c r="B2456" s="11">
        <f t="shared" si="227"/>
        <v>44911</v>
      </c>
      <c r="C2456" s="19">
        <f>MONTH(Tabela6[[#This Row],[Data]])</f>
        <v>12</v>
      </c>
      <c r="D2456" s="19">
        <f>YEAR(Tabela6[[#This Row],[Data]])</f>
        <v>2022</v>
      </c>
      <c r="E2456" s="12" t="s">
        <v>78</v>
      </c>
      <c r="F2456" t="s">
        <v>58</v>
      </c>
      <c r="G2456" s="26">
        <v>6</v>
      </c>
      <c r="I2456" t="str">
        <f>IFERROR(VLOOKUP(Tabela6[[#This Row],[Descrição]],Materiais!B:C,2,0),"")</f>
        <v/>
      </c>
    </row>
    <row r="2457" spans="2:9">
      <c r="B2457" s="11">
        <f t="shared" si="227"/>
        <v>44911</v>
      </c>
      <c r="C2457" s="19">
        <f>MONTH(Tabela6[[#This Row],[Data]])</f>
        <v>12</v>
      </c>
      <c r="D2457" s="19">
        <f>YEAR(Tabela6[[#This Row],[Data]])</f>
        <v>2022</v>
      </c>
      <c r="E2457" s="12" t="s">
        <v>78</v>
      </c>
      <c r="F2457" t="s">
        <v>56</v>
      </c>
      <c r="G2457" s="26">
        <v>10</v>
      </c>
      <c r="I2457" t="str">
        <f>IFERROR(VLOOKUP(Tabela6[[#This Row],[Descrição]],Materiais!B:C,2,0),"")</f>
        <v/>
      </c>
    </row>
    <row r="2458" spans="2:9">
      <c r="B2458" s="11">
        <f t="shared" si="227"/>
        <v>44911</v>
      </c>
      <c r="C2458" s="19">
        <f>MONTH(Tabela6[[#This Row],[Data]])</f>
        <v>12</v>
      </c>
      <c r="D2458" s="19">
        <f>YEAR(Tabela6[[#This Row],[Data]])</f>
        <v>2022</v>
      </c>
      <c r="E2458" s="12" t="s">
        <v>78</v>
      </c>
      <c r="F2458" t="s">
        <v>163</v>
      </c>
      <c r="G2458" s="26">
        <v>5</v>
      </c>
      <c r="I2458" t="str">
        <f>IFERROR(VLOOKUP(Tabela6[[#This Row],[Descrição]],Materiais!B:C,2,0),"")</f>
        <v/>
      </c>
    </row>
    <row r="2459" spans="2:9">
      <c r="B2459" s="11">
        <f t="shared" si="227"/>
        <v>44911</v>
      </c>
      <c r="C2459" s="19">
        <f>MONTH(Tabela6[[#This Row],[Data]])</f>
        <v>12</v>
      </c>
      <c r="D2459" s="19">
        <f>YEAR(Tabela6[[#This Row],[Data]])</f>
        <v>2022</v>
      </c>
      <c r="E2459" s="12" t="s">
        <v>78</v>
      </c>
      <c r="F2459" t="s">
        <v>147</v>
      </c>
      <c r="G2459" s="26">
        <v>6</v>
      </c>
      <c r="I2459" t="str">
        <f>IFERROR(VLOOKUP(Tabela6[[#This Row],[Descrição]],Materiais!B:C,2,0),"")</f>
        <v/>
      </c>
    </row>
    <row r="2460" spans="2:9">
      <c r="B2460" s="11">
        <f t="shared" si="227"/>
        <v>44911</v>
      </c>
      <c r="C2460" s="19">
        <f>MONTH(Tabela6[[#This Row],[Data]])</f>
        <v>12</v>
      </c>
      <c r="D2460" s="19">
        <f>YEAR(Tabela6[[#This Row],[Data]])</f>
        <v>2022</v>
      </c>
      <c r="E2460" s="12" t="s">
        <v>78</v>
      </c>
      <c r="F2460" t="s">
        <v>63</v>
      </c>
      <c r="G2460" s="26">
        <v>4</v>
      </c>
      <c r="I2460" t="str">
        <f>IFERROR(VLOOKUP(Tabela6[[#This Row],[Descrição]],Materiais!B:C,2,0),"")</f>
        <v/>
      </c>
    </row>
    <row r="2461" spans="2:9">
      <c r="B2461" s="11">
        <f>43452+(365*4)</f>
        <v>44912</v>
      </c>
      <c r="C2461" s="19">
        <f>MONTH(Tabela6[[#This Row],[Data]])</f>
        <v>12</v>
      </c>
      <c r="D2461" s="19">
        <f>YEAR(Tabela6[[#This Row],[Data]])</f>
        <v>2022</v>
      </c>
      <c r="E2461" s="12" t="s">
        <v>78</v>
      </c>
      <c r="F2461" t="s">
        <v>61</v>
      </c>
      <c r="G2461" s="26">
        <v>2</v>
      </c>
      <c r="I2461" t="str">
        <f>IFERROR(VLOOKUP(Tabela6[[#This Row],[Descrição]],Materiais!B:C,2,0),"")</f>
        <v/>
      </c>
    </row>
    <row r="2462" spans="2:9">
      <c r="B2462" s="11">
        <f>43452+(365*4)</f>
        <v>44912</v>
      </c>
      <c r="C2462" s="19">
        <f>MONTH(Tabela6[[#This Row],[Data]])</f>
        <v>12</v>
      </c>
      <c r="D2462" s="19">
        <f>YEAR(Tabela6[[#This Row],[Data]])</f>
        <v>2022</v>
      </c>
      <c r="E2462" s="12" t="s">
        <v>78</v>
      </c>
      <c r="F2462" t="s">
        <v>152</v>
      </c>
      <c r="G2462" s="26">
        <v>6</v>
      </c>
      <c r="I2462" t="str">
        <f>IFERROR(VLOOKUP(Tabela6[[#This Row],[Descrição]],Materiais!B:C,2,0),"")</f>
        <v/>
      </c>
    </row>
    <row r="2463" spans="2:9">
      <c r="B2463" s="11">
        <f>43452+(365*4)</f>
        <v>44912</v>
      </c>
      <c r="C2463" s="19">
        <f>MONTH(Tabela6[[#This Row],[Data]])</f>
        <v>12</v>
      </c>
      <c r="D2463" s="19">
        <f>YEAR(Tabela6[[#This Row],[Data]])</f>
        <v>2022</v>
      </c>
      <c r="E2463" s="12" t="s">
        <v>78</v>
      </c>
      <c r="F2463" t="s">
        <v>56</v>
      </c>
      <c r="G2463" s="26">
        <v>2</v>
      </c>
      <c r="I2463" t="str">
        <f>IFERROR(VLOOKUP(Tabela6[[#This Row],[Descrição]],Materiais!B:C,2,0),"")</f>
        <v/>
      </c>
    </row>
    <row r="2464" spans="2:9">
      <c r="B2464" s="11">
        <f>43452+(365*4)</f>
        <v>44912</v>
      </c>
      <c r="C2464" s="19">
        <f>MONTH(Tabela6[[#This Row],[Data]])</f>
        <v>12</v>
      </c>
      <c r="D2464" s="19">
        <f>YEAR(Tabela6[[#This Row],[Data]])</f>
        <v>2022</v>
      </c>
      <c r="E2464" s="12" t="s">
        <v>78</v>
      </c>
      <c r="F2464" t="s">
        <v>147</v>
      </c>
      <c r="G2464" s="26">
        <v>2</v>
      </c>
      <c r="I2464" t="str">
        <f>IFERROR(VLOOKUP(Tabela6[[#This Row],[Descrição]],Materiais!B:C,2,0),"")</f>
        <v/>
      </c>
    </row>
    <row r="2465" spans="2:9">
      <c r="B2465" s="11">
        <f>43452+(365*4)</f>
        <v>44912</v>
      </c>
      <c r="C2465" s="19">
        <f>MONTH(Tabela6[[#This Row],[Data]])</f>
        <v>12</v>
      </c>
      <c r="D2465" s="19">
        <f>YEAR(Tabela6[[#This Row],[Data]])</f>
        <v>2022</v>
      </c>
      <c r="E2465" s="12" t="s">
        <v>78</v>
      </c>
      <c r="F2465" t="s">
        <v>63</v>
      </c>
      <c r="G2465" s="26">
        <v>6</v>
      </c>
      <c r="I2465" t="str">
        <f>IFERROR(VLOOKUP(Tabela6[[#This Row],[Descrição]],Materiais!B:C,2,0),"")</f>
        <v/>
      </c>
    </row>
    <row r="2466" spans="2:9">
      <c r="B2466" s="11">
        <f>43454+(365*4)</f>
        <v>44914</v>
      </c>
      <c r="C2466" s="19">
        <f>MONTH(Tabela6[[#This Row],[Data]])</f>
        <v>12</v>
      </c>
      <c r="D2466" s="19">
        <f>YEAR(Tabela6[[#This Row],[Data]])</f>
        <v>2022</v>
      </c>
      <c r="E2466" s="12" t="s">
        <v>78</v>
      </c>
      <c r="F2466" t="s">
        <v>56</v>
      </c>
      <c r="G2466" s="26">
        <v>70</v>
      </c>
      <c r="I2466" t="str">
        <f>IFERROR(VLOOKUP(Tabela6[[#This Row],[Descrição]],Materiais!B:C,2,0),"")</f>
        <v/>
      </c>
    </row>
  </sheetData>
  <dataValidations disablePrompts="1" count="1">
    <dataValidation type="list" allowBlank="1" showInputMessage="1" showErrorMessage="1" sqref="E5:E13" xr:uid="{53C22ED2-01D4-4E91-A894-BC8583BC43DC}">
      <formula1>"Embalagens,Impostos,Ingredientes,Investimento,Marketing,Material,Operacional,Vendas"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6E64-8EE0-45B2-AA08-C8EF5A5B350A}">
  <sheetPr codeName="Plan10">
    <tabColor theme="4" tint="-0.249977111117893"/>
  </sheetPr>
  <dimension ref="B1:AT34"/>
  <sheetViews>
    <sheetView showGridLines="0" zoomScale="90" zoomScaleNormal="90" workbookViewId="0">
      <pane xSplit="2" ySplit="5" topLeftCell="C6" activePane="bottomRight" state="frozen"/>
      <selection pane="bottomRight" activeCell="B2" sqref="B2"/>
      <selection pane="bottomLeft" activeCell="C38" sqref="C38"/>
      <selection pane="topRight" activeCell="C38" sqref="C38"/>
    </sheetView>
  </sheetViews>
  <sheetFormatPr defaultRowHeight="14.45"/>
  <cols>
    <col min="1" max="1" width="2.42578125" customWidth="1"/>
    <col min="2" max="2" width="31.28515625" bestFit="1" customWidth="1"/>
    <col min="3" max="45" width="15" customWidth="1"/>
  </cols>
  <sheetData>
    <row r="1" spans="2:46" ht="4.9000000000000004" customHeight="1"/>
    <row r="2" spans="2:46" ht="25.5" customHeight="1">
      <c r="B2" s="1" t="s">
        <v>166</v>
      </c>
      <c r="C2" s="2"/>
      <c r="D2" s="1"/>
      <c r="E2" s="1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2:46" ht="4.9000000000000004" customHeight="1"/>
    <row r="4" spans="2:46" ht="15" customHeight="1">
      <c r="B4" s="35" t="s">
        <v>167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2:46" ht="15.6">
      <c r="B5" s="36"/>
      <c r="C5" s="13">
        <v>44166</v>
      </c>
      <c r="D5" s="13">
        <v>44197</v>
      </c>
      <c r="E5" s="13">
        <v>44228</v>
      </c>
      <c r="F5" s="13">
        <v>44256</v>
      </c>
      <c r="G5" s="13">
        <v>44287</v>
      </c>
      <c r="H5" s="13">
        <v>44317</v>
      </c>
      <c r="I5" s="13">
        <v>44348</v>
      </c>
      <c r="J5" s="13">
        <v>44378</v>
      </c>
      <c r="K5" s="13">
        <v>44409</v>
      </c>
      <c r="L5" s="13">
        <v>44440</v>
      </c>
      <c r="M5" s="13">
        <v>44470</v>
      </c>
      <c r="N5" s="13">
        <v>44501</v>
      </c>
      <c r="O5" s="13">
        <v>44531</v>
      </c>
      <c r="P5" s="13">
        <v>44562</v>
      </c>
      <c r="Q5" s="13">
        <v>44593</v>
      </c>
      <c r="R5" s="13">
        <v>44621</v>
      </c>
      <c r="S5" s="13">
        <v>44652</v>
      </c>
      <c r="T5" s="13">
        <v>44682</v>
      </c>
      <c r="U5" s="13">
        <v>44713</v>
      </c>
      <c r="V5" s="13">
        <v>44743</v>
      </c>
      <c r="W5" s="13">
        <v>44774</v>
      </c>
      <c r="X5" s="13">
        <v>44805</v>
      </c>
      <c r="Y5" s="13">
        <v>44835</v>
      </c>
      <c r="Z5" s="13">
        <v>44866</v>
      </c>
      <c r="AA5" s="13">
        <v>44896</v>
      </c>
      <c r="AB5" s="13">
        <v>44927</v>
      </c>
      <c r="AC5" s="13">
        <v>44958</v>
      </c>
      <c r="AD5" s="13">
        <v>44986</v>
      </c>
      <c r="AE5" s="13">
        <v>45017</v>
      </c>
      <c r="AF5" s="13">
        <v>45047</v>
      </c>
      <c r="AG5" s="13">
        <v>45078</v>
      </c>
      <c r="AH5" s="13">
        <v>45108</v>
      </c>
      <c r="AI5" s="13">
        <v>45139</v>
      </c>
      <c r="AJ5" s="13">
        <v>45170</v>
      </c>
      <c r="AK5" s="13">
        <v>45200</v>
      </c>
      <c r="AL5" s="13">
        <v>45231</v>
      </c>
      <c r="AM5" s="13">
        <v>45261</v>
      </c>
      <c r="AN5" s="13">
        <v>45292</v>
      </c>
      <c r="AO5" s="13">
        <v>45323</v>
      </c>
      <c r="AP5" s="13">
        <v>45352</v>
      </c>
      <c r="AQ5" s="13">
        <v>45383</v>
      </c>
      <c r="AR5" s="13">
        <v>45413</v>
      </c>
      <c r="AS5" s="13">
        <v>45444</v>
      </c>
    </row>
    <row r="6" spans="2:46" ht="15.6">
      <c r="B6" s="27" t="s">
        <v>168</v>
      </c>
      <c r="C6" s="14">
        <f>SUMIFS('Entradas e Saídas'!$G:$G,'Entradas e Saídas'!$E:$E,'Fluxo de Caixa'!$B6,'Entradas e Saídas'!$C:$C,MONTH('Fluxo de Caixa'!C$5),'Entradas e Saídas'!$D:$D,YEAR('Fluxo de Caixa'!C$5))</f>
        <v>0</v>
      </c>
      <c r="D6" s="14">
        <f>SUMIFS('Entradas e Saídas'!$G:$G,'Entradas e Saídas'!$E:$E,'Fluxo de Caixa'!$B6,'Entradas e Saídas'!$C:$C,MONTH('Fluxo de Caixa'!D$5),'Entradas e Saídas'!$D:$D,YEAR('Fluxo de Caixa'!D$5))</f>
        <v>0</v>
      </c>
      <c r="E6" s="14">
        <f>SUMIFS('Entradas e Saídas'!$G:$G,'Entradas e Saídas'!$E:$E,'Fluxo de Caixa'!$B6,'Entradas e Saídas'!$C:$C,MONTH('Fluxo de Caixa'!E$5),'Entradas e Saídas'!$D:$D,YEAR('Fluxo de Caixa'!E$5))</f>
        <v>0</v>
      </c>
      <c r="F6" s="14">
        <f>SUMIFS('Entradas e Saídas'!$G:$G,'Entradas e Saídas'!$E:$E,'Fluxo de Caixa'!$B6,'Entradas e Saídas'!$C:$C,MONTH('Fluxo de Caixa'!F$5),'Entradas e Saídas'!$D:$D,YEAR('Fluxo de Caixa'!F$5))</f>
        <v>0</v>
      </c>
      <c r="G6" s="14">
        <f>SUMIFS('Entradas e Saídas'!$G:$G,'Entradas e Saídas'!$E:$E,'Fluxo de Caixa'!$B6,'Entradas e Saídas'!$C:$C,MONTH('Fluxo de Caixa'!G$5),'Entradas e Saídas'!$D:$D,YEAR('Fluxo de Caixa'!G$5))</f>
        <v>0</v>
      </c>
      <c r="H6" s="14">
        <f>SUMIFS('Entradas e Saídas'!$G:$G,'Entradas e Saídas'!$E:$E,'Fluxo de Caixa'!$B6,'Entradas e Saídas'!$C:$C,MONTH('Fluxo de Caixa'!H$5),'Entradas e Saídas'!$D:$D,YEAR('Fluxo de Caixa'!H$5))</f>
        <v>0</v>
      </c>
      <c r="I6" s="14">
        <f>SUMIFS('Entradas e Saídas'!$G:$G,'Entradas e Saídas'!$E:$E,'Fluxo de Caixa'!$B6,'Entradas e Saídas'!$C:$C,MONTH('Fluxo de Caixa'!I$5),'Entradas e Saídas'!$D:$D,YEAR('Fluxo de Caixa'!I$5))</f>
        <v>0</v>
      </c>
      <c r="J6" s="14">
        <f>SUMIFS('Entradas e Saídas'!$G:$G,'Entradas e Saídas'!$E:$E,'Fluxo de Caixa'!$B6,'Entradas e Saídas'!$C:$C,MONTH('Fluxo de Caixa'!J$5),'Entradas e Saídas'!$D:$D,YEAR('Fluxo de Caixa'!J$5))</f>
        <v>0</v>
      </c>
      <c r="K6" s="14">
        <f>SUMIFS('Entradas e Saídas'!$G:$G,'Entradas e Saídas'!$E:$E,'Fluxo de Caixa'!$B6,'Entradas e Saídas'!$C:$C,MONTH('Fluxo de Caixa'!K$5),'Entradas e Saídas'!$D:$D,YEAR('Fluxo de Caixa'!K$5))</f>
        <v>0</v>
      </c>
      <c r="L6" s="14">
        <f>SUMIFS('Entradas e Saídas'!$G:$G,'Entradas e Saídas'!$E:$E,'Fluxo de Caixa'!$B6,'Entradas e Saídas'!$C:$C,MONTH('Fluxo de Caixa'!L$5),'Entradas e Saídas'!$D:$D,YEAR('Fluxo de Caixa'!L$5))</f>
        <v>0</v>
      </c>
      <c r="M6" s="14">
        <f>SUMIFS('Entradas e Saídas'!$G:$G,'Entradas e Saídas'!$E:$E,'Fluxo de Caixa'!$B6,'Entradas e Saídas'!$C:$C,MONTH('Fluxo de Caixa'!M$5),'Entradas e Saídas'!$D:$D,YEAR('Fluxo de Caixa'!M$5))</f>
        <v>0</v>
      </c>
      <c r="N6" s="14">
        <f>SUMIFS('Entradas e Saídas'!$G:$G,'Entradas e Saídas'!$E:$E,'Fluxo de Caixa'!$B6,'Entradas e Saídas'!$C:$C,MONTH('Fluxo de Caixa'!N$5),'Entradas e Saídas'!$D:$D,YEAR('Fluxo de Caixa'!N$5))</f>
        <v>0</v>
      </c>
      <c r="O6" s="14">
        <f>SUMIFS('Entradas e Saídas'!$G:$G,'Entradas e Saídas'!$E:$E,'Fluxo de Caixa'!$B6,'Entradas e Saídas'!$C:$C,MONTH('Fluxo de Caixa'!O$5),'Entradas e Saídas'!$D:$D,YEAR('Fluxo de Caixa'!O$5))</f>
        <v>0</v>
      </c>
      <c r="P6" s="14">
        <f>SUMIFS('Entradas e Saídas'!$G:$G,'Entradas e Saídas'!$E:$E,'Fluxo de Caixa'!$B6,'Entradas e Saídas'!$C:$C,MONTH('Fluxo de Caixa'!P$5),'Entradas e Saídas'!$D:$D,YEAR('Fluxo de Caixa'!P$5))</f>
        <v>0</v>
      </c>
      <c r="Q6" s="14">
        <f>SUMIFS('Entradas e Saídas'!$G:$G,'Entradas e Saídas'!$E:$E,'Fluxo de Caixa'!$B6,'Entradas e Saídas'!$C:$C,MONTH('Fluxo de Caixa'!Q$5),'Entradas e Saídas'!$D:$D,YEAR('Fluxo de Caixa'!Q$5))</f>
        <v>0</v>
      </c>
      <c r="R6" s="14">
        <f>SUMIFS('Entradas e Saídas'!$G:$G,'Entradas e Saídas'!$E:$E,'Fluxo de Caixa'!$B6,'Entradas e Saídas'!$C:$C,MONTH('Fluxo de Caixa'!R$5),'Entradas e Saídas'!$D:$D,YEAR('Fluxo de Caixa'!R$5))</f>
        <v>0</v>
      </c>
      <c r="S6" s="14">
        <f>SUMIFS('Entradas e Saídas'!$G:$G,'Entradas e Saídas'!$E:$E,'Fluxo de Caixa'!$B6,'Entradas e Saídas'!$C:$C,MONTH('Fluxo de Caixa'!S$5),'Entradas e Saídas'!$D:$D,YEAR('Fluxo de Caixa'!S$5))</f>
        <v>0</v>
      </c>
      <c r="T6" s="14">
        <f>SUMIFS('Entradas e Saídas'!$G:$G,'Entradas e Saídas'!$E:$E,'Fluxo de Caixa'!$B6,'Entradas e Saídas'!$C:$C,MONTH('Fluxo de Caixa'!T$5),'Entradas e Saídas'!$D:$D,YEAR('Fluxo de Caixa'!T$5))</f>
        <v>0</v>
      </c>
      <c r="U6" s="14">
        <f>SUMIFS('Entradas e Saídas'!$G:$G,'Entradas e Saídas'!$E:$E,'Fluxo de Caixa'!$B6,'Entradas e Saídas'!$C:$C,MONTH('Fluxo de Caixa'!U$5),'Entradas e Saídas'!$D:$D,YEAR('Fluxo de Caixa'!U$5))</f>
        <v>0</v>
      </c>
      <c r="V6" s="14">
        <f>SUMIFS('Entradas e Saídas'!$G:$G,'Entradas e Saídas'!$E:$E,'Fluxo de Caixa'!$B6,'Entradas e Saídas'!$C:$C,MONTH('Fluxo de Caixa'!V$5),'Entradas e Saídas'!$D:$D,YEAR('Fluxo de Caixa'!V$5))</f>
        <v>0</v>
      </c>
      <c r="W6" s="14">
        <f>SUMIFS('Entradas e Saídas'!$G:$G,'Entradas e Saídas'!$E:$E,'Fluxo de Caixa'!$B6,'Entradas e Saídas'!$C:$C,MONTH('Fluxo de Caixa'!W$5),'Entradas e Saídas'!$D:$D,YEAR('Fluxo de Caixa'!W$5))</f>
        <v>0</v>
      </c>
      <c r="X6" s="14">
        <f>SUMIFS('Entradas e Saídas'!$G:$G,'Entradas e Saídas'!$E:$E,'Fluxo de Caixa'!$B6,'Entradas e Saídas'!$C:$C,MONTH('Fluxo de Caixa'!X$5),'Entradas e Saídas'!$D:$D,YEAR('Fluxo de Caixa'!X$5))</f>
        <v>0</v>
      </c>
      <c r="Y6" s="14">
        <f>SUMIFS('Entradas e Saídas'!$G:$G,'Entradas e Saídas'!$E:$E,'Fluxo de Caixa'!$B6,'Entradas e Saídas'!$C:$C,MONTH('Fluxo de Caixa'!Y$5),'Entradas e Saídas'!$D:$D,YEAR('Fluxo de Caixa'!Y$5))</f>
        <v>0</v>
      </c>
      <c r="Z6" s="14">
        <f>SUMIFS('Entradas e Saídas'!$G:$G,'Entradas e Saídas'!$E:$E,'Fluxo de Caixa'!$B6,'Entradas e Saídas'!$C:$C,MONTH('Fluxo de Caixa'!Z$5),'Entradas e Saídas'!$D:$D,YEAR('Fluxo de Caixa'!Z$5))</f>
        <v>0</v>
      </c>
      <c r="AA6" s="14">
        <f>SUMIFS('Entradas e Saídas'!$G:$G,'Entradas e Saídas'!$E:$E,'Fluxo de Caixa'!$B6,'Entradas e Saídas'!$C:$C,MONTH('Fluxo de Caixa'!AA$5),'Entradas e Saídas'!$D:$D,YEAR('Fluxo de Caixa'!AA$5))</f>
        <v>0</v>
      </c>
      <c r="AB6" s="14">
        <f>SUMIFS('Entradas e Saídas'!$G:$G,'Entradas e Saídas'!$E:$E,'Fluxo de Caixa'!$B6,'Entradas e Saídas'!$C:$C,MONTH('Fluxo de Caixa'!AB$5),'Entradas e Saídas'!$D:$D,YEAR('Fluxo de Caixa'!AB$5))</f>
        <v>0</v>
      </c>
      <c r="AC6" s="14">
        <f>SUMIFS('Entradas e Saídas'!$G:$G,'Entradas e Saídas'!$E:$E,'Fluxo de Caixa'!$B6,'Entradas e Saídas'!$C:$C,MONTH('Fluxo de Caixa'!AC$5),'Entradas e Saídas'!$D:$D,YEAR('Fluxo de Caixa'!AC$5))</f>
        <v>0</v>
      </c>
      <c r="AD6" s="14">
        <f>SUMIFS('Entradas e Saídas'!$G:$G,'Entradas e Saídas'!$E:$E,'Fluxo de Caixa'!$B6,'Entradas e Saídas'!$C:$C,MONTH('Fluxo de Caixa'!AD$5),'Entradas e Saídas'!$D:$D,YEAR('Fluxo de Caixa'!AD$5))</f>
        <v>0</v>
      </c>
      <c r="AE6" s="14">
        <f>SUMIFS('Entradas e Saídas'!$G:$G,'Entradas e Saídas'!$E:$E,'Fluxo de Caixa'!$B6,'Entradas e Saídas'!$C:$C,MONTH('Fluxo de Caixa'!AE$5),'Entradas e Saídas'!$D:$D,YEAR('Fluxo de Caixa'!AE$5))</f>
        <v>0</v>
      </c>
      <c r="AF6" s="14">
        <f>SUMIFS('Entradas e Saídas'!$G:$G,'Entradas e Saídas'!$E:$E,'Fluxo de Caixa'!$B6,'Entradas e Saídas'!$C:$C,MONTH('Fluxo de Caixa'!AF$5),'Entradas e Saídas'!$D:$D,YEAR('Fluxo de Caixa'!AF$5))</f>
        <v>0</v>
      </c>
      <c r="AG6" s="14">
        <f>SUMIFS('Entradas e Saídas'!$G:$G,'Entradas e Saídas'!$E:$E,'Fluxo de Caixa'!$B6,'Entradas e Saídas'!$C:$C,MONTH('Fluxo de Caixa'!AG$5),'Entradas e Saídas'!$D:$D,YEAR('Fluxo de Caixa'!AG$5))</f>
        <v>0</v>
      </c>
      <c r="AH6" s="14">
        <f>SUMIFS('Entradas e Saídas'!$G:$G,'Entradas e Saídas'!$E:$E,'Fluxo de Caixa'!$B6,'Entradas e Saídas'!$C:$C,MONTH('Fluxo de Caixa'!AH$5),'Entradas e Saídas'!$D:$D,YEAR('Fluxo de Caixa'!AH$5))</f>
        <v>0</v>
      </c>
      <c r="AI6" s="14">
        <f>SUMIFS('Entradas e Saídas'!$G:$G,'Entradas e Saídas'!$E:$E,'Fluxo de Caixa'!$B6,'Entradas e Saídas'!$C:$C,MONTH('Fluxo de Caixa'!AI$5),'Entradas e Saídas'!$D:$D,YEAR('Fluxo de Caixa'!AI$5))</f>
        <v>0</v>
      </c>
      <c r="AJ6" s="14">
        <f>SUMIFS('Entradas e Saídas'!$G:$G,'Entradas e Saídas'!$E:$E,'Fluxo de Caixa'!$B6,'Entradas e Saídas'!$C:$C,MONTH('Fluxo de Caixa'!AJ$5),'Entradas e Saídas'!$D:$D,YEAR('Fluxo de Caixa'!AJ$5))</f>
        <v>0</v>
      </c>
      <c r="AK6" s="14">
        <f>SUMIFS('Entradas e Saídas'!$G:$G,'Entradas e Saídas'!$E:$E,'Fluxo de Caixa'!$B6,'Entradas e Saídas'!$C:$C,MONTH('Fluxo de Caixa'!AK$5),'Entradas e Saídas'!$D:$D,YEAR('Fluxo de Caixa'!AK$5))</f>
        <v>0</v>
      </c>
      <c r="AL6" s="14">
        <f>SUMIFS('Entradas e Saídas'!$G:$G,'Entradas e Saídas'!$E:$E,'Fluxo de Caixa'!$B6,'Entradas e Saídas'!$C:$C,MONTH('Fluxo de Caixa'!AL$5),'Entradas e Saídas'!$D:$D,YEAR('Fluxo de Caixa'!AL$5))</f>
        <v>0</v>
      </c>
      <c r="AM6" s="14">
        <f>SUMIFS('Entradas e Saídas'!$G:$G,'Entradas e Saídas'!$E:$E,'Fluxo de Caixa'!$B6,'Entradas e Saídas'!$C:$C,MONTH('Fluxo de Caixa'!AM$5),'Entradas e Saídas'!$D:$D,YEAR('Fluxo de Caixa'!AM$5))</f>
        <v>0</v>
      </c>
      <c r="AN6" s="14">
        <f>SUMIFS('Entradas e Saídas'!$G:$G,'Entradas e Saídas'!$E:$E,'Fluxo de Caixa'!$B6,'Entradas e Saídas'!$C:$C,MONTH('Fluxo de Caixa'!AN$5),'Entradas e Saídas'!$D:$D,YEAR('Fluxo de Caixa'!AN$5))</f>
        <v>0</v>
      </c>
      <c r="AO6" s="14">
        <f>SUMIFS('Entradas e Saídas'!$G:$G,'Entradas e Saídas'!$E:$E,'Fluxo de Caixa'!$B6,'Entradas e Saídas'!$C:$C,MONTH('Fluxo de Caixa'!AO$5),'Entradas e Saídas'!$D:$D,YEAR('Fluxo de Caixa'!AO$5))</f>
        <v>0</v>
      </c>
      <c r="AP6" s="14">
        <f>SUMIFS('Entradas e Saídas'!$G:$G,'Entradas e Saídas'!$E:$E,'Fluxo de Caixa'!$B6,'Entradas e Saídas'!$C:$C,MONTH('Fluxo de Caixa'!AP$5),'Entradas e Saídas'!$D:$D,YEAR('Fluxo de Caixa'!AP$5))</f>
        <v>0</v>
      </c>
      <c r="AQ6" s="14">
        <f>SUMIFS('Entradas e Saídas'!$G:$G,'Entradas e Saídas'!$E:$E,'Fluxo de Caixa'!$B6,'Entradas e Saídas'!$C:$C,MONTH('Fluxo de Caixa'!AQ$5),'Entradas e Saídas'!$D:$D,YEAR('Fluxo de Caixa'!AQ$5))</f>
        <v>0</v>
      </c>
      <c r="AR6" s="14">
        <f>SUMIFS('Entradas e Saídas'!$G:$G,'Entradas e Saídas'!$E:$E,'Fluxo de Caixa'!$B6,'Entradas e Saídas'!$C:$C,MONTH('Fluxo de Caixa'!AR$5),'Entradas e Saídas'!$D:$D,YEAR('Fluxo de Caixa'!AR$5))</f>
        <v>0</v>
      </c>
      <c r="AS6" s="14">
        <f>SUMIFS('Entradas e Saídas'!$G:$G,'Entradas e Saídas'!$E:$E,'Fluxo de Caixa'!$B6,'Entradas e Saídas'!$C:$C,MONTH('Fluxo de Caixa'!AS$5),'Entradas e Saídas'!$D:$D,YEAR('Fluxo de Caixa'!AS$5))</f>
        <v>0</v>
      </c>
    </row>
    <row r="7" spans="2:46" ht="15.6">
      <c r="B7" s="27" t="s">
        <v>169</v>
      </c>
      <c r="C7" s="14">
        <f>SUMIFS('Entradas e Saídas'!$G:$G,'Entradas e Saídas'!$E:$E,'Fluxo de Caixa'!$B7,'Entradas e Saídas'!$C:$C,MONTH('Fluxo de Caixa'!C$5),'Entradas e Saídas'!$D:$D,YEAR('Fluxo de Caixa'!C$5))</f>
        <v>0</v>
      </c>
      <c r="D7" s="14">
        <f>SUMIFS('Entradas e Saídas'!$G:$G,'Entradas e Saídas'!$E:$E,'Fluxo de Caixa'!$B7,'Entradas e Saídas'!$C:$C,MONTH('Fluxo de Caixa'!D$5),'Entradas e Saídas'!$D:$D,YEAR('Fluxo de Caixa'!D$5))</f>
        <v>0</v>
      </c>
      <c r="E7" s="14">
        <f>SUMIFS('Entradas e Saídas'!$G:$G,'Entradas e Saídas'!$E:$E,'Fluxo de Caixa'!$B7,'Entradas e Saídas'!$C:$C,MONTH('Fluxo de Caixa'!E$5),'Entradas e Saídas'!$D:$D,YEAR('Fluxo de Caixa'!E$5))</f>
        <v>0</v>
      </c>
      <c r="F7" s="14">
        <f>SUMIFS('Entradas e Saídas'!$G:$G,'Entradas e Saídas'!$E:$E,'Fluxo de Caixa'!$B7,'Entradas e Saídas'!$C:$C,MONTH('Fluxo de Caixa'!F$5),'Entradas e Saídas'!$D:$D,YEAR('Fluxo de Caixa'!F$5))</f>
        <v>0</v>
      </c>
      <c r="G7" s="14">
        <f>SUMIFS('Entradas e Saídas'!$G:$G,'Entradas e Saídas'!$E:$E,'Fluxo de Caixa'!$B7,'Entradas e Saídas'!$C:$C,MONTH('Fluxo de Caixa'!G$5),'Entradas e Saídas'!$D:$D,YEAR('Fluxo de Caixa'!G$5))</f>
        <v>0</v>
      </c>
      <c r="H7" s="14">
        <f>SUMIFS('Entradas e Saídas'!$G:$G,'Entradas e Saídas'!$E:$E,'Fluxo de Caixa'!$B7,'Entradas e Saídas'!$C:$C,MONTH('Fluxo de Caixa'!H$5),'Entradas e Saídas'!$D:$D,YEAR('Fluxo de Caixa'!H$5))</f>
        <v>0</v>
      </c>
      <c r="I7" s="14">
        <f>SUMIFS('Entradas e Saídas'!$G:$G,'Entradas e Saídas'!$E:$E,'Fluxo de Caixa'!$B7,'Entradas e Saídas'!$C:$C,MONTH('Fluxo de Caixa'!I$5),'Entradas e Saídas'!$D:$D,YEAR('Fluxo de Caixa'!I$5))</f>
        <v>0</v>
      </c>
      <c r="J7" s="14">
        <f>SUMIFS('Entradas e Saídas'!$G:$G,'Entradas e Saídas'!$E:$E,'Fluxo de Caixa'!$B7,'Entradas e Saídas'!$C:$C,MONTH('Fluxo de Caixa'!J$5),'Entradas e Saídas'!$D:$D,YEAR('Fluxo de Caixa'!J$5))</f>
        <v>0</v>
      </c>
      <c r="K7" s="14">
        <f>SUMIFS('Entradas e Saídas'!$G:$G,'Entradas e Saídas'!$E:$E,'Fluxo de Caixa'!$B7,'Entradas e Saídas'!$C:$C,MONTH('Fluxo de Caixa'!K$5),'Entradas e Saídas'!$D:$D,YEAR('Fluxo de Caixa'!K$5))</f>
        <v>0</v>
      </c>
      <c r="L7" s="14">
        <f>SUMIFS('Entradas e Saídas'!$G:$G,'Entradas e Saídas'!$E:$E,'Fluxo de Caixa'!$B7,'Entradas e Saídas'!$C:$C,MONTH('Fluxo de Caixa'!L$5),'Entradas e Saídas'!$D:$D,YEAR('Fluxo de Caixa'!L$5))</f>
        <v>0</v>
      </c>
      <c r="M7" s="14">
        <f>SUMIFS('Entradas e Saídas'!$G:$G,'Entradas e Saídas'!$E:$E,'Fluxo de Caixa'!$B7,'Entradas e Saídas'!$C:$C,MONTH('Fluxo de Caixa'!M$5),'Entradas e Saídas'!$D:$D,YEAR('Fluxo de Caixa'!M$5))</f>
        <v>0</v>
      </c>
      <c r="N7" s="14">
        <f>SUMIFS('Entradas e Saídas'!$G:$G,'Entradas e Saídas'!$E:$E,'Fluxo de Caixa'!$B7,'Entradas e Saídas'!$C:$C,MONTH('Fluxo de Caixa'!N$5),'Entradas e Saídas'!$D:$D,YEAR('Fluxo de Caixa'!N$5))</f>
        <v>0</v>
      </c>
      <c r="O7" s="14">
        <f>SUMIFS('Entradas e Saídas'!$G:$G,'Entradas e Saídas'!$E:$E,'Fluxo de Caixa'!$B7,'Entradas e Saídas'!$C:$C,MONTH('Fluxo de Caixa'!O$5),'Entradas e Saídas'!$D:$D,YEAR('Fluxo de Caixa'!O$5))</f>
        <v>0</v>
      </c>
      <c r="P7" s="14">
        <f>SUMIFS('Entradas e Saídas'!$G:$G,'Entradas e Saídas'!$E:$E,'Fluxo de Caixa'!$B7,'Entradas e Saídas'!$C:$C,MONTH('Fluxo de Caixa'!P$5),'Entradas e Saídas'!$D:$D,YEAR('Fluxo de Caixa'!P$5))</f>
        <v>0</v>
      </c>
      <c r="Q7" s="14">
        <f>SUMIFS('Entradas e Saídas'!$G:$G,'Entradas e Saídas'!$E:$E,'Fluxo de Caixa'!$B7,'Entradas e Saídas'!$C:$C,MONTH('Fluxo de Caixa'!Q$5),'Entradas e Saídas'!$D:$D,YEAR('Fluxo de Caixa'!Q$5))</f>
        <v>0</v>
      </c>
      <c r="R7" s="14">
        <f>SUMIFS('Entradas e Saídas'!$G:$G,'Entradas e Saídas'!$E:$E,'Fluxo de Caixa'!$B7,'Entradas e Saídas'!$C:$C,MONTH('Fluxo de Caixa'!R$5),'Entradas e Saídas'!$D:$D,YEAR('Fluxo de Caixa'!R$5))</f>
        <v>0</v>
      </c>
      <c r="S7" s="14">
        <f>SUMIFS('Entradas e Saídas'!$G:$G,'Entradas e Saídas'!$E:$E,'Fluxo de Caixa'!$B7,'Entradas e Saídas'!$C:$C,MONTH('Fluxo de Caixa'!S$5),'Entradas e Saídas'!$D:$D,YEAR('Fluxo de Caixa'!S$5))</f>
        <v>0</v>
      </c>
      <c r="T7" s="14">
        <f>SUMIFS('Entradas e Saídas'!$G:$G,'Entradas e Saídas'!$E:$E,'Fluxo de Caixa'!$B7,'Entradas e Saídas'!$C:$C,MONTH('Fluxo de Caixa'!T$5),'Entradas e Saídas'!$D:$D,YEAR('Fluxo de Caixa'!T$5))</f>
        <v>0</v>
      </c>
      <c r="U7" s="14">
        <f>SUMIFS('Entradas e Saídas'!$G:$G,'Entradas e Saídas'!$E:$E,'Fluxo de Caixa'!$B7,'Entradas e Saídas'!$C:$C,MONTH('Fluxo de Caixa'!U$5),'Entradas e Saídas'!$D:$D,YEAR('Fluxo de Caixa'!U$5))</f>
        <v>0</v>
      </c>
      <c r="V7" s="14">
        <f>SUMIFS('Entradas e Saídas'!$G:$G,'Entradas e Saídas'!$E:$E,'Fluxo de Caixa'!$B7,'Entradas e Saídas'!$C:$C,MONTH('Fluxo de Caixa'!V$5),'Entradas e Saídas'!$D:$D,YEAR('Fluxo de Caixa'!V$5))</f>
        <v>0</v>
      </c>
      <c r="W7" s="14">
        <f>SUMIFS('Entradas e Saídas'!$G:$G,'Entradas e Saídas'!$E:$E,'Fluxo de Caixa'!$B7,'Entradas e Saídas'!$C:$C,MONTH('Fluxo de Caixa'!W$5),'Entradas e Saídas'!$D:$D,YEAR('Fluxo de Caixa'!W$5))</f>
        <v>0</v>
      </c>
      <c r="X7" s="14">
        <f>SUMIFS('Entradas e Saídas'!$G:$G,'Entradas e Saídas'!$E:$E,'Fluxo de Caixa'!$B7,'Entradas e Saídas'!$C:$C,MONTH('Fluxo de Caixa'!X$5),'Entradas e Saídas'!$D:$D,YEAR('Fluxo de Caixa'!X$5))</f>
        <v>0</v>
      </c>
      <c r="Y7" s="14">
        <f>SUMIFS('Entradas e Saídas'!$G:$G,'Entradas e Saídas'!$E:$E,'Fluxo de Caixa'!$B7,'Entradas e Saídas'!$C:$C,MONTH('Fluxo de Caixa'!Y$5),'Entradas e Saídas'!$D:$D,YEAR('Fluxo de Caixa'!Y$5))</f>
        <v>0</v>
      </c>
      <c r="Z7" s="14">
        <f>SUMIFS('Entradas e Saídas'!$G:$G,'Entradas e Saídas'!$E:$E,'Fluxo de Caixa'!$B7,'Entradas e Saídas'!$C:$C,MONTH('Fluxo de Caixa'!Z$5),'Entradas e Saídas'!$D:$D,YEAR('Fluxo de Caixa'!Z$5))</f>
        <v>0</v>
      </c>
      <c r="AA7" s="14">
        <f>SUMIFS('Entradas e Saídas'!$G:$G,'Entradas e Saídas'!$E:$E,'Fluxo de Caixa'!$B7,'Entradas e Saídas'!$C:$C,MONTH('Fluxo de Caixa'!AA$5),'Entradas e Saídas'!$D:$D,YEAR('Fluxo de Caixa'!AA$5))</f>
        <v>0</v>
      </c>
      <c r="AB7" s="14">
        <f>SUMIFS('Entradas e Saídas'!$G:$G,'Entradas e Saídas'!$E:$E,'Fluxo de Caixa'!$B7,'Entradas e Saídas'!$C:$C,MONTH('Fluxo de Caixa'!AB$5),'Entradas e Saídas'!$D:$D,YEAR('Fluxo de Caixa'!AB$5))</f>
        <v>0</v>
      </c>
      <c r="AC7" s="14">
        <f>SUMIFS('Entradas e Saídas'!$G:$G,'Entradas e Saídas'!$E:$E,'Fluxo de Caixa'!$B7,'Entradas e Saídas'!$C:$C,MONTH('Fluxo de Caixa'!AC$5),'Entradas e Saídas'!$D:$D,YEAR('Fluxo de Caixa'!AC$5))</f>
        <v>0</v>
      </c>
      <c r="AD7" s="14">
        <f>SUMIFS('Entradas e Saídas'!$G:$G,'Entradas e Saídas'!$E:$E,'Fluxo de Caixa'!$B7,'Entradas e Saídas'!$C:$C,MONTH('Fluxo de Caixa'!AD$5),'Entradas e Saídas'!$D:$D,YEAR('Fluxo de Caixa'!AD$5))</f>
        <v>0</v>
      </c>
      <c r="AE7" s="14">
        <f>SUMIFS('Entradas e Saídas'!$G:$G,'Entradas e Saídas'!$E:$E,'Fluxo de Caixa'!$B7,'Entradas e Saídas'!$C:$C,MONTH('Fluxo de Caixa'!AE$5),'Entradas e Saídas'!$D:$D,YEAR('Fluxo de Caixa'!AE$5))</f>
        <v>0</v>
      </c>
      <c r="AF7" s="14">
        <f>SUMIFS('Entradas e Saídas'!$G:$G,'Entradas e Saídas'!$E:$E,'Fluxo de Caixa'!$B7,'Entradas e Saídas'!$C:$C,MONTH('Fluxo de Caixa'!AF$5),'Entradas e Saídas'!$D:$D,YEAR('Fluxo de Caixa'!AF$5))</f>
        <v>0</v>
      </c>
      <c r="AG7" s="14">
        <f>SUMIFS('Entradas e Saídas'!$G:$G,'Entradas e Saídas'!$E:$E,'Fluxo de Caixa'!$B7,'Entradas e Saídas'!$C:$C,MONTH('Fluxo de Caixa'!AG$5),'Entradas e Saídas'!$D:$D,YEAR('Fluxo de Caixa'!AG$5))</f>
        <v>0</v>
      </c>
      <c r="AH7" s="14">
        <f>SUMIFS('Entradas e Saídas'!$G:$G,'Entradas e Saídas'!$E:$E,'Fluxo de Caixa'!$B7,'Entradas e Saídas'!$C:$C,MONTH('Fluxo de Caixa'!AH$5),'Entradas e Saídas'!$D:$D,YEAR('Fluxo de Caixa'!AH$5))</f>
        <v>0</v>
      </c>
      <c r="AI7" s="14">
        <f>SUMIFS('Entradas e Saídas'!$G:$G,'Entradas e Saídas'!$E:$E,'Fluxo de Caixa'!$B7,'Entradas e Saídas'!$C:$C,MONTH('Fluxo de Caixa'!AI$5),'Entradas e Saídas'!$D:$D,YEAR('Fluxo de Caixa'!AI$5))</f>
        <v>0</v>
      </c>
      <c r="AJ7" s="14">
        <f>SUMIFS('Entradas e Saídas'!$G:$G,'Entradas e Saídas'!$E:$E,'Fluxo de Caixa'!$B7,'Entradas e Saídas'!$C:$C,MONTH('Fluxo de Caixa'!AJ$5),'Entradas e Saídas'!$D:$D,YEAR('Fluxo de Caixa'!AJ$5))</f>
        <v>0</v>
      </c>
      <c r="AK7" s="14">
        <f>SUMIFS('Entradas e Saídas'!$G:$G,'Entradas e Saídas'!$E:$E,'Fluxo de Caixa'!$B7,'Entradas e Saídas'!$C:$C,MONTH('Fluxo de Caixa'!AK$5),'Entradas e Saídas'!$D:$D,YEAR('Fluxo de Caixa'!AK$5))</f>
        <v>0</v>
      </c>
      <c r="AL7" s="14">
        <f>SUMIFS('Entradas e Saídas'!$G:$G,'Entradas e Saídas'!$E:$E,'Fluxo de Caixa'!$B7,'Entradas e Saídas'!$C:$C,MONTH('Fluxo de Caixa'!AL$5),'Entradas e Saídas'!$D:$D,YEAR('Fluxo de Caixa'!AL$5))</f>
        <v>0</v>
      </c>
      <c r="AM7" s="14">
        <f>SUMIFS('Entradas e Saídas'!$G:$G,'Entradas e Saídas'!$E:$E,'Fluxo de Caixa'!$B7,'Entradas e Saídas'!$C:$C,MONTH('Fluxo de Caixa'!AM$5),'Entradas e Saídas'!$D:$D,YEAR('Fluxo de Caixa'!AM$5))</f>
        <v>0</v>
      </c>
      <c r="AN7" s="14">
        <f>SUMIFS('Entradas e Saídas'!$G:$G,'Entradas e Saídas'!$E:$E,'Fluxo de Caixa'!$B7,'Entradas e Saídas'!$C:$C,MONTH('Fluxo de Caixa'!AN$5),'Entradas e Saídas'!$D:$D,YEAR('Fluxo de Caixa'!AN$5))</f>
        <v>0</v>
      </c>
      <c r="AO7" s="14">
        <f>SUMIFS('Entradas e Saídas'!$G:$G,'Entradas e Saídas'!$E:$E,'Fluxo de Caixa'!$B7,'Entradas e Saídas'!$C:$C,MONTH('Fluxo de Caixa'!AO$5),'Entradas e Saídas'!$D:$D,YEAR('Fluxo de Caixa'!AO$5))</f>
        <v>0</v>
      </c>
      <c r="AP7" s="14">
        <f>SUMIFS('Entradas e Saídas'!$G:$G,'Entradas e Saídas'!$E:$E,'Fluxo de Caixa'!$B7,'Entradas e Saídas'!$C:$C,MONTH('Fluxo de Caixa'!AP$5),'Entradas e Saídas'!$D:$D,YEAR('Fluxo de Caixa'!AP$5))</f>
        <v>0</v>
      </c>
      <c r="AQ7" s="14">
        <f>SUMIFS('Entradas e Saídas'!$G:$G,'Entradas e Saídas'!$E:$E,'Fluxo de Caixa'!$B7,'Entradas e Saídas'!$C:$C,MONTH('Fluxo de Caixa'!AQ$5),'Entradas e Saídas'!$D:$D,YEAR('Fluxo de Caixa'!AQ$5))</f>
        <v>0</v>
      </c>
      <c r="AR7" s="14">
        <f>SUMIFS('Entradas e Saídas'!$G:$G,'Entradas e Saídas'!$E:$E,'Fluxo de Caixa'!$B7,'Entradas e Saídas'!$C:$C,MONTH('Fluxo de Caixa'!AR$5),'Entradas e Saídas'!$D:$D,YEAR('Fluxo de Caixa'!AR$5))</f>
        <v>0</v>
      </c>
      <c r="AS7" s="14">
        <f>SUMIFS('Entradas e Saídas'!$G:$G,'Entradas e Saídas'!$E:$E,'Fluxo de Caixa'!$B7,'Entradas e Saídas'!$C:$C,MONTH('Fluxo de Caixa'!AS$5),'Entradas e Saídas'!$D:$D,YEAR('Fluxo de Caixa'!AS$5))</f>
        <v>0</v>
      </c>
    </row>
    <row r="8" spans="2:46" ht="15.6">
      <c r="B8" s="27" t="s">
        <v>170</v>
      </c>
      <c r="C8" s="14">
        <f>SUMIFS('Entradas e Saídas'!$G:$G,'Entradas e Saídas'!$E:$E,'Fluxo de Caixa'!$B8,'Entradas e Saídas'!$C:$C,MONTH('Fluxo de Caixa'!C$5),'Entradas e Saídas'!$D:$D,YEAR('Fluxo de Caixa'!C$5))</f>
        <v>0</v>
      </c>
      <c r="D8" s="14">
        <f>SUMIFS('Entradas e Saídas'!$G:$G,'Entradas e Saídas'!$E:$E,'Fluxo de Caixa'!$B8,'Entradas e Saídas'!$C:$C,MONTH('Fluxo de Caixa'!D$5),'Entradas e Saídas'!$D:$D,YEAR('Fluxo de Caixa'!D$5))</f>
        <v>0</v>
      </c>
      <c r="E8" s="14">
        <f>SUMIFS('Entradas e Saídas'!$G:$G,'Entradas e Saídas'!$E:$E,'Fluxo de Caixa'!$B8,'Entradas e Saídas'!$C:$C,MONTH('Fluxo de Caixa'!E$5),'Entradas e Saídas'!$D:$D,YEAR('Fluxo de Caixa'!E$5))</f>
        <v>0</v>
      </c>
      <c r="F8" s="14">
        <f>SUMIFS('Entradas e Saídas'!$G:$G,'Entradas e Saídas'!$E:$E,'Fluxo de Caixa'!$B8,'Entradas e Saídas'!$C:$C,MONTH('Fluxo de Caixa'!F$5),'Entradas e Saídas'!$D:$D,YEAR('Fluxo de Caixa'!F$5))</f>
        <v>0</v>
      </c>
      <c r="G8" s="14">
        <f>SUMIFS('Entradas e Saídas'!$G:$G,'Entradas e Saídas'!$E:$E,'Fluxo de Caixa'!$B8,'Entradas e Saídas'!$C:$C,MONTH('Fluxo de Caixa'!G$5),'Entradas e Saídas'!$D:$D,YEAR('Fluxo de Caixa'!G$5))</f>
        <v>0</v>
      </c>
      <c r="H8" s="14">
        <f>SUMIFS('Entradas e Saídas'!$G:$G,'Entradas e Saídas'!$E:$E,'Fluxo de Caixa'!$B8,'Entradas e Saídas'!$C:$C,MONTH('Fluxo de Caixa'!H$5),'Entradas e Saídas'!$D:$D,YEAR('Fluxo de Caixa'!H$5))</f>
        <v>0</v>
      </c>
      <c r="I8" s="14">
        <f>SUMIFS('Entradas e Saídas'!$G:$G,'Entradas e Saídas'!$E:$E,'Fluxo de Caixa'!$B8,'Entradas e Saídas'!$C:$C,MONTH('Fluxo de Caixa'!I$5),'Entradas e Saídas'!$D:$D,YEAR('Fluxo de Caixa'!I$5))</f>
        <v>0</v>
      </c>
      <c r="J8" s="14">
        <f>SUMIFS('Entradas e Saídas'!$G:$G,'Entradas e Saídas'!$E:$E,'Fluxo de Caixa'!$B8,'Entradas e Saídas'!$C:$C,MONTH('Fluxo de Caixa'!J$5),'Entradas e Saídas'!$D:$D,YEAR('Fluxo de Caixa'!J$5))</f>
        <v>0</v>
      </c>
      <c r="K8" s="14">
        <f>SUMIFS('Entradas e Saídas'!$G:$G,'Entradas e Saídas'!$E:$E,'Fluxo de Caixa'!$B8,'Entradas e Saídas'!$C:$C,MONTH('Fluxo de Caixa'!K$5),'Entradas e Saídas'!$D:$D,YEAR('Fluxo de Caixa'!K$5))</f>
        <v>0</v>
      </c>
      <c r="L8" s="14">
        <f>SUMIFS('Entradas e Saídas'!$G:$G,'Entradas e Saídas'!$E:$E,'Fluxo de Caixa'!$B8,'Entradas e Saídas'!$C:$C,MONTH('Fluxo de Caixa'!L$5),'Entradas e Saídas'!$D:$D,YEAR('Fluxo de Caixa'!L$5))</f>
        <v>0</v>
      </c>
      <c r="M8" s="14">
        <f>SUMIFS('Entradas e Saídas'!$G:$G,'Entradas e Saídas'!$E:$E,'Fluxo de Caixa'!$B8,'Entradas e Saídas'!$C:$C,MONTH('Fluxo de Caixa'!M$5),'Entradas e Saídas'!$D:$D,YEAR('Fluxo de Caixa'!M$5))</f>
        <v>0</v>
      </c>
      <c r="N8" s="14">
        <f>SUMIFS('Entradas e Saídas'!$G:$G,'Entradas e Saídas'!$E:$E,'Fluxo de Caixa'!$B8,'Entradas e Saídas'!$C:$C,MONTH('Fluxo de Caixa'!N$5),'Entradas e Saídas'!$D:$D,YEAR('Fluxo de Caixa'!N$5))</f>
        <v>0</v>
      </c>
      <c r="O8" s="14">
        <f>SUMIFS('Entradas e Saídas'!$G:$G,'Entradas e Saídas'!$E:$E,'Fluxo de Caixa'!$B8,'Entradas e Saídas'!$C:$C,MONTH('Fluxo de Caixa'!O$5),'Entradas e Saídas'!$D:$D,YEAR('Fluxo de Caixa'!O$5))</f>
        <v>0</v>
      </c>
      <c r="P8" s="14">
        <f>SUMIFS('Entradas e Saídas'!$G:$G,'Entradas e Saídas'!$E:$E,'Fluxo de Caixa'!$B8,'Entradas e Saídas'!$C:$C,MONTH('Fluxo de Caixa'!P$5),'Entradas e Saídas'!$D:$D,YEAR('Fluxo de Caixa'!P$5))</f>
        <v>0</v>
      </c>
      <c r="Q8" s="14">
        <f>SUMIFS('Entradas e Saídas'!$G:$G,'Entradas e Saídas'!$E:$E,'Fluxo de Caixa'!$B8,'Entradas e Saídas'!$C:$C,MONTH('Fluxo de Caixa'!Q$5),'Entradas e Saídas'!$D:$D,YEAR('Fluxo de Caixa'!Q$5))</f>
        <v>0</v>
      </c>
      <c r="R8" s="14">
        <f>SUMIFS('Entradas e Saídas'!$G:$G,'Entradas e Saídas'!$E:$E,'Fluxo de Caixa'!$B8,'Entradas e Saídas'!$C:$C,MONTH('Fluxo de Caixa'!R$5),'Entradas e Saídas'!$D:$D,YEAR('Fluxo de Caixa'!R$5))</f>
        <v>0</v>
      </c>
      <c r="S8" s="14">
        <f>SUMIFS('Entradas e Saídas'!$G:$G,'Entradas e Saídas'!$E:$E,'Fluxo de Caixa'!$B8,'Entradas e Saídas'!$C:$C,MONTH('Fluxo de Caixa'!S$5),'Entradas e Saídas'!$D:$D,YEAR('Fluxo de Caixa'!S$5))</f>
        <v>0</v>
      </c>
      <c r="T8" s="14">
        <f>SUMIFS('Entradas e Saídas'!$G:$G,'Entradas e Saídas'!$E:$E,'Fluxo de Caixa'!$B8,'Entradas e Saídas'!$C:$C,MONTH('Fluxo de Caixa'!T$5),'Entradas e Saídas'!$D:$D,YEAR('Fluxo de Caixa'!T$5))</f>
        <v>0</v>
      </c>
      <c r="U8" s="14">
        <f>SUMIFS('Entradas e Saídas'!$G:$G,'Entradas e Saídas'!$E:$E,'Fluxo de Caixa'!$B8,'Entradas e Saídas'!$C:$C,MONTH('Fluxo de Caixa'!U$5),'Entradas e Saídas'!$D:$D,YEAR('Fluxo de Caixa'!U$5))</f>
        <v>0</v>
      </c>
      <c r="V8" s="14">
        <f>SUMIFS('Entradas e Saídas'!$G:$G,'Entradas e Saídas'!$E:$E,'Fluxo de Caixa'!$B8,'Entradas e Saídas'!$C:$C,MONTH('Fluxo de Caixa'!V$5),'Entradas e Saídas'!$D:$D,YEAR('Fluxo de Caixa'!V$5))</f>
        <v>0</v>
      </c>
      <c r="W8" s="14">
        <f>SUMIFS('Entradas e Saídas'!$G:$G,'Entradas e Saídas'!$E:$E,'Fluxo de Caixa'!$B8,'Entradas e Saídas'!$C:$C,MONTH('Fluxo de Caixa'!W$5),'Entradas e Saídas'!$D:$D,YEAR('Fluxo de Caixa'!W$5))</f>
        <v>0</v>
      </c>
      <c r="X8" s="14">
        <f>SUMIFS('Entradas e Saídas'!$G:$G,'Entradas e Saídas'!$E:$E,'Fluxo de Caixa'!$B8,'Entradas e Saídas'!$C:$C,MONTH('Fluxo de Caixa'!X$5),'Entradas e Saídas'!$D:$D,YEAR('Fluxo de Caixa'!X$5))</f>
        <v>0</v>
      </c>
      <c r="Y8" s="14">
        <f>SUMIFS('Entradas e Saídas'!$G:$G,'Entradas e Saídas'!$E:$E,'Fluxo de Caixa'!$B8,'Entradas e Saídas'!$C:$C,MONTH('Fluxo de Caixa'!Y$5),'Entradas e Saídas'!$D:$D,YEAR('Fluxo de Caixa'!Y$5))</f>
        <v>0</v>
      </c>
      <c r="Z8" s="14">
        <f>SUMIFS('Entradas e Saídas'!$G:$G,'Entradas e Saídas'!$E:$E,'Fluxo de Caixa'!$B8,'Entradas e Saídas'!$C:$C,MONTH('Fluxo de Caixa'!Z$5),'Entradas e Saídas'!$D:$D,YEAR('Fluxo de Caixa'!Z$5))</f>
        <v>0</v>
      </c>
      <c r="AA8" s="14">
        <f>SUMIFS('Entradas e Saídas'!$G:$G,'Entradas e Saídas'!$E:$E,'Fluxo de Caixa'!$B8,'Entradas e Saídas'!$C:$C,MONTH('Fluxo de Caixa'!AA$5),'Entradas e Saídas'!$D:$D,YEAR('Fluxo de Caixa'!AA$5))</f>
        <v>0</v>
      </c>
      <c r="AB8" s="14">
        <f>SUMIFS('Entradas e Saídas'!$G:$G,'Entradas e Saídas'!$E:$E,'Fluxo de Caixa'!$B8,'Entradas e Saídas'!$C:$C,MONTH('Fluxo de Caixa'!AB$5),'Entradas e Saídas'!$D:$D,YEAR('Fluxo de Caixa'!AB$5))</f>
        <v>0</v>
      </c>
      <c r="AC8" s="14">
        <f>SUMIFS('Entradas e Saídas'!$G:$G,'Entradas e Saídas'!$E:$E,'Fluxo de Caixa'!$B8,'Entradas e Saídas'!$C:$C,MONTH('Fluxo de Caixa'!AC$5),'Entradas e Saídas'!$D:$D,YEAR('Fluxo de Caixa'!AC$5))</f>
        <v>0</v>
      </c>
      <c r="AD8" s="14">
        <f>SUMIFS('Entradas e Saídas'!$G:$G,'Entradas e Saídas'!$E:$E,'Fluxo de Caixa'!$B8,'Entradas e Saídas'!$C:$C,MONTH('Fluxo de Caixa'!AD$5),'Entradas e Saídas'!$D:$D,YEAR('Fluxo de Caixa'!AD$5))</f>
        <v>0</v>
      </c>
      <c r="AE8" s="14">
        <f>SUMIFS('Entradas e Saídas'!$G:$G,'Entradas e Saídas'!$E:$E,'Fluxo de Caixa'!$B8,'Entradas e Saídas'!$C:$C,MONTH('Fluxo de Caixa'!AE$5),'Entradas e Saídas'!$D:$D,YEAR('Fluxo de Caixa'!AE$5))</f>
        <v>0</v>
      </c>
      <c r="AF8" s="14">
        <f>SUMIFS('Entradas e Saídas'!$G:$G,'Entradas e Saídas'!$E:$E,'Fluxo de Caixa'!$B8,'Entradas e Saídas'!$C:$C,MONTH('Fluxo de Caixa'!AF$5),'Entradas e Saídas'!$D:$D,YEAR('Fluxo de Caixa'!AF$5))</f>
        <v>0</v>
      </c>
      <c r="AG8" s="14">
        <f>SUMIFS('Entradas e Saídas'!$G:$G,'Entradas e Saídas'!$E:$E,'Fluxo de Caixa'!$B8,'Entradas e Saídas'!$C:$C,MONTH('Fluxo de Caixa'!AG$5),'Entradas e Saídas'!$D:$D,YEAR('Fluxo de Caixa'!AG$5))</f>
        <v>0</v>
      </c>
      <c r="AH8" s="14">
        <f>SUMIFS('Entradas e Saídas'!$G:$G,'Entradas e Saídas'!$E:$E,'Fluxo de Caixa'!$B8,'Entradas e Saídas'!$C:$C,MONTH('Fluxo de Caixa'!AH$5),'Entradas e Saídas'!$D:$D,YEAR('Fluxo de Caixa'!AH$5))</f>
        <v>0</v>
      </c>
      <c r="AI8" s="14">
        <f>SUMIFS('Entradas e Saídas'!$G:$G,'Entradas e Saídas'!$E:$E,'Fluxo de Caixa'!$B8,'Entradas e Saídas'!$C:$C,MONTH('Fluxo de Caixa'!AI$5),'Entradas e Saídas'!$D:$D,YEAR('Fluxo de Caixa'!AI$5))</f>
        <v>0</v>
      </c>
      <c r="AJ8" s="14">
        <f>SUMIFS('Entradas e Saídas'!$G:$G,'Entradas e Saídas'!$E:$E,'Fluxo de Caixa'!$B8,'Entradas e Saídas'!$C:$C,MONTH('Fluxo de Caixa'!AJ$5),'Entradas e Saídas'!$D:$D,YEAR('Fluxo de Caixa'!AJ$5))</f>
        <v>0</v>
      </c>
      <c r="AK8" s="14">
        <f>SUMIFS('Entradas e Saídas'!$G:$G,'Entradas e Saídas'!$E:$E,'Fluxo de Caixa'!$B8,'Entradas e Saídas'!$C:$C,MONTH('Fluxo de Caixa'!AK$5),'Entradas e Saídas'!$D:$D,YEAR('Fluxo de Caixa'!AK$5))</f>
        <v>0</v>
      </c>
      <c r="AL8" s="14">
        <f>SUMIFS('Entradas e Saídas'!$G:$G,'Entradas e Saídas'!$E:$E,'Fluxo de Caixa'!$B8,'Entradas e Saídas'!$C:$C,MONTH('Fluxo de Caixa'!AL$5),'Entradas e Saídas'!$D:$D,YEAR('Fluxo de Caixa'!AL$5))</f>
        <v>0</v>
      </c>
      <c r="AM8" s="14">
        <f>SUMIFS('Entradas e Saídas'!$G:$G,'Entradas e Saídas'!$E:$E,'Fluxo de Caixa'!$B8,'Entradas e Saídas'!$C:$C,MONTH('Fluxo de Caixa'!AM$5),'Entradas e Saídas'!$D:$D,YEAR('Fluxo de Caixa'!AM$5))</f>
        <v>0</v>
      </c>
      <c r="AN8" s="14">
        <f>SUMIFS('Entradas e Saídas'!$G:$G,'Entradas e Saídas'!$E:$E,'Fluxo de Caixa'!$B8,'Entradas e Saídas'!$C:$C,MONTH('Fluxo de Caixa'!AN$5),'Entradas e Saídas'!$D:$D,YEAR('Fluxo de Caixa'!AN$5))</f>
        <v>0</v>
      </c>
      <c r="AO8" s="14">
        <f>SUMIFS('Entradas e Saídas'!$G:$G,'Entradas e Saídas'!$E:$E,'Fluxo de Caixa'!$B8,'Entradas e Saídas'!$C:$C,MONTH('Fluxo de Caixa'!AO$5),'Entradas e Saídas'!$D:$D,YEAR('Fluxo de Caixa'!AO$5))</f>
        <v>0</v>
      </c>
      <c r="AP8" s="14">
        <f>SUMIFS('Entradas e Saídas'!$G:$G,'Entradas e Saídas'!$E:$E,'Fluxo de Caixa'!$B8,'Entradas e Saídas'!$C:$C,MONTH('Fluxo de Caixa'!AP$5),'Entradas e Saídas'!$D:$D,YEAR('Fluxo de Caixa'!AP$5))</f>
        <v>0</v>
      </c>
      <c r="AQ8" s="14">
        <f>SUMIFS('Entradas e Saídas'!$G:$G,'Entradas e Saídas'!$E:$E,'Fluxo de Caixa'!$B8,'Entradas e Saídas'!$C:$C,MONTH('Fluxo de Caixa'!AQ$5),'Entradas e Saídas'!$D:$D,YEAR('Fluxo de Caixa'!AQ$5))</f>
        <v>0</v>
      </c>
      <c r="AR8" s="14">
        <f>SUMIFS('Entradas e Saídas'!$G:$G,'Entradas e Saídas'!$E:$E,'Fluxo de Caixa'!$B8,'Entradas e Saídas'!$C:$C,MONTH('Fluxo de Caixa'!AR$5),'Entradas e Saídas'!$D:$D,YEAR('Fluxo de Caixa'!AR$5))</f>
        <v>0</v>
      </c>
      <c r="AS8" s="14">
        <f>SUMIFS('Entradas e Saídas'!$G:$G,'Entradas e Saídas'!$E:$E,'Fluxo de Caixa'!$B8,'Entradas e Saídas'!$C:$C,MONTH('Fluxo de Caixa'!AS$5),'Entradas e Saídas'!$D:$D,YEAR('Fluxo de Caixa'!AS$5))</f>
        <v>0</v>
      </c>
    </row>
    <row r="9" spans="2:46" ht="15.6">
      <c r="B9" s="27" t="s">
        <v>75</v>
      </c>
      <c r="C9" s="14">
        <f>SUMIFS('Entradas e Saídas'!$G:$G,'Entradas e Saídas'!$E:$E,'Fluxo de Caixa'!$B9,'Entradas e Saídas'!$C:$C,MONTH('Fluxo de Caixa'!C$5),'Entradas e Saídas'!$D:$D,YEAR('Fluxo de Caixa'!C$5))</f>
        <v>-4</v>
      </c>
      <c r="D9" s="14">
        <f>SUMIFS('Entradas e Saídas'!$G:$G,'Entradas e Saídas'!$E:$E,'Fluxo de Caixa'!$B9,'Entradas e Saídas'!$C:$C,MONTH('Fluxo de Caixa'!D$5),'Entradas e Saídas'!$D:$D,YEAR('Fluxo de Caixa'!D$5))</f>
        <v>-11.5</v>
      </c>
      <c r="E9" s="14">
        <f>SUMIFS('Entradas e Saídas'!$G:$G,'Entradas e Saídas'!$E:$E,'Fluxo de Caixa'!$B9,'Entradas e Saídas'!$C:$C,MONTH('Fluxo de Caixa'!E$5),'Entradas e Saídas'!$D:$D,YEAR('Fluxo de Caixa'!E$5))</f>
        <v>-3</v>
      </c>
      <c r="F9" s="14">
        <f>SUMIFS('Entradas e Saídas'!$G:$G,'Entradas e Saídas'!$E:$E,'Fluxo de Caixa'!$B9,'Entradas e Saídas'!$C:$C,MONTH('Fluxo de Caixa'!F$5),'Entradas e Saídas'!$D:$D,YEAR('Fluxo de Caixa'!F$5))</f>
        <v>-109.66000000000001</v>
      </c>
      <c r="G9" s="14">
        <f>SUMIFS('Entradas e Saídas'!$G:$G,'Entradas e Saídas'!$E:$E,'Fluxo de Caixa'!$B9,'Entradas e Saídas'!$C:$C,MONTH('Fluxo de Caixa'!G$5),'Entradas e Saídas'!$D:$D,YEAR('Fluxo de Caixa'!G$5))</f>
        <v>-101.86</v>
      </c>
      <c r="H9" s="14">
        <f>SUMIFS('Entradas e Saídas'!$G:$G,'Entradas e Saídas'!$E:$E,'Fluxo de Caixa'!$B9,'Entradas e Saídas'!$C:$C,MONTH('Fluxo de Caixa'!H$5),'Entradas e Saídas'!$D:$D,YEAR('Fluxo de Caixa'!H$5))</f>
        <v>-47.51</v>
      </c>
      <c r="I9" s="14">
        <f>SUMIFS('Entradas e Saídas'!$G:$G,'Entradas e Saídas'!$E:$E,'Fluxo de Caixa'!$B9,'Entradas e Saídas'!$C:$C,MONTH('Fluxo de Caixa'!I$5),'Entradas e Saídas'!$D:$D,YEAR('Fluxo de Caixa'!I$5))</f>
        <v>-120.94000000000003</v>
      </c>
      <c r="J9" s="14">
        <f>SUMIFS('Entradas e Saídas'!$G:$G,'Entradas e Saídas'!$E:$E,'Fluxo de Caixa'!$B9,'Entradas e Saídas'!$C:$C,MONTH('Fluxo de Caixa'!J$5),'Entradas e Saídas'!$D:$D,YEAR('Fluxo de Caixa'!J$5))</f>
        <v>-4.95</v>
      </c>
      <c r="K9" s="14">
        <f>SUMIFS('Entradas e Saídas'!$G:$G,'Entradas e Saídas'!$E:$E,'Fluxo de Caixa'!$B9,'Entradas e Saídas'!$C:$C,MONTH('Fluxo de Caixa'!K$5),'Entradas e Saídas'!$D:$D,YEAR('Fluxo de Caixa'!K$5))</f>
        <v>-34.29</v>
      </c>
      <c r="L9" s="14">
        <f>SUMIFS('Entradas e Saídas'!$G:$G,'Entradas e Saídas'!$E:$E,'Fluxo de Caixa'!$B9,'Entradas e Saídas'!$C:$C,MONTH('Fluxo de Caixa'!L$5),'Entradas e Saídas'!$D:$D,YEAR('Fluxo de Caixa'!L$5))</f>
        <v>-2.2999999999999998</v>
      </c>
      <c r="M9" s="14">
        <f>SUMIFS('Entradas e Saídas'!$G:$G,'Entradas e Saídas'!$E:$E,'Fluxo de Caixa'!$B9,'Entradas e Saídas'!$C:$C,MONTH('Fluxo de Caixa'!M$5),'Entradas e Saídas'!$D:$D,YEAR('Fluxo de Caixa'!M$5))</f>
        <v>-94.47</v>
      </c>
      <c r="N9" s="14">
        <f>SUMIFS('Entradas e Saídas'!$G:$G,'Entradas e Saídas'!$E:$E,'Fluxo de Caixa'!$B9,'Entradas e Saídas'!$C:$C,MONTH('Fluxo de Caixa'!N$5),'Entradas e Saídas'!$D:$D,YEAR('Fluxo de Caixa'!N$5))</f>
        <v>-123.35</v>
      </c>
      <c r="O9" s="14">
        <f>SUMIFS('Entradas e Saídas'!$G:$G,'Entradas e Saídas'!$E:$E,'Fluxo de Caixa'!$B9,'Entradas e Saídas'!$C:$C,MONTH('Fluxo de Caixa'!O$5),'Entradas e Saídas'!$D:$D,YEAR('Fluxo de Caixa'!O$5))</f>
        <v>0</v>
      </c>
      <c r="P9" s="14">
        <f>SUMIFS('Entradas e Saídas'!$G:$G,'Entradas e Saídas'!$E:$E,'Fluxo de Caixa'!$B9,'Entradas e Saídas'!$C:$C,MONTH('Fluxo de Caixa'!P$5),'Entradas e Saídas'!$D:$D,YEAR('Fluxo de Caixa'!P$5))</f>
        <v>-9.67</v>
      </c>
      <c r="Q9" s="14">
        <f>SUMIFS('Entradas e Saídas'!$G:$G,'Entradas e Saídas'!$E:$E,'Fluxo de Caixa'!$B9,'Entradas e Saídas'!$C:$C,MONTH('Fluxo de Caixa'!Q$5),'Entradas e Saídas'!$D:$D,YEAR('Fluxo de Caixa'!Q$5))</f>
        <v>-228.26999999999998</v>
      </c>
      <c r="R9" s="14">
        <f>SUMIFS('Entradas e Saídas'!$G:$G,'Entradas e Saídas'!$E:$E,'Fluxo de Caixa'!$B9,'Entradas e Saídas'!$C:$C,MONTH('Fluxo de Caixa'!R$5),'Entradas e Saídas'!$D:$D,YEAR('Fluxo de Caixa'!R$5))</f>
        <v>-66.639999999999986</v>
      </c>
      <c r="S9" s="14">
        <f>SUMIFS('Entradas e Saídas'!$G:$G,'Entradas e Saídas'!$E:$E,'Fluxo de Caixa'!$B9,'Entradas e Saídas'!$C:$C,MONTH('Fluxo de Caixa'!S$5),'Entradas e Saídas'!$D:$D,YEAR('Fluxo de Caixa'!S$5))</f>
        <v>0</v>
      </c>
      <c r="T9" s="14">
        <f>SUMIFS('Entradas e Saídas'!$G:$G,'Entradas e Saídas'!$E:$E,'Fluxo de Caixa'!$B9,'Entradas e Saídas'!$C:$C,MONTH('Fluxo de Caixa'!T$5),'Entradas e Saídas'!$D:$D,YEAR('Fluxo de Caixa'!T$5))</f>
        <v>-8.7600000000000016</v>
      </c>
      <c r="U9" s="14">
        <f>SUMIFS('Entradas e Saídas'!$G:$G,'Entradas e Saídas'!$E:$E,'Fluxo de Caixa'!$B9,'Entradas e Saídas'!$C:$C,MONTH('Fluxo de Caixa'!U$5),'Entradas e Saídas'!$D:$D,YEAR('Fluxo de Caixa'!U$5))</f>
        <v>0</v>
      </c>
      <c r="V9" s="14">
        <f>SUMIFS('Entradas e Saídas'!$G:$G,'Entradas e Saídas'!$E:$E,'Fluxo de Caixa'!$B9,'Entradas e Saídas'!$C:$C,MONTH('Fluxo de Caixa'!V$5),'Entradas e Saídas'!$D:$D,YEAR('Fluxo de Caixa'!V$5))</f>
        <v>-2.9699999999999998</v>
      </c>
      <c r="W9" s="14">
        <f>SUMIFS('Entradas e Saídas'!$G:$G,'Entradas e Saídas'!$E:$E,'Fluxo de Caixa'!$B9,'Entradas e Saídas'!$C:$C,MONTH('Fluxo de Caixa'!W$5),'Entradas e Saídas'!$D:$D,YEAR('Fluxo de Caixa'!W$5))</f>
        <v>-13.299999999999999</v>
      </c>
      <c r="X9" s="14">
        <f>SUMIFS('Entradas e Saídas'!$G:$G,'Entradas e Saídas'!$E:$E,'Fluxo de Caixa'!$B9,'Entradas e Saídas'!$C:$C,MONTH('Fluxo de Caixa'!X$5),'Entradas e Saídas'!$D:$D,YEAR('Fluxo de Caixa'!X$5))</f>
        <v>0</v>
      </c>
      <c r="Y9" s="14">
        <f>SUMIFS('Entradas e Saídas'!$G:$G,'Entradas e Saídas'!$E:$E,'Fluxo de Caixa'!$B9,'Entradas e Saídas'!$C:$C,MONTH('Fluxo de Caixa'!Y$5),'Entradas e Saídas'!$D:$D,YEAR('Fluxo de Caixa'!Y$5))</f>
        <v>-7.6999999999999993</v>
      </c>
      <c r="Z9" s="14">
        <f>SUMIFS('Entradas e Saídas'!$G:$G,'Entradas e Saídas'!$E:$E,'Fluxo de Caixa'!$B9,'Entradas e Saídas'!$C:$C,MONTH('Fluxo de Caixa'!Z$5),'Entradas e Saídas'!$D:$D,YEAR('Fluxo de Caixa'!Z$5))</f>
        <v>-29.22</v>
      </c>
      <c r="AA9" s="14">
        <f>SUMIFS('Entradas e Saídas'!$G:$G,'Entradas e Saídas'!$E:$E,'Fluxo de Caixa'!$B9,'Entradas e Saídas'!$C:$C,MONTH('Fluxo de Caixa'!AA$5),'Entradas e Saídas'!$D:$D,YEAR('Fluxo de Caixa'!AA$5))</f>
        <v>-5.12</v>
      </c>
      <c r="AB9" s="14">
        <f>SUMIFS('Entradas e Saídas'!$G:$G,'Entradas e Saídas'!$E:$E,'Fluxo de Caixa'!$B9,'Entradas e Saídas'!$C:$C,MONTH('Fluxo de Caixa'!AB$5),'Entradas e Saídas'!$D:$D,YEAR('Fluxo de Caixa'!AB$5))</f>
        <v>0</v>
      </c>
      <c r="AC9" s="14">
        <f>SUMIFS('Entradas e Saídas'!$G:$G,'Entradas e Saídas'!$E:$E,'Fluxo de Caixa'!$B9,'Entradas e Saídas'!$C:$C,MONTH('Fluxo de Caixa'!AC$5),'Entradas e Saídas'!$D:$D,YEAR('Fluxo de Caixa'!AC$5))</f>
        <v>0</v>
      </c>
      <c r="AD9" s="14">
        <f>SUMIFS('Entradas e Saídas'!$G:$G,'Entradas e Saídas'!$E:$E,'Fluxo de Caixa'!$B9,'Entradas e Saídas'!$C:$C,MONTH('Fluxo de Caixa'!AD$5),'Entradas e Saídas'!$D:$D,YEAR('Fluxo de Caixa'!AD$5))</f>
        <v>0</v>
      </c>
      <c r="AE9" s="14">
        <f>SUMIFS('Entradas e Saídas'!$G:$G,'Entradas e Saídas'!$E:$E,'Fluxo de Caixa'!$B9,'Entradas e Saídas'!$C:$C,MONTH('Fluxo de Caixa'!AE$5),'Entradas e Saídas'!$D:$D,YEAR('Fluxo de Caixa'!AE$5))</f>
        <v>0</v>
      </c>
      <c r="AF9" s="14">
        <f>SUMIFS('Entradas e Saídas'!$G:$G,'Entradas e Saídas'!$E:$E,'Fluxo de Caixa'!$B9,'Entradas e Saídas'!$C:$C,MONTH('Fluxo de Caixa'!AF$5),'Entradas e Saídas'!$D:$D,YEAR('Fluxo de Caixa'!AF$5))</f>
        <v>0</v>
      </c>
      <c r="AG9" s="14">
        <f>SUMIFS('Entradas e Saídas'!$G:$G,'Entradas e Saídas'!$E:$E,'Fluxo de Caixa'!$B9,'Entradas e Saídas'!$C:$C,MONTH('Fluxo de Caixa'!AG$5),'Entradas e Saídas'!$D:$D,YEAR('Fluxo de Caixa'!AG$5))</f>
        <v>0</v>
      </c>
      <c r="AH9" s="14">
        <f>SUMIFS('Entradas e Saídas'!$G:$G,'Entradas e Saídas'!$E:$E,'Fluxo de Caixa'!$B9,'Entradas e Saídas'!$C:$C,MONTH('Fluxo de Caixa'!AH$5),'Entradas e Saídas'!$D:$D,YEAR('Fluxo de Caixa'!AH$5))</f>
        <v>0</v>
      </c>
      <c r="AI9" s="14">
        <f>SUMIFS('Entradas e Saídas'!$G:$G,'Entradas e Saídas'!$E:$E,'Fluxo de Caixa'!$B9,'Entradas e Saídas'!$C:$C,MONTH('Fluxo de Caixa'!AI$5),'Entradas e Saídas'!$D:$D,YEAR('Fluxo de Caixa'!AI$5))</f>
        <v>0</v>
      </c>
      <c r="AJ9" s="14">
        <f>SUMIFS('Entradas e Saídas'!$G:$G,'Entradas e Saídas'!$E:$E,'Fluxo de Caixa'!$B9,'Entradas e Saídas'!$C:$C,MONTH('Fluxo de Caixa'!AJ$5),'Entradas e Saídas'!$D:$D,YEAR('Fluxo de Caixa'!AJ$5))</f>
        <v>0</v>
      </c>
      <c r="AK9" s="14">
        <f>SUMIFS('Entradas e Saídas'!$G:$G,'Entradas e Saídas'!$E:$E,'Fluxo de Caixa'!$B9,'Entradas e Saídas'!$C:$C,MONTH('Fluxo de Caixa'!AK$5),'Entradas e Saídas'!$D:$D,YEAR('Fluxo de Caixa'!AK$5))</f>
        <v>0</v>
      </c>
      <c r="AL9" s="14">
        <f>SUMIFS('Entradas e Saídas'!$G:$G,'Entradas e Saídas'!$E:$E,'Fluxo de Caixa'!$B9,'Entradas e Saídas'!$C:$C,MONTH('Fluxo de Caixa'!AL$5),'Entradas e Saídas'!$D:$D,YEAR('Fluxo de Caixa'!AL$5))</f>
        <v>0</v>
      </c>
      <c r="AM9" s="14">
        <f>SUMIFS('Entradas e Saídas'!$G:$G,'Entradas e Saídas'!$E:$E,'Fluxo de Caixa'!$B9,'Entradas e Saídas'!$C:$C,MONTH('Fluxo de Caixa'!AM$5),'Entradas e Saídas'!$D:$D,YEAR('Fluxo de Caixa'!AM$5))</f>
        <v>0</v>
      </c>
      <c r="AN9" s="14">
        <f>SUMIFS('Entradas e Saídas'!$G:$G,'Entradas e Saídas'!$E:$E,'Fluxo de Caixa'!$B9,'Entradas e Saídas'!$C:$C,MONTH('Fluxo de Caixa'!AN$5),'Entradas e Saídas'!$D:$D,YEAR('Fluxo de Caixa'!AN$5))</f>
        <v>0</v>
      </c>
      <c r="AO9" s="14">
        <f>SUMIFS('Entradas e Saídas'!$G:$G,'Entradas e Saídas'!$E:$E,'Fluxo de Caixa'!$B9,'Entradas e Saídas'!$C:$C,MONTH('Fluxo de Caixa'!AO$5),'Entradas e Saídas'!$D:$D,YEAR('Fluxo de Caixa'!AO$5))</f>
        <v>0</v>
      </c>
      <c r="AP9" s="14">
        <f>SUMIFS('Entradas e Saídas'!$G:$G,'Entradas e Saídas'!$E:$E,'Fluxo de Caixa'!$B9,'Entradas e Saídas'!$C:$C,MONTH('Fluxo de Caixa'!AP$5),'Entradas e Saídas'!$D:$D,YEAR('Fluxo de Caixa'!AP$5))</f>
        <v>0</v>
      </c>
      <c r="AQ9" s="14">
        <f>SUMIFS('Entradas e Saídas'!$G:$G,'Entradas e Saídas'!$E:$E,'Fluxo de Caixa'!$B9,'Entradas e Saídas'!$C:$C,MONTH('Fluxo de Caixa'!AQ$5),'Entradas e Saídas'!$D:$D,YEAR('Fluxo de Caixa'!AQ$5))</f>
        <v>0</v>
      </c>
      <c r="AR9" s="14">
        <f>SUMIFS('Entradas e Saídas'!$G:$G,'Entradas e Saídas'!$E:$E,'Fluxo de Caixa'!$B9,'Entradas e Saídas'!$C:$C,MONTH('Fluxo de Caixa'!AR$5),'Entradas e Saídas'!$D:$D,YEAR('Fluxo de Caixa'!AR$5))</f>
        <v>0</v>
      </c>
      <c r="AS9" s="14">
        <f>SUMIFS('Entradas e Saídas'!$G:$G,'Entradas e Saídas'!$E:$E,'Fluxo de Caixa'!$B9,'Entradas e Saídas'!$C:$C,MONTH('Fluxo de Caixa'!AS$5),'Entradas e Saídas'!$D:$D,YEAR('Fluxo de Caixa'!AS$5))</f>
        <v>0</v>
      </c>
    </row>
    <row r="10" spans="2:46" ht="15.6">
      <c r="B10" s="27" t="s">
        <v>72</v>
      </c>
      <c r="C10" s="14">
        <f>SUMIFS('Entradas e Saídas'!$G:$G,'Entradas e Saídas'!$E:$E,'Fluxo de Caixa'!$B10,'Entradas e Saídas'!$C:$C,MONTH('Fluxo de Caixa'!C$5),'Entradas e Saídas'!$D:$D,YEAR('Fluxo de Caixa'!C$5))</f>
        <v>-203.2</v>
      </c>
      <c r="D10" s="14">
        <f>SUMIFS('Entradas e Saídas'!$G:$G,'Entradas e Saídas'!$E:$E,'Fluxo de Caixa'!$B10,'Entradas e Saídas'!$C:$C,MONTH('Fluxo de Caixa'!D$5),'Entradas e Saídas'!$D:$D,YEAR('Fluxo de Caixa'!D$5))</f>
        <v>-111.79000000000002</v>
      </c>
      <c r="E10" s="14">
        <f>SUMIFS('Entradas e Saídas'!$G:$G,'Entradas e Saídas'!$E:$E,'Fluxo de Caixa'!$B10,'Entradas e Saídas'!$C:$C,MONTH('Fluxo de Caixa'!E$5),'Entradas e Saídas'!$D:$D,YEAR('Fluxo de Caixa'!E$5))</f>
        <v>-56.603999999999999</v>
      </c>
      <c r="F10" s="14">
        <f>SUMIFS('Entradas e Saídas'!$G:$G,'Entradas e Saídas'!$E:$E,'Fluxo de Caixa'!$B10,'Entradas e Saídas'!$C:$C,MONTH('Fluxo de Caixa'!F$5),'Entradas e Saídas'!$D:$D,YEAR('Fluxo de Caixa'!F$5))</f>
        <v>-448.00999999999993</v>
      </c>
      <c r="G10" s="14">
        <f>SUMIFS('Entradas e Saídas'!$G:$G,'Entradas e Saídas'!$E:$E,'Fluxo de Caixa'!$B10,'Entradas e Saídas'!$C:$C,MONTH('Fluxo de Caixa'!G$5),'Entradas e Saídas'!$D:$D,YEAR('Fluxo de Caixa'!G$5))</f>
        <v>-210.07</v>
      </c>
      <c r="H10" s="14">
        <f>SUMIFS('Entradas e Saídas'!$G:$G,'Entradas e Saídas'!$E:$E,'Fluxo de Caixa'!$B10,'Entradas e Saídas'!$C:$C,MONTH('Fluxo de Caixa'!H$5),'Entradas e Saídas'!$D:$D,YEAR('Fluxo de Caixa'!H$5))</f>
        <v>-507.18999999999994</v>
      </c>
      <c r="I10" s="14">
        <f>SUMIFS('Entradas e Saídas'!$G:$G,'Entradas e Saídas'!$E:$E,'Fluxo de Caixa'!$B10,'Entradas e Saídas'!$C:$C,MONTH('Fluxo de Caixa'!I$5),'Entradas e Saídas'!$D:$D,YEAR('Fluxo de Caixa'!I$5))</f>
        <v>-457.55</v>
      </c>
      <c r="J10" s="14">
        <f>SUMIFS('Entradas e Saídas'!$G:$G,'Entradas e Saídas'!$E:$E,'Fluxo de Caixa'!$B10,'Entradas e Saídas'!$C:$C,MONTH('Fluxo de Caixa'!J$5),'Entradas e Saídas'!$D:$D,YEAR('Fluxo de Caixa'!J$5))</f>
        <v>-441.78750000000008</v>
      </c>
      <c r="K10" s="14">
        <f>SUMIFS('Entradas e Saídas'!$G:$G,'Entradas e Saídas'!$E:$E,'Fluxo de Caixa'!$B10,'Entradas e Saídas'!$C:$C,MONTH('Fluxo de Caixa'!K$5),'Entradas e Saídas'!$D:$D,YEAR('Fluxo de Caixa'!K$5))</f>
        <v>-111.64400000000001</v>
      </c>
      <c r="L10" s="14">
        <f>SUMIFS('Entradas e Saídas'!$G:$G,'Entradas e Saídas'!$E:$E,'Fluxo de Caixa'!$B10,'Entradas e Saídas'!$C:$C,MONTH('Fluxo de Caixa'!L$5),'Entradas e Saídas'!$D:$D,YEAR('Fluxo de Caixa'!L$5))</f>
        <v>-524.66</v>
      </c>
      <c r="M10" s="14">
        <f>SUMIFS('Entradas e Saídas'!$G:$G,'Entradas e Saídas'!$E:$E,'Fluxo de Caixa'!$B10,'Entradas e Saídas'!$C:$C,MONTH('Fluxo de Caixa'!M$5),'Entradas e Saídas'!$D:$D,YEAR('Fluxo de Caixa'!M$5))</f>
        <v>-35.700000000000003</v>
      </c>
      <c r="N10" s="14">
        <f>SUMIFS('Entradas e Saídas'!$G:$G,'Entradas e Saídas'!$E:$E,'Fluxo de Caixa'!$B10,'Entradas e Saídas'!$C:$C,MONTH('Fluxo de Caixa'!N$5),'Entradas e Saídas'!$D:$D,YEAR('Fluxo de Caixa'!N$5))</f>
        <v>-680.59999999999991</v>
      </c>
      <c r="O10" s="14">
        <f>SUMIFS('Entradas e Saídas'!$G:$G,'Entradas e Saídas'!$E:$E,'Fluxo de Caixa'!$B10,'Entradas e Saídas'!$C:$C,MONTH('Fluxo de Caixa'!O$5),'Entradas e Saídas'!$D:$D,YEAR('Fluxo de Caixa'!O$5))</f>
        <v>-70.39</v>
      </c>
      <c r="P10" s="14">
        <f>SUMIFS('Entradas e Saídas'!$G:$G,'Entradas e Saídas'!$E:$E,'Fluxo de Caixa'!$B10,'Entradas e Saídas'!$C:$C,MONTH('Fluxo de Caixa'!P$5),'Entradas e Saídas'!$D:$D,YEAR('Fluxo de Caixa'!P$5))</f>
        <v>-257.52</v>
      </c>
      <c r="Q10" s="14">
        <f>SUMIFS('Entradas e Saídas'!$G:$G,'Entradas e Saídas'!$E:$E,'Fluxo de Caixa'!$B10,'Entradas e Saídas'!$C:$C,MONTH('Fluxo de Caixa'!Q$5),'Entradas e Saídas'!$D:$D,YEAR('Fluxo de Caixa'!Q$5))</f>
        <v>-381.18</v>
      </c>
      <c r="R10" s="14">
        <f>SUMIFS('Entradas e Saídas'!$G:$G,'Entradas e Saídas'!$E:$E,'Fluxo de Caixa'!$B10,'Entradas e Saídas'!$C:$C,MONTH('Fluxo de Caixa'!R$5),'Entradas e Saídas'!$D:$D,YEAR('Fluxo de Caixa'!R$5))</f>
        <v>-106.67</v>
      </c>
      <c r="S10" s="14">
        <f>SUMIFS('Entradas e Saídas'!$G:$G,'Entradas e Saídas'!$E:$E,'Fluxo de Caixa'!$B10,'Entradas e Saídas'!$C:$C,MONTH('Fluxo de Caixa'!S$5),'Entradas e Saídas'!$D:$D,YEAR('Fluxo de Caixa'!S$5))</f>
        <v>0</v>
      </c>
      <c r="T10" s="14">
        <f>SUMIFS('Entradas e Saídas'!$G:$G,'Entradas e Saídas'!$E:$E,'Fluxo de Caixa'!$B10,'Entradas e Saídas'!$C:$C,MONTH('Fluxo de Caixa'!T$5),'Entradas e Saídas'!$D:$D,YEAR('Fluxo de Caixa'!T$5))</f>
        <v>-197.76</v>
      </c>
      <c r="U10" s="14">
        <f>SUMIFS('Entradas e Saídas'!$G:$G,'Entradas e Saídas'!$E:$E,'Fluxo de Caixa'!$B10,'Entradas e Saídas'!$C:$C,MONTH('Fluxo de Caixa'!U$5),'Entradas e Saídas'!$D:$D,YEAR('Fluxo de Caixa'!U$5))</f>
        <v>-45.820000000000007</v>
      </c>
      <c r="V10" s="14">
        <f>SUMIFS('Entradas e Saídas'!$G:$G,'Entradas e Saídas'!$E:$E,'Fluxo de Caixa'!$B10,'Entradas e Saídas'!$C:$C,MONTH('Fluxo de Caixa'!V$5),'Entradas e Saídas'!$D:$D,YEAR('Fluxo de Caixa'!V$5))</f>
        <v>-167.72000000000003</v>
      </c>
      <c r="W10" s="14">
        <f>SUMIFS('Entradas e Saídas'!$G:$G,'Entradas e Saídas'!$E:$E,'Fluxo de Caixa'!$B10,'Entradas e Saídas'!$C:$C,MONTH('Fluxo de Caixa'!W$5),'Entradas e Saídas'!$D:$D,YEAR('Fluxo de Caixa'!W$5))</f>
        <v>-41.1</v>
      </c>
      <c r="X10" s="14">
        <f>SUMIFS('Entradas e Saídas'!$G:$G,'Entradas e Saídas'!$E:$E,'Fluxo de Caixa'!$B10,'Entradas e Saídas'!$C:$C,MONTH('Fluxo de Caixa'!X$5),'Entradas e Saídas'!$D:$D,YEAR('Fluxo de Caixa'!X$5))</f>
        <v>-59.85</v>
      </c>
      <c r="Y10" s="14">
        <f>SUMIFS('Entradas e Saídas'!$G:$G,'Entradas e Saídas'!$E:$E,'Fluxo de Caixa'!$B10,'Entradas e Saídas'!$C:$C,MONTH('Fluxo de Caixa'!Y$5),'Entradas e Saídas'!$D:$D,YEAR('Fluxo de Caixa'!Y$5))</f>
        <v>-346.76000000000005</v>
      </c>
      <c r="Z10" s="14">
        <f>SUMIFS('Entradas e Saídas'!$G:$G,'Entradas e Saídas'!$E:$E,'Fluxo de Caixa'!$B10,'Entradas e Saídas'!$C:$C,MONTH('Fluxo de Caixa'!Z$5),'Entradas e Saídas'!$D:$D,YEAR('Fluxo de Caixa'!Z$5))</f>
        <v>-40.019999999999996</v>
      </c>
      <c r="AA10" s="14">
        <f>SUMIFS('Entradas e Saídas'!$G:$G,'Entradas e Saídas'!$E:$E,'Fluxo de Caixa'!$B10,'Entradas e Saídas'!$C:$C,MONTH('Fluxo de Caixa'!AA$5),'Entradas e Saídas'!$D:$D,YEAR('Fluxo de Caixa'!AA$5))</f>
        <v>0</v>
      </c>
      <c r="AB10" s="14">
        <f>SUMIFS('Entradas e Saídas'!$G:$G,'Entradas e Saídas'!$E:$E,'Fluxo de Caixa'!$B10,'Entradas e Saídas'!$C:$C,MONTH('Fluxo de Caixa'!AB$5),'Entradas e Saídas'!$D:$D,YEAR('Fluxo de Caixa'!AB$5))</f>
        <v>0</v>
      </c>
      <c r="AC10" s="14">
        <f>SUMIFS('Entradas e Saídas'!$G:$G,'Entradas e Saídas'!$E:$E,'Fluxo de Caixa'!$B10,'Entradas e Saídas'!$C:$C,MONTH('Fluxo de Caixa'!AC$5),'Entradas e Saídas'!$D:$D,YEAR('Fluxo de Caixa'!AC$5))</f>
        <v>0</v>
      </c>
      <c r="AD10" s="14">
        <f>SUMIFS('Entradas e Saídas'!$G:$G,'Entradas e Saídas'!$E:$E,'Fluxo de Caixa'!$B10,'Entradas e Saídas'!$C:$C,MONTH('Fluxo de Caixa'!AD$5),'Entradas e Saídas'!$D:$D,YEAR('Fluxo de Caixa'!AD$5))</f>
        <v>0</v>
      </c>
      <c r="AE10" s="14">
        <f>SUMIFS('Entradas e Saídas'!$G:$G,'Entradas e Saídas'!$E:$E,'Fluxo de Caixa'!$B10,'Entradas e Saídas'!$C:$C,MONTH('Fluxo de Caixa'!AE$5),'Entradas e Saídas'!$D:$D,YEAR('Fluxo de Caixa'!AE$5))</f>
        <v>0</v>
      </c>
      <c r="AF10" s="14">
        <f>SUMIFS('Entradas e Saídas'!$G:$G,'Entradas e Saídas'!$E:$E,'Fluxo de Caixa'!$B10,'Entradas e Saídas'!$C:$C,MONTH('Fluxo de Caixa'!AF$5),'Entradas e Saídas'!$D:$D,YEAR('Fluxo de Caixa'!AF$5))</f>
        <v>0</v>
      </c>
      <c r="AG10" s="14">
        <f>SUMIFS('Entradas e Saídas'!$G:$G,'Entradas e Saídas'!$E:$E,'Fluxo de Caixa'!$B10,'Entradas e Saídas'!$C:$C,MONTH('Fluxo de Caixa'!AG$5),'Entradas e Saídas'!$D:$D,YEAR('Fluxo de Caixa'!AG$5))</f>
        <v>0</v>
      </c>
      <c r="AH10" s="14">
        <f>SUMIFS('Entradas e Saídas'!$G:$G,'Entradas e Saídas'!$E:$E,'Fluxo de Caixa'!$B10,'Entradas e Saídas'!$C:$C,MONTH('Fluxo de Caixa'!AH$5),'Entradas e Saídas'!$D:$D,YEAR('Fluxo de Caixa'!AH$5))</f>
        <v>0</v>
      </c>
      <c r="AI10" s="14">
        <f>SUMIFS('Entradas e Saídas'!$G:$G,'Entradas e Saídas'!$E:$E,'Fluxo de Caixa'!$B10,'Entradas e Saídas'!$C:$C,MONTH('Fluxo de Caixa'!AI$5),'Entradas e Saídas'!$D:$D,YEAR('Fluxo de Caixa'!AI$5))</f>
        <v>0</v>
      </c>
      <c r="AJ10" s="14">
        <f>SUMIFS('Entradas e Saídas'!$G:$G,'Entradas e Saídas'!$E:$E,'Fluxo de Caixa'!$B10,'Entradas e Saídas'!$C:$C,MONTH('Fluxo de Caixa'!AJ$5),'Entradas e Saídas'!$D:$D,YEAR('Fluxo de Caixa'!AJ$5))</f>
        <v>0</v>
      </c>
      <c r="AK10" s="14">
        <f>SUMIFS('Entradas e Saídas'!$G:$G,'Entradas e Saídas'!$E:$E,'Fluxo de Caixa'!$B10,'Entradas e Saídas'!$C:$C,MONTH('Fluxo de Caixa'!AK$5),'Entradas e Saídas'!$D:$D,YEAR('Fluxo de Caixa'!AK$5))</f>
        <v>0</v>
      </c>
      <c r="AL10" s="14">
        <f>SUMIFS('Entradas e Saídas'!$G:$G,'Entradas e Saídas'!$E:$E,'Fluxo de Caixa'!$B10,'Entradas e Saídas'!$C:$C,MONTH('Fluxo de Caixa'!AL$5),'Entradas e Saídas'!$D:$D,YEAR('Fluxo de Caixa'!AL$5))</f>
        <v>0</v>
      </c>
      <c r="AM10" s="14">
        <f>SUMIFS('Entradas e Saídas'!$G:$G,'Entradas e Saídas'!$E:$E,'Fluxo de Caixa'!$B10,'Entradas e Saídas'!$C:$C,MONTH('Fluxo de Caixa'!AM$5),'Entradas e Saídas'!$D:$D,YEAR('Fluxo de Caixa'!AM$5))</f>
        <v>0</v>
      </c>
      <c r="AN10" s="14">
        <f>SUMIFS('Entradas e Saídas'!$G:$G,'Entradas e Saídas'!$E:$E,'Fluxo de Caixa'!$B10,'Entradas e Saídas'!$C:$C,MONTH('Fluxo de Caixa'!AN$5),'Entradas e Saídas'!$D:$D,YEAR('Fluxo de Caixa'!AN$5))</f>
        <v>0</v>
      </c>
      <c r="AO10" s="14">
        <f>SUMIFS('Entradas e Saídas'!$G:$G,'Entradas e Saídas'!$E:$E,'Fluxo de Caixa'!$B10,'Entradas e Saídas'!$C:$C,MONTH('Fluxo de Caixa'!AO$5),'Entradas e Saídas'!$D:$D,YEAR('Fluxo de Caixa'!AO$5))</f>
        <v>0</v>
      </c>
      <c r="AP10" s="14">
        <f>SUMIFS('Entradas e Saídas'!$G:$G,'Entradas e Saídas'!$E:$E,'Fluxo de Caixa'!$B10,'Entradas e Saídas'!$C:$C,MONTH('Fluxo de Caixa'!AP$5),'Entradas e Saídas'!$D:$D,YEAR('Fluxo de Caixa'!AP$5))</f>
        <v>0</v>
      </c>
      <c r="AQ10" s="14">
        <f>SUMIFS('Entradas e Saídas'!$G:$G,'Entradas e Saídas'!$E:$E,'Fluxo de Caixa'!$B10,'Entradas e Saídas'!$C:$C,MONTH('Fluxo de Caixa'!AQ$5),'Entradas e Saídas'!$D:$D,YEAR('Fluxo de Caixa'!AQ$5))</f>
        <v>0</v>
      </c>
      <c r="AR10" s="14">
        <f>SUMIFS('Entradas e Saídas'!$G:$G,'Entradas e Saídas'!$E:$E,'Fluxo de Caixa'!$B10,'Entradas e Saídas'!$C:$C,MONTH('Fluxo de Caixa'!AR$5),'Entradas e Saídas'!$D:$D,YEAR('Fluxo de Caixa'!AR$5))</f>
        <v>0</v>
      </c>
      <c r="AS10" s="14">
        <f>SUMIFS('Entradas e Saídas'!$G:$G,'Entradas e Saídas'!$E:$E,'Fluxo de Caixa'!$B10,'Entradas e Saídas'!$C:$C,MONTH('Fluxo de Caixa'!AS$5),'Entradas e Saídas'!$D:$D,YEAR('Fluxo de Caixa'!AS$5))</f>
        <v>0</v>
      </c>
    </row>
    <row r="11" spans="2:46" ht="15.6">
      <c r="B11" s="27" t="s">
        <v>171</v>
      </c>
      <c r="C11" s="14">
        <f>SUMIFS('Entradas e Saídas'!$G:$G,'Entradas e Saídas'!$E:$E,'Fluxo de Caixa'!$B11,'Entradas e Saídas'!$C:$C,MONTH('Fluxo de Caixa'!C$5),'Entradas e Saídas'!$D:$D,YEAR('Fluxo de Caixa'!C$5))</f>
        <v>0</v>
      </c>
      <c r="D11" s="14">
        <f>SUMIFS('Entradas e Saídas'!$G:$G,'Entradas e Saídas'!$E:$E,'Fluxo de Caixa'!$B11,'Entradas e Saídas'!$C:$C,MONTH('Fluxo de Caixa'!D$5),'Entradas e Saídas'!$D:$D,YEAR('Fluxo de Caixa'!D$5))</f>
        <v>0</v>
      </c>
      <c r="E11" s="14">
        <f>SUMIFS('Entradas e Saídas'!$G:$G,'Entradas e Saídas'!$E:$E,'Fluxo de Caixa'!$B11,'Entradas e Saídas'!$C:$C,MONTH('Fluxo de Caixa'!E$5),'Entradas e Saídas'!$D:$D,YEAR('Fluxo de Caixa'!E$5))</f>
        <v>0</v>
      </c>
      <c r="F11" s="14">
        <f>SUMIFS('Entradas e Saídas'!$G:$G,'Entradas e Saídas'!$E:$E,'Fluxo de Caixa'!$B11,'Entradas e Saídas'!$C:$C,MONTH('Fluxo de Caixa'!F$5),'Entradas e Saídas'!$D:$D,YEAR('Fluxo de Caixa'!F$5))</f>
        <v>0</v>
      </c>
      <c r="G11" s="14">
        <f>SUMIFS('Entradas e Saídas'!$G:$G,'Entradas e Saídas'!$E:$E,'Fluxo de Caixa'!$B11,'Entradas e Saídas'!$C:$C,MONTH('Fluxo de Caixa'!G$5),'Entradas e Saídas'!$D:$D,YEAR('Fluxo de Caixa'!G$5))</f>
        <v>0</v>
      </c>
      <c r="H11" s="14">
        <f>SUMIFS('Entradas e Saídas'!$G:$G,'Entradas e Saídas'!$E:$E,'Fluxo de Caixa'!$B11,'Entradas e Saídas'!$C:$C,MONTH('Fluxo de Caixa'!H$5),'Entradas e Saídas'!$D:$D,YEAR('Fluxo de Caixa'!H$5))</f>
        <v>0</v>
      </c>
      <c r="I11" s="14">
        <f>SUMIFS('Entradas e Saídas'!$G:$G,'Entradas e Saídas'!$E:$E,'Fluxo de Caixa'!$B11,'Entradas e Saídas'!$C:$C,MONTH('Fluxo de Caixa'!I$5),'Entradas e Saídas'!$D:$D,YEAR('Fluxo de Caixa'!I$5))</f>
        <v>0</v>
      </c>
      <c r="J11" s="14">
        <f>SUMIFS('Entradas e Saídas'!$G:$G,'Entradas e Saídas'!$E:$E,'Fluxo de Caixa'!$B11,'Entradas e Saídas'!$C:$C,MONTH('Fluxo de Caixa'!J$5),'Entradas e Saídas'!$D:$D,YEAR('Fluxo de Caixa'!J$5))</f>
        <v>0</v>
      </c>
      <c r="K11" s="14">
        <f>SUMIFS('Entradas e Saídas'!$G:$G,'Entradas e Saídas'!$E:$E,'Fluxo de Caixa'!$B11,'Entradas e Saídas'!$C:$C,MONTH('Fluxo de Caixa'!K$5),'Entradas e Saídas'!$D:$D,YEAR('Fluxo de Caixa'!K$5))</f>
        <v>0</v>
      </c>
      <c r="L11" s="14">
        <f>SUMIFS('Entradas e Saídas'!$G:$G,'Entradas e Saídas'!$E:$E,'Fluxo de Caixa'!$B11,'Entradas e Saídas'!$C:$C,MONTH('Fluxo de Caixa'!L$5),'Entradas e Saídas'!$D:$D,YEAR('Fluxo de Caixa'!L$5))</f>
        <v>0</v>
      </c>
      <c r="M11" s="14">
        <f>SUMIFS('Entradas e Saídas'!$G:$G,'Entradas e Saídas'!$E:$E,'Fluxo de Caixa'!$B11,'Entradas e Saídas'!$C:$C,MONTH('Fluxo de Caixa'!M$5),'Entradas e Saídas'!$D:$D,YEAR('Fluxo de Caixa'!M$5))</f>
        <v>0</v>
      </c>
      <c r="N11" s="14">
        <f>SUMIFS('Entradas e Saídas'!$G:$G,'Entradas e Saídas'!$E:$E,'Fluxo de Caixa'!$B11,'Entradas e Saídas'!$C:$C,MONTH('Fluxo de Caixa'!N$5),'Entradas e Saídas'!$D:$D,YEAR('Fluxo de Caixa'!N$5))</f>
        <v>0</v>
      </c>
      <c r="O11" s="14">
        <f>SUMIFS('Entradas e Saídas'!$G:$G,'Entradas e Saídas'!$E:$E,'Fluxo de Caixa'!$B11,'Entradas e Saídas'!$C:$C,MONTH('Fluxo de Caixa'!O$5),'Entradas e Saídas'!$D:$D,YEAR('Fluxo de Caixa'!O$5))</f>
        <v>0</v>
      </c>
      <c r="P11" s="14">
        <f>SUMIFS('Entradas e Saídas'!$G:$G,'Entradas e Saídas'!$E:$E,'Fluxo de Caixa'!$B11,'Entradas e Saídas'!$C:$C,MONTH('Fluxo de Caixa'!P$5),'Entradas e Saídas'!$D:$D,YEAR('Fluxo de Caixa'!P$5))</f>
        <v>0</v>
      </c>
      <c r="Q11" s="14">
        <f>SUMIFS('Entradas e Saídas'!$G:$G,'Entradas e Saídas'!$E:$E,'Fluxo de Caixa'!$B11,'Entradas e Saídas'!$C:$C,MONTH('Fluxo de Caixa'!Q$5),'Entradas e Saídas'!$D:$D,YEAR('Fluxo de Caixa'!Q$5))</f>
        <v>0</v>
      </c>
      <c r="R11" s="14">
        <f>SUMIFS('Entradas e Saídas'!$G:$G,'Entradas e Saídas'!$E:$E,'Fluxo de Caixa'!$B11,'Entradas e Saídas'!$C:$C,MONTH('Fluxo de Caixa'!R$5),'Entradas e Saídas'!$D:$D,YEAR('Fluxo de Caixa'!R$5))</f>
        <v>0</v>
      </c>
      <c r="S11" s="14">
        <f>SUMIFS('Entradas e Saídas'!$G:$G,'Entradas e Saídas'!$E:$E,'Fluxo de Caixa'!$B11,'Entradas e Saídas'!$C:$C,MONTH('Fluxo de Caixa'!S$5),'Entradas e Saídas'!$D:$D,YEAR('Fluxo de Caixa'!S$5))</f>
        <v>0</v>
      </c>
      <c r="T11" s="14">
        <f>SUMIFS('Entradas e Saídas'!$G:$G,'Entradas e Saídas'!$E:$E,'Fluxo de Caixa'!$B11,'Entradas e Saídas'!$C:$C,MONTH('Fluxo de Caixa'!T$5),'Entradas e Saídas'!$D:$D,YEAR('Fluxo de Caixa'!T$5))</f>
        <v>0</v>
      </c>
      <c r="U11" s="14">
        <f>SUMIFS('Entradas e Saídas'!$G:$G,'Entradas e Saídas'!$E:$E,'Fluxo de Caixa'!$B11,'Entradas e Saídas'!$C:$C,MONTH('Fluxo de Caixa'!U$5),'Entradas e Saídas'!$D:$D,YEAR('Fluxo de Caixa'!U$5))</f>
        <v>0</v>
      </c>
      <c r="V11" s="14">
        <f>SUMIFS('Entradas e Saídas'!$G:$G,'Entradas e Saídas'!$E:$E,'Fluxo de Caixa'!$B11,'Entradas e Saídas'!$C:$C,MONTH('Fluxo de Caixa'!V$5),'Entradas e Saídas'!$D:$D,YEAR('Fluxo de Caixa'!V$5))</f>
        <v>0</v>
      </c>
      <c r="W11" s="14">
        <f>SUMIFS('Entradas e Saídas'!$G:$G,'Entradas e Saídas'!$E:$E,'Fluxo de Caixa'!$B11,'Entradas e Saídas'!$C:$C,MONTH('Fluxo de Caixa'!W$5),'Entradas e Saídas'!$D:$D,YEAR('Fluxo de Caixa'!W$5))</f>
        <v>0</v>
      </c>
      <c r="X11" s="14">
        <f>SUMIFS('Entradas e Saídas'!$G:$G,'Entradas e Saídas'!$E:$E,'Fluxo de Caixa'!$B11,'Entradas e Saídas'!$C:$C,MONTH('Fluxo de Caixa'!X$5),'Entradas e Saídas'!$D:$D,YEAR('Fluxo de Caixa'!X$5))</f>
        <v>0</v>
      </c>
      <c r="Y11" s="14">
        <f>SUMIFS('Entradas e Saídas'!$G:$G,'Entradas e Saídas'!$E:$E,'Fluxo de Caixa'!$B11,'Entradas e Saídas'!$C:$C,MONTH('Fluxo de Caixa'!Y$5),'Entradas e Saídas'!$D:$D,YEAR('Fluxo de Caixa'!Y$5))</f>
        <v>0</v>
      </c>
      <c r="Z11" s="14">
        <f>SUMIFS('Entradas e Saídas'!$G:$G,'Entradas e Saídas'!$E:$E,'Fluxo de Caixa'!$B11,'Entradas e Saídas'!$C:$C,MONTH('Fluxo de Caixa'!Z$5),'Entradas e Saídas'!$D:$D,YEAR('Fluxo de Caixa'!Z$5))</f>
        <v>0</v>
      </c>
      <c r="AA11" s="14">
        <f>SUMIFS('Entradas e Saídas'!$G:$G,'Entradas e Saídas'!$E:$E,'Fluxo de Caixa'!$B11,'Entradas e Saídas'!$C:$C,MONTH('Fluxo de Caixa'!AA$5),'Entradas e Saídas'!$D:$D,YEAR('Fluxo de Caixa'!AA$5))</f>
        <v>0</v>
      </c>
      <c r="AB11" s="14">
        <f>SUMIFS('Entradas e Saídas'!$G:$G,'Entradas e Saídas'!$E:$E,'Fluxo de Caixa'!$B11,'Entradas e Saídas'!$C:$C,MONTH('Fluxo de Caixa'!AB$5),'Entradas e Saídas'!$D:$D,YEAR('Fluxo de Caixa'!AB$5))</f>
        <v>0</v>
      </c>
      <c r="AC11" s="14">
        <f>SUMIFS('Entradas e Saídas'!$G:$G,'Entradas e Saídas'!$E:$E,'Fluxo de Caixa'!$B11,'Entradas e Saídas'!$C:$C,MONTH('Fluxo de Caixa'!AC$5),'Entradas e Saídas'!$D:$D,YEAR('Fluxo de Caixa'!AC$5))</f>
        <v>0</v>
      </c>
      <c r="AD11" s="14">
        <f>SUMIFS('Entradas e Saídas'!$G:$G,'Entradas e Saídas'!$E:$E,'Fluxo de Caixa'!$B11,'Entradas e Saídas'!$C:$C,MONTH('Fluxo de Caixa'!AD$5),'Entradas e Saídas'!$D:$D,YEAR('Fluxo de Caixa'!AD$5))</f>
        <v>0</v>
      </c>
      <c r="AE11" s="14">
        <f>SUMIFS('Entradas e Saídas'!$G:$G,'Entradas e Saídas'!$E:$E,'Fluxo de Caixa'!$B11,'Entradas e Saídas'!$C:$C,MONTH('Fluxo de Caixa'!AE$5),'Entradas e Saídas'!$D:$D,YEAR('Fluxo de Caixa'!AE$5))</f>
        <v>0</v>
      </c>
      <c r="AF11" s="14">
        <f>SUMIFS('Entradas e Saídas'!$G:$G,'Entradas e Saídas'!$E:$E,'Fluxo de Caixa'!$B11,'Entradas e Saídas'!$C:$C,MONTH('Fluxo de Caixa'!AF$5),'Entradas e Saídas'!$D:$D,YEAR('Fluxo de Caixa'!AF$5))</f>
        <v>0</v>
      </c>
      <c r="AG11" s="14">
        <f>SUMIFS('Entradas e Saídas'!$G:$G,'Entradas e Saídas'!$E:$E,'Fluxo de Caixa'!$B11,'Entradas e Saídas'!$C:$C,MONTH('Fluxo de Caixa'!AG$5),'Entradas e Saídas'!$D:$D,YEAR('Fluxo de Caixa'!AG$5))</f>
        <v>0</v>
      </c>
      <c r="AH11" s="14">
        <f>SUMIFS('Entradas e Saídas'!$G:$G,'Entradas e Saídas'!$E:$E,'Fluxo de Caixa'!$B11,'Entradas e Saídas'!$C:$C,MONTH('Fluxo de Caixa'!AH$5),'Entradas e Saídas'!$D:$D,YEAR('Fluxo de Caixa'!AH$5))</f>
        <v>0</v>
      </c>
      <c r="AI11" s="14">
        <f>SUMIFS('Entradas e Saídas'!$G:$G,'Entradas e Saídas'!$E:$E,'Fluxo de Caixa'!$B11,'Entradas e Saídas'!$C:$C,MONTH('Fluxo de Caixa'!AI$5),'Entradas e Saídas'!$D:$D,YEAR('Fluxo de Caixa'!AI$5))</f>
        <v>0</v>
      </c>
      <c r="AJ11" s="14">
        <f>SUMIFS('Entradas e Saídas'!$G:$G,'Entradas e Saídas'!$E:$E,'Fluxo de Caixa'!$B11,'Entradas e Saídas'!$C:$C,MONTH('Fluxo de Caixa'!AJ$5),'Entradas e Saídas'!$D:$D,YEAR('Fluxo de Caixa'!AJ$5))</f>
        <v>0</v>
      </c>
      <c r="AK11" s="14">
        <f>SUMIFS('Entradas e Saídas'!$G:$G,'Entradas e Saídas'!$E:$E,'Fluxo de Caixa'!$B11,'Entradas e Saídas'!$C:$C,MONTH('Fluxo de Caixa'!AK$5),'Entradas e Saídas'!$D:$D,YEAR('Fluxo de Caixa'!AK$5))</f>
        <v>0</v>
      </c>
      <c r="AL11" s="14">
        <f>SUMIFS('Entradas e Saídas'!$G:$G,'Entradas e Saídas'!$E:$E,'Fluxo de Caixa'!$B11,'Entradas e Saídas'!$C:$C,MONTH('Fluxo de Caixa'!AL$5),'Entradas e Saídas'!$D:$D,YEAR('Fluxo de Caixa'!AL$5))</f>
        <v>0</v>
      </c>
      <c r="AM11" s="14">
        <f>SUMIFS('Entradas e Saídas'!$G:$G,'Entradas e Saídas'!$E:$E,'Fluxo de Caixa'!$B11,'Entradas e Saídas'!$C:$C,MONTH('Fluxo de Caixa'!AM$5),'Entradas e Saídas'!$D:$D,YEAR('Fluxo de Caixa'!AM$5))</f>
        <v>0</v>
      </c>
      <c r="AN11" s="14">
        <f>SUMIFS('Entradas e Saídas'!$G:$G,'Entradas e Saídas'!$E:$E,'Fluxo de Caixa'!$B11,'Entradas e Saídas'!$C:$C,MONTH('Fluxo de Caixa'!AN$5),'Entradas e Saídas'!$D:$D,YEAR('Fluxo de Caixa'!AN$5))</f>
        <v>0</v>
      </c>
      <c r="AO11" s="14">
        <f>SUMIFS('Entradas e Saídas'!$G:$G,'Entradas e Saídas'!$E:$E,'Fluxo de Caixa'!$B11,'Entradas e Saídas'!$C:$C,MONTH('Fluxo de Caixa'!AO$5),'Entradas e Saídas'!$D:$D,YEAR('Fluxo de Caixa'!AO$5))</f>
        <v>0</v>
      </c>
      <c r="AP11" s="14">
        <f>SUMIFS('Entradas e Saídas'!$G:$G,'Entradas e Saídas'!$E:$E,'Fluxo de Caixa'!$B11,'Entradas e Saídas'!$C:$C,MONTH('Fluxo de Caixa'!AP$5),'Entradas e Saídas'!$D:$D,YEAR('Fluxo de Caixa'!AP$5))</f>
        <v>0</v>
      </c>
      <c r="AQ11" s="14">
        <f>SUMIFS('Entradas e Saídas'!$G:$G,'Entradas e Saídas'!$E:$E,'Fluxo de Caixa'!$B11,'Entradas e Saídas'!$C:$C,MONTH('Fluxo de Caixa'!AQ$5),'Entradas e Saídas'!$D:$D,YEAR('Fluxo de Caixa'!AQ$5))</f>
        <v>0</v>
      </c>
      <c r="AR11" s="14">
        <f>SUMIFS('Entradas e Saídas'!$G:$G,'Entradas e Saídas'!$E:$E,'Fluxo de Caixa'!$B11,'Entradas e Saídas'!$C:$C,MONTH('Fluxo de Caixa'!AR$5),'Entradas e Saídas'!$D:$D,YEAR('Fluxo de Caixa'!AR$5))</f>
        <v>0</v>
      </c>
      <c r="AS11" s="14">
        <f>SUMIFS('Entradas e Saídas'!$G:$G,'Entradas e Saídas'!$E:$E,'Fluxo de Caixa'!$B11,'Entradas e Saídas'!$C:$C,MONTH('Fluxo de Caixa'!AS$5),'Entradas e Saídas'!$D:$D,YEAR('Fluxo de Caixa'!AS$5))</f>
        <v>0</v>
      </c>
    </row>
    <row r="12" spans="2:46" ht="15.6">
      <c r="B12" s="27" t="s">
        <v>78</v>
      </c>
      <c r="C12" s="14">
        <f>SUMIFS('Entradas e Saídas'!$G:$G,'Entradas e Saídas'!$E:$E,'Fluxo de Caixa'!$B12,'Entradas e Saídas'!$C:$C,MONTH('Fluxo de Caixa'!C$5),'Entradas e Saídas'!$D:$D,YEAR('Fluxo de Caixa'!C$5))</f>
        <v>0</v>
      </c>
      <c r="D12" s="14">
        <f>SUMIFS('Entradas e Saídas'!$G:$G,'Entradas e Saídas'!$E:$E,'Fluxo de Caixa'!$B12,'Entradas e Saídas'!$C:$C,MONTH('Fluxo de Caixa'!D$5),'Entradas e Saídas'!$D:$D,YEAR('Fluxo de Caixa'!D$5))</f>
        <v>418</v>
      </c>
      <c r="E12" s="14">
        <f>SUMIFS('Entradas e Saídas'!$G:$G,'Entradas e Saídas'!$E:$E,'Fluxo de Caixa'!$B12,'Entradas e Saídas'!$C:$C,MONTH('Fluxo de Caixa'!E$5),'Entradas e Saídas'!$D:$D,YEAR('Fluxo de Caixa'!E$5))</f>
        <v>134</v>
      </c>
      <c r="F12" s="14">
        <f>SUMIFS('Entradas e Saídas'!$G:$G,'Entradas e Saídas'!$E:$E,'Fluxo de Caixa'!$B12,'Entradas e Saídas'!$C:$C,MONTH('Fluxo de Caixa'!F$5),'Entradas e Saídas'!$D:$D,YEAR('Fluxo de Caixa'!F$5))</f>
        <v>1062.5</v>
      </c>
      <c r="G12" s="14">
        <f>SUMIFS('Entradas e Saídas'!$G:$G,'Entradas e Saídas'!$E:$E,'Fluxo de Caixa'!$B12,'Entradas e Saídas'!$C:$C,MONTH('Fluxo de Caixa'!G$5),'Entradas e Saídas'!$D:$D,YEAR('Fluxo de Caixa'!G$5))</f>
        <v>509</v>
      </c>
      <c r="H12" s="14">
        <f>SUMIFS('Entradas e Saídas'!$G:$G,'Entradas e Saídas'!$E:$E,'Fluxo de Caixa'!$B12,'Entradas e Saídas'!$C:$C,MONTH('Fluxo de Caixa'!H$5),'Entradas e Saídas'!$D:$D,YEAR('Fluxo de Caixa'!H$5))</f>
        <v>1393.3</v>
      </c>
      <c r="I12" s="14">
        <f>SUMIFS('Entradas e Saídas'!$G:$G,'Entradas e Saídas'!$E:$E,'Fluxo de Caixa'!$B12,'Entradas e Saídas'!$C:$C,MONTH('Fluxo de Caixa'!I$5),'Entradas e Saídas'!$D:$D,YEAR('Fluxo de Caixa'!I$5))</f>
        <v>1605</v>
      </c>
      <c r="J12" s="14">
        <f>SUMIFS('Entradas e Saídas'!$G:$G,'Entradas e Saídas'!$E:$E,'Fluxo de Caixa'!$B12,'Entradas e Saídas'!$C:$C,MONTH('Fluxo de Caixa'!J$5),'Entradas e Saídas'!$D:$D,YEAR('Fluxo de Caixa'!J$5))</f>
        <v>1144</v>
      </c>
      <c r="K12" s="14">
        <f>SUMIFS('Entradas e Saídas'!$G:$G,'Entradas e Saídas'!$E:$E,'Fluxo de Caixa'!$B12,'Entradas e Saídas'!$C:$C,MONTH('Fluxo de Caixa'!K$5),'Entradas e Saídas'!$D:$D,YEAR('Fluxo de Caixa'!K$5))</f>
        <v>1265.5</v>
      </c>
      <c r="L12" s="14">
        <f>SUMIFS('Entradas e Saídas'!$G:$G,'Entradas e Saídas'!$E:$E,'Fluxo de Caixa'!$B12,'Entradas e Saídas'!$C:$C,MONTH('Fluxo de Caixa'!L$5),'Entradas e Saídas'!$D:$D,YEAR('Fluxo de Caixa'!L$5))</f>
        <v>708</v>
      </c>
      <c r="M12" s="14">
        <f>SUMIFS('Entradas e Saídas'!$G:$G,'Entradas e Saídas'!$E:$E,'Fluxo de Caixa'!$B12,'Entradas e Saídas'!$C:$C,MONTH('Fluxo de Caixa'!M$5),'Entradas e Saídas'!$D:$D,YEAR('Fluxo de Caixa'!M$5))</f>
        <v>1619</v>
      </c>
      <c r="N12" s="14">
        <f>SUMIFS('Entradas e Saídas'!$G:$G,'Entradas e Saídas'!$E:$E,'Fluxo de Caixa'!$B12,'Entradas e Saídas'!$C:$C,MONTH('Fluxo de Caixa'!N$5),'Entradas e Saídas'!$D:$D,YEAR('Fluxo de Caixa'!N$5))</f>
        <v>1233</v>
      </c>
      <c r="O12" s="14">
        <f>SUMIFS('Entradas e Saídas'!$G:$G,'Entradas e Saídas'!$E:$E,'Fluxo de Caixa'!$B12,'Entradas e Saídas'!$C:$C,MONTH('Fluxo de Caixa'!O$5),'Entradas e Saídas'!$D:$D,YEAR('Fluxo de Caixa'!O$5))</f>
        <v>936</v>
      </c>
      <c r="P12" s="14">
        <f>SUMIFS('Entradas e Saídas'!$G:$G,'Entradas e Saídas'!$E:$E,'Fluxo de Caixa'!$B12,'Entradas e Saídas'!$C:$C,MONTH('Fluxo de Caixa'!P$5),'Entradas e Saídas'!$D:$D,YEAR('Fluxo de Caixa'!P$5))</f>
        <v>1068</v>
      </c>
      <c r="Q12" s="14">
        <f>SUMIFS('Entradas e Saídas'!$G:$G,'Entradas e Saídas'!$E:$E,'Fluxo de Caixa'!$B12,'Entradas e Saídas'!$C:$C,MONTH('Fluxo de Caixa'!Q$5),'Entradas e Saídas'!$D:$D,YEAR('Fluxo de Caixa'!Q$5))</f>
        <v>654</v>
      </c>
      <c r="R12" s="14">
        <f>SUMIFS('Entradas e Saídas'!$G:$G,'Entradas e Saídas'!$E:$E,'Fluxo de Caixa'!$B12,'Entradas e Saídas'!$C:$C,MONTH('Fluxo de Caixa'!R$5),'Entradas e Saídas'!$D:$D,YEAR('Fluxo de Caixa'!R$5))</f>
        <v>1074</v>
      </c>
      <c r="S12" s="14">
        <f>SUMIFS('Entradas e Saídas'!$G:$G,'Entradas e Saídas'!$E:$E,'Fluxo de Caixa'!$B12,'Entradas e Saídas'!$C:$C,MONTH('Fluxo de Caixa'!S$5),'Entradas e Saídas'!$D:$D,YEAR('Fluxo de Caixa'!S$5))</f>
        <v>144</v>
      </c>
      <c r="T12" s="14">
        <f>SUMIFS('Entradas e Saídas'!$G:$G,'Entradas e Saídas'!$E:$E,'Fluxo de Caixa'!$B12,'Entradas e Saídas'!$C:$C,MONTH('Fluxo de Caixa'!T$5),'Entradas e Saídas'!$D:$D,YEAR('Fluxo de Caixa'!T$5))</f>
        <v>676</v>
      </c>
      <c r="U12" s="14">
        <f>SUMIFS('Entradas e Saídas'!$G:$G,'Entradas e Saídas'!$E:$E,'Fluxo de Caixa'!$B12,'Entradas e Saídas'!$C:$C,MONTH('Fluxo de Caixa'!U$5),'Entradas e Saídas'!$D:$D,YEAR('Fluxo de Caixa'!U$5))</f>
        <v>603.5</v>
      </c>
      <c r="V12" s="14">
        <f>SUMIFS('Entradas e Saídas'!$G:$G,'Entradas e Saídas'!$E:$E,'Fluxo de Caixa'!$B12,'Entradas e Saídas'!$C:$C,MONTH('Fluxo de Caixa'!V$5),'Entradas e Saídas'!$D:$D,YEAR('Fluxo de Caixa'!V$5))</f>
        <v>702</v>
      </c>
      <c r="W12" s="14">
        <f>SUMIFS('Entradas e Saídas'!$G:$G,'Entradas e Saídas'!$E:$E,'Fluxo de Caixa'!$B12,'Entradas e Saídas'!$C:$C,MONTH('Fluxo de Caixa'!W$5),'Entradas e Saídas'!$D:$D,YEAR('Fluxo de Caixa'!W$5))</f>
        <v>609.5</v>
      </c>
      <c r="X12" s="14">
        <f>SUMIFS('Entradas e Saídas'!$G:$G,'Entradas e Saídas'!$E:$E,'Fluxo de Caixa'!$B12,'Entradas e Saídas'!$C:$C,MONTH('Fluxo de Caixa'!X$5),'Entradas e Saídas'!$D:$D,YEAR('Fluxo de Caixa'!X$5))</f>
        <v>323.5</v>
      </c>
      <c r="Y12" s="14">
        <f>SUMIFS('Entradas e Saídas'!$G:$G,'Entradas e Saídas'!$E:$E,'Fluxo de Caixa'!$B12,'Entradas e Saídas'!$C:$C,MONTH('Fluxo de Caixa'!Y$5),'Entradas e Saídas'!$D:$D,YEAR('Fluxo de Caixa'!Y$5))</f>
        <v>561.5</v>
      </c>
      <c r="Z12" s="14">
        <f>SUMIFS('Entradas e Saídas'!$G:$G,'Entradas e Saídas'!$E:$E,'Fluxo de Caixa'!$B12,'Entradas e Saídas'!$C:$C,MONTH('Fluxo de Caixa'!Z$5),'Entradas e Saídas'!$D:$D,YEAR('Fluxo de Caixa'!Z$5))</f>
        <v>267.5</v>
      </c>
      <c r="AA12" s="14">
        <f>SUMIFS('Entradas e Saídas'!$G:$G,'Entradas e Saídas'!$E:$E,'Fluxo de Caixa'!$B12,'Entradas e Saídas'!$C:$C,MONTH('Fluxo de Caixa'!AA$5),'Entradas e Saídas'!$D:$D,YEAR('Fluxo de Caixa'!AA$5))</f>
        <v>342.5</v>
      </c>
      <c r="AB12" s="14">
        <f>SUMIFS('Entradas e Saídas'!$G:$G,'Entradas e Saídas'!$E:$E,'Fluxo de Caixa'!$B12,'Entradas e Saídas'!$C:$C,MONTH('Fluxo de Caixa'!AB$5),'Entradas e Saídas'!$D:$D,YEAR('Fluxo de Caixa'!AB$5))</f>
        <v>0</v>
      </c>
      <c r="AC12" s="14">
        <f>SUMIFS('Entradas e Saídas'!$G:$G,'Entradas e Saídas'!$E:$E,'Fluxo de Caixa'!$B12,'Entradas e Saídas'!$C:$C,MONTH('Fluxo de Caixa'!AC$5),'Entradas e Saídas'!$D:$D,YEAR('Fluxo de Caixa'!AC$5))</f>
        <v>0</v>
      </c>
      <c r="AD12" s="14">
        <f>SUMIFS('Entradas e Saídas'!$G:$G,'Entradas e Saídas'!$E:$E,'Fluxo de Caixa'!$B12,'Entradas e Saídas'!$C:$C,MONTH('Fluxo de Caixa'!AD$5),'Entradas e Saídas'!$D:$D,YEAR('Fluxo de Caixa'!AD$5))</f>
        <v>0</v>
      </c>
      <c r="AE12" s="14">
        <f>SUMIFS('Entradas e Saídas'!$G:$G,'Entradas e Saídas'!$E:$E,'Fluxo de Caixa'!$B12,'Entradas e Saídas'!$C:$C,MONTH('Fluxo de Caixa'!AE$5),'Entradas e Saídas'!$D:$D,YEAR('Fluxo de Caixa'!AE$5))</f>
        <v>0</v>
      </c>
      <c r="AF12" s="14">
        <f>SUMIFS('Entradas e Saídas'!$G:$G,'Entradas e Saídas'!$E:$E,'Fluxo de Caixa'!$B12,'Entradas e Saídas'!$C:$C,MONTH('Fluxo de Caixa'!AF$5),'Entradas e Saídas'!$D:$D,YEAR('Fluxo de Caixa'!AF$5))</f>
        <v>0</v>
      </c>
      <c r="AG12" s="14">
        <f>SUMIFS('Entradas e Saídas'!$G:$G,'Entradas e Saídas'!$E:$E,'Fluxo de Caixa'!$B12,'Entradas e Saídas'!$C:$C,MONTH('Fluxo de Caixa'!AG$5),'Entradas e Saídas'!$D:$D,YEAR('Fluxo de Caixa'!AG$5))</f>
        <v>0</v>
      </c>
      <c r="AH12" s="14">
        <f>SUMIFS('Entradas e Saídas'!$G:$G,'Entradas e Saídas'!$E:$E,'Fluxo de Caixa'!$B12,'Entradas e Saídas'!$C:$C,MONTH('Fluxo de Caixa'!AH$5),'Entradas e Saídas'!$D:$D,YEAR('Fluxo de Caixa'!AH$5))</f>
        <v>0</v>
      </c>
      <c r="AI12" s="14">
        <f>SUMIFS('Entradas e Saídas'!$G:$G,'Entradas e Saídas'!$E:$E,'Fluxo de Caixa'!$B12,'Entradas e Saídas'!$C:$C,MONTH('Fluxo de Caixa'!AI$5),'Entradas e Saídas'!$D:$D,YEAR('Fluxo de Caixa'!AI$5))</f>
        <v>0</v>
      </c>
      <c r="AJ12" s="14">
        <f>SUMIFS('Entradas e Saídas'!$G:$G,'Entradas e Saídas'!$E:$E,'Fluxo de Caixa'!$B12,'Entradas e Saídas'!$C:$C,MONTH('Fluxo de Caixa'!AJ$5),'Entradas e Saídas'!$D:$D,YEAR('Fluxo de Caixa'!AJ$5))</f>
        <v>0</v>
      </c>
      <c r="AK12" s="14">
        <f>SUMIFS('Entradas e Saídas'!$G:$G,'Entradas e Saídas'!$E:$E,'Fluxo de Caixa'!$B12,'Entradas e Saídas'!$C:$C,MONTH('Fluxo de Caixa'!AK$5),'Entradas e Saídas'!$D:$D,YEAR('Fluxo de Caixa'!AK$5))</f>
        <v>0</v>
      </c>
      <c r="AL12" s="14">
        <f>SUMIFS('Entradas e Saídas'!$G:$G,'Entradas e Saídas'!$E:$E,'Fluxo de Caixa'!$B12,'Entradas e Saídas'!$C:$C,MONTH('Fluxo de Caixa'!AL$5),'Entradas e Saídas'!$D:$D,YEAR('Fluxo de Caixa'!AL$5))</f>
        <v>0</v>
      </c>
      <c r="AM12" s="14">
        <f>SUMIFS('Entradas e Saídas'!$G:$G,'Entradas e Saídas'!$E:$E,'Fluxo de Caixa'!$B12,'Entradas e Saídas'!$C:$C,MONTH('Fluxo de Caixa'!AM$5),'Entradas e Saídas'!$D:$D,YEAR('Fluxo de Caixa'!AM$5))</f>
        <v>0</v>
      </c>
      <c r="AN12" s="14">
        <f>SUMIFS('Entradas e Saídas'!$G:$G,'Entradas e Saídas'!$E:$E,'Fluxo de Caixa'!$B12,'Entradas e Saídas'!$C:$C,MONTH('Fluxo de Caixa'!AN$5),'Entradas e Saídas'!$D:$D,YEAR('Fluxo de Caixa'!AN$5))</f>
        <v>0</v>
      </c>
      <c r="AO12" s="14">
        <f>SUMIFS('Entradas e Saídas'!$G:$G,'Entradas e Saídas'!$E:$E,'Fluxo de Caixa'!$B12,'Entradas e Saídas'!$C:$C,MONTH('Fluxo de Caixa'!AO$5),'Entradas e Saídas'!$D:$D,YEAR('Fluxo de Caixa'!AO$5))</f>
        <v>0</v>
      </c>
      <c r="AP12" s="14">
        <f>SUMIFS('Entradas e Saídas'!$G:$G,'Entradas e Saídas'!$E:$E,'Fluxo de Caixa'!$B12,'Entradas e Saídas'!$C:$C,MONTH('Fluxo de Caixa'!AP$5),'Entradas e Saídas'!$D:$D,YEAR('Fluxo de Caixa'!AP$5))</f>
        <v>0</v>
      </c>
      <c r="AQ12" s="14">
        <f>SUMIFS('Entradas e Saídas'!$G:$G,'Entradas e Saídas'!$E:$E,'Fluxo de Caixa'!$B12,'Entradas e Saídas'!$C:$C,MONTH('Fluxo de Caixa'!AQ$5),'Entradas e Saídas'!$D:$D,YEAR('Fluxo de Caixa'!AQ$5))</f>
        <v>0</v>
      </c>
      <c r="AR12" s="14">
        <f>SUMIFS('Entradas e Saídas'!$G:$G,'Entradas e Saídas'!$E:$E,'Fluxo de Caixa'!$B12,'Entradas e Saídas'!$C:$C,MONTH('Fluxo de Caixa'!AR$5),'Entradas e Saídas'!$D:$D,YEAR('Fluxo de Caixa'!AR$5))</f>
        <v>0</v>
      </c>
      <c r="AS12" s="14">
        <f>SUMIFS('Entradas e Saídas'!$G:$G,'Entradas e Saídas'!$E:$E,'Fluxo de Caixa'!$B12,'Entradas e Saídas'!$C:$C,MONTH('Fluxo de Caixa'!AS$5),'Entradas e Saídas'!$D:$D,YEAR('Fluxo de Caixa'!AS$5))</f>
        <v>0</v>
      </c>
    </row>
    <row r="13" spans="2:46" ht="15.6">
      <c r="B13" s="15" t="str">
        <f>IF(Produtos!B5="","-",Produtos!B5)</f>
        <v>Brigadeiro Chocolate</v>
      </c>
      <c r="C13" s="14">
        <f>SUMIFS('Entradas e Saídas'!$G:$G,'Entradas e Saídas'!$E:$E,"Vendas",'Entradas e Saídas'!$C:$C,MONTH('Fluxo de Caixa'!C$5),'Entradas e Saídas'!$D:$D,YEAR('Fluxo de Caixa'!C$5),'Entradas e Saídas'!$F:$F,'Fluxo de Caixa'!$B13)</f>
        <v>0</v>
      </c>
      <c r="D13" s="14">
        <f>SUMIFS('Entradas e Saídas'!$G:$G,'Entradas e Saídas'!$E:$E,"Vendas",'Entradas e Saídas'!$C:$C,MONTH('Fluxo de Caixa'!D$5),'Entradas e Saídas'!$D:$D,YEAR('Fluxo de Caixa'!D$5),'Entradas e Saídas'!$F:$F,'Fluxo de Caixa'!$B13)</f>
        <v>186</v>
      </c>
      <c r="E13" s="14">
        <f>SUMIFS('Entradas e Saídas'!$G:$G,'Entradas e Saídas'!$E:$E,"Vendas",'Entradas e Saídas'!$C:$C,MONTH('Fluxo de Caixa'!E$5),'Entradas e Saídas'!$D:$D,YEAR('Fluxo de Caixa'!E$5),'Entradas e Saídas'!$F:$F,'Fluxo de Caixa'!$B13)</f>
        <v>64</v>
      </c>
      <c r="F13" s="14">
        <f>SUMIFS('Entradas e Saídas'!$G:$G,'Entradas e Saídas'!$E:$E,"Vendas",'Entradas e Saídas'!$C:$C,MONTH('Fluxo de Caixa'!F$5),'Entradas e Saídas'!$D:$D,YEAR('Fluxo de Caixa'!F$5),'Entradas e Saídas'!$F:$F,'Fluxo de Caixa'!$B13)</f>
        <v>482</v>
      </c>
      <c r="G13" s="14">
        <f>SUMIFS('Entradas e Saídas'!$G:$G,'Entradas e Saídas'!$E:$E,"Vendas",'Entradas e Saídas'!$C:$C,MONTH('Fluxo de Caixa'!G$5),'Entradas e Saídas'!$D:$D,YEAR('Fluxo de Caixa'!G$5),'Entradas e Saídas'!$F:$F,'Fluxo de Caixa'!$B13)</f>
        <v>98</v>
      </c>
      <c r="H13" s="14">
        <f>SUMIFS('Entradas e Saídas'!$G:$G,'Entradas e Saídas'!$E:$E,"Vendas",'Entradas e Saídas'!$C:$C,MONTH('Fluxo de Caixa'!H$5),'Entradas e Saídas'!$D:$D,YEAR('Fluxo de Caixa'!H$5),'Entradas e Saídas'!$F:$F,'Fluxo de Caixa'!$B13)</f>
        <v>320.05</v>
      </c>
      <c r="I13" s="14">
        <f>SUMIFS('Entradas e Saídas'!$G:$G,'Entradas e Saídas'!$E:$E,"Vendas",'Entradas e Saídas'!$C:$C,MONTH('Fluxo de Caixa'!I$5),'Entradas e Saídas'!$D:$D,YEAR('Fluxo de Caixa'!I$5),'Entradas e Saídas'!$F:$F,'Fluxo de Caixa'!$B13)</f>
        <v>558.5</v>
      </c>
      <c r="J13" s="14">
        <f>SUMIFS('Entradas e Saídas'!$G:$G,'Entradas e Saídas'!$E:$E,"Vendas",'Entradas e Saídas'!$C:$C,MONTH('Fluxo de Caixa'!J$5),'Entradas e Saídas'!$D:$D,YEAR('Fluxo de Caixa'!J$5),'Entradas e Saídas'!$F:$F,'Fluxo de Caixa'!$B13)</f>
        <v>321.5</v>
      </c>
      <c r="K13" s="14">
        <f>SUMIFS('Entradas e Saídas'!$G:$G,'Entradas e Saídas'!$E:$E,"Vendas",'Entradas e Saídas'!$C:$C,MONTH('Fluxo de Caixa'!K$5),'Entradas e Saídas'!$D:$D,YEAR('Fluxo de Caixa'!K$5),'Entradas e Saídas'!$F:$F,'Fluxo de Caixa'!$B13)</f>
        <v>506.9</v>
      </c>
      <c r="L13" s="14">
        <f>SUMIFS('Entradas e Saídas'!$G:$G,'Entradas e Saídas'!$E:$E,"Vendas",'Entradas e Saídas'!$C:$C,MONTH('Fluxo de Caixa'!L$5),'Entradas e Saídas'!$D:$D,YEAR('Fluxo de Caixa'!L$5),'Entradas e Saídas'!$F:$F,'Fluxo de Caixa'!$B13)</f>
        <v>176</v>
      </c>
      <c r="M13" s="14">
        <f>SUMIFS('Entradas e Saídas'!$G:$G,'Entradas e Saídas'!$E:$E,"Vendas",'Entradas e Saídas'!$C:$C,MONTH('Fluxo de Caixa'!M$5),'Entradas e Saídas'!$D:$D,YEAR('Fluxo de Caixa'!M$5),'Entradas e Saídas'!$F:$F,'Fluxo de Caixa'!$B13)</f>
        <v>361</v>
      </c>
      <c r="N13" s="14">
        <f>SUMIFS('Entradas e Saídas'!$G:$G,'Entradas e Saídas'!$E:$E,"Vendas",'Entradas e Saídas'!$C:$C,MONTH('Fluxo de Caixa'!N$5),'Entradas e Saídas'!$D:$D,YEAR('Fluxo de Caixa'!N$5),'Entradas e Saídas'!$F:$F,'Fluxo de Caixa'!$B13)</f>
        <v>538</v>
      </c>
      <c r="O13" s="14">
        <f>SUMIFS('Entradas e Saídas'!$G:$G,'Entradas e Saídas'!$E:$E,"Vendas",'Entradas e Saídas'!$C:$C,MONTH('Fluxo de Caixa'!O$5),'Entradas e Saídas'!$D:$D,YEAR('Fluxo de Caixa'!O$5),'Entradas e Saídas'!$F:$F,'Fluxo de Caixa'!$B13)</f>
        <v>547</v>
      </c>
      <c r="P13" s="14">
        <f>SUMIFS('Entradas e Saídas'!$G:$G,'Entradas e Saídas'!$E:$E,"Vendas",'Entradas e Saídas'!$C:$C,MONTH('Fluxo de Caixa'!P$5),'Entradas e Saídas'!$D:$D,YEAR('Fluxo de Caixa'!P$5),'Entradas e Saídas'!$F:$F,'Fluxo de Caixa'!$B13)</f>
        <v>200.5</v>
      </c>
      <c r="Q13" s="14">
        <f>SUMIFS('Entradas e Saídas'!$G:$G,'Entradas e Saídas'!$E:$E,"Vendas",'Entradas e Saídas'!$C:$C,MONTH('Fluxo de Caixa'!Q$5),'Entradas e Saídas'!$D:$D,YEAR('Fluxo de Caixa'!Q$5),'Entradas e Saídas'!$F:$F,'Fluxo de Caixa'!$B13)</f>
        <v>316</v>
      </c>
      <c r="R13" s="14">
        <f>SUMIFS('Entradas e Saídas'!$G:$G,'Entradas e Saídas'!$E:$E,"Vendas",'Entradas e Saídas'!$C:$C,MONTH('Fluxo de Caixa'!R$5),'Entradas e Saídas'!$D:$D,YEAR('Fluxo de Caixa'!R$5),'Entradas e Saídas'!$F:$F,'Fluxo de Caixa'!$B13)</f>
        <v>650</v>
      </c>
      <c r="S13" s="14">
        <f>SUMIFS('Entradas e Saídas'!$G:$G,'Entradas e Saídas'!$E:$E,"Vendas",'Entradas e Saídas'!$C:$C,MONTH('Fluxo de Caixa'!S$5),'Entradas e Saídas'!$D:$D,YEAR('Fluxo de Caixa'!S$5),'Entradas e Saídas'!$F:$F,'Fluxo de Caixa'!$B13)</f>
        <v>130</v>
      </c>
      <c r="T13" s="14">
        <f>SUMIFS('Entradas e Saídas'!$G:$G,'Entradas e Saídas'!$E:$E,"Vendas",'Entradas e Saídas'!$C:$C,MONTH('Fluxo de Caixa'!T$5),'Entradas e Saídas'!$D:$D,YEAR('Fluxo de Caixa'!T$5),'Entradas e Saídas'!$F:$F,'Fluxo de Caixa'!$B13)</f>
        <v>416</v>
      </c>
      <c r="U13" s="14">
        <f>SUMIFS('Entradas e Saídas'!$G:$G,'Entradas e Saídas'!$E:$E,"Vendas",'Entradas e Saídas'!$C:$C,MONTH('Fluxo de Caixa'!U$5),'Entradas e Saídas'!$D:$D,YEAR('Fluxo de Caixa'!U$5),'Entradas e Saídas'!$F:$F,'Fluxo de Caixa'!$B13)</f>
        <v>303.5</v>
      </c>
      <c r="V13" s="14">
        <f>SUMIFS('Entradas e Saídas'!$G:$G,'Entradas e Saídas'!$E:$E,"Vendas",'Entradas e Saídas'!$C:$C,MONTH('Fluxo de Caixa'!V$5),'Entradas e Saídas'!$D:$D,YEAR('Fluxo de Caixa'!V$5),'Entradas e Saídas'!$F:$F,'Fluxo de Caixa'!$B13)</f>
        <v>234</v>
      </c>
      <c r="W13" s="14">
        <f>SUMIFS('Entradas e Saídas'!$G:$G,'Entradas e Saídas'!$E:$E,"Vendas",'Entradas e Saídas'!$C:$C,MONTH('Fluxo de Caixa'!W$5),'Entradas e Saídas'!$D:$D,YEAR('Fluxo de Caixa'!W$5),'Entradas e Saídas'!$F:$F,'Fluxo de Caixa'!$B13)</f>
        <v>110</v>
      </c>
      <c r="X13" s="14">
        <f>SUMIFS('Entradas e Saídas'!$G:$G,'Entradas e Saídas'!$E:$E,"Vendas",'Entradas e Saídas'!$C:$C,MONTH('Fluxo de Caixa'!X$5),'Entradas e Saídas'!$D:$D,YEAR('Fluxo de Caixa'!X$5),'Entradas e Saídas'!$F:$F,'Fluxo de Caixa'!$B13)</f>
        <v>124</v>
      </c>
      <c r="Y13" s="14">
        <f>SUMIFS('Entradas e Saídas'!$G:$G,'Entradas e Saídas'!$E:$E,"Vendas",'Entradas e Saídas'!$C:$C,MONTH('Fluxo de Caixa'!Y$5),'Entradas e Saídas'!$D:$D,YEAR('Fluxo de Caixa'!Y$5),'Entradas e Saídas'!$F:$F,'Fluxo de Caixa'!$B13)</f>
        <v>353</v>
      </c>
      <c r="Z13" s="14">
        <f>SUMIFS('Entradas e Saídas'!$G:$G,'Entradas e Saídas'!$E:$E,"Vendas",'Entradas e Saídas'!$C:$C,MONTH('Fluxo de Caixa'!Z$5),'Entradas e Saídas'!$D:$D,YEAR('Fluxo de Caixa'!Z$5),'Entradas e Saídas'!$F:$F,'Fluxo de Caixa'!$B13)</f>
        <v>134</v>
      </c>
      <c r="AA13" s="14">
        <f>SUMIFS('Entradas e Saídas'!$G:$G,'Entradas e Saídas'!$E:$E,"Vendas",'Entradas e Saídas'!$C:$C,MONTH('Fluxo de Caixa'!AA$5),'Entradas e Saídas'!$D:$D,YEAR('Fluxo de Caixa'!AA$5),'Entradas e Saídas'!$F:$F,'Fluxo de Caixa'!$B13)</f>
        <v>176</v>
      </c>
      <c r="AB13" s="14">
        <f>SUMIFS('Entradas e Saídas'!$G:$G,'Entradas e Saídas'!$E:$E,"Vendas",'Entradas e Saídas'!$C:$C,MONTH('Fluxo de Caixa'!AB$5),'Entradas e Saídas'!$D:$D,YEAR('Fluxo de Caixa'!AB$5),'Entradas e Saídas'!$F:$F,'Fluxo de Caixa'!$B13)</f>
        <v>0</v>
      </c>
      <c r="AC13" s="14">
        <f>SUMIFS('Entradas e Saídas'!$G:$G,'Entradas e Saídas'!$E:$E,"Vendas",'Entradas e Saídas'!$C:$C,MONTH('Fluxo de Caixa'!AC$5),'Entradas e Saídas'!$D:$D,YEAR('Fluxo de Caixa'!AC$5),'Entradas e Saídas'!$F:$F,'Fluxo de Caixa'!$B13)</f>
        <v>0</v>
      </c>
      <c r="AD13" s="14">
        <f>SUMIFS('Entradas e Saídas'!$G:$G,'Entradas e Saídas'!$E:$E,"Vendas",'Entradas e Saídas'!$C:$C,MONTH('Fluxo de Caixa'!AD$5),'Entradas e Saídas'!$D:$D,YEAR('Fluxo de Caixa'!AD$5),'Entradas e Saídas'!$F:$F,'Fluxo de Caixa'!$B13)</f>
        <v>0</v>
      </c>
      <c r="AE13" s="14">
        <f>SUMIFS('Entradas e Saídas'!$G:$G,'Entradas e Saídas'!$E:$E,"Vendas",'Entradas e Saídas'!$C:$C,MONTH('Fluxo de Caixa'!AE$5),'Entradas e Saídas'!$D:$D,YEAR('Fluxo de Caixa'!AE$5),'Entradas e Saídas'!$F:$F,'Fluxo de Caixa'!$B13)</f>
        <v>0</v>
      </c>
      <c r="AF13" s="14">
        <f>SUMIFS('Entradas e Saídas'!$G:$G,'Entradas e Saídas'!$E:$E,"Vendas",'Entradas e Saídas'!$C:$C,MONTH('Fluxo de Caixa'!AF$5),'Entradas e Saídas'!$D:$D,YEAR('Fluxo de Caixa'!AF$5),'Entradas e Saídas'!$F:$F,'Fluxo de Caixa'!$B13)</f>
        <v>0</v>
      </c>
      <c r="AG13" s="14">
        <f>SUMIFS('Entradas e Saídas'!$G:$G,'Entradas e Saídas'!$E:$E,"Vendas",'Entradas e Saídas'!$C:$C,MONTH('Fluxo de Caixa'!AG$5),'Entradas e Saídas'!$D:$D,YEAR('Fluxo de Caixa'!AG$5),'Entradas e Saídas'!$F:$F,'Fluxo de Caixa'!$B13)</f>
        <v>0</v>
      </c>
      <c r="AH13" s="14">
        <f>SUMIFS('Entradas e Saídas'!$G:$G,'Entradas e Saídas'!$E:$E,"Vendas",'Entradas e Saídas'!$C:$C,MONTH('Fluxo de Caixa'!AH$5),'Entradas e Saídas'!$D:$D,YEAR('Fluxo de Caixa'!AH$5),'Entradas e Saídas'!$F:$F,'Fluxo de Caixa'!$B13)</f>
        <v>0</v>
      </c>
      <c r="AI13" s="14">
        <f>SUMIFS('Entradas e Saídas'!$G:$G,'Entradas e Saídas'!$E:$E,"Vendas",'Entradas e Saídas'!$C:$C,MONTH('Fluxo de Caixa'!AI$5),'Entradas e Saídas'!$D:$D,YEAR('Fluxo de Caixa'!AI$5),'Entradas e Saídas'!$F:$F,'Fluxo de Caixa'!$B13)</f>
        <v>0</v>
      </c>
      <c r="AJ13" s="14">
        <f>SUMIFS('Entradas e Saídas'!$G:$G,'Entradas e Saídas'!$E:$E,"Vendas",'Entradas e Saídas'!$C:$C,MONTH('Fluxo de Caixa'!AJ$5),'Entradas e Saídas'!$D:$D,YEAR('Fluxo de Caixa'!AJ$5),'Entradas e Saídas'!$F:$F,'Fluxo de Caixa'!$B13)</f>
        <v>0</v>
      </c>
      <c r="AK13" s="14">
        <f>SUMIFS('Entradas e Saídas'!$G:$G,'Entradas e Saídas'!$E:$E,"Vendas",'Entradas e Saídas'!$C:$C,MONTH('Fluxo de Caixa'!AK$5),'Entradas e Saídas'!$D:$D,YEAR('Fluxo de Caixa'!AK$5),'Entradas e Saídas'!$F:$F,'Fluxo de Caixa'!$B13)</f>
        <v>0</v>
      </c>
      <c r="AL13" s="14">
        <f>SUMIFS('Entradas e Saídas'!$G:$G,'Entradas e Saídas'!$E:$E,"Vendas",'Entradas e Saídas'!$C:$C,MONTH('Fluxo de Caixa'!AL$5),'Entradas e Saídas'!$D:$D,YEAR('Fluxo de Caixa'!AL$5),'Entradas e Saídas'!$F:$F,'Fluxo de Caixa'!$B13)</f>
        <v>0</v>
      </c>
      <c r="AM13" s="14">
        <f>SUMIFS('Entradas e Saídas'!$G:$G,'Entradas e Saídas'!$E:$E,"Vendas",'Entradas e Saídas'!$C:$C,MONTH('Fluxo de Caixa'!AM$5),'Entradas e Saídas'!$D:$D,YEAR('Fluxo de Caixa'!AM$5),'Entradas e Saídas'!$F:$F,'Fluxo de Caixa'!$B13)</f>
        <v>0</v>
      </c>
      <c r="AN13" s="14">
        <f>SUMIFS('Entradas e Saídas'!$G:$G,'Entradas e Saídas'!$E:$E,"Vendas",'Entradas e Saídas'!$C:$C,MONTH('Fluxo de Caixa'!AN$5),'Entradas e Saídas'!$D:$D,YEAR('Fluxo de Caixa'!AN$5),'Entradas e Saídas'!$F:$F,'Fluxo de Caixa'!$B13)</f>
        <v>0</v>
      </c>
      <c r="AO13" s="14">
        <f>SUMIFS('Entradas e Saídas'!$G:$G,'Entradas e Saídas'!$E:$E,"Vendas",'Entradas e Saídas'!$C:$C,MONTH('Fluxo de Caixa'!AO$5),'Entradas e Saídas'!$D:$D,YEAR('Fluxo de Caixa'!AO$5),'Entradas e Saídas'!$F:$F,'Fluxo de Caixa'!$B13)</f>
        <v>0</v>
      </c>
      <c r="AP13" s="14">
        <f>SUMIFS('Entradas e Saídas'!$G:$G,'Entradas e Saídas'!$E:$E,"Vendas",'Entradas e Saídas'!$C:$C,MONTH('Fluxo de Caixa'!AP$5),'Entradas e Saídas'!$D:$D,YEAR('Fluxo de Caixa'!AP$5),'Entradas e Saídas'!$F:$F,'Fluxo de Caixa'!$B13)</f>
        <v>0</v>
      </c>
      <c r="AQ13" s="14">
        <f>SUMIFS('Entradas e Saídas'!$G:$G,'Entradas e Saídas'!$E:$E,"Vendas",'Entradas e Saídas'!$C:$C,MONTH('Fluxo de Caixa'!AQ$5),'Entradas e Saídas'!$D:$D,YEAR('Fluxo de Caixa'!AQ$5),'Entradas e Saídas'!$F:$F,'Fluxo de Caixa'!$B13)</f>
        <v>0</v>
      </c>
      <c r="AR13" s="14">
        <f>SUMIFS('Entradas e Saídas'!$G:$G,'Entradas e Saídas'!$E:$E,"Vendas",'Entradas e Saídas'!$C:$C,MONTH('Fluxo de Caixa'!AR$5),'Entradas e Saídas'!$D:$D,YEAR('Fluxo de Caixa'!AR$5),'Entradas e Saídas'!$F:$F,'Fluxo de Caixa'!$B13)</f>
        <v>0</v>
      </c>
      <c r="AS13" s="14">
        <f>SUMIFS('Entradas e Saídas'!$G:$G,'Entradas e Saídas'!$E:$E,"Vendas",'Entradas e Saídas'!$C:$C,MONTH('Fluxo de Caixa'!AS$5),'Entradas e Saídas'!$D:$D,YEAR('Fluxo de Caixa'!AS$5),'Entradas e Saídas'!$F:$F,'Fluxo de Caixa'!$B13)</f>
        <v>0</v>
      </c>
    </row>
    <row r="14" spans="2:46" ht="15.6">
      <c r="B14" s="15" t="str">
        <f>IF(Produtos!B6="","-",Produtos!B6)</f>
        <v>Brigadeiro Coco</v>
      </c>
      <c r="C14" s="14">
        <f>SUMIFS('Entradas e Saídas'!$G:$G,'Entradas e Saídas'!$E:$E,"Vendas",'Entradas e Saídas'!$C:$C,MONTH('Fluxo de Caixa'!C$5),'Entradas e Saídas'!$D:$D,YEAR('Fluxo de Caixa'!C$5),'Entradas e Saídas'!$F:$F,'Fluxo de Caixa'!$B14)</f>
        <v>0</v>
      </c>
      <c r="D14" s="14">
        <f>SUMIFS('Entradas e Saídas'!$G:$G,'Entradas e Saídas'!$E:$E,"Vendas",'Entradas e Saídas'!$C:$C,MONTH('Fluxo de Caixa'!D$5),'Entradas e Saídas'!$D:$D,YEAR('Fluxo de Caixa'!D$5),'Entradas e Saídas'!$F:$F,'Fluxo de Caixa'!$B14)</f>
        <v>0</v>
      </c>
      <c r="E14" s="14">
        <f>SUMIFS('Entradas e Saídas'!$G:$G,'Entradas e Saídas'!$E:$E,"Vendas",'Entradas e Saídas'!$C:$C,MONTH('Fluxo de Caixa'!E$5),'Entradas e Saídas'!$D:$D,YEAR('Fluxo de Caixa'!E$5),'Entradas e Saídas'!$F:$F,'Fluxo de Caixa'!$B14)</f>
        <v>48</v>
      </c>
      <c r="F14" s="14">
        <f>SUMIFS('Entradas e Saídas'!$G:$G,'Entradas e Saídas'!$E:$E,"Vendas",'Entradas e Saídas'!$C:$C,MONTH('Fluxo de Caixa'!F$5),'Entradas e Saídas'!$D:$D,YEAR('Fluxo de Caixa'!F$5),'Entradas e Saídas'!$F:$F,'Fluxo de Caixa'!$B14)</f>
        <v>58</v>
      </c>
      <c r="G14" s="14">
        <f>SUMIFS('Entradas e Saídas'!$G:$G,'Entradas e Saídas'!$E:$E,"Vendas",'Entradas e Saídas'!$C:$C,MONTH('Fluxo de Caixa'!G$5),'Entradas e Saídas'!$D:$D,YEAR('Fluxo de Caixa'!G$5),'Entradas e Saídas'!$F:$F,'Fluxo de Caixa'!$B14)</f>
        <v>82</v>
      </c>
      <c r="H14" s="14">
        <f>SUMIFS('Entradas e Saídas'!$G:$G,'Entradas e Saídas'!$E:$E,"Vendas",'Entradas e Saídas'!$C:$C,MONTH('Fluxo de Caixa'!H$5),'Entradas e Saídas'!$D:$D,YEAR('Fluxo de Caixa'!H$5),'Entradas e Saídas'!$F:$F,'Fluxo de Caixa'!$B14)</f>
        <v>137</v>
      </c>
      <c r="I14" s="14">
        <f>SUMIFS('Entradas e Saídas'!$G:$G,'Entradas e Saídas'!$E:$E,"Vendas",'Entradas e Saídas'!$C:$C,MONTH('Fluxo de Caixa'!I$5),'Entradas e Saídas'!$D:$D,YEAR('Fluxo de Caixa'!I$5),'Entradas e Saídas'!$F:$F,'Fluxo de Caixa'!$B14)</f>
        <v>62</v>
      </c>
      <c r="J14" s="14">
        <f>SUMIFS('Entradas e Saídas'!$G:$G,'Entradas e Saídas'!$E:$E,"Vendas",'Entradas e Saídas'!$C:$C,MONTH('Fluxo de Caixa'!J$5),'Entradas e Saídas'!$D:$D,YEAR('Fluxo de Caixa'!J$5),'Entradas e Saídas'!$F:$F,'Fluxo de Caixa'!$B14)</f>
        <v>98</v>
      </c>
      <c r="K14" s="14">
        <f>SUMIFS('Entradas e Saídas'!$G:$G,'Entradas e Saídas'!$E:$E,"Vendas",'Entradas e Saídas'!$C:$C,MONTH('Fluxo de Caixa'!K$5),'Entradas e Saídas'!$D:$D,YEAR('Fluxo de Caixa'!K$5),'Entradas e Saídas'!$F:$F,'Fluxo de Caixa'!$B14)</f>
        <v>118</v>
      </c>
      <c r="L14" s="14">
        <f>SUMIFS('Entradas e Saídas'!$G:$G,'Entradas e Saídas'!$E:$E,"Vendas",'Entradas e Saídas'!$C:$C,MONTH('Fluxo de Caixa'!L$5),'Entradas e Saídas'!$D:$D,YEAR('Fluxo de Caixa'!L$5),'Entradas e Saídas'!$F:$F,'Fluxo de Caixa'!$B14)</f>
        <v>54</v>
      </c>
      <c r="M14" s="14">
        <f>SUMIFS('Entradas e Saídas'!$G:$G,'Entradas e Saídas'!$E:$E,"Vendas",'Entradas e Saídas'!$C:$C,MONTH('Fluxo de Caixa'!M$5),'Entradas e Saídas'!$D:$D,YEAR('Fluxo de Caixa'!M$5),'Entradas e Saídas'!$F:$F,'Fluxo de Caixa'!$B14)</f>
        <v>66</v>
      </c>
      <c r="N14" s="14">
        <f>SUMIFS('Entradas e Saídas'!$G:$G,'Entradas e Saídas'!$E:$E,"Vendas",'Entradas e Saídas'!$C:$C,MONTH('Fluxo de Caixa'!N$5),'Entradas e Saídas'!$D:$D,YEAR('Fluxo de Caixa'!N$5),'Entradas e Saídas'!$F:$F,'Fluxo de Caixa'!$B14)</f>
        <v>64</v>
      </c>
      <c r="O14" s="14">
        <f>SUMIFS('Entradas e Saídas'!$G:$G,'Entradas e Saídas'!$E:$E,"Vendas",'Entradas e Saídas'!$C:$C,MONTH('Fluxo de Caixa'!O$5),'Entradas e Saídas'!$D:$D,YEAR('Fluxo de Caixa'!O$5),'Entradas e Saídas'!$F:$F,'Fluxo de Caixa'!$B14)</f>
        <v>74</v>
      </c>
      <c r="P14" s="14">
        <f>SUMIFS('Entradas e Saídas'!$G:$G,'Entradas e Saídas'!$E:$E,"Vendas",'Entradas e Saídas'!$C:$C,MONTH('Fluxo de Caixa'!P$5),'Entradas e Saídas'!$D:$D,YEAR('Fluxo de Caixa'!P$5),'Entradas e Saídas'!$F:$F,'Fluxo de Caixa'!$B14)</f>
        <v>70</v>
      </c>
      <c r="Q14" s="14">
        <f>SUMIFS('Entradas e Saídas'!$G:$G,'Entradas e Saídas'!$E:$E,"Vendas",'Entradas e Saídas'!$C:$C,MONTH('Fluxo de Caixa'!Q$5),'Entradas e Saídas'!$D:$D,YEAR('Fluxo de Caixa'!Q$5),'Entradas e Saídas'!$F:$F,'Fluxo de Caixa'!$B14)</f>
        <v>62</v>
      </c>
      <c r="R14" s="14">
        <f>SUMIFS('Entradas e Saídas'!$G:$G,'Entradas e Saídas'!$E:$E,"Vendas",'Entradas e Saídas'!$C:$C,MONTH('Fluxo de Caixa'!R$5),'Entradas e Saídas'!$D:$D,YEAR('Fluxo de Caixa'!R$5),'Entradas e Saídas'!$F:$F,'Fluxo de Caixa'!$B14)</f>
        <v>62</v>
      </c>
      <c r="S14" s="14">
        <f>SUMIFS('Entradas e Saídas'!$G:$G,'Entradas e Saídas'!$E:$E,"Vendas",'Entradas e Saídas'!$C:$C,MONTH('Fluxo de Caixa'!S$5),'Entradas e Saídas'!$D:$D,YEAR('Fluxo de Caixa'!S$5),'Entradas e Saídas'!$F:$F,'Fluxo de Caixa'!$B14)</f>
        <v>0</v>
      </c>
      <c r="T14" s="14">
        <f>SUMIFS('Entradas e Saídas'!$G:$G,'Entradas e Saídas'!$E:$E,"Vendas",'Entradas e Saídas'!$C:$C,MONTH('Fluxo de Caixa'!T$5),'Entradas e Saídas'!$D:$D,YEAR('Fluxo de Caixa'!T$5),'Entradas e Saídas'!$F:$F,'Fluxo de Caixa'!$B14)</f>
        <v>50</v>
      </c>
      <c r="U14" s="14">
        <f>SUMIFS('Entradas e Saídas'!$G:$G,'Entradas e Saídas'!$E:$E,"Vendas",'Entradas e Saídas'!$C:$C,MONTH('Fluxo de Caixa'!U$5),'Entradas e Saídas'!$D:$D,YEAR('Fluxo de Caixa'!U$5),'Entradas e Saídas'!$F:$F,'Fluxo de Caixa'!$B14)</f>
        <v>40</v>
      </c>
      <c r="V14" s="14">
        <f>SUMIFS('Entradas e Saídas'!$G:$G,'Entradas e Saídas'!$E:$E,"Vendas",'Entradas e Saídas'!$C:$C,MONTH('Fluxo de Caixa'!V$5),'Entradas e Saídas'!$D:$D,YEAR('Fluxo de Caixa'!V$5),'Entradas e Saídas'!$F:$F,'Fluxo de Caixa'!$B14)</f>
        <v>56</v>
      </c>
      <c r="W14" s="14">
        <f>SUMIFS('Entradas e Saídas'!$G:$G,'Entradas e Saídas'!$E:$E,"Vendas",'Entradas e Saídas'!$C:$C,MONTH('Fluxo de Caixa'!W$5),'Entradas e Saídas'!$D:$D,YEAR('Fluxo de Caixa'!W$5),'Entradas e Saídas'!$F:$F,'Fluxo de Caixa'!$B14)</f>
        <v>70</v>
      </c>
      <c r="X14" s="14">
        <f>SUMIFS('Entradas e Saídas'!$G:$G,'Entradas e Saídas'!$E:$E,"Vendas",'Entradas e Saídas'!$C:$C,MONTH('Fluxo de Caixa'!X$5),'Entradas e Saídas'!$D:$D,YEAR('Fluxo de Caixa'!X$5),'Entradas e Saídas'!$F:$F,'Fluxo de Caixa'!$B14)</f>
        <v>18</v>
      </c>
      <c r="Y14" s="14">
        <f>SUMIFS('Entradas e Saídas'!$G:$G,'Entradas e Saídas'!$E:$E,"Vendas",'Entradas e Saídas'!$C:$C,MONTH('Fluxo de Caixa'!Y$5),'Entradas e Saídas'!$D:$D,YEAR('Fluxo de Caixa'!Y$5),'Entradas e Saídas'!$F:$F,'Fluxo de Caixa'!$B14)</f>
        <v>16</v>
      </c>
      <c r="Z14" s="14">
        <f>SUMIFS('Entradas e Saídas'!$G:$G,'Entradas e Saídas'!$E:$E,"Vendas",'Entradas e Saídas'!$C:$C,MONTH('Fluxo de Caixa'!Z$5),'Entradas e Saídas'!$D:$D,YEAR('Fluxo de Caixa'!Z$5),'Entradas e Saídas'!$F:$F,'Fluxo de Caixa'!$B14)</f>
        <v>22</v>
      </c>
      <c r="AA14" s="14">
        <f>SUMIFS('Entradas e Saídas'!$G:$G,'Entradas e Saídas'!$E:$E,"Vendas",'Entradas e Saídas'!$C:$C,MONTH('Fluxo de Caixa'!AA$5),'Entradas e Saídas'!$D:$D,YEAR('Fluxo de Caixa'!AA$5),'Entradas e Saídas'!$F:$F,'Fluxo de Caixa'!$B14)</f>
        <v>26</v>
      </c>
      <c r="AB14" s="14">
        <f>SUMIFS('Entradas e Saídas'!$G:$G,'Entradas e Saídas'!$E:$E,"Vendas",'Entradas e Saídas'!$C:$C,MONTH('Fluxo de Caixa'!AB$5),'Entradas e Saídas'!$D:$D,YEAR('Fluxo de Caixa'!AB$5),'Entradas e Saídas'!$F:$F,'Fluxo de Caixa'!$B14)</f>
        <v>0</v>
      </c>
      <c r="AC14" s="14">
        <f>SUMIFS('Entradas e Saídas'!$G:$G,'Entradas e Saídas'!$E:$E,"Vendas",'Entradas e Saídas'!$C:$C,MONTH('Fluxo de Caixa'!AC$5),'Entradas e Saídas'!$D:$D,YEAR('Fluxo de Caixa'!AC$5),'Entradas e Saídas'!$F:$F,'Fluxo de Caixa'!$B14)</f>
        <v>0</v>
      </c>
      <c r="AD14" s="14">
        <f>SUMIFS('Entradas e Saídas'!$G:$G,'Entradas e Saídas'!$E:$E,"Vendas",'Entradas e Saídas'!$C:$C,MONTH('Fluxo de Caixa'!AD$5),'Entradas e Saídas'!$D:$D,YEAR('Fluxo de Caixa'!AD$5),'Entradas e Saídas'!$F:$F,'Fluxo de Caixa'!$B14)</f>
        <v>0</v>
      </c>
      <c r="AE14" s="14">
        <f>SUMIFS('Entradas e Saídas'!$G:$G,'Entradas e Saídas'!$E:$E,"Vendas",'Entradas e Saídas'!$C:$C,MONTH('Fluxo de Caixa'!AE$5),'Entradas e Saídas'!$D:$D,YEAR('Fluxo de Caixa'!AE$5),'Entradas e Saídas'!$F:$F,'Fluxo de Caixa'!$B14)</f>
        <v>0</v>
      </c>
      <c r="AF14" s="14">
        <f>SUMIFS('Entradas e Saídas'!$G:$G,'Entradas e Saídas'!$E:$E,"Vendas",'Entradas e Saídas'!$C:$C,MONTH('Fluxo de Caixa'!AF$5),'Entradas e Saídas'!$D:$D,YEAR('Fluxo de Caixa'!AF$5),'Entradas e Saídas'!$F:$F,'Fluxo de Caixa'!$B14)</f>
        <v>0</v>
      </c>
      <c r="AG14" s="14">
        <f>SUMIFS('Entradas e Saídas'!$G:$G,'Entradas e Saídas'!$E:$E,"Vendas",'Entradas e Saídas'!$C:$C,MONTH('Fluxo de Caixa'!AG$5),'Entradas e Saídas'!$D:$D,YEAR('Fluxo de Caixa'!AG$5),'Entradas e Saídas'!$F:$F,'Fluxo de Caixa'!$B14)</f>
        <v>0</v>
      </c>
      <c r="AH14" s="14">
        <f>SUMIFS('Entradas e Saídas'!$G:$G,'Entradas e Saídas'!$E:$E,"Vendas",'Entradas e Saídas'!$C:$C,MONTH('Fluxo de Caixa'!AH$5),'Entradas e Saídas'!$D:$D,YEAR('Fluxo de Caixa'!AH$5),'Entradas e Saídas'!$F:$F,'Fluxo de Caixa'!$B14)</f>
        <v>0</v>
      </c>
      <c r="AI14" s="14">
        <f>SUMIFS('Entradas e Saídas'!$G:$G,'Entradas e Saídas'!$E:$E,"Vendas",'Entradas e Saídas'!$C:$C,MONTH('Fluxo de Caixa'!AI$5),'Entradas e Saídas'!$D:$D,YEAR('Fluxo de Caixa'!AI$5),'Entradas e Saídas'!$F:$F,'Fluxo de Caixa'!$B14)</f>
        <v>0</v>
      </c>
      <c r="AJ14" s="14">
        <f>SUMIFS('Entradas e Saídas'!$G:$G,'Entradas e Saídas'!$E:$E,"Vendas",'Entradas e Saídas'!$C:$C,MONTH('Fluxo de Caixa'!AJ$5),'Entradas e Saídas'!$D:$D,YEAR('Fluxo de Caixa'!AJ$5),'Entradas e Saídas'!$F:$F,'Fluxo de Caixa'!$B14)</f>
        <v>0</v>
      </c>
      <c r="AK14" s="14">
        <f>SUMIFS('Entradas e Saídas'!$G:$G,'Entradas e Saídas'!$E:$E,"Vendas",'Entradas e Saídas'!$C:$C,MONTH('Fluxo de Caixa'!AK$5),'Entradas e Saídas'!$D:$D,YEAR('Fluxo de Caixa'!AK$5),'Entradas e Saídas'!$F:$F,'Fluxo de Caixa'!$B14)</f>
        <v>0</v>
      </c>
      <c r="AL14" s="14">
        <f>SUMIFS('Entradas e Saídas'!$G:$G,'Entradas e Saídas'!$E:$E,"Vendas",'Entradas e Saídas'!$C:$C,MONTH('Fluxo de Caixa'!AL$5),'Entradas e Saídas'!$D:$D,YEAR('Fluxo de Caixa'!AL$5),'Entradas e Saídas'!$F:$F,'Fluxo de Caixa'!$B14)</f>
        <v>0</v>
      </c>
      <c r="AM14" s="14">
        <f>SUMIFS('Entradas e Saídas'!$G:$G,'Entradas e Saídas'!$E:$E,"Vendas",'Entradas e Saídas'!$C:$C,MONTH('Fluxo de Caixa'!AM$5),'Entradas e Saídas'!$D:$D,YEAR('Fluxo de Caixa'!AM$5),'Entradas e Saídas'!$F:$F,'Fluxo de Caixa'!$B14)</f>
        <v>0</v>
      </c>
      <c r="AN14" s="14">
        <f>SUMIFS('Entradas e Saídas'!$G:$G,'Entradas e Saídas'!$E:$E,"Vendas",'Entradas e Saídas'!$C:$C,MONTH('Fluxo de Caixa'!AN$5),'Entradas e Saídas'!$D:$D,YEAR('Fluxo de Caixa'!AN$5),'Entradas e Saídas'!$F:$F,'Fluxo de Caixa'!$B14)</f>
        <v>0</v>
      </c>
      <c r="AO14" s="14">
        <f>SUMIFS('Entradas e Saídas'!$G:$G,'Entradas e Saídas'!$E:$E,"Vendas",'Entradas e Saídas'!$C:$C,MONTH('Fluxo de Caixa'!AO$5),'Entradas e Saídas'!$D:$D,YEAR('Fluxo de Caixa'!AO$5),'Entradas e Saídas'!$F:$F,'Fluxo de Caixa'!$B14)</f>
        <v>0</v>
      </c>
      <c r="AP14" s="14">
        <f>SUMIFS('Entradas e Saídas'!$G:$G,'Entradas e Saídas'!$E:$E,"Vendas",'Entradas e Saídas'!$C:$C,MONTH('Fluxo de Caixa'!AP$5),'Entradas e Saídas'!$D:$D,YEAR('Fluxo de Caixa'!AP$5),'Entradas e Saídas'!$F:$F,'Fluxo de Caixa'!$B14)</f>
        <v>0</v>
      </c>
      <c r="AQ14" s="14">
        <f>SUMIFS('Entradas e Saídas'!$G:$G,'Entradas e Saídas'!$E:$E,"Vendas",'Entradas e Saídas'!$C:$C,MONTH('Fluxo de Caixa'!AQ$5),'Entradas e Saídas'!$D:$D,YEAR('Fluxo de Caixa'!AQ$5),'Entradas e Saídas'!$F:$F,'Fluxo de Caixa'!$B14)</f>
        <v>0</v>
      </c>
      <c r="AR14" s="14">
        <f>SUMIFS('Entradas e Saídas'!$G:$G,'Entradas e Saídas'!$E:$E,"Vendas",'Entradas e Saídas'!$C:$C,MONTH('Fluxo de Caixa'!AR$5),'Entradas e Saídas'!$D:$D,YEAR('Fluxo de Caixa'!AR$5),'Entradas e Saídas'!$F:$F,'Fluxo de Caixa'!$B14)</f>
        <v>0</v>
      </c>
      <c r="AS14" s="14">
        <f>SUMIFS('Entradas e Saídas'!$G:$G,'Entradas e Saídas'!$E:$E,"Vendas",'Entradas e Saídas'!$C:$C,MONTH('Fluxo de Caixa'!AS$5),'Entradas e Saídas'!$D:$D,YEAR('Fluxo de Caixa'!AS$5),'Entradas e Saídas'!$F:$F,'Fluxo de Caixa'!$B14)</f>
        <v>0</v>
      </c>
    </row>
    <row r="15" spans="2:46" ht="15.6">
      <c r="B15" s="15" t="str">
        <f>IF(Produtos!B7="","-",Produtos!B7)</f>
        <v>Brigadeiro Café</v>
      </c>
      <c r="C15" s="14">
        <f>SUMIFS('Entradas e Saídas'!$G:$G,'Entradas e Saídas'!$E:$E,"Vendas",'Entradas e Saídas'!$C:$C,MONTH('Fluxo de Caixa'!C$5),'Entradas e Saídas'!$D:$D,YEAR('Fluxo de Caixa'!C$5),'Entradas e Saídas'!$F:$F,'Fluxo de Caixa'!$B15)</f>
        <v>0</v>
      </c>
      <c r="D15" s="14">
        <f>SUMIFS('Entradas e Saídas'!$G:$G,'Entradas e Saídas'!$E:$E,"Vendas",'Entradas e Saídas'!$C:$C,MONTH('Fluxo de Caixa'!D$5),'Entradas e Saídas'!$D:$D,YEAR('Fluxo de Caixa'!D$5),'Entradas e Saídas'!$F:$F,'Fluxo de Caixa'!$B15)</f>
        <v>0</v>
      </c>
      <c r="E15" s="14">
        <f>SUMIFS('Entradas e Saídas'!$G:$G,'Entradas e Saídas'!$E:$E,"Vendas",'Entradas e Saídas'!$C:$C,MONTH('Fluxo de Caixa'!E$5),'Entradas e Saídas'!$D:$D,YEAR('Fluxo de Caixa'!E$5),'Entradas e Saídas'!$F:$F,'Fluxo de Caixa'!$B15)</f>
        <v>0</v>
      </c>
      <c r="F15" s="14">
        <f>SUMIFS('Entradas e Saídas'!$G:$G,'Entradas e Saídas'!$E:$E,"Vendas",'Entradas e Saídas'!$C:$C,MONTH('Fluxo de Caixa'!F$5),'Entradas e Saídas'!$D:$D,YEAR('Fluxo de Caixa'!F$5),'Entradas e Saídas'!$F:$F,'Fluxo de Caixa'!$B15)</f>
        <v>0</v>
      </c>
      <c r="G15" s="14">
        <f>SUMIFS('Entradas e Saídas'!$G:$G,'Entradas e Saídas'!$E:$E,"Vendas",'Entradas e Saídas'!$C:$C,MONTH('Fluxo de Caixa'!G$5),'Entradas e Saídas'!$D:$D,YEAR('Fluxo de Caixa'!G$5),'Entradas e Saídas'!$F:$F,'Fluxo de Caixa'!$B15)</f>
        <v>0</v>
      </c>
      <c r="H15" s="14">
        <f>SUMIFS('Entradas e Saídas'!$G:$G,'Entradas e Saídas'!$E:$E,"Vendas",'Entradas e Saídas'!$C:$C,MONTH('Fluxo de Caixa'!H$5),'Entradas e Saídas'!$D:$D,YEAR('Fluxo de Caixa'!H$5),'Entradas e Saídas'!$F:$F,'Fluxo de Caixa'!$B15)</f>
        <v>0</v>
      </c>
      <c r="I15" s="14">
        <f>SUMIFS('Entradas e Saídas'!$G:$G,'Entradas e Saídas'!$E:$E,"Vendas",'Entradas e Saídas'!$C:$C,MONTH('Fluxo de Caixa'!I$5),'Entradas e Saídas'!$D:$D,YEAR('Fluxo de Caixa'!I$5),'Entradas e Saídas'!$F:$F,'Fluxo de Caixa'!$B15)</f>
        <v>0</v>
      </c>
      <c r="J15" s="14">
        <f>SUMIFS('Entradas e Saídas'!$G:$G,'Entradas e Saídas'!$E:$E,"Vendas",'Entradas e Saídas'!$C:$C,MONTH('Fluxo de Caixa'!J$5),'Entradas e Saídas'!$D:$D,YEAR('Fluxo de Caixa'!J$5),'Entradas e Saídas'!$F:$F,'Fluxo de Caixa'!$B15)</f>
        <v>0</v>
      </c>
      <c r="K15" s="14">
        <f>SUMIFS('Entradas e Saídas'!$G:$G,'Entradas e Saídas'!$E:$E,"Vendas",'Entradas e Saídas'!$C:$C,MONTH('Fluxo de Caixa'!K$5),'Entradas e Saídas'!$D:$D,YEAR('Fluxo de Caixa'!K$5),'Entradas e Saídas'!$F:$F,'Fluxo de Caixa'!$B15)</f>
        <v>0</v>
      </c>
      <c r="L15" s="14">
        <f>SUMIFS('Entradas e Saídas'!$G:$G,'Entradas e Saídas'!$E:$E,"Vendas",'Entradas e Saídas'!$C:$C,MONTH('Fluxo de Caixa'!L$5),'Entradas e Saídas'!$D:$D,YEAR('Fluxo de Caixa'!L$5),'Entradas e Saídas'!$F:$F,'Fluxo de Caixa'!$B15)</f>
        <v>0</v>
      </c>
      <c r="M15" s="14">
        <f>SUMIFS('Entradas e Saídas'!$G:$G,'Entradas e Saídas'!$E:$E,"Vendas",'Entradas e Saídas'!$C:$C,MONTH('Fluxo de Caixa'!M$5),'Entradas e Saídas'!$D:$D,YEAR('Fluxo de Caixa'!M$5),'Entradas e Saídas'!$F:$F,'Fluxo de Caixa'!$B15)</f>
        <v>0</v>
      </c>
      <c r="N15" s="14">
        <f>SUMIFS('Entradas e Saídas'!$G:$G,'Entradas e Saídas'!$E:$E,"Vendas",'Entradas e Saídas'!$C:$C,MONTH('Fluxo de Caixa'!N$5),'Entradas e Saídas'!$D:$D,YEAR('Fluxo de Caixa'!N$5),'Entradas e Saídas'!$F:$F,'Fluxo de Caixa'!$B15)</f>
        <v>4</v>
      </c>
      <c r="O15" s="14">
        <f>SUMIFS('Entradas e Saídas'!$G:$G,'Entradas e Saídas'!$E:$E,"Vendas",'Entradas e Saídas'!$C:$C,MONTH('Fluxo de Caixa'!O$5),'Entradas e Saídas'!$D:$D,YEAR('Fluxo de Caixa'!O$5),'Entradas e Saídas'!$F:$F,'Fluxo de Caixa'!$B15)</f>
        <v>0</v>
      </c>
      <c r="P15" s="14">
        <f>SUMIFS('Entradas e Saídas'!$G:$G,'Entradas e Saídas'!$E:$E,"Vendas",'Entradas e Saídas'!$C:$C,MONTH('Fluxo de Caixa'!P$5),'Entradas e Saídas'!$D:$D,YEAR('Fluxo de Caixa'!P$5),'Entradas e Saídas'!$F:$F,'Fluxo de Caixa'!$B15)</f>
        <v>0</v>
      </c>
      <c r="Q15" s="14">
        <f>SUMIFS('Entradas e Saídas'!$G:$G,'Entradas e Saídas'!$E:$E,"Vendas",'Entradas e Saídas'!$C:$C,MONTH('Fluxo de Caixa'!Q$5),'Entradas e Saídas'!$D:$D,YEAR('Fluxo de Caixa'!Q$5),'Entradas e Saídas'!$F:$F,'Fluxo de Caixa'!$B15)</f>
        <v>0</v>
      </c>
      <c r="R15" s="14">
        <f>SUMIFS('Entradas e Saídas'!$G:$G,'Entradas e Saídas'!$E:$E,"Vendas",'Entradas e Saídas'!$C:$C,MONTH('Fluxo de Caixa'!R$5),'Entradas e Saídas'!$D:$D,YEAR('Fluxo de Caixa'!R$5),'Entradas e Saídas'!$F:$F,'Fluxo de Caixa'!$B15)</f>
        <v>0</v>
      </c>
      <c r="S15" s="14">
        <f>SUMIFS('Entradas e Saídas'!$G:$G,'Entradas e Saídas'!$E:$E,"Vendas",'Entradas e Saídas'!$C:$C,MONTH('Fluxo de Caixa'!S$5),'Entradas e Saídas'!$D:$D,YEAR('Fluxo de Caixa'!S$5),'Entradas e Saídas'!$F:$F,'Fluxo de Caixa'!$B15)</f>
        <v>0</v>
      </c>
      <c r="T15" s="14">
        <f>SUMIFS('Entradas e Saídas'!$G:$G,'Entradas e Saídas'!$E:$E,"Vendas",'Entradas e Saídas'!$C:$C,MONTH('Fluxo de Caixa'!T$5),'Entradas e Saídas'!$D:$D,YEAR('Fluxo de Caixa'!T$5),'Entradas e Saídas'!$F:$F,'Fluxo de Caixa'!$B15)</f>
        <v>10</v>
      </c>
      <c r="U15" s="14">
        <f>SUMIFS('Entradas e Saídas'!$G:$G,'Entradas e Saídas'!$E:$E,"Vendas",'Entradas e Saídas'!$C:$C,MONTH('Fluxo de Caixa'!U$5),'Entradas e Saídas'!$D:$D,YEAR('Fluxo de Caixa'!U$5),'Entradas e Saídas'!$F:$F,'Fluxo de Caixa'!$B15)</f>
        <v>0</v>
      </c>
      <c r="V15" s="14">
        <f>SUMIFS('Entradas e Saídas'!$G:$G,'Entradas e Saídas'!$E:$E,"Vendas",'Entradas e Saídas'!$C:$C,MONTH('Fluxo de Caixa'!V$5),'Entradas e Saídas'!$D:$D,YEAR('Fluxo de Caixa'!V$5),'Entradas e Saídas'!$F:$F,'Fluxo de Caixa'!$B15)</f>
        <v>0</v>
      </c>
      <c r="W15" s="14">
        <f>SUMIFS('Entradas e Saídas'!$G:$G,'Entradas e Saídas'!$E:$E,"Vendas",'Entradas e Saídas'!$C:$C,MONTH('Fluxo de Caixa'!W$5),'Entradas e Saídas'!$D:$D,YEAR('Fluxo de Caixa'!W$5),'Entradas e Saídas'!$F:$F,'Fluxo de Caixa'!$B15)</f>
        <v>0</v>
      </c>
      <c r="X15" s="14">
        <f>SUMIFS('Entradas e Saídas'!$G:$G,'Entradas e Saídas'!$E:$E,"Vendas",'Entradas e Saídas'!$C:$C,MONTH('Fluxo de Caixa'!X$5),'Entradas e Saídas'!$D:$D,YEAR('Fluxo de Caixa'!X$5),'Entradas e Saídas'!$F:$F,'Fluxo de Caixa'!$B15)</f>
        <v>0</v>
      </c>
      <c r="Y15" s="14">
        <f>SUMIFS('Entradas e Saídas'!$G:$G,'Entradas e Saídas'!$E:$E,"Vendas",'Entradas e Saídas'!$C:$C,MONTH('Fluxo de Caixa'!Y$5),'Entradas e Saídas'!$D:$D,YEAR('Fluxo de Caixa'!Y$5),'Entradas e Saídas'!$F:$F,'Fluxo de Caixa'!$B15)</f>
        <v>0</v>
      </c>
      <c r="Z15" s="14">
        <f>SUMIFS('Entradas e Saídas'!$G:$G,'Entradas e Saídas'!$E:$E,"Vendas",'Entradas e Saídas'!$C:$C,MONTH('Fluxo de Caixa'!Z$5),'Entradas e Saídas'!$D:$D,YEAR('Fluxo de Caixa'!Z$5),'Entradas e Saídas'!$F:$F,'Fluxo de Caixa'!$B15)</f>
        <v>0</v>
      </c>
      <c r="AA15" s="14">
        <f>SUMIFS('Entradas e Saídas'!$G:$G,'Entradas e Saídas'!$E:$E,"Vendas",'Entradas e Saídas'!$C:$C,MONTH('Fluxo de Caixa'!AA$5),'Entradas e Saídas'!$D:$D,YEAR('Fluxo de Caixa'!AA$5),'Entradas e Saídas'!$F:$F,'Fluxo de Caixa'!$B15)</f>
        <v>0</v>
      </c>
      <c r="AB15" s="14">
        <f>SUMIFS('Entradas e Saídas'!$G:$G,'Entradas e Saídas'!$E:$E,"Vendas",'Entradas e Saídas'!$C:$C,MONTH('Fluxo de Caixa'!AB$5),'Entradas e Saídas'!$D:$D,YEAR('Fluxo de Caixa'!AB$5),'Entradas e Saídas'!$F:$F,'Fluxo de Caixa'!$B15)</f>
        <v>0</v>
      </c>
      <c r="AC15" s="14">
        <f>SUMIFS('Entradas e Saídas'!$G:$G,'Entradas e Saídas'!$E:$E,"Vendas",'Entradas e Saídas'!$C:$C,MONTH('Fluxo de Caixa'!AC$5),'Entradas e Saídas'!$D:$D,YEAR('Fluxo de Caixa'!AC$5),'Entradas e Saídas'!$F:$F,'Fluxo de Caixa'!$B15)</f>
        <v>0</v>
      </c>
      <c r="AD15" s="14">
        <f>SUMIFS('Entradas e Saídas'!$G:$G,'Entradas e Saídas'!$E:$E,"Vendas",'Entradas e Saídas'!$C:$C,MONTH('Fluxo de Caixa'!AD$5),'Entradas e Saídas'!$D:$D,YEAR('Fluxo de Caixa'!AD$5),'Entradas e Saídas'!$F:$F,'Fluxo de Caixa'!$B15)</f>
        <v>0</v>
      </c>
      <c r="AE15" s="14">
        <f>SUMIFS('Entradas e Saídas'!$G:$G,'Entradas e Saídas'!$E:$E,"Vendas",'Entradas e Saídas'!$C:$C,MONTH('Fluxo de Caixa'!AE$5),'Entradas e Saídas'!$D:$D,YEAR('Fluxo de Caixa'!AE$5),'Entradas e Saídas'!$F:$F,'Fluxo de Caixa'!$B15)</f>
        <v>0</v>
      </c>
      <c r="AF15" s="14">
        <f>SUMIFS('Entradas e Saídas'!$G:$G,'Entradas e Saídas'!$E:$E,"Vendas",'Entradas e Saídas'!$C:$C,MONTH('Fluxo de Caixa'!AF$5),'Entradas e Saídas'!$D:$D,YEAR('Fluxo de Caixa'!AF$5),'Entradas e Saídas'!$F:$F,'Fluxo de Caixa'!$B15)</f>
        <v>0</v>
      </c>
      <c r="AG15" s="14">
        <f>SUMIFS('Entradas e Saídas'!$G:$G,'Entradas e Saídas'!$E:$E,"Vendas",'Entradas e Saídas'!$C:$C,MONTH('Fluxo de Caixa'!AG$5),'Entradas e Saídas'!$D:$D,YEAR('Fluxo de Caixa'!AG$5),'Entradas e Saídas'!$F:$F,'Fluxo de Caixa'!$B15)</f>
        <v>0</v>
      </c>
      <c r="AH15" s="14">
        <f>SUMIFS('Entradas e Saídas'!$G:$G,'Entradas e Saídas'!$E:$E,"Vendas",'Entradas e Saídas'!$C:$C,MONTH('Fluxo de Caixa'!AH$5),'Entradas e Saídas'!$D:$D,YEAR('Fluxo de Caixa'!AH$5),'Entradas e Saídas'!$F:$F,'Fluxo de Caixa'!$B15)</f>
        <v>0</v>
      </c>
      <c r="AI15" s="14">
        <f>SUMIFS('Entradas e Saídas'!$G:$G,'Entradas e Saídas'!$E:$E,"Vendas",'Entradas e Saídas'!$C:$C,MONTH('Fluxo de Caixa'!AI$5),'Entradas e Saídas'!$D:$D,YEAR('Fluxo de Caixa'!AI$5),'Entradas e Saídas'!$F:$F,'Fluxo de Caixa'!$B15)</f>
        <v>0</v>
      </c>
      <c r="AJ15" s="14">
        <f>SUMIFS('Entradas e Saídas'!$G:$G,'Entradas e Saídas'!$E:$E,"Vendas",'Entradas e Saídas'!$C:$C,MONTH('Fluxo de Caixa'!AJ$5),'Entradas e Saídas'!$D:$D,YEAR('Fluxo de Caixa'!AJ$5),'Entradas e Saídas'!$F:$F,'Fluxo de Caixa'!$B15)</f>
        <v>0</v>
      </c>
      <c r="AK15" s="14">
        <f>SUMIFS('Entradas e Saídas'!$G:$G,'Entradas e Saídas'!$E:$E,"Vendas",'Entradas e Saídas'!$C:$C,MONTH('Fluxo de Caixa'!AK$5),'Entradas e Saídas'!$D:$D,YEAR('Fluxo de Caixa'!AK$5),'Entradas e Saídas'!$F:$F,'Fluxo de Caixa'!$B15)</f>
        <v>0</v>
      </c>
      <c r="AL15" s="14">
        <f>SUMIFS('Entradas e Saídas'!$G:$G,'Entradas e Saídas'!$E:$E,"Vendas",'Entradas e Saídas'!$C:$C,MONTH('Fluxo de Caixa'!AL$5),'Entradas e Saídas'!$D:$D,YEAR('Fluxo de Caixa'!AL$5),'Entradas e Saídas'!$F:$F,'Fluxo de Caixa'!$B15)</f>
        <v>0</v>
      </c>
      <c r="AM15" s="14">
        <f>SUMIFS('Entradas e Saídas'!$G:$G,'Entradas e Saídas'!$E:$E,"Vendas",'Entradas e Saídas'!$C:$C,MONTH('Fluxo de Caixa'!AM$5),'Entradas e Saídas'!$D:$D,YEAR('Fluxo de Caixa'!AM$5),'Entradas e Saídas'!$F:$F,'Fluxo de Caixa'!$B15)</f>
        <v>0</v>
      </c>
      <c r="AN15" s="14">
        <f>SUMIFS('Entradas e Saídas'!$G:$G,'Entradas e Saídas'!$E:$E,"Vendas",'Entradas e Saídas'!$C:$C,MONTH('Fluxo de Caixa'!AN$5),'Entradas e Saídas'!$D:$D,YEAR('Fluxo de Caixa'!AN$5),'Entradas e Saídas'!$F:$F,'Fluxo de Caixa'!$B15)</f>
        <v>0</v>
      </c>
      <c r="AO15" s="14">
        <f>SUMIFS('Entradas e Saídas'!$G:$G,'Entradas e Saídas'!$E:$E,"Vendas",'Entradas e Saídas'!$C:$C,MONTH('Fluxo de Caixa'!AO$5),'Entradas e Saídas'!$D:$D,YEAR('Fluxo de Caixa'!AO$5),'Entradas e Saídas'!$F:$F,'Fluxo de Caixa'!$B15)</f>
        <v>0</v>
      </c>
      <c r="AP15" s="14">
        <f>SUMIFS('Entradas e Saídas'!$G:$G,'Entradas e Saídas'!$E:$E,"Vendas",'Entradas e Saídas'!$C:$C,MONTH('Fluxo de Caixa'!AP$5),'Entradas e Saídas'!$D:$D,YEAR('Fluxo de Caixa'!AP$5),'Entradas e Saídas'!$F:$F,'Fluxo de Caixa'!$B15)</f>
        <v>0</v>
      </c>
      <c r="AQ15" s="14">
        <f>SUMIFS('Entradas e Saídas'!$G:$G,'Entradas e Saídas'!$E:$E,"Vendas",'Entradas e Saídas'!$C:$C,MONTH('Fluxo de Caixa'!AQ$5),'Entradas e Saídas'!$D:$D,YEAR('Fluxo de Caixa'!AQ$5),'Entradas e Saídas'!$F:$F,'Fluxo de Caixa'!$B15)</f>
        <v>0</v>
      </c>
      <c r="AR15" s="14">
        <f>SUMIFS('Entradas e Saídas'!$G:$G,'Entradas e Saídas'!$E:$E,"Vendas",'Entradas e Saídas'!$C:$C,MONTH('Fluxo de Caixa'!AR$5),'Entradas e Saídas'!$D:$D,YEAR('Fluxo de Caixa'!AR$5),'Entradas e Saídas'!$F:$F,'Fluxo de Caixa'!$B15)</f>
        <v>0</v>
      </c>
      <c r="AS15" s="14">
        <f>SUMIFS('Entradas e Saídas'!$G:$G,'Entradas e Saídas'!$E:$E,"Vendas",'Entradas e Saídas'!$C:$C,MONTH('Fluxo de Caixa'!AS$5),'Entradas e Saídas'!$D:$D,YEAR('Fluxo de Caixa'!AS$5),'Entradas e Saídas'!$F:$F,'Fluxo de Caixa'!$B15)</f>
        <v>0</v>
      </c>
    </row>
    <row r="16" spans="2:46" ht="15.6">
      <c r="B16" s="15" t="str">
        <f>IF(Produtos!B8="","-",Produtos!B8)</f>
        <v>Brigadeiro Nozes</v>
      </c>
      <c r="C16" s="14">
        <f>SUMIFS('Entradas e Saídas'!$G:$G,'Entradas e Saídas'!$E:$E,"Vendas",'Entradas e Saídas'!$C:$C,MONTH('Fluxo de Caixa'!C$5),'Entradas e Saídas'!$D:$D,YEAR('Fluxo de Caixa'!C$5),'Entradas e Saídas'!$F:$F,'Fluxo de Caixa'!$B16)</f>
        <v>0</v>
      </c>
      <c r="D16" s="14">
        <f>SUMIFS('Entradas e Saídas'!$G:$G,'Entradas e Saídas'!$E:$E,"Vendas",'Entradas e Saídas'!$C:$C,MONTH('Fluxo de Caixa'!D$5),'Entradas e Saídas'!$D:$D,YEAR('Fluxo de Caixa'!D$5),'Entradas e Saídas'!$F:$F,'Fluxo de Caixa'!$B16)</f>
        <v>0</v>
      </c>
      <c r="E16" s="14">
        <f>SUMIFS('Entradas e Saídas'!$G:$G,'Entradas e Saídas'!$E:$E,"Vendas",'Entradas e Saídas'!$C:$C,MONTH('Fluxo de Caixa'!E$5),'Entradas e Saídas'!$D:$D,YEAR('Fluxo de Caixa'!E$5),'Entradas e Saídas'!$F:$F,'Fluxo de Caixa'!$B16)</f>
        <v>0</v>
      </c>
      <c r="F16" s="14">
        <f>SUMIFS('Entradas e Saídas'!$G:$G,'Entradas e Saídas'!$E:$E,"Vendas",'Entradas e Saídas'!$C:$C,MONTH('Fluxo de Caixa'!F$5),'Entradas e Saídas'!$D:$D,YEAR('Fluxo de Caixa'!F$5),'Entradas e Saídas'!$F:$F,'Fluxo de Caixa'!$B16)</f>
        <v>0</v>
      </c>
      <c r="G16" s="14">
        <f>SUMIFS('Entradas e Saídas'!$G:$G,'Entradas e Saídas'!$E:$E,"Vendas",'Entradas e Saídas'!$C:$C,MONTH('Fluxo de Caixa'!G$5),'Entradas e Saídas'!$D:$D,YEAR('Fluxo de Caixa'!G$5),'Entradas e Saídas'!$F:$F,'Fluxo de Caixa'!$B16)</f>
        <v>0</v>
      </c>
      <c r="H16" s="14">
        <f>SUMIFS('Entradas e Saídas'!$G:$G,'Entradas e Saídas'!$E:$E,"Vendas",'Entradas e Saídas'!$C:$C,MONTH('Fluxo de Caixa'!H$5),'Entradas e Saídas'!$D:$D,YEAR('Fluxo de Caixa'!H$5),'Entradas e Saídas'!$F:$F,'Fluxo de Caixa'!$B16)</f>
        <v>0</v>
      </c>
      <c r="I16" s="14">
        <f>SUMIFS('Entradas e Saídas'!$G:$G,'Entradas e Saídas'!$E:$E,"Vendas",'Entradas e Saídas'!$C:$C,MONTH('Fluxo de Caixa'!I$5),'Entradas e Saídas'!$D:$D,YEAR('Fluxo de Caixa'!I$5),'Entradas e Saídas'!$F:$F,'Fluxo de Caixa'!$B16)</f>
        <v>0</v>
      </c>
      <c r="J16" s="14">
        <f>SUMIFS('Entradas e Saídas'!$G:$G,'Entradas e Saídas'!$E:$E,"Vendas",'Entradas e Saídas'!$C:$C,MONTH('Fluxo de Caixa'!J$5),'Entradas e Saídas'!$D:$D,YEAR('Fluxo de Caixa'!J$5),'Entradas e Saídas'!$F:$F,'Fluxo de Caixa'!$B16)</f>
        <v>0</v>
      </c>
      <c r="K16" s="14">
        <f>SUMIFS('Entradas e Saídas'!$G:$G,'Entradas e Saídas'!$E:$E,"Vendas",'Entradas e Saídas'!$C:$C,MONTH('Fluxo de Caixa'!K$5),'Entradas e Saídas'!$D:$D,YEAR('Fluxo de Caixa'!K$5),'Entradas e Saídas'!$F:$F,'Fluxo de Caixa'!$B16)</f>
        <v>0</v>
      </c>
      <c r="L16" s="14">
        <f>SUMIFS('Entradas e Saídas'!$G:$G,'Entradas e Saídas'!$E:$E,"Vendas",'Entradas e Saídas'!$C:$C,MONTH('Fluxo de Caixa'!L$5),'Entradas e Saídas'!$D:$D,YEAR('Fluxo de Caixa'!L$5),'Entradas e Saídas'!$F:$F,'Fluxo de Caixa'!$B16)</f>
        <v>0</v>
      </c>
      <c r="M16" s="14">
        <f>SUMIFS('Entradas e Saídas'!$G:$G,'Entradas e Saídas'!$E:$E,"Vendas",'Entradas e Saídas'!$C:$C,MONTH('Fluxo de Caixa'!M$5),'Entradas e Saídas'!$D:$D,YEAR('Fluxo de Caixa'!M$5),'Entradas e Saídas'!$F:$F,'Fluxo de Caixa'!$B16)</f>
        <v>0</v>
      </c>
      <c r="N16" s="14">
        <f>SUMIFS('Entradas e Saídas'!$G:$G,'Entradas e Saídas'!$E:$E,"Vendas",'Entradas e Saídas'!$C:$C,MONTH('Fluxo de Caixa'!N$5),'Entradas e Saídas'!$D:$D,YEAR('Fluxo de Caixa'!N$5),'Entradas e Saídas'!$F:$F,'Fluxo de Caixa'!$B16)</f>
        <v>0</v>
      </c>
      <c r="O16" s="14">
        <f>SUMIFS('Entradas e Saídas'!$G:$G,'Entradas e Saídas'!$E:$E,"Vendas",'Entradas e Saídas'!$C:$C,MONTH('Fluxo de Caixa'!O$5),'Entradas e Saídas'!$D:$D,YEAR('Fluxo de Caixa'!O$5),'Entradas e Saídas'!$F:$F,'Fluxo de Caixa'!$B16)</f>
        <v>0</v>
      </c>
      <c r="P16" s="14">
        <f>SUMIFS('Entradas e Saídas'!$G:$G,'Entradas e Saídas'!$E:$E,"Vendas",'Entradas e Saídas'!$C:$C,MONTH('Fluxo de Caixa'!P$5),'Entradas e Saídas'!$D:$D,YEAR('Fluxo de Caixa'!P$5),'Entradas e Saídas'!$F:$F,'Fluxo de Caixa'!$B16)</f>
        <v>0</v>
      </c>
      <c r="Q16" s="14">
        <f>SUMIFS('Entradas e Saídas'!$G:$G,'Entradas e Saídas'!$E:$E,"Vendas",'Entradas e Saídas'!$C:$C,MONTH('Fluxo de Caixa'!Q$5),'Entradas e Saídas'!$D:$D,YEAR('Fluxo de Caixa'!Q$5),'Entradas e Saídas'!$F:$F,'Fluxo de Caixa'!$B16)</f>
        <v>0</v>
      </c>
      <c r="R16" s="14">
        <f>SUMIFS('Entradas e Saídas'!$G:$G,'Entradas e Saídas'!$E:$E,"Vendas",'Entradas e Saídas'!$C:$C,MONTH('Fluxo de Caixa'!R$5),'Entradas e Saídas'!$D:$D,YEAR('Fluxo de Caixa'!R$5),'Entradas e Saídas'!$F:$F,'Fluxo de Caixa'!$B16)</f>
        <v>0</v>
      </c>
      <c r="S16" s="14">
        <f>SUMIFS('Entradas e Saídas'!$G:$G,'Entradas e Saídas'!$E:$E,"Vendas",'Entradas e Saídas'!$C:$C,MONTH('Fluxo de Caixa'!S$5),'Entradas e Saídas'!$D:$D,YEAR('Fluxo de Caixa'!S$5),'Entradas e Saídas'!$F:$F,'Fluxo de Caixa'!$B16)</f>
        <v>0</v>
      </c>
      <c r="T16" s="14">
        <f>SUMIFS('Entradas e Saídas'!$G:$G,'Entradas e Saídas'!$E:$E,"Vendas",'Entradas e Saídas'!$C:$C,MONTH('Fluxo de Caixa'!T$5),'Entradas e Saídas'!$D:$D,YEAR('Fluxo de Caixa'!T$5),'Entradas e Saídas'!$F:$F,'Fluxo de Caixa'!$B16)</f>
        <v>0</v>
      </c>
      <c r="U16" s="14">
        <f>SUMIFS('Entradas e Saídas'!$G:$G,'Entradas e Saídas'!$E:$E,"Vendas",'Entradas e Saídas'!$C:$C,MONTH('Fluxo de Caixa'!U$5),'Entradas e Saídas'!$D:$D,YEAR('Fluxo de Caixa'!U$5),'Entradas e Saídas'!$F:$F,'Fluxo de Caixa'!$B16)</f>
        <v>0</v>
      </c>
      <c r="V16" s="14">
        <f>SUMIFS('Entradas e Saídas'!$G:$G,'Entradas e Saídas'!$E:$E,"Vendas",'Entradas e Saídas'!$C:$C,MONTH('Fluxo de Caixa'!V$5),'Entradas e Saídas'!$D:$D,YEAR('Fluxo de Caixa'!V$5),'Entradas e Saídas'!$F:$F,'Fluxo de Caixa'!$B16)</f>
        <v>0</v>
      </c>
      <c r="W16" s="14">
        <f>SUMIFS('Entradas e Saídas'!$G:$G,'Entradas e Saídas'!$E:$E,"Vendas",'Entradas e Saídas'!$C:$C,MONTH('Fluxo de Caixa'!W$5),'Entradas e Saídas'!$D:$D,YEAR('Fluxo de Caixa'!W$5),'Entradas e Saídas'!$F:$F,'Fluxo de Caixa'!$B16)</f>
        <v>0</v>
      </c>
      <c r="X16" s="14">
        <f>SUMIFS('Entradas e Saídas'!$G:$G,'Entradas e Saídas'!$E:$E,"Vendas",'Entradas e Saídas'!$C:$C,MONTH('Fluxo de Caixa'!X$5),'Entradas e Saídas'!$D:$D,YEAR('Fluxo de Caixa'!X$5),'Entradas e Saídas'!$F:$F,'Fluxo de Caixa'!$B16)</f>
        <v>0</v>
      </c>
      <c r="Y16" s="14">
        <f>SUMIFS('Entradas e Saídas'!$G:$G,'Entradas e Saídas'!$E:$E,"Vendas",'Entradas e Saídas'!$C:$C,MONTH('Fluxo de Caixa'!Y$5),'Entradas e Saídas'!$D:$D,YEAR('Fluxo de Caixa'!Y$5),'Entradas e Saídas'!$F:$F,'Fluxo de Caixa'!$B16)</f>
        <v>7.5</v>
      </c>
      <c r="Z16" s="14">
        <f>SUMIFS('Entradas e Saídas'!$G:$G,'Entradas e Saídas'!$E:$E,"Vendas",'Entradas e Saídas'!$C:$C,MONTH('Fluxo de Caixa'!Z$5),'Entradas e Saídas'!$D:$D,YEAR('Fluxo de Caixa'!Z$5),'Entradas e Saídas'!$F:$F,'Fluxo de Caixa'!$B16)</f>
        <v>26</v>
      </c>
      <c r="AA16" s="14">
        <f>SUMIFS('Entradas e Saídas'!$G:$G,'Entradas e Saídas'!$E:$E,"Vendas",'Entradas e Saídas'!$C:$C,MONTH('Fluxo de Caixa'!AA$5),'Entradas e Saídas'!$D:$D,YEAR('Fluxo de Caixa'!AA$5),'Entradas e Saídas'!$F:$F,'Fluxo de Caixa'!$B16)</f>
        <v>0</v>
      </c>
      <c r="AB16" s="14">
        <f>SUMIFS('Entradas e Saídas'!$G:$G,'Entradas e Saídas'!$E:$E,"Vendas",'Entradas e Saídas'!$C:$C,MONTH('Fluxo de Caixa'!AB$5),'Entradas e Saídas'!$D:$D,YEAR('Fluxo de Caixa'!AB$5),'Entradas e Saídas'!$F:$F,'Fluxo de Caixa'!$B16)</f>
        <v>0</v>
      </c>
      <c r="AC16" s="14">
        <f>SUMIFS('Entradas e Saídas'!$G:$G,'Entradas e Saídas'!$E:$E,"Vendas",'Entradas e Saídas'!$C:$C,MONTH('Fluxo de Caixa'!AC$5),'Entradas e Saídas'!$D:$D,YEAR('Fluxo de Caixa'!AC$5),'Entradas e Saídas'!$F:$F,'Fluxo de Caixa'!$B16)</f>
        <v>0</v>
      </c>
      <c r="AD16" s="14">
        <f>SUMIFS('Entradas e Saídas'!$G:$G,'Entradas e Saídas'!$E:$E,"Vendas",'Entradas e Saídas'!$C:$C,MONTH('Fluxo de Caixa'!AD$5),'Entradas e Saídas'!$D:$D,YEAR('Fluxo de Caixa'!AD$5),'Entradas e Saídas'!$F:$F,'Fluxo de Caixa'!$B16)</f>
        <v>0</v>
      </c>
      <c r="AE16" s="14">
        <f>SUMIFS('Entradas e Saídas'!$G:$G,'Entradas e Saídas'!$E:$E,"Vendas",'Entradas e Saídas'!$C:$C,MONTH('Fluxo de Caixa'!AE$5),'Entradas e Saídas'!$D:$D,YEAR('Fluxo de Caixa'!AE$5),'Entradas e Saídas'!$F:$F,'Fluxo de Caixa'!$B16)</f>
        <v>0</v>
      </c>
      <c r="AF16" s="14">
        <f>SUMIFS('Entradas e Saídas'!$G:$G,'Entradas e Saídas'!$E:$E,"Vendas",'Entradas e Saídas'!$C:$C,MONTH('Fluxo de Caixa'!AF$5),'Entradas e Saídas'!$D:$D,YEAR('Fluxo de Caixa'!AF$5),'Entradas e Saídas'!$F:$F,'Fluxo de Caixa'!$B16)</f>
        <v>0</v>
      </c>
      <c r="AG16" s="14">
        <f>SUMIFS('Entradas e Saídas'!$G:$G,'Entradas e Saídas'!$E:$E,"Vendas",'Entradas e Saídas'!$C:$C,MONTH('Fluxo de Caixa'!AG$5),'Entradas e Saídas'!$D:$D,YEAR('Fluxo de Caixa'!AG$5),'Entradas e Saídas'!$F:$F,'Fluxo de Caixa'!$B16)</f>
        <v>0</v>
      </c>
      <c r="AH16" s="14">
        <f>SUMIFS('Entradas e Saídas'!$G:$G,'Entradas e Saídas'!$E:$E,"Vendas",'Entradas e Saídas'!$C:$C,MONTH('Fluxo de Caixa'!AH$5),'Entradas e Saídas'!$D:$D,YEAR('Fluxo de Caixa'!AH$5),'Entradas e Saídas'!$F:$F,'Fluxo de Caixa'!$B16)</f>
        <v>0</v>
      </c>
      <c r="AI16" s="14">
        <f>SUMIFS('Entradas e Saídas'!$G:$G,'Entradas e Saídas'!$E:$E,"Vendas",'Entradas e Saídas'!$C:$C,MONTH('Fluxo de Caixa'!AI$5),'Entradas e Saídas'!$D:$D,YEAR('Fluxo de Caixa'!AI$5),'Entradas e Saídas'!$F:$F,'Fluxo de Caixa'!$B16)</f>
        <v>0</v>
      </c>
      <c r="AJ16" s="14">
        <f>SUMIFS('Entradas e Saídas'!$G:$G,'Entradas e Saídas'!$E:$E,"Vendas",'Entradas e Saídas'!$C:$C,MONTH('Fluxo de Caixa'!AJ$5),'Entradas e Saídas'!$D:$D,YEAR('Fluxo de Caixa'!AJ$5),'Entradas e Saídas'!$F:$F,'Fluxo de Caixa'!$B16)</f>
        <v>0</v>
      </c>
      <c r="AK16" s="14">
        <f>SUMIFS('Entradas e Saídas'!$G:$G,'Entradas e Saídas'!$E:$E,"Vendas",'Entradas e Saídas'!$C:$C,MONTH('Fluxo de Caixa'!AK$5),'Entradas e Saídas'!$D:$D,YEAR('Fluxo de Caixa'!AK$5),'Entradas e Saídas'!$F:$F,'Fluxo de Caixa'!$B16)</f>
        <v>0</v>
      </c>
      <c r="AL16" s="14">
        <f>SUMIFS('Entradas e Saídas'!$G:$G,'Entradas e Saídas'!$E:$E,"Vendas",'Entradas e Saídas'!$C:$C,MONTH('Fluxo de Caixa'!AL$5),'Entradas e Saídas'!$D:$D,YEAR('Fluxo de Caixa'!AL$5),'Entradas e Saídas'!$F:$F,'Fluxo de Caixa'!$B16)</f>
        <v>0</v>
      </c>
      <c r="AM16" s="14">
        <f>SUMIFS('Entradas e Saídas'!$G:$G,'Entradas e Saídas'!$E:$E,"Vendas",'Entradas e Saídas'!$C:$C,MONTH('Fluxo de Caixa'!AM$5),'Entradas e Saídas'!$D:$D,YEAR('Fluxo de Caixa'!AM$5),'Entradas e Saídas'!$F:$F,'Fluxo de Caixa'!$B16)</f>
        <v>0</v>
      </c>
      <c r="AN16" s="14">
        <f>SUMIFS('Entradas e Saídas'!$G:$G,'Entradas e Saídas'!$E:$E,"Vendas",'Entradas e Saídas'!$C:$C,MONTH('Fluxo de Caixa'!AN$5),'Entradas e Saídas'!$D:$D,YEAR('Fluxo de Caixa'!AN$5),'Entradas e Saídas'!$F:$F,'Fluxo de Caixa'!$B16)</f>
        <v>0</v>
      </c>
      <c r="AO16" s="14">
        <f>SUMIFS('Entradas e Saídas'!$G:$G,'Entradas e Saídas'!$E:$E,"Vendas",'Entradas e Saídas'!$C:$C,MONTH('Fluxo de Caixa'!AO$5),'Entradas e Saídas'!$D:$D,YEAR('Fluxo de Caixa'!AO$5),'Entradas e Saídas'!$F:$F,'Fluxo de Caixa'!$B16)</f>
        <v>0</v>
      </c>
      <c r="AP16" s="14">
        <f>SUMIFS('Entradas e Saídas'!$G:$G,'Entradas e Saídas'!$E:$E,"Vendas",'Entradas e Saídas'!$C:$C,MONTH('Fluxo de Caixa'!AP$5),'Entradas e Saídas'!$D:$D,YEAR('Fluxo de Caixa'!AP$5),'Entradas e Saídas'!$F:$F,'Fluxo de Caixa'!$B16)</f>
        <v>0</v>
      </c>
      <c r="AQ16" s="14">
        <f>SUMIFS('Entradas e Saídas'!$G:$G,'Entradas e Saídas'!$E:$E,"Vendas",'Entradas e Saídas'!$C:$C,MONTH('Fluxo de Caixa'!AQ$5),'Entradas e Saídas'!$D:$D,YEAR('Fluxo de Caixa'!AQ$5),'Entradas e Saídas'!$F:$F,'Fluxo de Caixa'!$B16)</f>
        <v>0</v>
      </c>
      <c r="AR16" s="14">
        <f>SUMIFS('Entradas e Saídas'!$G:$G,'Entradas e Saídas'!$E:$E,"Vendas",'Entradas e Saídas'!$C:$C,MONTH('Fluxo de Caixa'!AR$5),'Entradas e Saídas'!$D:$D,YEAR('Fluxo de Caixa'!AR$5),'Entradas e Saídas'!$F:$F,'Fluxo de Caixa'!$B16)</f>
        <v>0</v>
      </c>
      <c r="AS16" s="14">
        <f>SUMIFS('Entradas e Saídas'!$G:$G,'Entradas e Saídas'!$E:$E,"Vendas",'Entradas e Saídas'!$C:$C,MONTH('Fluxo de Caixa'!AS$5),'Entradas e Saídas'!$D:$D,YEAR('Fluxo de Caixa'!AS$5),'Entradas e Saídas'!$F:$F,'Fluxo de Caixa'!$B16)</f>
        <v>0</v>
      </c>
    </row>
    <row r="17" spans="2:45" ht="15.6">
      <c r="B17" s="15" t="str">
        <f>IF(Produtos!B9="","-",Produtos!B9)</f>
        <v>Brigadeiro Churros</v>
      </c>
      <c r="C17" s="14">
        <f>SUMIFS('Entradas e Saídas'!$G:$G,'Entradas e Saídas'!$E:$E,"Vendas",'Entradas e Saídas'!$C:$C,MONTH('Fluxo de Caixa'!C$5),'Entradas e Saídas'!$D:$D,YEAR('Fluxo de Caixa'!C$5),'Entradas e Saídas'!$F:$F,'Fluxo de Caixa'!$B17)</f>
        <v>0</v>
      </c>
      <c r="D17" s="14">
        <f>SUMIFS('Entradas e Saídas'!$G:$G,'Entradas e Saídas'!$E:$E,"Vendas",'Entradas e Saídas'!$C:$C,MONTH('Fluxo de Caixa'!D$5),'Entradas e Saídas'!$D:$D,YEAR('Fluxo de Caixa'!D$5),'Entradas e Saídas'!$F:$F,'Fluxo de Caixa'!$B17)</f>
        <v>118</v>
      </c>
      <c r="E17" s="14">
        <f>SUMIFS('Entradas e Saídas'!$G:$G,'Entradas e Saídas'!$E:$E,"Vendas",'Entradas e Saídas'!$C:$C,MONTH('Fluxo de Caixa'!E$5),'Entradas e Saídas'!$D:$D,YEAR('Fluxo de Caixa'!E$5),'Entradas e Saídas'!$F:$F,'Fluxo de Caixa'!$B17)</f>
        <v>22</v>
      </c>
      <c r="F17" s="14">
        <f>SUMIFS('Entradas e Saídas'!$G:$G,'Entradas e Saídas'!$E:$E,"Vendas",'Entradas e Saídas'!$C:$C,MONTH('Fluxo de Caixa'!F$5),'Entradas e Saídas'!$D:$D,YEAR('Fluxo de Caixa'!F$5),'Entradas e Saídas'!$F:$F,'Fluxo de Caixa'!$B17)</f>
        <v>192</v>
      </c>
      <c r="G17" s="14">
        <f>SUMIFS('Entradas e Saídas'!$G:$G,'Entradas e Saídas'!$E:$E,"Vendas",'Entradas e Saídas'!$C:$C,MONTH('Fluxo de Caixa'!G$5),'Entradas e Saídas'!$D:$D,YEAR('Fluxo de Caixa'!G$5),'Entradas e Saídas'!$F:$F,'Fluxo de Caixa'!$B17)</f>
        <v>124</v>
      </c>
      <c r="H17" s="14">
        <f>SUMIFS('Entradas e Saídas'!$G:$G,'Entradas e Saídas'!$E:$E,"Vendas",'Entradas e Saídas'!$C:$C,MONTH('Fluxo de Caixa'!H$5),'Entradas e Saídas'!$D:$D,YEAR('Fluxo de Caixa'!H$5),'Entradas e Saídas'!$F:$F,'Fluxo de Caixa'!$B17)</f>
        <v>237.25</v>
      </c>
      <c r="I17" s="14">
        <f>SUMIFS('Entradas e Saídas'!$G:$G,'Entradas e Saídas'!$E:$E,"Vendas",'Entradas e Saídas'!$C:$C,MONTH('Fluxo de Caixa'!I$5),'Entradas e Saídas'!$D:$D,YEAR('Fluxo de Caixa'!I$5),'Entradas e Saídas'!$F:$F,'Fluxo de Caixa'!$B17)</f>
        <v>95.5</v>
      </c>
      <c r="J17" s="14">
        <f>SUMIFS('Entradas e Saídas'!$G:$G,'Entradas e Saídas'!$E:$E,"Vendas",'Entradas e Saídas'!$C:$C,MONTH('Fluxo de Caixa'!J$5),'Entradas e Saídas'!$D:$D,YEAR('Fluxo de Caixa'!J$5),'Entradas e Saídas'!$F:$F,'Fluxo de Caixa'!$B17)</f>
        <v>176</v>
      </c>
      <c r="K17" s="14">
        <f>SUMIFS('Entradas e Saídas'!$G:$G,'Entradas e Saídas'!$E:$E,"Vendas",'Entradas e Saídas'!$C:$C,MONTH('Fluxo de Caixa'!K$5),'Entradas e Saídas'!$D:$D,YEAR('Fluxo de Caixa'!K$5),'Entradas e Saídas'!$F:$F,'Fluxo de Caixa'!$B17)</f>
        <v>176</v>
      </c>
      <c r="L17" s="14">
        <f>SUMIFS('Entradas e Saídas'!$G:$G,'Entradas e Saídas'!$E:$E,"Vendas",'Entradas e Saídas'!$C:$C,MONTH('Fluxo de Caixa'!L$5),'Entradas e Saídas'!$D:$D,YEAR('Fluxo de Caixa'!L$5),'Entradas e Saídas'!$F:$F,'Fluxo de Caixa'!$B17)</f>
        <v>132</v>
      </c>
      <c r="M17" s="14">
        <f>SUMIFS('Entradas e Saídas'!$G:$G,'Entradas e Saídas'!$E:$E,"Vendas",'Entradas e Saídas'!$C:$C,MONTH('Fluxo de Caixa'!M$5),'Entradas e Saídas'!$D:$D,YEAR('Fluxo de Caixa'!M$5),'Entradas e Saídas'!$F:$F,'Fluxo de Caixa'!$B17)</f>
        <v>112</v>
      </c>
      <c r="N17" s="14">
        <f>SUMIFS('Entradas e Saídas'!$G:$G,'Entradas e Saídas'!$E:$E,"Vendas",'Entradas e Saídas'!$C:$C,MONTH('Fluxo de Caixa'!N$5),'Entradas e Saídas'!$D:$D,YEAR('Fluxo de Caixa'!N$5),'Entradas e Saídas'!$F:$F,'Fluxo de Caixa'!$B17)</f>
        <v>92</v>
      </c>
      <c r="O17" s="14">
        <f>SUMIFS('Entradas e Saídas'!$G:$G,'Entradas e Saídas'!$E:$E,"Vendas",'Entradas e Saídas'!$C:$C,MONTH('Fluxo de Caixa'!O$5),'Entradas e Saídas'!$D:$D,YEAR('Fluxo de Caixa'!O$5),'Entradas e Saídas'!$F:$F,'Fluxo de Caixa'!$B17)</f>
        <v>74</v>
      </c>
      <c r="P17" s="14">
        <f>SUMIFS('Entradas e Saídas'!$G:$G,'Entradas e Saídas'!$E:$E,"Vendas",'Entradas e Saídas'!$C:$C,MONTH('Fluxo de Caixa'!P$5),'Entradas e Saídas'!$D:$D,YEAR('Fluxo de Caixa'!P$5),'Entradas e Saídas'!$F:$F,'Fluxo de Caixa'!$B17)</f>
        <v>74</v>
      </c>
      <c r="Q17" s="14">
        <f>SUMIFS('Entradas e Saídas'!$G:$G,'Entradas e Saídas'!$E:$E,"Vendas",'Entradas e Saídas'!$C:$C,MONTH('Fluxo de Caixa'!Q$5),'Entradas e Saídas'!$D:$D,YEAR('Fluxo de Caixa'!Q$5),'Entradas e Saídas'!$F:$F,'Fluxo de Caixa'!$B17)</f>
        <v>88</v>
      </c>
      <c r="R17" s="14">
        <f>SUMIFS('Entradas e Saídas'!$G:$G,'Entradas e Saídas'!$E:$E,"Vendas",'Entradas e Saídas'!$C:$C,MONTH('Fluxo de Caixa'!R$5),'Entradas e Saídas'!$D:$D,YEAR('Fluxo de Caixa'!R$5),'Entradas e Saídas'!$F:$F,'Fluxo de Caixa'!$B17)</f>
        <v>90</v>
      </c>
      <c r="S17" s="14">
        <f>SUMIFS('Entradas e Saídas'!$G:$G,'Entradas e Saídas'!$E:$E,"Vendas",'Entradas e Saídas'!$C:$C,MONTH('Fluxo de Caixa'!S$5),'Entradas e Saídas'!$D:$D,YEAR('Fluxo de Caixa'!S$5),'Entradas e Saídas'!$F:$F,'Fluxo de Caixa'!$B17)</f>
        <v>8</v>
      </c>
      <c r="T17" s="14">
        <f>SUMIFS('Entradas e Saídas'!$G:$G,'Entradas e Saídas'!$E:$E,"Vendas",'Entradas e Saídas'!$C:$C,MONTH('Fluxo de Caixa'!T$5),'Entradas e Saídas'!$D:$D,YEAR('Fluxo de Caixa'!T$5),'Entradas e Saídas'!$F:$F,'Fluxo de Caixa'!$B17)</f>
        <v>72</v>
      </c>
      <c r="U17" s="14">
        <f>SUMIFS('Entradas e Saídas'!$G:$G,'Entradas e Saídas'!$E:$E,"Vendas",'Entradas e Saídas'!$C:$C,MONTH('Fluxo de Caixa'!U$5),'Entradas e Saídas'!$D:$D,YEAR('Fluxo de Caixa'!U$5),'Entradas e Saídas'!$F:$F,'Fluxo de Caixa'!$B17)</f>
        <v>56</v>
      </c>
      <c r="V17" s="14">
        <f>SUMIFS('Entradas e Saídas'!$G:$G,'Entradas e Saídas'!$E:$E,"Vendas",'Entradas e Saídas'!$C:$C,MONTH('Fluxo de Caixa'!V$5),'Entradas e Saídas'!$D:$D,YEAR('Fluxo de Caixa'!V$5),'Entradas e Saídas'!$F:$F,'Fluxo de Caixa'!$B17)</f>
        <v>84</v>
      </c>
      <c r="W17" s="14">
        <f>SUMIFS('Entradas e Saídas'!$G:$G,'Entradas e Saídas'!$E:$E,"Vendas",'Entradas e Saídas'!$C:$C,MONTH('Fluxo de Caixa'!W$5),'Entradas e Saídas'!$D:$D,YEAR('Fluxo de Caixa'!W$5),'Entradas e Saídas'!$F:$F,'Fluxo de Caixa'!$B17)</f>
        <v>96</v>
      </c>
      <c r="X17" s="14">
        <f>SUMIFS('Entradas e Saídas'!$G:$G,'Entradas e Saídas'!$E:$E,"Vendas",'Entradas e Saídas'!$C:$C,MONTH('Fluxo de Caixa'!X$5),'Entradas e Saídas'!$D:$D,YEAR('Fluxo de Caixa'!X$5),'Entradas e Saídas'!$F:$F,'Fluxo de Caixa'!$B17)</f>
        <v>48</v>
      </c>
      <c r="Y17" s="14">
        <f>SUMIFS('Entradas e Saídas'!$G:$G,'Entradas e Saídas'!$E:$E,"Vendas",'Entradas e Saídas'!$C:$C,MONTH('Fluxo de Caixa'!Y$5),'Entradas e Saídas'!$D:$D,YEAR('Fluxo de Caixa'!Y$5),'Entradas e Saídas'!$F:$F,'Fluxo de Caixa'!$B17)</f>
        <v>44</v>
      </c>
      <c r="Z17" s="14">
        <f>SUMIFS('Entradas e Saídas'!$G:$G,'Entradas e Saídas'!$E:$E,"Vendas",'Entradas e Saídas'!$C:$C,MONTH('Fluxo de Caixa'!Z$5),'Entradas e Saídas'!$D:$D,YEAR('Fluxo de Caixa'!Z$5),'Entradas e Saídas'!$F:$F,'Fluxo de Caixa'!$B17)</f>
        <v>24</v>
      </c>
      <c r="AA17" s="14">
        <f>SUMIFS('Entradas e Saídas'!$G:$G,'Entradas e Saídas'!$E:$E,"Vendas",'Entradas e Saídas'!$C:$C,MONTH('Fluxo de Caixa'!AA$5),'Entradas e Saídas'!$D:$D,YEAR('Fluxo de Caixa'!AA$5),'Entradas e Saídas'!$F:$F,'Fluxo de Caixa'!$B17)</f>
        <v>36</v>
      </c>
      <c r="AB17" s="14">
        <f>SUMIFS('Entradas e Saídas'!$G:$G,'Entradas e Saídas'!$E:$E,"Vendas",'Entradas e Saídas'!$C:$C,MONTH('Fluxo de Caixa'!AB$5),'Entradas e Saídas'!$D:$D,YEAR('Fluxo de Caixa'!AB$5),'Entradas e Saídas'!$F:$F,'Fluxo de Caixa'!$B17)</f>
        <v>0</v>
      </c>
      <c r="AC17" s="14">
        <f>SUMIFS('Entradas e Saídas'!$G:$G,'Entradas e Saídas'!$E:$E,"Vendas",'Entradas e Saídas'!$C:$C,MONTH('Fluxo de Caixa'!AC$5),'Entradas e Saídas'!$D:$D,YEAR('Fluxo de Caixa'!AC$5),'Entradas e Saídas'!$F:$F,'Fluxo de Caixa'!$B17)</f>
        <v>0</v>
      </c>
      <c r="AD17" s="14">
        <f>SUMIFS('Entradas e Saídas'!$G:$G,'Entradas e Saídas'!$E:$E,"Vendas",'Entradas e Saídas'!$C:$C,MONTH('Fluxo de Caixa'!AD$5),'Entradas e Saídas'!$D:$D,YEAR('Fluxo de Caixa'!AD$5),'Entradas e Saídas'!$F:$F,'Fluxo de Caixa'!$B17)</f>
        <v>0</v>
      </c>
      <c r="AE17" s="14">
        <f>SUMIFS('Entradas e Saídas'!$G:$G,'Entradas e Saídas'!$E:$E,"Vendas",'Entradas e Saídas'!$C:$C,MONTH('Fluxo de Caixa'!AE$5),'Entradas e Saídas'!$D:$D,YEAR('Fluxo de Caixa'!AE$5),'Entradas e Saídas'!$F:$F,'Fluxo de Caixa'!$B17)</f>
        <v>0</v>
      </c>
      <c r="AF17" s="14">
        <f>SUMIFS('Entradas e Saídas'!$G:$G,'Entradas e Saídas'!$E:$E,"Vendas",'Entradas e Saídas'!$C:$C,MONTH('Fluxo de Caixa'!AF$5),'Entradas e Saídas'!$D:$D,YEAR('Fluxo de Caixa'!AF$5),'Entradas e Saídas'!$F:$F,'Fluxo de Caixa'!$B17)</f>
        <v>0</v>
      </c>
      <c r="AG17" s="14">
        <f>SUMIFS('Entradas e Saídas'!$G:$G,'Entradas e Saídas'!$E:$E,"Vendas",'Entradas e Saídas'!$C:$C,MONTH('Fluxo de Caixa'!AG$5),'Entradas e Saídas'!$D:$D,YEAR('Fluxo de Caixa'!AG$5),'Entradas e Saídas'!$F:$F,'Fluxo de Caixa'!$B17)</f>
        <v>0</v>
      </c>
      <c r="AH17" s="14">
        <f>SUMIFS('Entradas e Saídas'!$G:$G,'Entradas e Saídas'!$E:$E,"Vendas",'Entradas e Saídas'!$C:$C,MONTH('Fluxo de Caixa'!AH$5),'Entradas e Saídas'!$D:$D,YEAR('Fluxo de Caixa'!AH$5),'Entradas e Saídas'!$F:$F,'Fluxo de Caixa'!$B17)</f>
        <v>0</v>
      </c>
      <c r="AI17" s="14">
        <f>SUMIFS('Entradas e Saídas'!$G:$G,'Entradas e Saídas'!$E:$E,"Vendas",'Entradas e Saídas'!$C:$C,MONTH('Fluxo de Caixa'!AI$5),'Entradas e Saídas'!$D:$D,YEAR('Fluxo de Caixa'!AI$5),'Entradas e Saídas'!$F:$F,'Fluxo de Caixa'!$B17)</f>
        <v>0</v>
      </c>
      <c r="AJ17" s="14">
        <f>SUMIFS('Entradas e Saídas'!$G:$G,'Entradas e Saídas'!$E:$E,"Vendas",'Entradas e Saídas'!$C:$C,MONTH('Fluxo de Caixa'!AJ$5),'Entradas e Saídas'!$D:$D,YEAR('Fluxo de Caixa'!AJ$5),'Entradas e Saídas'!$F:$F,'Fluxo de Caixa'!$B17)</f>
        <v>0</v>
      </c>
      <c r="AK17" s="14">
        <f>SUMIFS('Entradas e Saídas'!$G:$G,'Entradas e Saídas'!$E:$E,"Vendas",'Entradas e Saídas'!$C:$C,MONTH('Fluxo de Caixa'!AK$5),'Entradas e Saídas'!$D:$D,YEAR('Fluxo de Caixa'!AK$5),'Entradas e Saídas'!$F:$F,'Fluxo de Caixa'!$B17)</f>
        <v>0</v>
      </c>
      <c r="AL17" s="14">
        <f>SUMIFS('Entradas e Saídas'!$G:$G,'Entradas e Saídas'!$E:$E,"Vendas",'Entradas e Saídas'!$C:$C,MONTH('Fluxo de Caixa'!AL$5),'Entradas e Saídas'!$D:$D,YEAR('Fluxo de Caixa'!AL$5),'Entradas e Saídas'!$F:$F,'Fluxo de Caixa'!$B17)</f>
        <v>0</v>
      </c>
      <c r="AM17" s="14">
        <f>SUMIFS('Entradas e Saídas'!$G:$G,'Entradas e Saídas'!$E:$E,"Vendas",'Entradas e Saídas'!$C:$C,MONTH('Fluxo de Caixa'!AM$5),'Entradas e Saídas'!$D:$D,YEAR('Fluxo de Caixa'!AM$5),'Entradas e Saídas'!$F:$F,'Fluxo de Caixa'!$B17)</f>
        <v>0</v>
      </c>
      <c r="AN17" s="14">
        <f>SUMIFS('Entradas e Saídas'!$G:$G,'Entradas e Saídas'!$E:$E,"Vendas",'Entradas e Saídas'!$C:$C,MONTH('Fluxo de Caixa'!AN$5),'Entradas e Saídas'!$D:$D,YEAR('Fluxo de Caixa'!AN$5),'Entradas e Saídas'!$F:$F,'Fluxo de Caixa'!$B17)</f>
        <v>0</v>
      </c>
      <c r="AO17" s="14">
        <f>SUMIFS('Entradas e Saídas'!$G:$G,'Entradas e Saídas'!$E:$E,"Vendas",'Entradas e Saídas'!$C:$C,MONTH('Fluxo de Caixa'!AO$5),'Entradas e Saídas'!$D:$D,YEAR('Fluxo de Caixa'!AO$5),'Entradas e Saídas'!$F:$F,'Fluxo de Caixa'!$B17)</f>
        <v>0</v>
      </c>
      <c r="AP17" s="14">
        <f>SUMIFS('Entradas e Saídas'!$G:$G,'Entradas e Saídas'!$E:$E,"Vendas",'Entradas e Saídas'!$C:$C,MONTH('Fluxo de Caixa'!AP$5),'Entradas e Saídas'!$D:$D,YEAR('Fluxo de Caixa'!AP$5),'Entradas e Saídas'!$F:$F,'Fluxo de Caixa'!$B17)</f>
        <v>0</v>
      </c>
      <c r="AQ17" s="14">
        <f>SUMIFS('Entradas e Saídas'!$G:$G,'Entradas e Saídas'!$E:$E,"Vendas",'Entradas e Saídas'!$C:$C,MONTH('Fluxo de Caixa'!AQ$5),'Entradas e Saídas'!$D:$D,YEAR('Fluxo de Caixa'!AQ$5),'Entradas e Saídas'!$F:$F,'Fluxo de Caixa'!$B17)</f>
        <v>0</v>
      </c>
      <c r="AR17" s="14">
        <f>SUMIFS('Entradas e Saídas'!$G:$G,'Entradas e Saídas'!$E:$E,"Vendas",'Entradas e Saídas'!$C:$C,MONTH('Fluxo de Caixa'!AR$5),'Entradas e Saídas'!$D:$D,YEAR('Fluxo de Caixa'!AR$5),'Entradas e Saídas'!$F:$F,'Fluxo de Caixa'!$B17)</f>
        <v>0</v>
      </c>
      <c r="AS17" s="14">
        <f>SUMIFS('Entradas e Saídas'!$G:$G,'Entradas e Saídas'!$E:$E,"Vendas",'Entradas e Saídas'!$C:$C,MONTH('Fluxo de Caixa'!AS$5),'Entradas e Saídas'!$D:$D,YEAR('Fluxo de Caixa'!AS$5),'Entradas e Saídas'!$F:$F,'Fluxo de Caixa'!$B17)</f>
        <v>0</v>
      </c>
    </row>
    <row r="18" spans="2:45" ht="15.6">
      <c r="B18" s="15" t="str">
        <f>IF(Produtos!B10="","-",Produtos!B10)</f>
        <v>Brigadeiro Paçoca</v>
      </c>
      <c r="C18" s="14">
        <f>SUMIFS('Entradas e Saídas'!$G:$G,'Entradas e Saídas'!$E:$E,"Vendas",'Entradas e Saídas'!$C:$C,MONTH('Fluxo de Caixa'!C$5),'Entradas e Saídas'!$D:$D,YEAR('Fluxo de Caixa'!C$5),'Entradas e Saídas'!$F:$F,'Fluxo de Caixa'!$B18)</f>
        <v>0</v>
      </c>
      <c r="D18" s="14">
        <f>SUMIFS('Entradas e Saídas'!$G:$G,'Entradas e Saídas'!$E:$E,"Vendas",'Entradas e Saídas'!$C:$C,MONTH('Fluxo de Caixa'!D$5),'Entradas e Saídas'!$D:$D,YEAR('Fluxo de Caixa'!D$5),'Entradas e Saídas'!$F:$F,'Fluxo de Caixa'!$B18)</f>
        <v>0</v>
      </c>
      <c r="E18" s="14">
        <f>SUMIFS('Entradas e Saídas'!$G:$G,'Entradas e Saídas'!$E:$E,"Vendas",'Entradas e Saídas'!$C:$C,MONTH('Fluxo de Caixa'!E$5),'Entradas e Saídas'!$D:$D,YEAR('Fluxo de Caixa'!E$5),'Entradas e Saídas'!$F:$F,'Fluxo de Caixa'!$B18)</f>
        <v>0</v>
      </c>
      <c r="F18" s="14">
        <f>SUMIFS('Entradas e Saídas'!$G:$G,'Entradas e Saídas'!$E:$E,"Vendas",'Entradas e Saídas'!$C:$C,MONTH('Fluxo de Caixa'!F$5),'Entradas e Saídas'!$D:$D,YEAR('Fluxo de Caixa'!F$5),'Entradas e Saídas'!$F:$F,'Fluxo de Caixa'!$B18)</f>
        <v>16</v>
      </c>
      <c r="G18" s="14">
        <f>SUMIFS('Entradas e Saídas'!$G:$G,'Entradas e Saídas'!$E:$E,"Vendas",'Entradas e Saídas'!$C:$C,MONTH('Fluxo de Caixa'!G$5),'Entradas e Saídas'!$D:$D,YEAR('Fluxo de Caixa'!G$5),'Entradas e Saídas'!$F:$F,'Fluxo de Caixa'!$B18)</f>
        <v>0</v>
      </c>
      <c r="H18" s="14">
        <f>SUMIFS('Entradas e Saídas'!$G:$G,'Entradas e Saídas'!$E:$E,"Vendas",'Entradas e Saídas'!$C:$C,MONTH('Fluxo de Caixa'!H$5),'Entradas e Saídas'!$D:$D,YEAR('Fluxo de Caixa'!H$5),'Entradas e Saídas'!$F:$F,'Fluxo de Caixa'!$B18)</f>
        <v>29.5</v>
      </c>
      <c r="I18" s="14">
        <f>SUMIFS('Entradas e Saídas'!$G:$G,'Entradas e Saídas'!$E:$E,"Vendas",'Entradas e Saídas'!$C:$C,MONTH('Fluxo de Caixa'!I$5),'Entradas e Saídas'!$D:$D,YEAR('Fluxo de Caixa'!I$5),'Entradas e Saídas'!$F:$F,'Fluxo de Caixa'!$B18)</f>
        <v>10</v>
      </c>
      <c r="J18" s="14">
        <f>SUMIFS('Entradas e Saídas'!$G:$G,'Entradas e Saídas'!$E:$E,"Vendas",'Entradas e Saídas'!$C:$C,MONTH('Fluxo de Caixa'!J$5),'Entradas e Saídas'!$D:$D,YEAR('Fluxo de Caixa'!J$5),'Entradas e Saídas'!$F:$F,'Fluxo de Caixa'!$B18)</f>
        <v>12</v>
      </c>
      <c r="K18" s="14">
        <f>SUMIFS('Entradas e Saídas'!$G:$G,'Entradas e Saídas'!$E:$E,"Vendas",'Entradas e Saídas'!$C:$C,MONTH('Fluxo de Caixa'!K$5),'Entradas e Saídas'!$D:$D,YEAR('Fluxo de Caixa'!K$5),'Entradas e Saídas'!$F:$F,'Fluxo de Caixa'!$B18)</f>
        <v>26</v>
      </c>
      <c r="L18" s="14">
        <f>SUMIFS('Entradas e Saídas'!$G:$G,'Entradas e Saídas'!$E:$E,"Vendas",'Entradas e Saídas'!$C:$C,MONTH('Fluxo de Caixa'!L$5),'Entradas e Saídas'!$D:$D,YEAR('Fluxo de Caixa'!L$5),'Entradas e Saídas'!$F:$F,'Fluxo de Caixa'!$B18)</f>
        <v>2</v>
      </c>
      <c r="M18" s="14">
        <f>SUMIFS('Entradas e Saídas'!$G:$G,'Entradas e Saídas'!$E:$E,"Vendas",'Entradas e Saídas'!$C:$C,MONTH('Fluxo de Caixa'!M$5),'Entradas e Saídas'!$D:$D,YEAR('Fluxo de Caixa'!M$5),'Entradas e Saídas'!$F:$F,'Fluxo de Caixa'!$B18)</f>
        <v>8</v>
      </c>
      <c r="N18" s="14">
        <f>SUMIFS('Entradas e Saídas'!$G:$G,'Entradas e Saídas'!$E:$E,"Vendas",'Entradas e Saídas'!$C:$C,MONTH('Fluxo de Caixa'!N$5),'Entradas e Saídas'!$D:$D,YEAR('Fluxo de Caixa'!N$5),'Entradas e Saídas'!$F:$F,'Fluxo de Caixa'!$B18)</f>
        <v>0</v>
      </c>
      <c r="O18" s="14">
        <f>SUMIFS('Entradas e Saídas'!$G:$G,'Entradas e Saídas'!$E:$E,"Vendas",'Entradas e Saídas'!$C:$C,MONTH('Fluxo de Caixa'!O$5),'Entradas e Saídas'!$D:$D,YEAR('Fluxo de Caixa'!O$5),'Entradas e Saídas'!$F:$F,'Fluxo de Caixa'!$B18)</f>
        <v>4</v>
      </c>
      <c r="P18" s="14">
        <f>SUMIFS('Entradas e Saídas'!$G:$G,'Entradas e Saídas'!$E:$E,"Vendas",'Entradas e Saídas'!$C:$C,MONTH('Fluxo de Caixa'!P$5),'Entradas e Saídas'!$D:$D,YEAR('Fluxo de Caixa'!P$5),'Entradas e Saídas'!$F:$F,'Fluxo de Caixa'!$B18)</f>
        <v>0</v>
      </c>
      <c r="Q18" s="14">
        <f>SUMIFS('Entradas e Saídas'!$G:$G,'Entradas e Saídas'!$E:$E,"Vendas",'Entradas e Saídas'!$C:$C,MONTH('Fluxo de Caixa'!Q$5),'Entradas e Saídas'!$D:$D,YEAR('Fluxo de Caixa'!Q$5),'Entradas e Saídas'!$F:$F,'Fluxo de Caixa'!$B18)</f>
        <v>0</v>
      </c>
      <c r="R18" s="14">
        <f>SUMIFS('Entradas e Saídas'!$G:$G,'Entradas e Saídas'!$E:$E,"Vendas",'Entradas e Saídas'!$C:$C,MONTH('Fluxo de Caixa'!R$5),'Entradas e Saídas'!$D:$D,YEAR('Fluxo de Caixa'!R$5),'Entradas e Saídas'!$F:$F,'Fluxo de Caixa'!$B18)</f>
        <v>0</v>
      </c>
      <c r="S18" s="14">
        <f>SUMIFS('Entradas e Saídas'!$G:$G,'Entradas e Saídas'!$E:$E,"Vendas",'Entradas e Saídas'!$C:$C,MONTH('Fluxo de Caixa'!S$5),'Entradas e Saídas'!$D:$D,YEAR('Fluxo de Caixa'!S$5),'Entradas e Saídas'!$F:$F,'Fluxo de Caixa'!$B18)</f>
        <v>0</v>
      </c>
      <c r="T18" s="14">
        <f>SUMIFS('Entradas e Saídas'!$G:$G,'Entradas e Saídas'!$E:$E,"Vendas",'Entradas e Saídas'!$C:$C,MONTH('Fluxo de Caixa'!T$5),'Entradas e Saídas'!$D:$D,YEAR('Fluxo de Caixa'!T$5),'Entradas e Saídas'!$F:$F,'Fluxo de Caixa'!$B18)</f>
        <v>0</v>
      </c>
      <c r="U18" s="14">
        <f>SUMIFS('Entradas e Saídas'!$G:$G,'Entradas e Saídas'!$E:$E,"Vendas",'Entradas e Saídas'!$C:$C,MONTH('Fluxo de Caixa'!U$5),'Entradas e Saídas'!$D:$D,YEAR('Fluxo de Caixa'!U$5),'Entradas e Saídas'!$F:$F,'Fluxo de Caixa'!$B18)</f>
        <v>2</v>
      </c>
      <c r="V18" s="14">
        <f>SUMIFS('Entradas e Saídas'!$G:$G,'Entradas e Saídas'!$E:$E,"Vendas",'Entradas e Saídas'!$C:$C,MONTH('Fluxo de Caixa'!V$5),'Entradas e Saídas'!$D:$D,YEAR('Fluxo de Caixa'!V$5),'Entradas e Saídas'!$F:$F,'Fluxo de Caixa'!$B18)</f>
        <v>0</v>
      </c>
      <c r="W18" s="14">
        <f>SUMIFS('Entradas e Saídas'!$G:$G,'Entradas e Saídas'!$E:$E,"Vendas",'Entradas e Saídas'!$C:$C,MONTH('Fluxo de Caixa'!W$5),'Entradas e Saídas'!$D:$D,YEAR('Fluxo de Caixa'!W$5),'Entradas e Saídas'!$F:$F,'Fluxo de Caixa'!$B18)</f>
        <v>6</v>
      </c>
      <c r="X18" s="14">
        <f>SUMIFS('Entradas e Saídas'!$G:$G,'Entradas e Saídas'!$E:$E,"Vendas",'Entradas e Saídas'!$C:$C,MONTH('Fluxo de Caixa'!X$5),'Entradas e Saídas'!$D:$D,YEAR('Fluxo de Caixa'!X$5),'Entradas e Saídas'!$F:$F,'Fluxo de Caixa'!$B18)</f>
        <v>0</v>
      </c>
      <c r="Y18" s="14">
        <f>SUMIFS('Entradas e Saídas'!$G:$G,'Entradas e Saídas'!$E:$E,"Vendas",'Entradas e Saídas'!$C:$C,MONTH('Fluxo de Caixa'!Y$5),'Entradas e Saídas'!$D:$D,YEAR('Fluxo de Caixa'!Y$5),'Entradas e Saídas'!$F:$F,'Fluxo de Caixa'!$B18)</f>
        <v>0</v>
      </c>
      <c r="Z18" s="14">
        <f>SUMIFS('Entradas e Saídas'!$G:$G,'Entradas e Saídas'!$E:$E,"Vendas",'Entradas e Saídas'!$C:$C,MONTH('Fluxo de Caixa'!Z$5),'Entradas e Saídas'!$D:$D,YEAR('Fluxo de Caixa'!Z$5),'Entradas e Saídas'!$F:$F,'Fluxo de Caixa'!$B18)</f>
        <v>0</v>
      </c>
      <c r="AA18" s="14">
        <f>SUMIFS('Entradas e Saídas'!$G:$G,'Entradas e Saídas'!$E:$E,"Vendas",'Entradas e Saídas'!$C:$C,MONTH('Fluxo de Caixa'!AA$5),'Entradas e Saídas'!$D:$D,YEAR('Fluxo de Caixa'!AA$5),'Entradas e Saídas'!$F:$F,'Fluxo de Caixa'!$B18)</f>
        <v>0</v>
      </c>
      <c r="AB18" s="14">
        <f>SUMIFS('Entradas e Saídas'!$G:$G,'Entradas e Saídas'!$E:$E,"Vendas",'Entradas e Saídas'!$C:$C,MONTH('Fluxo de Caixa'!AB$5),'Entradas e Saídas'!$D:$D,YEAR('Fluxo de Caixa'!AB$5),'Entradas e Saídas'!$F:$F,'Fluxo de Caixa'!$B18)</f>
        <v>0</v>
      </c>
      <c r="AC18" s="14">
        <f>SUMIFS('Entradas e Saídas'!$G:$G,'Entradas e Saídas'!$E:$E,"Vendas",'Entradas e Saídas'!$C:$C,MONTH('Fluxo de Caixa'!AC$5),'Entradas e Saídas'!$D:$D,YEAR('Fluxo de Caixa'!AC$5),'Entradas e Saídas'!$F:$F,'Fluxo de Caixa'!$B18)</f>
        <v>0</v>
      </c>
      <c r="AD18" s="14">
        <f>SUMIFS('Entradas e Saídas'!$G:$G,'Entradas e Saídas'!$E:$E,"Vendas",'Entradas e Saídas'!$C:$C,MONTH('Fluxo de Caixa'!AD$5),'Entradas e Saídas'!$D:$D,YEAR('Fluxo de Caixa'!AD$5),'Entradas e Saídas'!$F:$F,'Fluxo de Caixa'!$B18)</f>
        <v>0</v>
      </c>
      <c r="AE18" s="14">
        <f>SUMIFS('Entradas e Saídas'!$G:$G,'Entradas e Saídas'!$E:$E,"Vendas",'Entradas e Saídas'!$C:$C,MONTH('Fluxo de Caixa'!AE$5),'Entradas e Saídas'!$D:$D,YEAR('Fluxo de Caixa'!AE$5),'Entradas e Saídas'!$F:$F,'Fluxo de Caixa'!$B18)</f>
        <v>0</v>
      </c>
      <c r="AF18" s="14">
        <f>SUMIFS('Entradas e Saídas'!$G:$G,'Entradas e Saídas'!$E:$E,"Vendas",'Entradas e Saídas'!$C:$C,MONTH('Fluxo de Caixa'!AF$5),'Entradas e Saídas'!$D:$D,YEAR('Fluxo de Caixa'!AF$5),'Entradas e Saídas'!$F:$F,'Fluxo de Caixa'!$B18)</f>
        <v>0</v>
      </c>
      <c r="AG18" s="14">
        <f>SUMIFS('Entradas e Saídas'!$G:$G,'Entradas e Saídas'!$E:$E,"Vendas",'Entradas e Saídas'!$C:$C,MONTH('Fluxo de Caixa'!AG$5),'Entradas e Saídas'!$D:$D,YEAR('Fluxo de Caixa'!AG$5),'Entradas e Saídas'!$F:$F,'Fluxo de Caixa'!$B18)</f>
        <v>0</v>
      </c>
      <c r="AH18" s="14">
        <f>SUMIFS('Entradas e Saídas'!$G:$G,'Entradas e Saídas'!$E:$E,"Vendas",'Entradas e Saídas'!$C:$C,MONTH('Fluxo de Caixa'!AH$5),'Entradas e Saídas'!$D:$D,YEAR('Fluxo de Caixa'!AH$5),'Entradas e Saídas'!$F:$F,'Fluxo de Caixa'!$B18)</f>
        <v>0</v>
      </c>
      <c r="AI18" s="14">
        <f>SUMIFS('Entradas e Saídas'!$G:$G,'Entradas e Saídas'!$E:$E,"Vendas",'Entradas e Saídas'!$C:$C,MONTH('Fluxo de Caixa'!AI$5),'Entradas e Saídas'!$D:$D,YEAR('Fluxo de Caixa'!AI$5),'Entradas e Saídas'!$F:$F,'Fluxo de Caixa'!$B18)</f>
        <v>0</v>
      </c>
      <c r="AJ18" s="14">
        <f>SUMIFS('Entradas e Saídas'!$G:$G,'Entradas e Saídas'!$E:$E,"Vendas",'Entradas e Saídas'!$C:$C,MONTH('Fluxo de Caixa'!AJ$5),'Entradas e Saídas'!$D:$D,YEAR('Fluxo de Caixa'!AJ$5),'Entradas e Saídas'!$F:$F,'Fluxo de Caixa'!$B18)</f>
        <v>0</v>
      </c>
      <c r="AK18" s="14">
        <f>SUMIFS('Entradas e Saídas'!$G:$G,'Entradas e Saídas'!$E:$E,"Vendas",'Entradas e Saídas'!$C:$C,MONTH('Fluxo de Caixa'!AK$5),'Entradas e Saídas'!$D:$D,YEAR('Fluxo de Caixa'!AK$5),'Entradas e Saídas'!$F:$F,'Fluxo de Caixa'!$B18)</f>
        <v>0</v>
      </c>
      <c r="AL18" s="14">
        <f>SUMIFS('Entradas e Saídas'!$G:$G,'Entradas e Saídas'!$E:$E,"Vendas",'Entradas e Saídas'!$C:$C,MONTH('Fluxo de Caixa'!AL$5),'Entradas e Saídas'!$D:$D,YEAR('Fluxo de Caixa'!AL$5),'Entradas e Saídas'!$F:$F,'Fluxo de Caixa'!$B18)</f>
        <v>0</v>
      </c>
      <c r="AM18" s="14">
        <f>SUMIFS('Entradas e Saídas'!$G:$G,'Entradas e Saídas'!$E:$E,"Vendas",'Entradas e Saídas'!$C:$C,MONTH('Fluxo de Caixa'!AM$5),'Entradas e Saídas'!$D:$D,YEAR('Fluxo de Caixa'!AM$5),'Entradas e Saídas'!$F:$F,'Fluxo de Caixa'!$B18)</f>
        <v>0</v>
      </c>
      <c r="AN18" s="14">
        <f>SUMIFS('Entradas e Saídas'!$G:$G,'Entradas e Saídas'!$E:$E,"Vendas",'Entradas e Saídas'!$C:$C,MONTH('Fluxo de Caixa'!AN$5),'Entradas e Saídas'!$D:$D,YEAR('Fluxo de Caixa'!AN$5),'Entradas e Saídas'!$F:$F,'Fluxo de Caixa'!$B18)</f>
        <v>0</v>
      </c>
      <c r="AO18" s="14">
        <f>SUMIFS('Entradas e Saídas'!$G:$G,'Entradas e Saídas'!$E:$E,"Vendas",'Entradas e Saídas'!$C:$C,MONTH('Fluxo de Caixa'!AO$5),'Entradas e Saídas'!$D:$D,YEAR('Fluxo de Caixa'!AO$5),'Entradas e Saídas'!$F:$F,'Fluxo de Caixa'!$B18)</f>
        <v>0</v>
      </c>
      <c r="AP18" s="14">
        <f>SUMIFS('Entradas e Saídas'!$G:$G,'Entradas e Saídas'!$E:$E,"Vendas",'Entradas e Saídas'!$C:$C,MONTH('Fluxo de Caixa'!AP$5),'Entradas e Saídas'!$D:$D,YEAR('Fluxo de Caixa'!AP$5),'Entradas e Saídas'!$F:$F,'Fluxo de Caixa'!$B18)</f>
        <v>0</v>
      </c>
      <c r="AQ18" s="14">
        <f>SUMIFS('Entradas e Saídas'!$G:$G,'Entradas e Saídas'!$E:$E,"Vendas",'Entradas e Saídas'!$C:$C,MONTH('Fluxo de Caixa'!AQ$5),'Entradas e Saídas'!$D:$D,YEAR('Fluxo de Caixa'!AQ$5),'Entradas e Saídas'!$F:$F,'Fluxo de Caixa'!$B18)</f>
        <v>0</v>
      </c>
      <c r="AR18" s="14">
        <f>SUMIFS('Entradas e Saídas'!$G:$G,'Entradas e Saídas'!$E:$E,"Vendas",'Entradas e Saídas'!$C:$C,MONTH('Fluxo de Caixa'!AR$5),'Entradas e Saídas'!$D:$D,YEAR('Fluxo de Caixa'!AR$5),'Entradas e Saídas'!$F:$F,'Fluxo de Caixa'!$B18)</f>
        <v>0</v>
      </c>
      <c r="AS18" s="14">
        <f>SUMIFS('Entradas e Saídas'!$G:$G,'Entradas e Saídas'!$E:$E,"Vendas",'Entradas e Saídas'!$C:$C,MONTH('Fluxo de Caixa'!AS$5),'Entradas e Saídas'!$D:$D,YEAR('Fluxo de Caixa'!AS$5),'Entradas e Saídas'!$F:$F,'Fluxo de Caixa'!$B18)</f>
        <v>0</v>
      </c>
    </row>
    <row r="19" spans="2:45" ht="15.6">
      <c r="B19" s="15" t="str">
        <f>IF(Produtos!B11="","-",Produtos!B11)</f>
        <v>Brigadeiro Limão</v>
      </c>
      <c r="C19" s="14">
        <f>SUMIFS('Entradas e Saídas'!$G:$G,'Entradas e Saídas'!$E:$E,"Vendas",'Entradas e Saídas'!$C:$C,MONTH('Fluxo de Caixa'!C$5),'Entradas e Saídas'!$D:$D,YEAR('Fluxo de Caixa'!C$5),'Entradas e Saídas'!$F:$F,'Fluxo de Caixa'!$B19)</f>
        <v>0</v>
      </c>
      <c r="D19" s="14">
        <f>SUMIFS('Entradas e Saídas'!$G:$G,'Entradas e Saídas'!$E:$E,"Vendas",'Entradas e Saídas'!$C:$C,MONTH('Fluxo de Caixa'!D$5),'Entradas e Saídas'!$D:$D,YEAR('Fluxo de Caixa'!D$5),'Entradas e Saídas'!$F:$F,'Fluxo de Caixa'!$B19)</f>
        <v>0</v>
      </c>
      <c r="E19" s="14">
        <f>SUMIFS('Entradas e Saídas'!$G:$G,'Entradas e Saídas'!$E:$E,"Vendas",'Entradas e Saídas'!$C:$C,MONTH('Fluxo de Caixa'!E$5),'Entradas e Saídas'!$D:$D,YEAR('Fluxo de Caixa'!E$5),'Entradas e Saídas'!$F:$F,'Fluxo de Caixa'!$B19)</f>
        <v>0</v>
      </c>
      <c r="F19" s="14">
        <f>SUMIFS('Entradas e Saídas'!$G:$G,'Entradas e Saídas'!$E:$E,"Vendas",'Entradas e Saídas'!$C:$C,MONTH('Fluxo de Caixa'!F$5),'Entradas e Saídas'!$D:$D,YEAR('Fluxo de Caixa'!F$5),'Entradas e Saídas'!$F:$F,'Fluxo de Caixa'!$B19)</f>
        <v>0</v>
      </c>
      <c r="G19" s="14">
        <f>SUMIFS('Entradas e Saídas'!$G:$G,'Entradas e Saídas'!$E:$E,"Vendas",'Entradas e Saídas'!$C:$C,MONTH('Fluxo de Caixa'!G$5),'Entradas e Saídas'!$D:$D,YEAR('Fluxo de Caixa'!G$5),'Entradas e Saídas'!$F:$F,'Fluxo de Caixa'!$B19)</f>
        <v>0</v>
      </c>
      <c r="H19" s="14">
        <f>SUMIFS('Entradas e Saídas'!$G:$G,'Entradas e Saídas'!$E:$E,"Vendas",'Entradas e Saídas'!$C:$C,MONTH('Fluxo de Caixa'!H$5),'Entradas e Saídas'!$D:$D,YEAR('Fluxo de Caixa'!H$5),'Entradas e Saídas'!$F:$F,'Fluxo de Caixa'!$B19)</f>
        <v>128</v>
      </c>
      <c r="I19" s="14">
        <f>SUMIFS('Entradas e Saídas'!$G:$G,'Entradas e Saídas'!$E:$E,"Vendas",'Entradas e Saídas'!$C:$C,MONTH('Fluxo de Caixa'!I$5),'Entradas e Saídas'!$D:$D,YEAR('Fluxo de Caixa'!I$5),'Entradas e Saídas'!$F:$F,'Fluxo de Caixa'!$B19)</f>
        <v>83.5</v>
      </c>
      <c r="J19" s="14">
        <f>SUMIFS('Entradas e Saídas'!$G:$G,'Entradas e Saídas'!$E:$E,"Vendas",'Entradas e Saídas'!$C:$C,MONTH('Fluxo de Caixa'!J$5),'Entradas e Saídas'!$D:$D,YEAR('Fluxo de Caixa'!J$5),'Entradas e Saídas'!$F:$F,'Fluxo de Caixa'!$B19)</f>
        <v>128.5</v>
      </c>
      <c r="K19" s="14">
        <f>SUMIFS('Entradas e Saídas'!$G:$G,'Entradas e Saídas'!$E:$E,"Vendas",'Entradas e Saídas'!$C:$C,MONTH('Fluxo de Caixa'!K$5),'Entradas e Saídas'!$D:$D,YEAR('Fluxo de Caixa'!K$5),'Entradas e Saídas'!$F:$F,'Fluxo de Caixa'!$B19)</f>
        <v>52</v>
      </c>
      <c r="L19" s="14">
        <f>SUMIFS('Entradas e Saídas'!$G:$G,'Entradas e Saídas'!$E:$E,"Vendas",'Entradas e Saídas'!$C:$C,MONTH('Fluxo de Caixa'!L$5),'Entradas e Saídas'!$D:$D,YEAR('Fluxo de Caixa'!L$5),'Entradas e Saídas'!$F:$F,'Fluxo de Caixa'!$B19)</f>
        <v>52</v>
      </c>
      <c r="M19" s="14">
        <f>SUMIFS('Entradas e Saídas'!$G:$G,'Entradas e Saídas'!$E:$E,"Vendas",'Entradas e Saídas'!$C:$C,MONTH('Fluxo de Caixa'!M$5),'Entradas e Saídas'!$D:$D,YEAR('Fluxo de Caixa'!M$5),'Entradas e Saídas'!$F:$F,'Fluxo de Caixa'!$B19)</f>
        <v>103</v>
      </c>
      <c r="N19" s="14">
        <f>SUMIFS('Entradas e Saídas'!$G:$G,'Entradas e Saídas'!$E:$E,"Vendas",'Entradas e Saídas'!$C:$C,MONTH('Fluxo de Caixa'!N$5),'Entradas e Saídas'!$D:$D,YEAR('Fluxo de Caixa'!N$5),'Entradas e Saídas'!$F:$F,'Fluxo de Caixa'!$B19)</f>
        <v>48</v>
      </c>
      <c r="O19" s="14">
        <f>SUMIFS('Entradas e Saídas'!$G:$G,'Entradas e Saídas'!$E:$E,"Vendas",'Entradas e Saídas'!$C:$C,MONTH('Fluxo de Caixa'!O$5),'Entradas e Saídas'!$D:$D,YEAR('Fluxo de Caixa'!O$5),'Entradas e Saídas'!$F:$F,'Fluxo de Caixa'!$B19)</f>
        <v>54</v>
      </c>
      <c r="P19" s="14">
        <f>SUMIFS('Entradas e Saídas'!$G:$G,'Entradas e Saídas'!$E:$E,"Vendas",'Entradas e Saídas'!$C:$C,MONTH('Fluxo de Caixa'!P$5),'Entradas e Saídas'!$D:$D,YEAR('Fluxo de Caixa'!P$5),'Entradas e Saídas'!$F:$F,'Fluxo de Caixa'!$B19)</f>
        <v>132</v>
      </c>
      <c r="Q19" s="14">
        <f>SUMIFS('Entradas e Saídas'!$G:$G,'Entradas e Saídas'!$E:$E,"Vendas",'Entradas e Saídas'!$C:$C,MONTH('Fluxo de Caixa'!Q$5),'Entradas e Saídas'!$D:$D,YEAR('Fluxo de Caixa'!Q$5),'Entradas e Saídas'!$F:$F,'Fluxo de Caixa'!$B19)</f>
        <v>38</v>
      </c>
      <c r="R19" s="14">
        <f>SUMIFS('Entradas e Saídas'!$G:$G,'Entradas e Saídas'!$E:$E,"Vendas",'Entradas e Saídas'!$C:$C,MONTH('Fluxo de Caixa'!R$5),'Entradas e Saídas'!$D:$D,YEAR('Fluxo de Caixa'!R$5),'Entradas e Saídas'!$F:$F,'Fluxo de Caixa'!$B19)</f>
        <v>52</v>
      </c>
      <c r="S19" s="14">
        <f>SUMIFS('Entradas e Saídas'!$G:$G,'Entradas e Saídas'!$E:$E,"Vendas",'Entradas e Saídas'!$C:$C,MONTH('Fluxo de Caixa'!S$5),'Entradas e Saídas'!$D:$D,YEAR('Fluxo de Caixa'!S$5),'Entradas e Saídas'!$F:$F,'Fluxo de Caixa'!$B19)</f>
        <v>4</v>
      </c>
      <c r="T19" s="14">
        <f>SUMIFS('Entradas e Saídas'!$G:$G,'Entradas e Saídas'!$E:$E,"Vendas",'Entradas e Saídas'!$C:$C,MONTH('Fluxo de Caixa'!T$5),'Entradas e Saídas'!$D:$D,YEAR('Fluxo de Caixa'!T$5),'Entradas e Saídas'!$F:$F,'Fluxo de Caixa'!$B19)</f>
        <v>26</v>
      </c>
      <c r="U19" s="14">
        <f>SUMIFS('Entradas e Saídas'!$G:$G,'Entradas e Saídas'!$E:$E,"Vendas",'Entradas e Saídas'!$C:$C,MONTH('Fluxo de Caixa'!U$5),'Entradas e Saídas'!$D:$D,YEAR('Fluxo de Caixa'!U$5),'Entradas e Saídas'!$F:$F,'Fluxo de Caixa'!$B19)</f>
        <v>18</v>
      </c>
      <c r="V19" s="14">
        <f>SUMIFS('Entradas e Saídas'!$G:$G,'Entradas e Saídas'!$E:$E,"Vendas",'Entradas e Saídas'!$C:$C,MONTH('Fluxo de Caixa'!V$5),'Entradas e Saídas'!$D:$D,YEAR('Fluxo de Caixa'!V$5),'Entradas e Saídas'!$F:$F,'Fluxo de Caixa'!$B19)</f>
        <v>40</v>
      </c>
      <c r="W19" s="14">
        <f>SUMIFS('Entradas e Saídas'!$G:$G,'Entradas e Saídas'!$E:$E,"Vendas",'Entradas e Saídas'!$C:$C,MONTH('Fluxo de Caixa'!W$5),'Entradas e Saídas'!$D:$D,YEAR('Fluxo de Caixa'!W$5),'Entradas e Saídas'!$F:$F,'Fluxo de Caixa'!$B19)</f>
        <v>64</v>
      </c>
      <c r="X19" s="14">
        <f>SUMIFS('Entradas e Saídas'!$G:$G,'Entradas e Saídas'!$E:$E,"Vendas",'Entradas e Saídas'!$C:$C,MONTH('Fluxo de Caixa'!X$5),'Entradas e Saídas'!$D:$D,YEAR('Fluxo de Caixa'!X$5),'Entradas e Saídas'!$F:$F,'Fluxo de Caixa'!$B19)</f>
        <v>10</v>
      </c>
      <c r="Y19" s="14">
        <f>SUMIFS('Entradas e Saídas'!$G:$G,'Entradas e Saídas'!$E:$E,"Vendas",'Entradas e Saídas'!$C:$C,MONTH('Fluxo de Caixa'!Y$5),'Entradas e Saídas'!$D:$D,YEAR('Fluxo de Caixa'!Y$5),'Entradas e Saídas'!$F:$F,'Fluxo de Caixa'!$B19)</f>
        <v>20</v>
      </c>
      <c r="Z19" s="14">
        <f>SUMIFS('Entradas e Saídas'!$G:$G,'Entradas e Saídas'!$E:$E,"Vendas",'Entradas e Saídas'!$C:$C,MONTH('Fluxo de Caixa'!Z$5),'Entradas e Saídas'!$D:$D,YEAR('Fluxo de Caixa'!Z$5),'Entradas e Saídas'!$F:$F,'Fluxo de Caixa'!$B19)</f>
        <v>4</v>
      </c>
      <c r="AA19" s="14">
        <f>SUMIFS('Entradas e Saídas'!$G:$G,'Entradas e Saídas'!$E:$E,"Vendas",'Entradas e Saídas'!$C:$C,MONTH('Fluxo de Caixa'!AA$5),'Entradas e Saídas'!$D:$D,YEAR('Fluxo de Caixa'!AA$5),'Entradas e Saídas'!$F:$F,'Fluxo de Caixa'!$B19)</f>
        <v>22</v>
      </c>
      <c r="AB19" s="14">
        <f>SUMIFS('Entradas e Saídas'!$G:$G,'Entradas e Saídas'!$E:$E,"Vendas",'Entradas e Saídas'!$C:$C,MONTH('Fluxo de Caixa'!AB$5),'Entradas e Saídas'!$D:$D,YEAR('Fluxo de Caixa'!AB$5),'Entradas e Saídas'!$F:$F,'Fluxo de Caixa'!$B19)</f>
        <v>0</v>
      </c>
      <c r="AC19" s="14">
        <f>SUMIFS('Entradas e Saídas'!$G:$G,'Entradas e Saídas'!$E:$E,"Vendas",'Entradas e Saídas'!$C:$C,MONTH('Fluxo de Caixa'!AC$5),'Entradas e Saídas'!$D:$D,YEAR('Fluxo de Caixa'!AC$5),'Entradas e Saídas'!$F:$F,'Fluxo de Caixa'!$B19)</f>
        <v>0</v>
      </c>
      <c r="AD19" s="14">
        <f>SUMIFS('Entradas e Saídas'!$G:$G,'Entradas e Saídas'!$E:$E,"Vendas",'Entradas e Saídas'!$C:$C,MONTH('Fluxo de Caixa'!AD$5),'Entradas e Saídas'!$D:$D,YEAR('Fluxo de Caixa'!AD$5),'Entradas e Saídas'!$F:$F,'Fluxo de Caixa'!$B19)</f>
        <v>0</v>
      </c>
      <c r="AE19" s="14">
        <f>SUMIFS('Entradas e Saídas'!$G:$G,'Entradas e Saídas'!$E:$E,"Vendas",'Entradas e Saídas'!$C:$C,MONTH('Fluxo de Caixa'!AE$5),'Entradas e Saídas'!$D:$D,YEAR('Fluxo de Caixa'!AE$5),'Entradas e Saídas'!$F:$F,'Fluxo de Caixa'!$B19)</f>
        <v>0</v>
      </c>
      <c r="AF19" s="14">
        <f>SUMIFS('Entradas e Saídas'!$G:$G,'Entradas e Saídas'!$E:$E,"Vendas",'Entradas e Saídas'!$C:$C,MONTH('Fluxo de Caixa'!AF$5),'Entradas e Saídas'!$D:$D,YEAR('Fluxo de Caixa'!AF$5),'Entradas e Saídas'!$F:$F,'Fluxo de Caixa'!$B19)</f>
        <v>0</v>
      </c>
      <c r="AG19" s="14">
        <f>SUMIFS('Entradas e Saídas'!$G:$G,'Entradas e Saídas'!$E:$E,"Vendas",'Entradas e Saídas'!$C:$C,MONTH('Fluxo de Caixa'!AG$5),'Entradas e Saídas'!$D:$D,YEAR('Fluxo de Caixa'!AG$5),'Entradas e Saídas'!$F:$F,'Fluxo de Caixa'!$B19)</f>
        <v>0</v>
      </c>
      <c r="AH19" s="14">
        <f>SUMIFS('Entradas e Saídas'!$G:$G,'Entradas e Saídas'!$E:$E,"Vendas",'Entradas e Saídas'!$C:$C,MONTH('Fluxo de Caixa'!AH$5),'Entradas e Saídas'!$D:$D,YEAR('Fluxo de Caixa'!AH$5),'Entradas e Saídas'!$F:$F,'Fluxo de Caixa'!$B19)</f>
        <v>0</v>
      </c>
      <c r="AI19" s="14">
        <f>SUMIFS('Entradas e Saídas'!$G:$G,'Entradas e Saídas'!$E:$E,"Vendas",'Entradas e Saídas'!$C:$C,MONTH('Fluxo de Caixa'!AI$5),'Entradas e Saídas'!$D:$D,YEAR('Fluxo de Caixa'!AI$5),'Entradas e Saídas'!$F:$F,'Fluxo de Caixa'!$B19)</f>
        <v>0</v>
      </c>
      <c r="AJ19" s="14">
        <f>SUMIFS('Entradas e Saídas'!$G:$G,'Entradas e Saídas'!$E:$E,"Vendas",'Entradas e Saídas'!$C:$C,MONTH('Fluxo de Caixa'!AJ$5),'Entradas e Saídas'!$D:$D,YEAR('Fluxo de Caixa'!AJ$5),'Entradas e Saídas'!$F:$F,'Fluxo de Caixa'!$B19)</f>
        <v>0</v>
      </c>
      <c r="AK19" s="14">
        <f>SUMIFS('Entradas e Saídas'!$G:$G,'Entradas e Saídas'!$E:$E,"Vendas",'Entradas e Saídas'!$C:$C,MONTH('Fluxo de Caixa'!AK$5),'Entradas e Saídas'!$D:$D,YEAR('Fluxo de Caixa'!AK$5),'Entradas e Saídas'!$F:$F,'Fluxo de Caixa'!$B19)</f>
        <v>0</v>
      </c>
      <c r="AL19" s="14">
        <f>SUMIFS('Entradas e Saídas'!$G:$G,'Entradas e Saídas'!$E:$E,"Vendas",'Entradas e Saídas'!$C:$C,MONTH('Fluxo de Caixa'!AL$5),'Entradas e Saídas'!$D:$D,YEAR('Fluxo de Caixa'!AL$5),'Entradas e Saídas'!$F:$F,'Fluxo de Caixa'!$B19)</f>
        <v>0</v>
      </c>
      <c r="AM19" s="14">
        <f>SUMIFS('Entradas e Saídas'!$G:$G,'Entradas e Saídas'!$E:$E,"Vendas",'Entradas e Saídas'!$C:$C,MONTH('Fluxo de Caixa'!AM$5),'Entradas e Saídas'!$D:$D,YEAR('Fluxo de Caixa'!AM$5),'Entradas e Saídas'!$F:$F,'Fluxo de Caixa'!$B19)</f>
        <v>0</v>
      </c>
      <c r="AN19" s="14">
        <f>SUMIFS('Entradas e Saídas'!$G:$G,'Entradas e Saídas'!$E:$E,"Vendas",'Entradas e Saídas'!$C:$C,MONTH('Fluxo de Caixa'!AN$5),'Entradas e Saídas'!$D:$D,YEAR('Fluxo de Caixa'!AN$5),'Entradas e Saídas'!$F:$F,'Fluxo de Caixa'!$B19)</f>
        <v>0</v>
      </c>
      <c r="AO19" s="14">
        <f>SUMIFS('Entradas e Saídas'!$G:$G,'Entradas e Saídas'!$E:$E,"Vendas",'Entradas e Saídas'!$C:$C,MONTH('Fluxo de Caixa'!AO$5),'Entradas e Saídas'!$D:$D,YEAR('Fluxo de Caixa'!AO$5),'Entradas e Saídas'!$F:$F,'Fluxo de Caixa'!$B19)</f>
        <v>0</v>
      </c>
      <c r="AP19" s="14">
        <f>SUMIFS('Entradas e Saídas'!$G:$G,'Entradas e Saídas'!$E:$E,"Vendas",'Entradas e Saídas'!$C:$C,MONTH('Fluxo de Caixa'!AP$5),'Entradas e Saídas'!$D:$D,YEAR('Fluxo de Caixa'!AP$5),'Entradas e Saídas'!$F:$F,'Fluxo de Caixa'!$B19)</f>
        <v>0</v>
      </c>
      <c r="AQ19" s="14">
        <f>SUMIFS('Entradas e Saídas'!$G:$G,'Entradas e Saídas'!$E:$E,"Vendas",'Entradas e Saídas'!$C:$C,MONTH('Fluxo de Caixa'!AQ$5),'Entradas e Saídas'!$D:$D,YEAR('Fluxo de Caixa'!AQ$5),'Entradas e Saídas'!$F:$F,'Fluxo de Caixa'!$B19)</f>
        <v>0</v>
      </c>
      <c r="AR19" s="14">
        <f>SUMIFS('Entradas e Saídas'!$G:$G,'Entradas e Saídas'!$E:$E,"Vendas",'Entradas e Saídas'!$C:$C,MONTH('Fluxo de Caixa'!AR$5),'Entradas e Saídas'!$D:$D,YEAR('Fluxo de Caixa'!AR$5),'Entradas e Saídas'!$F:$F,'Fluxo de Caixa'!$B19)</f>
        <v>0</v>
      </c>
      <c r="AS19" s="14">
        <f>SUMIFS('Entradas e Saídas'!$G:$G,'Entradas e Saídas'!$E:$E,"Vendas",'Entradas e Saídas'!$C:$C,MONTH('Fluxo de Caixa'!AS$5),'Entradas e Saídas'!$D:$D,YEAR('Fluxo de Caixa'!AS$5),'Entradas e Saídas'!$F:$F,'Fluxo de Caixa'!$B19)</f>
        <v>0</v>
      </c>
    </row>
    <row r="20" spans="2:45" ht="15.6">
      <c r="B20" s="15" t="str">
        <f>IF(Produtos!B12="","-",Produtos!B12)</f>
        <v>-</v>
      </c>
      <c r="C20" s="14">
        <f>SUMIFS('Entradas e Saídas'!$G:$G,'Entradas e Saídas'!$E:$E,"Vendas",'Entradas e Saídas'!$C:$C,MONTH('Fluxo de Caixa'!C$5),'Entradas e Saídas'!$D:$D,YEAR('Fluxo de Caixa'!C$5),'Entradas e Saídas'!$F:$F,'Fluxo de Caixa'!$B20)</f>
        <v>0</v>
      </c>
      <c r="D20" s="14">
        <f>SUMIFS('Entradas e Saídas'!$G:$G,'Entradas e Saídas'!$E:$E,"Vendas",'Entradas e Saídas'!$C:$C,MONTH('Fluxo de Caixa'!D$5),'Entradas e Saídas'!$D:$D,YEAR('Fluxo de Caixa'!D$5),'Entradas e Saídas'!$F:$F,'Fluxo de Caixa'!$B20)</f>
        <v>0</v>
      </c>
      <c r="E20" s="14">
        <f>SUMIFS('Entradas e Saídas'!$G:$G,'Entradas e Saídas'!$E:$E,"Vendas",'Entradas e Saídas'!$C:$C,MONTH('Fluxo de Caixa'!E$5),'Entradas e Saídas'!$D:$D,YEAR('Fluxo de Caixa'!E$5),'Entradas e Saídas'!$F:$F,'Fluxo de Caixa'!$B20)</f>
        <v>0</v>
      </c>
      <c r="F20" s="14">
        <f>SUMIFS('Entradas e Saídas'!$G:$G,'Entradas e Saídas'!$E:$E,"Vendas",'Entradas e Saídas'!$C:$C,MONTH('Fluxo de Caixa'!F$5),'Entradas e Saídas'!$D:$D,YEAR('Fluxo de Caixa'!F$5),'Entradas e Saídas'!$F:$F,'Fluxo de Caixa'!$B20)</f>
        <v>0</v>
      </c>
      <c r="G20" s="14">
        <f>SUMIFS('Entradas e Saídas'!$G:$G,'Entradas e Saídas'!$E:$E,"Vendas",'Entradas e Saídas'!$C:$C,MONTH('Fluxo de Caixa'!G$5),'Entradas e Saídas'!$D:$D,YEAR('Fluxo de Caixa'!G$5),'Entradas e Saídas'!$F:$F,'Fluxo de Caixa'!$B20)</f>
        <v>0</v>
      </c>
      <c r="H20" s="14">
        <f>SUMIFS('Entradas e Saídas'!$G:$G,'Entradas e Saídas'!$E:$E,"Vendas",'Entradas e Saídas'!$C:$C,MONTH('Fluxo de Caixa'!H$5),'Entradas e Saídas'!$D:$D,YEAR('Fluxo de Caixa'!H$5),'Entradas e Saídas'!$F:$F,'Fluxo de Caixa'!$B20)</f>
        <v>0</v>
      </c>
      <c r="I20" s="14">
        <f>SUMIFS('Entradas e Saídas'!$G:$G,'Entradas e Saídas'!$E:$E,"Vendas",'Entradas e Saídas'!$C:$C,MONTH('Fluxo de Caixa'!I$5),'Entradas e Saídas'!$D:$D,YEAR('Fluxo de Caixa'!I$5),'Entradas e Saídas'!$F:$F,'Fluxo de Caixa'!$B20)</f>
        <v>0</v>
      </c>
      <c r="J20" s="14">
        <f>SUMIFS('Entradas e Saídas'!$G:$G,'Entradas e Saídas'!$E:$E,"Vendas",'Entradas e Saídas'!$C:$C,MONTH('Fluxo de Caixa'!J$5),'Entradas e Saídas'!$D:$D,YEAR('Fluxo de Caixa'!J$5),'Entradas e Saídas'!$F:$F,'Fluxo de Caixa'!$B20)</f>
        <v>0</v>
      </c>
      <c r="K20" s="14">
        <f>SUMIFS('Entradas e Saídas'!$G:$G,'Entradas e Saídas'!$E:$E,"Vendas",'Entradas e Saídas'!$C:$C,MONTH('Fluxo de Caixa'!K$5),'Entradas e Saídas'!$D:$D,YEAR('Fluxo de Caixa'!K$5),'Entradas e Saídas'!$F:$F,'Fluxo de Caixa'!$B20)</f>
        <v>0</v>
      </c>
      <c r="L20" s="14">
        <f>SUMIFS('Entradas e Saídas'!$G:$G,'Entradas e Saídas'!$E:$E,"Vendas",'Entradas e Saídas'!$C:$C,MONTH('Fluxo de Caixa'!L$5),'Entradas e Saídas'!$D:$D,YEAR('Fluxo de Caixa'!L$5),'Entradas e Saídas'!$F:$F,'Fluxo de Caixa'!$B20)</f>
        <v>0</v>
      </c>
      <c r="M20" s="14">
        <f>SUMIFS('Entradas e Saídas'!$G:$G,'Entradas e Saídas'!$E:$E,"Vendas",'Entradas e Saídas'!$C:$C,MONTH('Fluxo de Caixa'!M$5),'Entradas e Saídas'!$D:$D,YEAR('Fluxo de Caixa'!M$5),'Entradas e Saídas'!$F:$F,'Fluxo de Caixa'!$B20)</f>
        <v>0</v>
      </c>
      <c r="N20" s="14">
        <f>SUMIFS('Entradas e Saídas'!$G:$G,'Entradas e Saídas'!$E:$E,"Vendas",'Entradas e Saídas'!$C:$C,MONTH('Fluxo de Caixa'!N$5),'Entradas e Saídas'!$D:$D,YEAR('Fluxo de Caixa'!N$5),'Entradas e Saídas'!$F:$F,'Fluxo de Caixa'!$B20)</f>
        <v>0</v>
      </c>
      <c r="O20" s="14">
        <f>SUMIFS('Entradas e Saídas'!$G:$G,'Entradas e Saídas'!$E:$E,"Vendas",'Entradas e Saídas'!$C:$C,MONTH('Fluxo de Caixa'!O$5),'Entradas e Saídas'!$D:$D,YEAR('Fluxo de Caixa'!O$5),'Entradas e Saídas'!$F:$F,'Fluxo de Caixa'!$B20)</f>
        <v>0</v>
      </c>
      <c r="P20" s="14">
        <f>SUMIFS('Entradas e Saídas'!$G:$G,'Entradas e Saídas'!$E:$E,"Vendas",'Entradas e Saídas'!$C:$C,MONTH('Fluxo de Caixa'!P$5),'Entradas e Saídas'!$D:$D,YEAR('Fluxo de Caixa'!P$5),'Entradas e Saídas'!$F:$F,'Fluxo de Caixa'!$B20)</f>
        <v>0</v>
      </c>
      <c r="Q20" s="14">
        <f>SUMIFS('Entradas e Saídas'!$G:$G,'Entradas e Saídas'!$E:$E,"Vendas",'Entradas e Saídas'!$C:$C,MONTH('Fluxo de Caixa'!Q$5),'Entradas e Saídas'!$D:$D,YEAR('Fluxo de Caixa'!Q$5),'Entradas e Saídas'!$F:$F,'Fluxo de Caixa'!$B20)</f>
        <v>0</v>
      </c>
      <c r="R20" s="14">
        <f>SUMIFS('Entradas e Saídas'!$G:$G,'Entradas e Saídas'!$E:$E,"Vendas",'Entradas e Saídas'!$C:$C,MONTH('Fluxo de Caixa'!R$5),'Entradas e Saídas'!$D:$D,YEAR('Fluxo de Caixa'!R$5),'Entradas e Saídas'!$F:$F,'Fluxo de Caixa'!$B20)</f>
        <v>0</v>
      </c>
      <c r="S20" s="14">
        <f>SUMIFS('Entradas e Saídas'!$G:$G,'Entradas e Saídas'!$E:$E,"Vendas",'Entradas e Saídas'!$C:$C,MONTH('Fluxo de Caixa'!S$5),'Entradas e Saídas'!$D:$D,YEAR('Fluxo de Caixa'!S$5),'Entradas e Saídas'!$F:$F,'Fluxo de Caixa'!$B20)</f>
        <v>0</v>
      </c>
      <c r="T20" s="14">
        <f>SUMIFS('Entradas e Saídas'!$G:$G,'Entradas e Saídas'!$E:$E,"Vendas",'Entradas e Saídas'!$C:$C,MONTH('Fluxo de Caixa'!T$5),'Entradas e Saídas'!$D:$D,YEAR('Fluxo de Caixa'!T$5),'Entradas e Saídas'!$F:$F,'Fluxo de Caixa'!$B20)</f>
        <v>0</v>
      </c>
      <c r="U20" s="14">
        <f>SUMIFS('Entradas e Saídas'!$G:$G,'Entradas e Saídas'!$E:$E,"Vendas",'Entradas e Saídas'!$C:$C,MONTH('Fluxo de Caixa'!U$5),'Entradas e Saídas'!$D:$D,YEAR('Fluxo de Caixa'!U$5),'Entradas e Saídas'!$F:$F,'Fluxo de Caixa'!$B20)</f>
        <v>0</v>
      </c>
      <c r="V20" s="14">
        <f>SUMIFS('Entradas e Saídas'!$G:$G,'Entradas e Saídas'!$E:$E,"Vendas",'Entradas e Saídas'!$C:$C,MONTH('Fluxo de Caixa'!V$5),'Entradas e Saídas'!$D:$D,YEAR('Fluxo de Caixa'!V$5),'Entradas e Saídas'!$F:$F,'Fluxo de Caixa'!$B20)</f>
        <v>0</v>
      </c>
      <c r="W20" s="14">
        <f>SUMIFS('Entradas e Saídas'!$G:$G,'Entradas e Saídas'!$E:$E,"Vendas",'Entradas e Saídas'!$C:$C,MONTH('Fluxo de Caixa'!W$5),'Entradas e Saídas'!$D:$D,YEAR('Fluxo de Caixa'!W$5),'Entradas e Saídas'!$F:$F,'Fluxo de Caixa'!$B20)</f>
        <v>0</v>
      </c>
      <c r="X20" s="14">
        <f>SUMIFS('Entradas e Saídas'!$G:$G,'Entradas e Saídas'!$E:$E,"Vendas",'Entradas e Saídas'!$C:$C,MONTH('Fluxo de Caixa'!X$5),'Entradas e Saídas'!$D:$D,YEAR('Fluxo de Caixa'!X$5),'Entradas e Saídas'!$F:$F,'Fluxo de Caixa'!$B20)</f>
        <v>0</v>
      </c>
      <c r="Y20" s="14">
        <f>SUMIFS('Entradas e Saídas'!$G:$G,'Entradas e Saídas'!$E:$E,"Vendas",'Entradas e Saídas'!$C:$C,MONTH('Fluxo de Caixa'!Y$5),'Entradas e Saídas'!$D:$D,YEAR('Fluxo de Caixa'!Y$5),'Entradas e Saídas'!$F:$F,'Fluxo de Caixa'!$B20)</f>
        <v>0</v>
      </c>
      <c r="Z20" s="14">
        <f>SUMIFS('Entradas e Saídas'!$G:$G,'Entradas e Saídas'!$E:$E,"Vendas",'Entradas e Saídas'!$C:$C,MONTH('Fluxo de Caixa'!Z$5),'Entradas e Saídas'!$D:$D,YEAR('Fluxo de Caixa'!Z$5),'Entradas e Saídas'!$F:$F,'Fluxo de Caixa'!$B20)</f>
        <v>0</v>
      </c>
      <c r="AA20" s="14">
        <f>SUMIFS('Entradas e Saídas'!$G:$G,'Entradas e Saídas'!$E:$E,"Vendas",'Entradas e Saídas'!$C:$C,MONTH('Fluxo de Caixa'!AA$5),'Entradas e Saídas'!$D:$D,YEAR('Fluxo de Caixa'!AA$5),'Entradas e Saídas'!$F:$F,'Fluxo de Caixa'!$B20)</f>
        <v>0</v>
      </c>
      <c r="AB20" s="14">
        <f>SUMIFS('Entradas e Saídas'!$G:$G,'Entradas e Saídas'!$E:$E,"Vendas",'Entradas e Saídas'!$C:$C,MONTH('Fluxo de Caixa'!AB$5),'Entradas e Saídas'!$D:$D,YEAR('Fluxo de Caixa'!AB$5),'Entradas e Saídas'!$F:$F,'Fluxo de Caixa'!$B20)</f>
        <v>0</v>
      </c>
      <c r="AC20" s="14">
        <f>SUMIFS('Entradas e Saídas'!$G:$G,'Entradas e Saídas'!$E:$E,"Vendas",'Entradas e Saídas'!$C:$C,MONTH('Fluxo de Caixa'!AC$5),'Entradas e Saídas'!$D:$D,YEAR('Fluxo de Caixa'!AC$5),'Entradas e Saídas'!$F:$F,'Fluxo de Caixa'!$B20)</f>
        <v>0</v>
      </c>
      <c r="AD20" s="14">
        <f>SUMIFS('Entradas e Saídas'!$G:$G,'Entradas e Saídas'!$E:$E,"Vendas",'Entradas e Saídas'!$C:$C,MONTH('Fluxo de Caixa'!AD$5),'Entradas e Saídas'!$D:$D,YEAR('Fluxo de Caixa'!AD$5),'Entradas e Saídas'!$F:$F,'Fluxo de Caixa'!$B20)</f>
        <v>0</v>
      </c>
      <c r="AE20" s="14">
        <f>SUMIFS('Entradas e Saídas'!$G:$G,'Entradas e Saídas'!$E:$E,"Vendas",'Entradas e Saídas'!$C:$C,MONTH('Fluxo de Caixa'!AE$5),'Entradas e Saídas'!$D:$D,YEAR('Fluxo de Caixa'!AE$5),'Entradas e Saídas'!$F:$F,'Fluxo de Caixa'!$B20)</f>
        <v>0</v>
      </c>
      <c r="AF20" s="14">
        <f>SUMIFS('Entradas e Saídas'!$G:$G,'Entradas e Saídas'!$E:$E,"Vendas",'Entradas e Saídas'!$C:$C,MONTH('Fluxo de Caixa'!AF$5),'Entradas e Saídas'!$D:$D,YEAR('Fluxo de Caixa'!AF$5),'Entradas e Saídas'!$F:$F,'Fluxo de Caixa'!$B20)</f>
        <v>0</v>
      </c>
      <c r="AG20" s="14">
        <f>SUMIFS('Entradas e Saídas'!$G:$G,'Entradas e Saídas'!$E:$E,"Vendas",'Entradas e Saídas'!$C:$C,MONTH('Fluxo de Caixa'!AG$5),'Entradas e Saídas'!$D:$D,YEAR('Fluxo de Caixa'!AG$5),'Entradas e Saídas'!$F:$F,'Fluxo de Caixa'!$B20)</f>
        <v>0</v>
      </c>
      <c r="AH20" s="14">
        <f>SUMIFS('Entradas e Saídas'!$G:$G,'Entradas e Saídas'!$E:$E,"Vendas",'Entradas e Saídas'!$C:$C,MONTH('Fluxo de Caixa'!AH$5),'Entradas e Saídas'!$D:$D,YEAR('Fluxo de Caixa'!AH$5),'Entradas e Saídas'!$F:$F,'Fluxo de Caixa'!$B20)</f>
        <v>0</v>
      </c>
      <c r="AI20" s="14">
        <f>SUMIFS('Entradas e Saídas'!$G:$G,'Entradas e Saídas'!$E:$E,"Vendas",'Entradas e Saídas'!$C:$C,MONTH('Fluxo de Caixa'!AI$5),'Entradas e Saídas'!$D:$D,YEAR('Fluxo de Caixa'!AI$5),'Entradas e Saídas'!$F:$F,'Fluxo de Caixa'!$B20)</f>
        <v>0</v>
      </c>
      <c r="AJ20" s="14">
        <f>SUMIFS('Entradas e Saídas'!$G:$G,'Entradas e Saídas'!$E:$E,"Vendas",'Entradas e Saídas'!$C:$C,MONTH('Fluxo de Caixa'!AJ$5),'Entradas e Saídas'!$D:$D,YEAR('Fluxo de Caixa'!AJ$5),'Entradas e Saídas'!$F:$F,'Fluxo de Caixa'!$B20)</f>
        <v>0</v>
      </c>
      <c r="AK20" s="14">
        <f>SUMIFS('Entradas e Saídas'!$G:$G,'Entradas e Saídas'!$E:$E,"Vendas",'Entradas e Saídas'!$C:$C,MONTH('Fluxo de Caixa'!AK$5),'Entradas e Saídas'!$D:$D,YEAR('Fluxo de Caixa'!AK$5),'Entradas e Saídas'!$F:$F,'Fluxo de Caixa'!$B20)</f>
        <v>0</v>
      </c>
      <c r="AL20" s="14">
        <f>SUMIFS('Entradas e Saídas'!$G:$G,'Entradas e Saídas'!$E:$E,"Vendas",'Entradas e Saídas'!$C:$C,MONTH('Fluxo de Caixa'!AL$5),'Entradas e Saídas'!$D:$D,YEAR('Fluxo de Caixa'!AL$5),'Entradas e Saídas'!$F:$F,'Fluxo de Caixa'!$B20)</f>
        <v>0</v>
      </c>
      <c r="AM20" s="14">
        <f>SUMIFS('Entradas e Saídas'!$G:$G,'Entradas e Saídas'!$E:$E,"Vendas",'Entradas e Saídas'!$C:$C,MONTH('Fluxo de Caixa'!AM$5),'Entradas e Saídas'!$D:$D,YEAR('Fluxo de Caixa'!AM$5),'Entradas e Saídas'!$F:$F,'Fluxo de Caixa'!$B20)</f>
        <v>0</v>
      </c>
      <c r="AN20" s="14">
        <f>SUMIFS('Entradas e Saídas'!$G:$G,'Entradas e Saídas'!$E:$E,"Vendas",'Entradas e Saídas'!$C:$C,MONTH('Fluxo de Caixa'!AN$5),'Entradas e Saídas'!$D:$D,YEAR('Fluxo de Caixa'!AN$5),'Entradas e Saídas'!$F:$F,'Fluxo de Caixa'!$B20)</f>
        <v>0</v>
      </c>
      <c r="AO20" s="14">
        <f>SUMIFS('Entradas e Saídas'!$G:$G,'Entradas e Saídas'!$E:$E,"Vendas",'Entradas e Saídas'!$C:$C,MONTH('Fluxo de Caixa'!AO$5),'Entradas e Saídas'!$D:$D,YEAR('Fluxo de Caixa'!AO$5),'Entradas e Saídas'!$F:$F,'Fluxo de Caixa'!$B20)</f>
        <v>0</v>
      </c>
      <c r="AP20" s="14">
        <f>SUMIFS('Entradas e Saídas'!$G:$G,'Entradas e Saídas'!$E:$E,"Vendas",'Entradas e Saídas'!$C:$C,MONTH('Fluxo de Caixa'!AP$5),'Entradas e Saídas'!$D:$D,YEAR('Fluxo de Caixa'!AP$5),'Entradas e Saídas'!$F:$F,'Fluxo de Caixa'!$B20)</f>
        <v>0</v>
      </c>
      <c r="AQ20" s="14">
        <f>SUMIFS('Entradas e Saídas'!$G:$G,'Entradas e Saídas'!$E:$E,"Vendas",'Entradas e Saídas'!$C:$C,MONTH('Fluxo de Caixa'!AQ$5),'Entradas e Saídas'!$D:$D,YEAR('Fluxo de Caixa'!AQ$5),'Entradas e Saídas'!$F:$F,'Fluxo de Caixa'!$B20)</f>
        <v>0</v>
      </c>
      <c r="AR20" s="14">
        <f>SUMIFS('Entradas e Saídas'!$G:$G,'Entradas e Saídas'!$E:$E,"Vendas",'Entradas e Saídas'!$C:$C,MONTH('Fluxo de Caixa'!AR$5),'Entradas e Saídas'!$D:$D,YEAR('Fluxo de Caixa'!AR$5),'Entradas e Saídas'!$F:$F,'Fluxo de Caixa'!$B20)</f>
        <v>0</v>
      </c>
      <c r="AS20" s="14">
        <f>SUMIFS('Entradas e Saídas'!$G:$G,'Entradas e Saídas'!$E:$E,"Vendas",'Entradas e Saídas'!$C:$C,MONTH('Fluxo de Caixa'!AS$5),'Entradas e Saídas'!$D:$D,YEAR('Fluxo de Caixa'!AS$5),'Entradas e Saídas'!$F:$F,'Fluxo de Caixa'!$B20)</f>
        <v>0</v>
      </c>
    </row>
    <row r="21" spans="2:45" ht="15.6">
      <c r="B21" s="15" t="str">
        <f>IF(Produtos!B13="","-",Produtos!B13)</f>
        <v>-</v>
      </c>
      <c r="C21" s="14">
        <f>SUMIFS('Entradas e Saídas'!$G:$G,'Entradas e Saídas'!$E:$E,"Vendas",'Entradas e Saídas'!$C:$C,MONTH('Fluxo de Caixa'!C$5),'Entradas e Saídas'!$D:$D,YEAR('Fluxo de Caixa'!C$5),'Entradas e Saídas'!$F:$F,'Fluxo de Caixa'!$B21)</f>
        <v>0</v>
      </c>
      <c r="D21" s="14">
        <f>SUMIFS('Entradas e Saídas'!$G:$G,'Entradas e Saídas'!$E:$E,"Vendas",'Entradas e Saídas'!$C:$C,MONTH('Fluxo de Caixa'!D$5),'Entradas e Saídas'!$D:$D,YEAR('Fluxo de Caixa'!D$5),'Entradas e Saídas'!$F:$F,'Fluxo de Caixa'!$B21)</f>
        <v>0</v>
      </c>
      <c r="E21" s="14">
        <f>SUMIFS('Entradas e Saídas'!$G:$G,'Entradas e Saídas'!$E:$E,"Vendas",'Entradas e Saídas'!$C:$C,MONTH('Fluxo de Caixa'!E$5),'Entradas e Saídas'!$D:$D,YEAR('Fluxo de Caixa'!E$5),'Entradas e Saídas'!$F:$F,'Fluxo de Caixa'!$B21)</f>
        <v>0</v>
      </c>
      <c r="F21" s="14">
        <f>SUMIFS('Entradas e Saídas'!$G:$G,'Entradas e Saídas'!$E:$E,"Vendas",'Entradas e Saídas'!$C:$C,MONTH('Fluxo de Caixa'!F$5),'Entradas e Saídas'!$D:$D,YEAR('Fluxo de Caixa'!F$5),'Entradas e Saídas'!$F:$F,'Fluxo de Caixa'!$B21)</f>
        <v>0</v>
      </c>
      <c r="G21" s="14">
        <f>SUMIFS('Entradas e Saídas'!$G:$G,'Entradas e Saídas'!$E:$E,"Vendas",'Entradas e Saídas'!$C:$C,MONTH('Fluxo de Caixa'!G$5),'Entradas e Saídas'!$D:$D,YEAR('Fluxo de Caixa'!G$5),'Entradas e Saídas'!$F:$F,'Fluxo de Caixa'!$B21)</f>
        <v>0</v>
      </c>
      <c r="H21" s="14">
        <f>SUMIFS('Entradas e Saídas'!$G:$G,'Entradas e Saídas'!$E:$E,"Vendas",'Entradas e Saídas'!$C:$C,MONTH('Fluxo de Caixa'!H$5),'Entradas e Saídas'!$D:$D,YEAR('Fluxo de Caixa'!H$5),'Entradas e Saídas'!$F:$F,'Fluxo de Caixa'!$B21)</f>
        <v>0</v>
      </c>
      <c r="I21" s="14">
        <f>SUMIFS('Entradas e Saídas'!$G:$G,'Entradas e Saídas'!$E:$E,"Vendas",'Entradas e Saídas'!$C:$C,MONTH('Fluxo de Caixa'!I$5),'Entradas e Saídas'!$D:$D,YEAR('Fluxo de Caixa'!I$5),'Entradas e Saídas'!$F:$F,'Fluxo de Caixa'!$B21)</f>
        <v>0</v>
      </c>
      <c r="J21" s="14">
        <f>SUMIFS('Entradas e Saídas'!$G:$G,'Entradas e Saídas'!$E:$E,"Vendas",'Entradas e Saídas'!$C:$C,MONTH('Fluxo de Caixa'!J$5),'Entradas e Saídas'!$D:$D,YEAR('Fluxo de Caixa'!J$5),'Entradas e Saídas'!$F:$F,'Fluxo de Caixa'!$B21)</f>
        <v>0</v>
      </c>
      <c r="K21" s="14">
        <f>SUMIFS('Entradas e Saídas'!$G:$G,'Entradas e Saídas'!$E:$E,"Vendas",'Entradas e Saídas'!$C:$C,MONTH('Fluxo de Caixa'!K$5),'Entradas e Saídas'!$D:$D,YEAR('Fluxo de Caixa'!K$5),'Entradas e Saídas'!$F:$F,'Fluxo de Caixa'!$B21)</f>
        <v>0</v>
      </c>
      <c r="L21" s="14">
        <f>SUMIFS('Entradas e Saídas'!$G:$G,'Entradas e Saídas'!$E:$E,"Vendas",'Entradas e Saídas'!$C:$C,MONTH('Fluxo de Caixa'!L$5),'Entradas e Saídas'!$D:$D,YEAR('Fluxo de Caixa'!L$5),'Entradas e Saídas'!$F:$F,'Fluxo de Caixa'!$B21)</f>
        <v>0</v>
      </c>
      <c r="M21" s="14">
        <f>SUMIFS('Entradas e Saídas'!$G:$G,'Entradas e Saídas'!$E:$E,"Vendas",'Entradas e Saídas'!$C:$C,MONTH('Fluxo de Caixa'!M$5),'Entradas e Saídas'!$D:$D,YEAR('Fluxo de Caixa'!M$5),'Entradas e Saídas'!$F:$F,'Fluxo de Caixa'!$B21)</f>
        <v>0</v>
      </c>
      <c r="N21" s="14">
        <f>SUMIFS('Entradas e Saídas'!$G:$G,'Entradas e Saídas'!$E:$E,"Vendas",'Entradas e Saídas'!$C:$C,MONTH('Fluxo de Caixa'!N$5),'Entradas e Saídas'!$D:$D,YEAR('Fluxo de Caixa'!N$5),'Entradas e Saídas'!$F:$F,'Fluxo de Caixa'!$B21)</f>
        <v>0</v>
      </c>
      <c r="O21" s="14">
        <f>SUMIFS('Entradas e Saídas'!$G:$G,'Entradas e Saídas'!$E:$E,"Vendas",'Entradas e Saídas'!$C:$C,MONTH('Fluxo de Caixa'!O$5),'Entradas e Saídas'!$D:$D,YEAR('Fluxo de Caixa'!O$5),'Entradas e Saídas'!$F:$F,'Fluxo de Caixa'!$B21)</f>
        <v>0</v>
      </c>
      <c r="P21" s="14">
        <f>SUMIFS('Entradas e Saídas'!$G:$G,'Entradas e Saídas'!$E:$E,"Vendas",'Entradas e Saídas'!$C:$C,MONTH('Fluxo de Caixa'!P$5),'Entradas e Saídas'!$D:$D,YEAR('Fluxo de Caixa'!P$5),'Entradas e Saídas'!$F:$F,'Fluxo de Caixa'!$B21)</f>
        <v>0</v>
      </c>
      <c r="Q21" s="14">
        <f>SUMIFS('Entradas e Saídas'!$G:$G,'Entradas e Saídas'!$E:$E,"Vendas",'Entradas e Saídas'!$C:$C,MONTH('Fluxo de Caixa'!Q$5),'Entradas e Saídas'!$D:$D,YEAR('Fluxo de Caixa'!Q$5),'Entradas e Saídas'!$F:$F,'Fluxo de Caixa'!$B21)</f>
        <v>0</v>
      </c>
      <c r="R21" s="14">
        <f>SUMIFS('Entradas e Saídas'!$G:$G,'Entradas e Saídas'!$E:$E,"Vendas",'Entradas e Saídas'!$C:$C,MONTH('Fluxo de Caixa'!R$5),'Entradas e Saídas'!$D:$D,YEAR('Fluxo de Caixa'!R$5),'Entradas e Saídas'!$F:$F,'Fluxo de Caixa'!$B21)</f>
        <v>0</v>
      </c>
      <c r="S21" s="14">
        <f>SUMIFS('Entradas e Saídas'!$G:$G,'Entradas e Saídas'!$E:$E,"Vendas",'Entradas e Saídas'!$C:$C,MONTH('Fluxo de Caixa'!S$5),'Entradas e Saídas'!$D:$D,YEAR('Fluxo de Caixa'!S$5),'Entradas e Saídas'!$F:$F,'Fluxo de Caixa'!$B21)</f>
        <v>0</v>
      </c>
      <c r="T21" s="14">
        <f>SUMIFS('Entradas e Saídas'!$G:$G,'Entradas e Saídas'!$E:$E,"Vendas",'Entradas e Saídas'!$C:$C,MONTH('Fluxo de Caixa'!T$5),'Entradas e Saídas'!$D:$D,YEAR('Fluxo de Caixa'!T$5),'Entradas e Saídas'!$F:$F,'Fluxo de Caixa'!$B21)</f>
        <v>0</v>
      </c>
      <c r="U21" s="14">
        <f>SUMIFS('Entradas e Saídas'!$G:$G,'Entradas e Saídas'!$E:$E,"Vendas",'Entradas e Saídas'!$C:$C,MONTH('Fluxo de Caixa'!U$5),'Entradas e Saídas'!$D:$D,YEAR('Fluxo de Caixa'!U$5),'Entradas e Saídas'!$F:$F,'Fluxo de Caixa'!$B21)</f>
        <v>0</v>
      </c>
      <c r="V21" s="14">
        <f>SUMIFS('Entradas e Saídas'!$G:$G,'Entradas e Saídas'!$E:$E,"Vendas",'Entradas e Saídas'!$C:$C,MONTH('Fluxo de Caixa'!V$5),'Entradas e Saídas'!$D:$D,YEAR('Fluxo de Caixa'!V$5),'Entradas e Saídas'!$F:$F,'Fluxo de Caixa'!$B21)</f>
        <v>0</v>
      </c>
      <c r="W21" s="14">
        <f>SUMIFS('Entradas e Saídas'!$G:$G,'Entradas e Saídas'!$E:$E,"Vendas",'Entradas e Saídas'!$C:$C,MONTH('Fluxo de Caixa'!W$5),'Entradas e Saídas'!$D:$D,YEAR('Fluxo de Caixa'!W$5),'Entradas e Saídas'!$F:$F,'Fluxo de Caixa'!$B21)</f>
        <v>0</v>
      </c>
      <c r="X21" s="14">
        <f>SUMIFS('Entradas e Saídas'!$G:$G,'Entradas e Saídas'!$E:$E,"Vendas",'Entradas e Saídas'!$C:$C,MONTH('Fluxo de Caixa'!X$5),'Entradas e Saídas'!$D:$D,YEAR('Fluxo de Caixa'!X$5),'Entradas e Saídas'!$F:$F,'Fluxo de Caixa'!$B21)</f>
        <v>0</v>
      </c>
      <c r="Y21" s="14">
        <f>SUMIFS('Entradas e Saídas'!$G:$G,'Entradas e Saídas'!$E:$E,"Vendas",'Entradas e Saídas'!$C:$C,MONTH('Fluxo de Caixa'!Y$5),'Entradas e Saídas'!$D:$D,YEAR('Fluxo de Caixa'!Y$5),'Entradas e Saídas'!$F:$F,'Fluxo de Caixa'!$B21)</f>
        <v>0</v>
      </c>
      <c r="Z21" s="14">
        <f>SUMIFS('Entradas e Saídas'!$G:$G,'Entradas e Saídas'!$E:$E,"Vendas",'Entradas e Saídas'!$C:$C,MONTH('Fluxo de Caixa'!Z$5),'Entradas e Saídas'!$D:$D,YEAR('Fluxo de Caixa'!Z$5),'Entradas e Saídas'!$F:$F,'Fluxo de Caixa'!$B21)</f>
        <v>0</v>
      </c>
      <c r="AA21" s="14">
        <f>SUMIFS('Entradas e Saídas'!$G:$G,'Entradas e Saídas'!$E:$E,"Vendas",'Entradas e Saídas'!$C:$C,MONTH('Fluxo de Caixa'!AA$5),'Entradas e Saídas'!$D:$D,YEAR('Fluxo de Caixa'!AA$5),'Entradas e Saídas'!$F:$F,'Fluxo de Caixa'!$B21)</f>
        <v>0</v>
      </c>
      <c r="AB21" s="14">
        <f>SUMIFS('Entradas e Saídas'!$G:$G,'Entradas e Saídas'!$E:$E,"Vendas",'Entradas e Saídas'!$C:$C,MONTH('Fluxo de Caixa'!AB$5),'Entradas e Saídas'!$D:$D,YEAR('Fluxo de Caixa'!AB$5),'Entradas e Saídas'!$F:$F,'Fluxo de Caixa'!$B21)</f>
        <v>0</v>
      </c>
      <c r="AC21" s="14">
        <f>SUMIFS('Entradas e Saídas'!$G:$G,'Entradas e Saídas'!$E:$E,"Vendas",'Entradas e Saídas'!$C:$C,MONTH('Fluxo de Caixa'!AC$5),'Entradas e Saídas'!$D:$D,YEAR('Fluxo de Caixa'!AC$5),'Entradas e Saídas'!$F:$F,'Fluxo de Caixa'!$B21)</f>
        <v>0</v>
      </c>
      <c r="AD21" s="14">
        <f>SUMIFS('Entradas e Saídas'!$G:$G,'Entradas e Saídas'!$E:$E,"Vendas",'Entradas e Saídas'!$C:$C,MONTH('Fluxo de Caixa'!AD$5),'Entradas e Saídas'!$D:$D,YEAR('Fluxo de Caixa'!AD$5),'Entradas e Saídas'!$F:$F,'Fluxo de Caixa'!$B21)</f>
        <v>0</v>
      </c>
      <c r="AE21" s="14">
        <f>SUMIFS('Entradas e Saídas'!$G:$G,'Entradas e Saídas'!$E:$E,"Vendas",'Entradas e Saídas'!$C:$C,MONTH('Fluxo de Caixa'!AE$5),'Entradas e Saídas'!$D:$D,YEAR('Fluxo de Caixa'!AE$5),'Entradas e Saídas'!$F:$F,'Fluxo de Caixa'!$B21)</f>
        <v>0</v>
      </c>
      <c r="AF21" s="14">
        <f>SUMIFS('Entradas e Saídas'!$G:$G,'Entradas e Saídas'!$E:$E,"Vendas",'Entradas e Saídas'!$C:$C,MONTH('Fluxo de Caixa'!AF$5),'Entradas e Saídas'!$D:$D,YEAR('Fluxo de Caixa'!AF$5),'Entradas e Saídas'!$F:$F,'Fluxo de Caixa'!$B21)</f>
        <v>0</v>
      </c>
      <c r="AG21" s="14">
        <f>SUMIFS('Entradas e Saídas'!$G:$G,'Entradas e Saídas'!$E:$E,"Vendas",'Entradas e Saídas'!$C:$C,MONTH('Fluxo de Caixa'!AG$5),'Entradas e Saídas'!$D:$D,YEAR('Fluxo de Caixa'!AG$5),'Entradas e Saídas'!$F:$F,'Fluxo de Caixa'!$B21)</f>
        <v>0</v>
      </c>
      <c r="AH21" s="14">
        <f>SUMIFS('Entradas e Saídas'!$G:$G,'Entradas e Saídas'!$E:$E,"Vendas",'Entradas e Saídas'!$C:$C,MONTH('Fluxo de Caixa'!AH$5),'Entradas e Saídas'!$D:$D,YEAR('Fluxo de Caixa'!AH$5),'Entradas e Saídas'!$F:$F,'Fluxo de Caixa'!$B21)</f>
        <v>0</v>
      </c>
      <c r="AI21" s="14">
        <f>SUMIFS('Entradas e Saídas'!$G:$G,'Entradas e Saídas'!$E:$E,"Vendas",'Entradas e Saídas'!$C:$C,MONTH('Fluxo de Caixa'!AI$5),'Entradas e Saídas'!$D:$D,YEAR('Fluxo de Caixa'!AI$5),'Entradas e Saídas'!$F:$F,'Fluxo de Caixa'!$B21)</f>
        <v>0</v>
      </c>
      <c r="AJ21" s="14">
        <f>SUMIFS('Entradas e Saídas'!$G:$G,'Entradas e Saídas'!$E:$E,"Vendas",'Entradas e Saídas'!$C:$C,MONTH('Fluxo de Caixa'!AJ$5),'Entradas e Saídas'!$D:$D,YEAR('Fluxo de Caixa'!AJ$5),'Entradas e Saídas'!$F:$F,'Fluxo de Caixa'!$B21)</f>
        <v>0</v>
      </c>
      <c r="AK21" s="14">
        <f>SUMIFS('Entradas e Saídas'!$G:$G,'Entradas e Saídas'!$E:$E,"Vendas",'Entradas e Saídas'!$C:$C,MONTH('Fluxo de Caixa'!AK$5),'Entradas e Saídas'!$D:$D,YEAR('Fluxo de Caixa'!AK$5),'Entradas e Saídas'!$F:$F,'Fluxo de Caixa'!$B21)</f>
        <v>0</v>
      </c>
      <c r="AL21" s="14">
        <f>SUMIFS('Entradas e Saídas'!$G:$G,'Entradas e Saídas'!$E:$E,"Vendas",'Entradas e Saídas'!$C:$C,MONTH('Fluxo de Caixa'!AL$5),'Entradas e Saídas'!$D:$D,YEAR('Fluxo de Caixa'!AL$5),'Entradas e Saídas'!$F:$F,'Fluxo de Caixa'!$B21)</f>
        <v>0</v>
      </c>
      <c r="AM21" s="14">
        <f>SUMIFS('Entradas e Saídas'!$G:$G,'Entradas e Saídas'!$E:$E,"Vendas",'Entradas e Saídas'!$C:$C,MONTH('Fluxo de Caixa'!AM$5),'Entradas e Saídas'!$D:$D,YEAR('Fluxo de Caixa'!AM$5),'Entradas e Saídas'!$F:$F,'Fluxo de Caixa'!$B21)</f>
        <v>0</v>
      </c>
      <c r="AN21" s="14">
        <f>SUMIFS('Entradas e Saídas'!$G:$G,'Entradas e Saídas'!$E:$E,"Vendas",'Entradas e Saídas'!$C:$C,MONTH('Fluxo de Caixa'!AN$5),'Entradas e Saídas'!$D:$D,YEAR('Fluxo de Caixa'!AN$5),'Entradas e Saídas'!$F:$F,'Fluxo de Caixa'!$B21)</f>
        <v>0</v>
      </c>
      <c r="AO21" s="14">
        <f>SUMIFS('Entradas e Saídas'!$G:$G,'Entradas e Saídas'!$E:$E,"Vendas",'Entradas e Saídas'!$C:$C,MONTH('Fluxo de Caixa'!AO$5),'Entradas e Saídas'!$D:$D,YEAR('Fluxo de Caixa'!AO$5),'Entradas e Saídas'!$F:$F,'Fluxo de Caixa'!$B21)</f>
        <v>0</v>
      </c>
      <c r="AP21" s="14">
        <f>SUMIFS('Entradas e Saídas'!$G:$G,'Entradas e Saídas'!$E:$E,"Vendas",'Entradas e Saídas'!$C:$C,MONTH('Fluxo de Caixa'!AP$5),'Entradas e Saídas'!$D:$D,YEAR('Fluxo de Caixa'!AP$5),'Entradas e Saídas'!$F:$F,'Fluxo de Caixa'!$B21)</f>
        <v>0</v>
      </c>
      <c r="AQ21" s="14">
        <f>SUMIFS('Entradas e Saídas'!$G:$G,'Entradas e Saídas'!$E:$E,"Vendas",'Entradas e Saídas'!$C:$C,MONTH('Fluxo de Caixa'!AQ$5),'Entradas e Saídas'!$D:$D,YEAR('Fluxo de Caixa'!AQ$5),'Entradas e Saídas'!$F:$F,'Fluxo de Caixa'!$B21)</f>
        <v>0</v>
      </c>
      <c r="AR21" s="14">
        <f>SUMIFS('Entradas e Saídas'!$G:$G,'Entradas e Saídas'!$E:$E,"Vendas",'Entradas e Saídas'!$C:$C,MONTH('Fluxo de Caixa'!AR$5),'Entradas e Saídas'!$D:$D,YEAR('Fluxo de Caixa'!AR$5),'Entradas e Saídas'!$F:$F,'Fluxo de Caixa'!$B21)</f>
        <v>0</v>
      </c>
      <c r="AS21" s="14">
        <f>SUMIFS('Entradas e Saídas'!$G:$G,'Entradas e Saídas'!$E:$E,"Vendas",'Entradas e Saídas'!$C:$C,MONTH('Fluxo de Caixa'!AS$5),'Entradas e Saídas'!$D:$D,YEAR('Fluxo de Caixa'!AS$5),'Entradas e Saídas'!$F:$F,'Fluxo de Caixa'!$B21)</f>
        <v>0</v>
      </c>
    </row>
    <row r="22" spans="2:45" ht="15.6">
      <c r="B22" s="15" t="str">
        <f>IF(Produtos!B14="","-",Produtos!B14)</f>
        <v>-</v>
      </c>
      <c r="C22" s="14">
        <f>SUMIFS('Entradas e Saídas'!$G:$G,'Entradas e Saídas'!$E:$E,"Vendas",'Entradas e Saídas'!$C:$C,MONTH('Fluxo de Caixa'!C$5),'Entradas e Saídas'!$D:$D,YEAR('Fluxo de Caixa'!C$5),'Entradas e Saídas'!$F:$F,'Fluxo de Caixa'!$B22)</f>
        <v>0</v>
      </c>
      <c r="D22" s="14">
        <f>SUMIFS('Entradas e Saídas'!$G:$G,'Entradas e Saídas'!$E:$E,"Vendas",'Entradas e Saídas'!$C:$C,MONTH('Fluxo de Caixa'!D$5),'Entradas e Saídas'!$D:$D,YEAR('Fluxo de Caixa'!D$5),'Entradas e Saídas'!$F:$F,'Fluxo de Caixa'!$B22)</f>
        <v>0</v>
      </c>
      <c r="E22" s="14">
        <f>SUMIFS('Entradas e Saídas'!$G:$G,'Entradas e Saídas'!$E:$E,"Vendas",'Entradas e Saídas'!$C:$C,MONTH('Fluxo de Caixa'!E$5),'Entradas e Saídas'!$D:$D,YEAR('Fluxo de Caixa'!E$5),'Entradas e Saídas'!$F:$F,'Fluxo de Caixa'!$B22)</f>
        <v>0</v>
      </c>
      <c r="F22" s="14">
        <f>SUMIFS('Entradas e Saídas'!$G:$G,'Entradas e Saídas'!$E:$E,"Vendas",'Entradas e Saídas'!$C:$C,MONTH('Fluxo de Caixa'!F$5),'Entradas e Saídas'!$D:$D,YEAR('Fluxo de Caixa'!F$5),'Entradas e Saídas'!$F:$F,'Fluxo de Caixa'!$B22)</f>
        <v>0</v>
      </c>
      <c r="G22" s="14">
        <f>SUMIFS('Entradas e Saídas'!$G:$G,'Entradas e Saídas'!$E:$E,"Vendas",'Entradas e Saídas'!$C:$C,MONTH('Fluxo de Caixa'!G$5),'Entradas e Saídas'!$D:$D,YEAR('Fluxo de Caixa'!G$5),'Entradas e Saídas'!$F:$F,'Fluxo de Caixa'!$B22)</f>
        <v>0</v>
      </c>
      <c r="H22" s="14">
        <f>SUMIFS('Entradas e Saídas'!$G:$G,'Entradas e Saídas'!$E:$E,"Vendas",'Entradas e Saídas'!$C:$C,MONTH('Fluxo de Caixa'!H$5),'Entradas e Saídas'!$D:$D,YEAR('Fluxo de Caixa'!H$5),'Entradas e Saídas'!$F:$F,'Fluxo de Caixa'!$B22)</f>
        <v>0</v>
      </c>
      <c r="I22" s="14">
        <f>SUMIFS('Entradas e Saídas'!$G:$G,'Entradas e Saídas'!$E:$E,"Vendas",'Entradas e Saídas'!$C:$C,MONTH('Fluxo de Caixa'!I$5),'Entradas e Saídas'!$D:$D,YEAR('Fluxo de Caixa'!I$5),'Entradas e Saídas'!$F:$F,'Fluxo de Caixa'!$B22)</f>
        <v>0</v>
      </c>
      <c r="J22" s="14">
        <f>SUMIFS('Entradas e Saídas'!$G:$G,'Entradas e Saídas'!$E:$E,"Vendas",'Entradas e Saídas'!$C:$C,MONTH('Fluxo de Caixa'!J$5),'Entradas e Saídas'!$D:$D,YEAR('Fluxo de Caixa'!J$5),'Entradas e Saídas'!$F:$F,'Fluxo de Caixa'!$B22)</f>
        <v>0</v>
      </c>
      <c r="K22" s="14">
        <f>SUMIFS('Entradas e Saídas'!$G:$G,'Entradas e Saídas'!$E:$E,"Vendas",'Entradas e Saídas'!$C:$C,MONTH('Fluxo de Caixa'!K$5),'Entradas e Saídas'!$D:$D,YEAR('Fluxo de Caixa'!K$5),'Entradas e Saídas'!$F:$F,'Fluxo de Caixa'!$B22)</f>
        <v>0</v>
      </c>
      <c r="L22" s="14">
        <f>SUMIFS('Entradas e Saídas'!$G:$G,'Entradas e Saídas'!$E:$E,"Vendas",'Entradas e Saídas'!$C:$C,MONTH('Fluxo de Caixa'!L$5),'Entradas e Saídas'!$D:$D,YEAR('Fluxo de Caixa'!L$5),'Entradas e Saídas'!$F:$F,'Fluxo de Caixa'!$B22)</f>
        <v>0</v>
      </c>
      <c r="M22" s="14">
        <f>SUMIFS('Entradas e Saídas'!$G:$G,'Entradas e Saídas'!$E:$E,"Vendas",'Entradas e Saídas'!$C:$C,MONTH('Fluxo de Caixa'!M$5),'Entradas e Saídas'!$D:$D,YEAR('Fluxo de Caixa'!M$5),'Entradas e Saídas'!$F:$F,'Fluxo de Caixa'!$B22)</f>
        <v>0</v>
      </c>
      <c r="N22" s="14">
        <f>SUMIFS('Entradas e Saídas'!$G:$G,'Entradas e Saídas'!$E:$E,"Vendas",'Entradas e Saídas'!$C:$C,MONTH('Fluxo de Caixa'!N$5),'Entradas e Saídas'!$D:$D,YEAR('Fluxo de Caixa'!N$5),'Entradas e Saídas'!$F:$F,'Fluxo de Caixa'!$B22)</f>
        <v>0</v>
      </c>
      <c r="O22" s="14">
        <f>SUMIFS('Entradas e Saídas'!$G:$G,'Entradas e Saídas'!$E:$E,"Vendas",'Entradas e Saídas'!$C:$C,MONTH('Fluxo de Caixa'!O$5),'Entradas e Saídas'!$D:$D,YEAR('Fluxo de Caixa'!O$5),'Entradas e Saídas'!$F:$F,'Fluxo de Caixa'!$B22)</f>
        <v>0</v>
      </c>
      <c r="P22" s="14">
        <f>SUMIFS('Entradas e Saídas'!$G:$G,'Entradas e Saídas'!$E:$E,"Vendas",'Entradas e Saídas'!$C:$C,MONTH('Fluxo de Caixa'!P$5),'Entradas e Saídas'!$D:$D,YEAR('Fluxo de Caixa'!P$5),'Entradas e Saídas'!$F:$F,'Fluxo de Caixa'!$B22)</f>
        <v>0</v>
      </c>
      <c r="Q22" s="14">
        <f>SUMIFS('Entradas e Saídas'!$G:$G,'Entradas e Saídas'!$E:$E,"Vendas",'Entradas e Saídas'!$C:$C,MONTH('Fluxo de Caixa'!Q$5),'Entradas e Saídas'!$D:$D,YEAR('Fluxo de Caixa'!Q$5),'Entradas e Saídas'!$F:$F,'Fluxo de Caixa'!$B22)</f>
        <v>0</v>
      </c>
      <c r="R22" s="14">
        <f>SUMIFS('Entradas e Saídas'!$G:$G,'Entradas e Saídas'!$E:$E,"Vendas",'Entradas e Saídas'!$C:$C,MONTH('Fluxo de Caixa'!R$5),'Entradas e Saídas'!$D:$D,YEAR('Fluxo de Caixa'!R$5),'Entradas e Saídas'!$F:$F,'Fluxo de Caixa'!$B22)</f>
        <v>0</v>
      </c>
      <c r="S22" s="14">
        <f>SUMIFS('Entradas e Saídas'!$G:$G,'Entradas e Saídas'!$E:$E,"Vendas",'Entradas e Saídas'!$C:$C,MONTH('Fluxo de Caixa'!S$5),'Entradas e Saídas'!$D:$D,YEAR('Fluxo de Caixa'!S$5),'Entradas e Saídas'!$F:$F,'Fluxo de Caixa'!$B22)</f>
        <v>0</v>
      </c>
      <c r="T22" s="14">
        <f>SUMIFS('Entradas e Saídas'!$G:$G,'Entradas e Saídas'!$E:$E,"Vendas",'Entradas e Saídas'!$C:$C,MONTH('Fluxo de Caixa'!T$5),'Entradas e Saídas'!$D:$D,YEAR('Fluxo de Caixa'!T$5),'Entradas e Saídas'!$F:$F,'Fluxo de Caixa'!$B22)</f>
        <v>0</v>
      </c>
      <c r="U22" s="14">
        <f>SUMIFS('Entradas e Saídas'!$G:$G,'Entradas e Saídas'!$E:$E,"Vendas",'Entradas e Saídas'!$C:$C,MONTH('Fluxo de Caixa'!U$5),'Entradas e Saídas'!$D:$D,YEAR('Fluxo de Caixa'!U$5),'Entradas e Saídas'!$F:$F,'Fluxo de Caixa'!$B22)</f>
        <v>0</v>
      </c>
      <c r="V22" s="14">
        <f>SUMIFS('Entradas e Saídas'!$G:$G,'Entradas e Saídas'!$E:$E,"Vendas",'Entradas e Saídas'!$C:$C,MONTH('Fluxo de Caixa'!V$5),'Entradas e Saídas'!$D:$D,YEAR('Fluxo de Caixa'!V$5),'Entradas e Saídas'!$F:$F,'Fluxo de Caixa'!$B22)</f>
        <v>0</v>
      </c>
      <c r="W22" s="14">
        <f>SUMIFS('Entradas e Saídas'!$G:$G,'Entradas e Saídas'!$E:$E,"Vendas",'Entradas e Saídas'!$C:$C,MONTH('Fluxo de Caixa'!W$5),'Entradas e Saídas'!$D:$D,YEAR('Fluxo de Caixa'!W$5),'Entradas e Saídas'!$F:$F,'Fluxo de Caixa'!$B22)</f>
        <v>0</v>
      </c>
      <c r="X22" s="14">
        <f>SUMIFS('Entradas e Saídas'!$G:$G,'Entradas e Saídas'!$E:$E,"Vendas",'Entradas e Saídas'!$C:$C,MONTH('Fluxo de Caixa'!X$5),'Entradas e Saídas'!$D:$D,YEAR('Fluxo de Caixa'!X$5),'Entradas e Saídas'!$F:$F,'Fluxo de Caixa'!$B22)</f>
        <v>0</v>
      </c>
      <c r="Y22" s="14">
        <f>SUMIFS('Entradas e Saídas'!$G:$G,'Entradas e Saídas'!$E:$E,"Vendas",'Entradas e Saídas'!$C:$C,MONTH('Fluxo de Caixa'!Y$5),'Entradas e Saídas'!$D:$D,YEAR('Fluxo de Caixa'!Y$5),'Entradas e Saídas'!$F:$F,'Fluxo de Caixa'!$B22)</f>
        <v>0</v>
      </c>
      <c r="Z22" s="14">
        <f>SUMIFS('Entradas e Saídas'!$G:$G,'Entradas e Saídas'!$E:$E,"Vendas",'Entradas e Saídas'!$C:$C,MONTH('Fluxo de Caixa'!Z$5),'Entradas e Saídas'!$D:$D,YEAR('Fluxo de Caixa'!Z$5),'Entradas e Saídas'!$F:$F,'Fluxo de Caixa'!$B22)</f>
        <v>0</v>
      </c>
      <c r="AA22" s="14">
        <f>SUMIFS('Entradas e Saídas'!$G:$G,'Entradas e Saídas'!$E:$E,"Vendas",'Entradas e Saídas'!$C:$C,MONTH('Fluxo de Caixa'!AA$5),'Entradas e Saídas'!$D:$D,YEAR('Fluxo de Caixa'!AA$5),'Entradas e Saídas'!$F:$F,'Fluxo de Caixa'!$B22)</f>
        <v>0</v>
      </c>
      <c r="AB22" s="14">
        <f>SUMIFS('Entradas e Saídas'!$G:$G,'Entradas e Saídas'!$E:$E,"Vendas",'Entradas e Saídas'!$C:$C,MONTH('Fluxo de Caixa'!AB$5),'Entradas e Saídas'!$D:$D,YEAR('Fluxo de Caixa'!AB$5),'Entradas e Saídas'!$F:$F,'Fluxo de Caixa'!$B22)</f>
        <v>0</v>
      </c>
      <c r="AC22" s="14">
        <f>SUMIFS('Entradas e Saídas'!$G:$G,'Entradas e Saídas'!$E:$E,"Vendas",'Entradas e Saídas'!$C:$C,MONTH('Fluxo de Caixa'!AC$5),'Entradas e Saídas'!$D:$D,YEAR('Fluxo de Caixa'!AC$5),'Entradas e Saídas'!$F:$F,'Fluxo de Caixa'!$B22)</f>
        <v>0</v>
      </c>
      <c r="AD22" s="14">
        <f>SUMIFS('Entradas e Saídas'!$G:$G,'Entradas e Saídas'!$E:$E,"Vendas",'Entradas e Saídas'!$C:$C,MONTH('Fluxo de Caixa'!AD$5),'Entradas e Saídas'!$D:$D,YEAR('Fluxo de Caixa'!AD$5),'Entradas e Saídas'!$F:$F,'Fluxo de Caixa'!$B22)</f>
        <v>0</v>
      </c>
      <c r="AE22" s="14">
        <f>SUMIFS('Entradas e Saídas'!$G:$G,'Entradas e Saídas'!$E:$E,"Vendas",'Entradas e Saídas'!$C:$C,MONTH('Fluxo de Caixa'!AE$5),'Entradas e Saídas'!$D:$D,YEAR('Fluxo de Caixa'!AE$5),'Entradas e Saídas'!$F:$F,'Fluxo de Caixa'!$B22)</f>
        <v>0</v>
      </c>
      <c r="AF22" s="14">
        <f>SUMIFS('Entradas e Saídas'!$G:$G,'Entradas e Saídas'!$E:$E,"Vendas",'Entradas e Saídas'!$C:$C,MONTH('Fluxo de Caixa'!AF$5),'Entradas e Saídas'!$D:$D,YEAR('Fluxo de Caixa'!AF$5),'Entradas e Saídas'!$F:$F,'Fluxo de Caixa'!$B22)</f>
        <v>0</v>
      </c>
      <c r="AG22" s="14">
        <f>SUMIFS('Entradas e Saídas'!$G:$G,'Entradas e Saídas'!$E:$E,"Vendas",'Entradas e Saídas'!$C:$C,MONTH('Fluxo de Caixa'!AG$5),'Entradas e Saídas'!$D:$D,YEAR('Fluxo de Caixa'!AG$5),'Entradas e Saídas'!$F:$F,'Fluxo de Caixa'!$B22)</f>
        <v>0</v>
      </c>
      <c r="AH22" s="14">
        <f>SUMIFS('Entradas e Saídas'!$G:$G,'Entradas e Saídas'!$E:$E,"Vendas",'Entradas e Saídas'!$C:$C,MONTH('Fluxo de Caixa'!AH$5),'Entradas e Saídas'!$D:$D,YEAR('Fluxo de Caixa'!AH$5),'Entradas e Saídas'!$F:$F,'Fluxo de Caixa'!$B22)</f>
        <v>0</v>
      </c>
      <c r="AI22" s="14">
        <f>SUMIFS('Entradas e Saídas'!$G:$G,'Entradas e Saídas'!$E:$E,"Vendas",'Entradas e Saídas'!$C:$C,MONTH('Fluxo de Caixa'!AI$5),'Entradas e Saídas'!$D:$D,YEAR('Fluxo de Caixa'!AI$5),'Entradas e Saídas'!$F:$F,'Fluxo de Caixa'!$B22)</f>
        <v>0</v>
      </c>
      <c r="AJ22" s="14">
        <f>SUMIFS('Entradas e Saídas'!$G:$G,'Entradas e Saídas'!$E:$E,"Vendas",'Entradas e Saídas'!$C:$C,MONTH('Fluxo de Caixa'!AJ$5),'Entradas e Saídas'!$D:$D,YEAR('Fluxo de Caixa'!AJ$5),'Entradas e Saídas'!$F:$F,'Fluxo de Caixa'!$B22)</f>
        <v>0</v>
      </c>
      <c r="AK22" s="14">
        <f>SUMIFS('Entradas e Saídas'!$G:$G,'Entradas e Saídas'!$E:$E,"Vendas",'Entradas e Saídas'!$C:$C,MONTH('Fluxo de Caixa'!AK$5),'Entradas e Saídas'!$D:$D,YEAR('Fluxo de Caixa'!AK$5),'Entradas e Saídas'!$F:$F,'Fluxo de Caixa'!$B22)</f>
        <v>0</v>
      </c>
      <c r="AL22" s="14">
        <f>SUMIFS('Entradas e Saídas'!$G:$G,'Entradas e Saídas'!$E:$E,"Vendas",'Entradas e Saídas'!$C:$C,MONTH('Fluxo de Caixa'!AL$5),'Entradas e Saídas'!$D:$D,YEAR('Fluxo de Caixa'!AL$5),'Entradas e Saídas'!$F:$F,'Fluxo de Caixa'!$B22)</f>
        <v>0</v>
      </c>
      <c r="AM22" s="14">
        <f>SUMIFS('Entradas e Saídas'!$G:$G,'Entradas e Saídas'!$E:$E,"Vendas",'Entradas e Saídas'!$C:$C,MONTH('Fluxo de Caixa'!AM$5),'Entradas e Saídas'!$D:$D,YEAR('Fluxo de Caixa'!AM$5),'Entradas e Saídas'!$F:$F,'Fluxo de Caixa'!$B22)</f>
        <v>0</v>
      </c>
      <c r="AN22" s="14">
        <f>SUMIFS('Entradas e Saídas'!$G:$G,'Entradas e Saídas'!$E:$E,"Vendas",'Entradas e Saídas'!$C:$C,MONTH('Fluxo de Caixa'!AN$5),'Entradas e Saídas'!$D:$D,YEAR('Fluxo de Caixa'!AN$5),'Entradas e Saídas'!$F:$F,'Fluxo de Caixa'!$B22)</f>
        <v>0</v>
      </c>
      <c r="AO22" s="14">
        <f>SUMIFS('Entradas e Saídas'!$G:$G,'Entradas e Saídas'!$E:$E,"Vendas",'Entradas e Saídas'!$C:$C,MONTH('Fluxo de Caixa'!AO$5),'Entradas e Saídas'!$D:$D,YEAR('Fluxo de Caixa'!AO$5),'Entradas e Saídas'!$F:$F,'Fluxo de Caixa'!$B22)</f>
        <v>0</v>
      </c>
      <c r="AP22" s="14">
        <f>SUMIFS('Entradas e Saídas'!$G:$G,'Entradas e Saídas'!$E:$E,"Vendas",'Entradas e Saídas'!$C:$C,MONTH('Fluxo de Caixa'!AP$5),'Entradas e Saídas'!$D:$D,YEAR('Fluxo de Caixa'!AP$5),'Entradas e Saídas'!$F:$F,'Fluxo de Caixa'!$B22)</f>
        <v>0</v>
      </c>
      <c r="AQ22" s="14">
        <f>SUMIFS('Entradas e Saídas'!$G:$G,'Entradas e Saídas'!$E:$E,"Vendas",'Entradas e Saídas'!$C:$C,MONTH('Fluxo de Caixa'!AQ$5),'Entradas e Saídas'!$D:$D,YEAR('Fluxo de Caixa'!AQ$5),'Entradas e Saídas'!$F:$F,'Fluxo de Caixa'!$B22)</f>
        <v>0</v>
      </c>
      <c r="AR22" s="14">
        <f>SUMIFS('Entradas e Saídas'!$G:$G,'Entradas e Saídas'!$E:$E,"Vendas",'Entradas e Saídas'!$C:$C,MONTH('Fluxo de Caixa'!AR$5),'Entradas e Saídas'!$D:$D,YEAR('Fluxo de Caixa'!AR$5),'Entradas e Saídas'!$F:$F,'Fluxo de Caixa'!$B22)</f>
        <v>0</v>
      </c>
      <c r="AS22" s="14">
        <f>SUMIFS('Entradas e Saídas'!$G:$G,'Entradas e Saídas'!$E:$E,"Vendas",'Entradas e Saídas'!$C:$C,MONTH('Fluxo de Caixa'!AS$5),'Entradas e Saídas'!$D:$D,YEAR('Fluxo de Caixa'!AS$5),'Entradas e Saídas'!$F:$F,'Fluxo de Caixa'!$B22)</f>
        <v>0</v>
      </c>
    </row>
    <row r="23" spans="2:45" ht="15.6">
      <c r="B23" s="15" t="str">
        <f>IF(Produtos!B15="","-",Produtos!B15)</f>
        <v>-</v>
      </c>
      <c r="C23" s="14">
        <f>SUMIFS('Entradas e Saídas'!$G:$G,'Entradas e Saídas'!$E:$E,"Vendas",'Entradas e Saídas'!$C:$C,MONTH('Fluxo de Caixa'!C$5),'Entradas e Saídas'!$D:$D,YEAR('Fluxo de Caixa'!C$5),'Entradas e Saídas'!$F:$F,'Fluxo de Caixa'!$B23)</f>
        <v>0</v>
      </c>
      <c r="D23" s="14">
        <f>SUMIFS('Entradas e Saídas'!$G:$G,'Entradas e Saídas'!$E:$E,"Vendas",'Entradas e Saídas'!$C:$C,MONTH('Fluxo de Caixa'!D$5),'Entradas e Saídas'!$D:$D,YEAR('Fluxo de Caixa'!D$5),'Entradas e Saídas'!$F:$F,'Fluxo de Caixa'!$B23)</f>
        <v>0</v>
      </c>
      <c r="E23" s="14">
        <f>SUMIFS('Entradas e Saídas'!$G:$G,'Entradas e Saídas'!$E:$E,"Vendas",'Entradas e Saídas'!$C:$C,MONTH('Fluxo de Caixa'!E$5),'Entradas e Saídas'!$D:$D,YEAR('Fluxo de Caixa'!E$5),'Entradas e Saídas'!$F:$F,'Fluxo de Caixa'!$B23)</f>
        <v>0</v>
      </c>
      <c r="F23" s="14">
        <f>SUMIFS('Entradas e Saídas'!$G:$G,'Entradas e Saídas'!$E:$E,"Vendas",'Entradas e Saídas'!$C:$C,MONTH('Fluxo de Caixa'!F$5),'Entradas e Saídas'!$D:$D,YEAR('Fluxo de Caixa'!F$5),'Entradas e Saídas'!$F:$F,'Fluxo de Caixa'!$B23)</f>
        <v>0</v>
      </c>
      <c r="G23" s="14">
        <f>SUMIFS('Entradas e Saídas'!$G:$G,'Entradas e Saídas'!$E:$E,"Vendas",'Entradas e Saídas'!$C:$C,MONTH('Fluxo de Caixa'!G$5),'Entradas e Saídas'!$D:$D,YEAR('Fluxo de Caixa'!G$5),'Entradas e Saídas'!$F:$F,'Fluxo de Caixa'!$B23)</f>
        <v>0</v>
      </c>
      <c r="H23" s="14">
        <f>SUMIFS('Entradas e Saídas'!$G:$G,'Entradas e Saídas'!$E:$E,"Vendas",'Entradas e Saídas'!$C:$C,MONTH('Fluxo de Caixa'!H$5),'Entradas e Saídas'!$D:$D,YEAR('Fluxo de Caixa'!H$5),'Entradas e Saídas'!$F:$F,'Fluxo de Caixa'!$B23)</f>
        <v>0</v>
      </c>
      <c r="I23" s="14">
        <f>SUMIFS('Entradas e Saídas'!$G:$G,'Entradas e Saídas'!$E:$E,"Vendas",'Entradas e Saídas'!$C:$C,MONTH('Fluxo de Caixa'!I$5),'Entradas e Saídas'!$D:$D,YEAR('Fluxo de Caixa'!I$5),'Entradas e Saídas'!$F:$F,'Fluxo de Caixa'!$B23)</f>
        <v>0</v>
      </c>
      <c r="J23" s="14">
        <f>SUMIFS('Entradas e Saídas'!$G:$G,'Entradas e Saídas'!$E:$E,"Vendas",'Entradas e Saídas'!$C:$C,MONTH('Fluxo de Caixa'!J$5),'Entradas e Saídas'!$D:$D,YEAR('Fluxo de Caixa'!J$5),'Entradas e Saídas'!$F:$F,'Fluxo de Caixa'!$B23)</f>
        <v>0</v>
      </c>
      <c r="K23" s="14">
        <f>SUMIFS('Entradas e Saídas'!$G:$G,'Entradas e Saídas'!$E:$E,"Vendas",'Entradas e Saídas'!$C:$C,MONTH('Fluxo de Caixa'!K$5),'Entradas e Saídas'!$D:$D,YEAR('Fluxo de Caixa'!K$5),'Entradas e Saídas'!$F:$F,'Fluxo de Caixa'!$B23)</f>
        <v>0</v>
      </c>
      <c r="L23" s="14">
        <f>SUMIFS('Entradas e Saídas'!$G:$G,'Entradas e Saídas'!$E:$E,"Vendas",'Entradas e Saídas'!$C:$C,MONTH('Fluxo de Caixa'!L$5),'Entradas e Saídas'!$D:$D,YEAR('Fluxo de Caixa'!L$5),'Entradas e Saídas'!$F:$F,'Fluxo de Caixa'!$B23)</f>
        <v>0</v>
      </c>
      <c r="M23" s="14">
        <f>SUMIFS('Entradas e Saídas'!$G:$G,'Entradas e Saídas'!$E:$E,"Vendas",'Entradas e Saídas'!$C:$C,MONTH('Fluxo de Caixa'!M$5),'Entradas e Saídas'!$D:$D,YEAR('Fluxo de Caixa'!M$5),'Entradas e Saídas'!$F:$F,'Fluxo de Caixa'!$B23)</f>
        <v>0</v>
      </c>
      <c r="N23" s="14">
        <f>SUMIFS('Entradas e Saídas'!$G:$G,'Entradas e Saídas'!$E:$E,"Vendas",'Entradas e Saídas'!$C:$C,MONTH('Fluxo de Caixa'!N$5),'Entradas e Saídas'!$D:$D,YEAR('Fluxo de Caixa'!N$5),'Entradas e Saídas'!$F:$F,'Fluxo de Caixa'!$B23)</f>
        <v>0</v>
      </c>
      <c r="O23" s="14">
        <f>SUMIFS('Entradas e Saídas'!$G:$G,'Entradas e Saídas'!$E:$E,"Vendas",'Entradas e Saídas'!$C:$C,MONTH('Fluxo de Caixa'!O$5),'Entradas e Saídas'!$D:$D,YEAR('Fluxo de Caixa'!O$5),'Entradas e Saídas'!$F:$F,'Fluxo de Caixa'!$B23)</f>
        <v>0</v>
      </c>
      <c r="P23" s="14">
        <f>SUMIFS('Entradas e Saídas'!$G:$G,'Entradas e Saídas'!$E:$E,"Vendas",'Entradas e Saídas'!$C:$C,MONTH('Fluxo de Caixa'!P$5),'Entradas e Saídas'!$D:$D,YEAR('Fluxo de Caixa'!P$5),'Entradas e Saídas'!$F:$F,'Fluxo de Caixa'!$B23)</f>
        <v>0</v>
      </c>
      <c r="Q23" s="14">
        <f>SUMIFS('Entradas e Saídas'!$G:$G,'Entradas e Saídas'!$E:$E,"Vendas",'Entradas e Saídas'!$C:$C,MONTH('Fluxo de Caixa'!Q$5),'Entradas e Saídas'!$D:$D,YEAR('Fluxo de Caixa'!Q$5),'Entradas e Saídas'!$F:$F,'Fluxo de Caixa'!$B23)</f>
        <v>0</v>
      </c>
      <c r="R23" s="14">
        <f>SUMIFS('Entradas e Saídas'!$G:$G,'Entradas e Saídas'!$E:$E,"Vendas",'Entradas e Saídas'!$C:$C,MONTH('Fluxo de Caixa'!R$5),'Entradas e Saídas'!$D:$D,YEAR('Fluxo de Caixa'!R$5),'Entradas e Saídas'!$F:$F,'Fluxo de Caixa'!$B23)</f>
        <v>0</v>
      </c>
      <c r="S23" s="14">
        <f>SUMIFS('Entradas e Saídas'!$G:$G,'Entradas e Saídas'!$E:$E,"Vendas",'Entradas e Saídas'!$C:$C,MONTH('Fluxo de Caixa'!S$5),'Entradas e Saídas'!$D:$D,YEAR('Fluxo de Caixa'!S$5),'Entradas e Saídas'!$F:$F,'Fluxo de Caixa'!$B23)</f>
        <v>0</v>
      </c>
      <c r="T23" s="14">
        <f>SUMIFS('Entradas e Saídas'!$G:$G,'Entradas e Saídas'!$E:$E,"Vendas",'Entradas e Saídas'!$C:$C,MONTH('Fluxo de Caixa'!T$5),'Entradas e Saídas'!$D:$D,YEAR('Fluxo de Caixa'!T$5),'Entradas e Saídas'!$F:$F,'Fluxo de Caixa'!$B23)</f>
        <v>0</v>
      </c>
      <c r="U23" s="14">
        <f>SUMIFS('Entradas e Saídas'!$G:$G,'Entradas e Saídas'!$E:$E,"Vendas",'Entradas e Saídas'!$C:$C,MONTH('Fluxo de Caixa'!U$5),'Entradas e Saídas'!$D:$D,YEAR('Fluxo de Caixa'!U$5),'Entradas e Saídas'!$F:$F,'Fluxo de Caixa'!$B23)</f>
        <v>0</v>
      </c>
      <c r="V23" s="14">
        <f>SUMIFS('Entradas e Saídas'!$G:$G,'Entradas e Saídas'!$E:$E,"Vendas",'Entradas e Saídas'!$C:$C,MONTH('Fluxo de Caixa'!V$5),'Entradas e Saídas'!$D:$D,YEAR('Fluxo de Caixa'!V$5),'Entradas e Saídas'!$F:$F,'Fluxo de Caixa'!$B23)</f>
        <v>0</v>
      </c>
      <c r="W23" s="14">
        <f>SUMIFS('Entradas e Saídas'!$G:$G,'Entradas e Saídas'!$E:$E,"Vendas",'Entradas e Saídas'!$C:$C,MONTH('Fluxo de Caixa'!W$5),'Entradas e Saídas'!$D:$D,YEAR('Fluxo de Caixa'!W$5),'Entradas e Saídas'!$F:$F,'Fluxo de Caixa'!$B23)</f>
        <v>0</v>
      </c>
      <c r="X23" s="14">
        <f>SUMIFS('Entradas e Saídas'!$G:$G,'Entradas e Saídas'!$E:$E,"Vendas",'Entradas e Saídas'!$C:$C,MONTH('Fluxo de Caixa'!X$5),'Entradas e Saídas'!$D:$D,YEAR('Fluxo de Caixa'!X$5),'Entradas e Saídas'!$F:$F,'Fluxo de Caixa'!$B23)</f>
        <v>0</v>
      </c>
      <c r="Y23" s="14">
        <f>SUMIFS('Entradas e Saídas'!$G:$G,'Entradas e Saídas'!$E:$E,"Vendas",'Entradas e Saídas'!$C:$C,MONTH('Fluxo de Caixa'!Y$5),'Entradas e Saídas'!$D:$D,YEAR('Fluxo de Caixa'!Y$5),'Entradas e Saídas'!$F:$F,'Fluxo de Caixa'!$B23)</f>
        <v>0</v>
      </c>
      <c r="Z23" s="14">
        <f>SUMIFS('Entradas e Saídas'!$G:$G,'Entradas e Saídas'!$E:$E,"Vendas",'Entradas e Saídas'!$C:$C,MONTH('Fluxo de Caixa'!Z$5),'Entradas e Saídas'!$D:$D,YEAR('Fluxo de Caixa'!Z$5),'Entradas e Saídas'!$F:$F,'Fluxo de Caixa'!$B23)</f>
        <v>0</v>
      </c>
      <c r="AA23" s="14">
        <f>SUMIFS('Entradas e Saídas'!$G:$G,'Entradas e Saídas'!$E:$E,"Vendas",'Entradas e Saídas'!$C:$C,MONTH('Fluxo de Caixa'!AA$5),'Entradas e Saídas'!$D:$D,YEAR('Fluxo de Caixa'!AA$5),'Entradas e Saídas'!$F:$F,'Fluxo de Caixa'!$B23)</f>
        <v>0</v>
      </c>
      <c r="AB23" s="14">
        <f>SUMIFS('Entradas e Saídas'!$G:$G,'Entradas e Saídas'!$E:$E,"Vendas",'Entradas e Saídas'!$C:$C,MONTH('Fluxo de Caixa'!AB$5),'Entradas e Saídas'!$D:$D,YEAR('Fluxo de Caixa'!AB$5),'Entradas e Saídas'!$F:$F,'Fluxo de Caixa'!$B23)</f>
        <v>0</v>
      </c>
      <c r="AC23" s="14">
        <f>SUMIFS('Entradas e Saídas'!$G:$G,'Entradas e Saídas'!$E:$E,"Vendas",'Entradas e Saídas'!$C:$C,MONTH('Fluxo de Caixa'!AC$5),'Entradas e Saídas'!$D:$D,YEAR('Fluxo de Caixa'!AC$5),'Entradas e Saídas'!$F:$F,'Fluxo de Caixa'!$B23)</f>
        <v>0</v>
      </c>
      <c r="AD23" s="14">
        <f>SUMIFS('Entradas e Saídas'!$G:$G,'Entradas e Saídas'!$E:$E,"Vendas",'Entradas e Saídas'!$C:$C,MONTH('Fluxo de Caixa'!AD$5),'Entradas e Saídas'!$D:$D,YEAR('Fluxo de Caixa'!AD$5),'Entradas e Saídas'!$F:$F,'Fluxo de Caixa'!$B23)</f>
        <v>0</v>
      </c>
      <c r="AE23" s="14">
        <f>SUMIFS('Entradas e Saídas'!$G:$G,'Entradas e Saídas'!$E:$E,"Vendas",'Entradas e Saídas'!$C:$C,MONTH('Fluxo de Caixa'!AE$5),'Entradas e Saídas'!$D:$D,YEAR('Fluxo de Caixa'!AE$5),'Entradas e Saídas'!$F:$F,'Fluxo de Caixa'!$B23)</f>
        <v>0</v>
      </c>
      <c r="AF23" s="14">
        <f>SUMIFS('Entradas e Saídas'!$G:$G,'Entradas e Saídas'!$E:$E,"Vendas",'Entradas e Saídas'!$C:$C,MONTH('Fluxo de Caixa'!AF$5),'Entradas e Saídas'!$D:$D,YEAR('Fluxo de Caixa'!AF$5),'Entradas e Saídas'!$F:$F,'Fluxo de Caixa'!$B23)</f>
        <v>0</v>
      </c>
      <c r="AG23" s="14">
        <f>SUMIFS('Entradas e Saídas'!$G:$G,'Entradas e Saídas'!$E:$E,"Vendas",'Entradas e Saídas'!$C:$C,MONTH('Fluxo de Caixa'!AG$5),'Entradas e Saídas'!$D:$D,YEAR('Fluxo de Caixa'!AG$5),'Entradas e Saídas'!$F:$F,'Fluxo de Caixa'!$B23)</f>
        <v>0</v>
      </c>
      <c r="AH23" s="14">
        <f>SUMIFS('Entradas e Saídas'!$G:$G,'Entradas e Saídas'!$E:$E,"Vendas",'Entradas e Saídas'!$C:$C,MONTH('Fluxo de Caixa'!AH$5),'Entradas e Saídas'!$D:$D,YEAR('Fluxo de Caixa'!AH$5),'Entradas e Saídas'!$F:$F,'Fluxo de Caixa'!$B23)</f>
        <v>0</v>
      </c>
      <c r="AI23" s="14">
        <f>SUMIFS('Entradas e Saídas'!$G:$G,'Entradas e Saídas'!$E:$E,"Vendas",'Entradas e Saídas'!$C:$C,MONTH('Fluxo de Caixa'!AI$5),'Entradas e Saídas'!$D:$D,YEAR('Fluxo de Caixa'!AI$5),'Entradas e Saídas'!$F:$F,'Fluxo de Caixa'!$B23)</f>
        <v>0</v>
      </c>
      <c r="AJ23" s="14">
        <f>SUMIFS('Entradas e Saídas'!$G:$G,'Entradas e Saídas'!$E:$E,"Vendas",'Entradas e Saídas'!$C:$C,MONTH('Fluxo de Caixa'!AJ$5),'Entradas e Saídas'!$D:$D,YEAR('Fluxo de Caixa'!AJ$5),'Entradas e Saídas'!$F:$F,'Fluxo de Caixa'!$B23)</f>
        <v>0</v>
      </c>
      <c r="AK23" s="14">
        <f>SUMIFS('Entradas e Saídas'!$G:$G,'Entradas e Saídas'!$E:$E,"Vendas",'Entradas e Saídas'!$C:$C,MONTH('Fluxo de Caixa'!AK$5),'Entradas e Saídas'!$D:$D,YEAR('Fluxo de Caixa'!AK$5),'Entradas e Saídas'!$F:$F,'Fluxo de Caixa'!$B23)</f>
        <v>0</v>
      </c>
      <c r="AL23" s="14">
        <f>SUMIFS('Entradas e Saídas'!$G:$G,'Entradas e Saídas'!$E:$E,"Vendas",'Entradas e Saídas'!$C:$C,MONTH('Fluxo de Caixa'!AL$5),'Entradas e Saídas'!$D:$D,YEAR('Fluxo de Caixa'!AL$5),'Entradas e Saídas'!$F:$F,'Fluxo de Caixa'!$B23)</f>
        <v>0</v>
      </c>
      <c r="AM23" s="14">
        <f>SUMIFS('Entradas e Saídas'!$G:$G,'Entradas e Saídas'!$E:$E,"Vendas",'Entradas e Saídas'!$C:$C,MONTH('Fluxo de Caixa'!AM$5),'Entradas e Saídas'!$D:$D,YEAR('Fluxo de Caixa'!AM$5),'Entradas e Saídas'!$F:$F,'Fluxo de Caixa'!$B23)</f>
        <v>0</v>
      </c>
      <c r="AN23" s="14">
        <f>SUMIFS('Entradas e Saídas'!$G:$G,'Entradas e Saídas'!$E:$E,"Vendas",'Entradas e Saídas'!$C:$C,MONTH('Fluxo de Caixa'!AN$5),'Entradas e Saídas'!$D:$D,YEAR('Fluxo de Caixa'!AN$5),'Entradas e Saídas'!$F:$F,'Fluxo de Caixa'!$B23)</f>
        <v>0</v>
      </c>
      <c r="AO23" s="14">
        <f>SUMIFS('Entradas e Saídas'!$G:$G,'Entradas e Saídas'!$E:$E,"Vendas",'Entradas e Saídas'!$C:$C,MONTH('Fluxo de Caixa'!AO$5),'Entradas e Saídas'!$D:$D,YEAR('Fluxo de Caixa'!AO$5),'Entradas e Saídas'!$F:$F,'Fluxo de Caixa'!$B23)</f>
        <v>0</v>
      </c>
      <c r="AP23" s="14">
        <f>SUMIFS('Entradas e Saídas'!$G:$G,'Entradas e Saídas'!$E:$E,"Vendas",'Entradas e Saídas'!$C:$C,MONTH('Fluxo de Caixa'!AP$5),'Entradas e Saídas'!$D:$D,YEAR('Fluxo de Caixa'!AP$5),'Entradas e Saídas'!$F:$F,'Fluxo de Caixa'!$B23)</f>
        <v>0</v>
      </c>
      <c r="AQ23" s="14">
        <f>SUMIFS('Entradas e Saídas'!$G:$G,'Entradas e Saídas'!$E:$E,"Vendas",'Entradas e Saídas'!$C:$C,MONTH('Fluxo de Caixa'!AQ$5),'Entradas e Saídas'!$D:$D,YEAR('Fluxo de Caixa'!AQ$5),'Entradas e Saídas'!$F:$F,'Fluxo de Caixa'!$B23)</f>
        <v>0</v>
      </c>
      <c r="AR23" s="14">
        <f>SUMIFS('Entradas e Saídas'!$G:$G,'Entradas e Saídas'!$E:$E,"Vendas",'Entradas e Saídas'!$C:$C,MONTH('Fluxo de Caixa'!AR$5),'Entradas e Saídas'!$D:$D,YEAR('Fluxo de Caixa'!AR$5),'Entradas e Saídas'!$F:$F,'Fluxo de Caixa'!$B23)</f>
        <v>0</v>
      </c>
      <c r="AS23" s="14">
        <f>SUMIFS('Entradas e Saídas'!$G:$G,'Entradas e Saídas'!$E:$E,"Vendas",'Entradas e Saídas'!$C:$C,MONTH('Fluxo de Caixa'!AS$5),'Entradas e Saídas'!$D:$D,YEAR('Fluxo de Caixa'!AS$5),'Entradas e Saídas'!$F:$F,'Fluxo de Caixa'!$B23)</f>
        <v>0</v>
      </c>
    </row>
    <row r="24" spans="2:45" ht="15.6">
      <c r="B24" s="15" t="str">
        <f>IF(Produtos!B16="","-",Produtos!B16)</f>
        <v>-</v>
      </c>
      <c r="C24" s="14">
        <f>SUMIFS('Entradas e Saídas'!$G:$G,'Entradas e Saídas'!$E:$E,"Vendas",'Entradas e Saídas'!$C:$C,MONTH('Fluxo de Caixa'!C$5),'Entradas e Saídas'!$D:$D,YEAR('Fluxo de Caixa'!C$5),'Entradas e Saídas'!$F:$F,'Fluxo de Caixa'!$B24)</f>
        <v>0</v>
      </c>
      <c r="D24" s="14">
        <f>SUMIFS('Entradas e Saídas'!$G:$G,'Entradas e Saídas'!$E:$E,"Vendas",'Entradas e Saídas'!$C:$C,MONTH('Fluxo de Caixa'!D$5),'Entradas e Saídas'!$D:$D,YEAR('Fluxo de Caixa'!D$5),'Entradas e Saídas'!$F:$F,'Fluxo de Caixa'!$B24)</f>
        <v>0</v>
      </c>
      <c r="E24" s="14">
        <f>SUMIFS('Entradas e Saídas'!$G:$G,'Entradas e Saídas'!$E:$E,"Vendas",'Entradas e Saídas'!$C:$C,MONTH('Fluxo de Caixa'!E$5),'Entradas e Saídas'!$D:$D,YEAR('Fluxo de Caixa'!E$5),'Entradas e Saídas'!$F:$F,'Fluxo de Caixa'!$B24)</f>
        <v>0</v>
      </c>
      <c r="F24" s="14">
        <f>SUMIFS('Entradas e Saídas'!$G:$G,'Entradas e Saídas'!$E:$E,"Vendas",'Entradas e Saídas'!$C:$C,MONTH('Fluxo de Caixa'!F$5),'Entradas e Saídas'!$D:$D,YEAR('Fluxo de Caixa'!F$5),'Entradas e Saídas'!$F:$F,'Fluxo de Caixa'!$B24)</f>
        <v>0</v>
      </c>
      <c r="G24" s="14">
        <f>SUMIFS('Entradas e Saídas'!$G:$G,'Entradas e Saídas'!$E:$E,"Vendas",'Entradas e Saídas'!$C:$C,MONTH('Fluxo de Caixa'!G$5),'Entradas e Saídas'!$D:$D,YEAR('Fluxo de Caixa'!G$5),'Entradas e Saídas'!$F:$F,'Fluxo de Caixa'!$B24)</f>
        <v>0</v>
      </c>
      <c r="H24" s="14">
        <f>SUMIFS('Entradas e Saídas'!$G:$G,'Entradas e Saídas'!$E:$E,"Vendas",'Entradas e Saídas'!$C:$C,MONTH('Fluxo de Caixa'!H$5),'Entradas e Saídas'!$D:$D,YEAR('Fluxo de Caixa'!H$5),'Entradas e Saídas'!$F:$F,'Fluxo de Caixa'!$B24)</f>
        <v>0</v>
      </c>
      <c r="I24" s="14">
        <f>SUMIFS('Entradas e Saídas'!$G:$G,'Entradas e Saídas'!$E:$E,"Vendas",'Entradas e Saídas'!$C:$C,MONTH('Fluxo de Caixa'!I$5),'Entradas e Saídas'!$D:$D,YEAR('Fluxo de Caixa'!I$5),'Entradas e Saídas'!$F:$F,'Fluxo de Caixa'!$B24)</f>
        <v>0</v>
      </c>
      <c r="J24" s="14">
        <f>SUMIFS('Entradas e Saídas'!$G:$G,'Entradas e Saídas'!$E:$E,"Vendas",'Entradas e Saídas'!$C:$C,MONTH('Fluxo de Caixa'!J$5),'Entradas e Saídas'!$D:$D,YEAR('Fluxo de Caixa'!J$5),'Entradas e Saídas'!$F:$F,'Fluxo de Caixa'!$B24)</f>
        <v>0</v>
      </c>
      <c r="K24" s="14">
        <f>SUMIFS('Entradas e Saídas'!$G:$G,'Entradas e Saídas'!$E:$E,"Vendas",'Entradas e Saídas'!$C:$C,MONTH('Fluxo de Caixa'!K$5),'Entradas e Saídas'!$D:$D,YEAR('Fluxo de Caixa'!K$5),'Entradas e Saídas'!$F:$F,'Fluxo de Caixa'!$B24)</f>
        <v>0</v>
      </c>
      <c r="L24" s="14">
        <f>SUMIFS('Entradas e Saídas'!$G:$G,'Entradas e Saídas'!$E:$E,"Vendas",'Entradas e Saídas'!$C:$C,MONTH('Fluxo de Caixa'!L$5),'Entradas e Saídas'!$D:$D,YEAR('Fluxo de Caixa'!L$5),'Entradas e Saídas'!$F:$F,'Fluxo de Caixa'!$B24)</f>
        <v>0</v>
      </c>
      <c r="M24" s="14">
        <f>SUMIFS('Entradas e Saídas'!$G:$G,'Entradas e Saídas'!$E:$E,"Vendas",'Entradas e Saídas'!$C:$C,MONTH('Fluxo de Caixa'!M$5),'Entradas e Saídas'!$D:$D,YEAR('Fluxo de Caixa'!M$5),'Entradas e Saídas'!$F:$F,'Fluxo de Caixa'!$B24)</f>
        <v>0</v>
      </c>
      <c r="N24" s="14">
        <f>SUMIFS('Entradas e Saídas'!$G:$G,'Entradas e Saídas'!$E:$E,"Vendas",'Entradas e Saídas'!$C:$C,MONTH('Fluxo de Caixa'!N$5),'Entradas e Saídas'!$D:$D,YEAR('Fluxo de Caixa'!N$5),'Entradas e Saídas'!$F:$F,'Fluxo de Caixa'!$B24)</f>
        <v>0</v>
      </c>
      <c r="O24" s="14">
        <f>SUMIFS('Entradas e Saídas'!$G:$G,'Entradas e Saídas'!$E:$E,"Vendas",'Entradas e Saídas'!$C:$C,MONTH('Fluxo de Caixa'!O$5),'Entradas e Saídas'!$D:$D,YEAR('Fluxo de Caixa'!O$5),'Entradas e Saídas'!$F:$F,'Fluxo de Caixa'!$B24)</f>
        <v>0</v>
      </c>
      <c r="P24" s="14">
        <f>SUMIFS('Entradas e Saídas'!$G:$G,'Entradas e Saídas'!$E:$E,"Vendas",'Entradas e Saídas'!$C:$C,MONTH('Fluxo de Caixa'!P$5),'Entradas e Saídas'!$D:$D,YEAR('Fluxo de Caixa'!P$5),'Entradas e Saídas'!$F:$F,'Fluxo de Caixa'!$B24)</f>
        <v>0</v>
      </c>
      <c r="Q24" s="14">
        <f>SUMIFS('Entradas e Saídas'!$G:$G,'Entradas e Saídas'!$E:$E,"Vendas",'Entradas e Saídas'!$C:$C,MONTH('Fluxo de Caixa'!Q$5),'Entradas e Saídas'!$D:$D,YEAR('Fluxo de Caixa'!Q$5),'Entradas e Saídas'!$F:$F,'Fluxo de Caixa'!$B24)</f>
        <v>0</v>
      </c>
      <c r="R24" s="14">
        <f>SUMIFS('Entradas e Saídas'!$G:$G,'Entradas e Saídas'!$E:$E,"Vendas",'Entradas e Saídas'!$C:$C,MONTH('Fluxo de Caixa'!R$5),'Entradas e Saídas'!$D:$D,YEAR('Fluxo de Caixa'!R$5),'Entradas e Saídas'!$F:$F,'Fluxo de Caixa'!$B24)</f>
        <v>0</v>
      </c>
      <c r="S24" s="14">
        <f>SUMIFS('Entradas e Saídas'!$G:$G,'Entradas e Saídas'!$E:$E,"Vendas",'Entradas e Saídas'!$C:$C,MONTH('Fluxo de Caixa'!S$5),'Entradas e Saídas'!$D:$D,YEAR('Fluxo de Caixa'!S$5),'Entradas e Saídas'!$F:$F,'Fluxo de Caixa'!$B24)</f>
        <v>0</v>
      </c>
      <c r="T24" s="14">
        <f>SUMIFS('Entradas e Saídas'!$G:$G,'Entradas e Saídas'!$E:$E,"Vendas",'Entradas e Saídas'!$C:$C,MONTH('Fluxo de Caixa'!T$5),'Entradas e Saídas'!$D:$D,YEAR('Fluxo de Caixa'!T$5),'Entradas e Saídas'!$F:$F,'Fluxo de Caixa'!$B24)</f>
        <v>0</v>
      </c>
      <c r="U24" s="14">
        <f>SUMIFS('Entradas e Saídas'!$G:$G,'Entradas e Saídas'!$E:$E,"Vendas",'Entradas e Saídas'!$C:$C,MONTH('Fluxo de Caixa'!U$5),'Entradas e Saídas'!$D:$D,YEAR('Fluxo de Caixa'!U$5),'Entradas e Saídas'!$F:$F,'Fluxo de Caixa'!$B24)</f>
        <v>0</v>
      </c>
      <c r="V24" s="14">
        <f>SUMIFS('Entradas e Saídas'!$G:$G,'Entradas e Saídas'!$E:$E,"Vendas",'Entradas e Saídas'!$C:$C,MONTH('Fluxo de Caixa'!V$5),'Entradas e Saídas'!$D:$D,YEAR('Fluxo de Caixa'!V$5),'Entradas e Saídas'!$F:$F,'Fluxo de Caixa'!$B24)</f>
        <v>0</v>
      </c>
      <c r="W24" s="14">
        <f>SUMIFS('Entradas e Saídas'!$G:$G,'Entradas e Saídas'!$E:$E,"Vendas",'Entradas e Saídas'!$C:$C,MONTH('Fluxo de Caixa'!W$5),'Entradas e Saídas'!$D:$D,YEAR('Fluxo de Caixa'!W$5),'Entradas e Saídas'!$F:$F,'Fluxo de Caixa'!$B24)</f>
        <v>0</v>
      </c>
      <c r="X24" s="14">
        <f>SUMIFS('Entradas e Saídas'!$G:$G,'Entradas e Saídas'!$E:$E,"Vendas",'Entradas e Saídas'!$C:$C,MONTH('Fluxo de Caixa'!X$5),'Entradas e Saídas'!$D:$D,YEAR('Fluxo de Caixa'!X$5),'Entradas e Saídas'!$F:$F,'Fluxo de Caixa'!$B24)</f>
        <v>0</v>
      </c>
      <c r="Y24" s="14">
        <f>SUMIFS('Entradas e Saídas'!$G:$G,'Entradas e Saídas'!$E:$E,"Vendas",'Entradas e Saídas'!$C:$C,MONTH('Fluxo de Caixa'!Y$5),'Entradas e Saídas'!$D:$D,YEAR('Fluxo de Caixa'!Y$5),'Entradas e Saídas'!$F:$F,'Fluxo de Caixa'!$B24)</f>
        <v>0</v>
      </c>
      <c r="Z24" s="14">
        <f>SUMIFS('Entradas e Saídas'!$G:$G,'Entradas e Saídas'!$E:$E,"Vendas",'Entradas e Saídas'!$C:$C,MONTH('Fluxo de Caixa'!Z$5),'Entradas e Saídas'!$D:$D,YEAR('Fluxo de Caixa'!Z$5),'Entradas e Saídas'!$F:$F,'Fluxo de Caixa'!$B24)</f>
        <v>0</v>
      </c>
      <c r="AA24" s="14">
        <f>SUMIFS('Entradas e Saídas'!$G:$G,'Entradas e Saídas'!$E:$E,"Vendas",'Entradas e Saídas'!$C:$C,MONTH('Fluxo de Caixa'!AA$5),'Entradas e Saídas'!$D:$D,YEAR('Fluxo de Caixa'!AA$5),'Entradas e Saídas'!$F:$F,'Fluxo de Caixa'!$B24)</f>
        <v>0</v>
      </c>
      <c r="AB24" s="14">
        <f>SUMIFS('Entradas e Saídas'!$G:$G,'Entradas e Saídas'!$E:$E,"Vendas",'Entradas e Saídas'!$C:$C,MONTH('Fluxo de Caixa'!AB$5),'Entradas e Saídas'!$D:$D,YEAR('Fluxo de Caixa'!AB$5),'Entradas e Saídas'!$F:$F,'Fluxo de Caixa'!$B24)</f>
        <v>0</v>
      </c>
      <c r="AC24" s="14">
        <f>SUMIFS('Entradas e Saídas'!$G:$G,'Entradas e Saídas'!$E:$E,"Vendas",'Entradas e Saídas'!$C:$C,MONTH('Fluxo de Caixa'!AC$5),'Entradas e Saídas'!$D:$D,YEAR('Fluxo de Caixa'!AC$5),'Entradas e Saídas'!$F:$F,'Fluxo de Caixa'!$B24)</f>
        <v>0</v>
      </c>
      <c r="AD24" s="14">
        <f>SUMIFS('Entradas e Saídas'!$G:$G,'Entradas e Saídas'!$E:$E,"Vendas",'Entradas e Saídas'!$C:$C,MONTH('Fluxo de Caixa'!AD$5),'Entradas e Saídas'!$D:$D,YEAR('Fluxo de Caixa'!AD$5),'Entradas e Saídas'!$F:$F,'Fluxo de Caixa'!$B24)</f>
        <v>0</v>
      </c>
      <c r="AE24" s="14">
        <f>SUMIFS('Entradas e Saídas'!$G:$G,'Entradas e Saídas'!$E:$E,"Vendas",'Entradas e Saídas'!$C:$C,MONTH('Fluxo de Caixa'!AE$5),'Entradas e Saídas'!$D:$D,YEAR('Fluxo de Caixa'!AE$5),'Entradas e Saídas'!$F:$F,'Fluxo de Caixa'!$B24)</f>
        <v>0</v>
      </c>
      <c r="AF24" s="14">
        <f>SUMIFS('Entradas e Saídas'!$G:$G,'Entradas e Saídas'!$E:$E,"Vendas",'Entradas e Saídas'!$C:$C,MONTH('Fluxo de Caixa'!AF$5),'Entradas e Saídas'!$D:$D,YEAR('Fluxo de Caixa'!AF$5),'Entradas e Saídas'!$F:$F,'Fluxo de Caixa'!$B24)</f>
        <v>0</v>
      </c>
      <c r="AG24" s="14">
        <f>SUMIFS('Entradas e Saídas'!$G:$G,'Entradas e Saídas'!$E:$E,"Vendas",'Entradas e Saídas'!$C:$C,MONTH('Fluxo de Caixa'!AG$5),'Entradas e Saídas'!$D:$D,YEAR('Fluxo de Caixa'!AG$5),'Entradas e Saídas'!$F:$F,'Fluxo de Caixa'!$B24)</f>
        <v>0</v>
      </c>
      <c r="AH24" s="14">
        <f>SUMIFS('Entradas e Saídas'!$G:$G,'Entradas e Saídas'!$E:$E,"Vendas",'Entradas e Saídas'!$C:$C,MONTH('Fluxo de Caixa'!AH$5),'Entradas e Saídas'!$D:$D,YEAR('Fluxo de Caixa'!AH$5),'Entradas e Saídas'!$F:$F,'Fluxo de Caixa'!$B24)</f>
        <v>0</v>
      </c>
      <c r="AI24" s="14">
        <f>SUMIFS('Entradas e Saídas'!$G:$G,'Entradas e Saídas'!$E:$E,"Vendas",'Entradas e Saídas'!$C:$C,MONTH('Fluxo de Caixa'!AI$5),'Entradas e Saídas'!$D:$D,YEAR('Fluxo de Caixa'!AI$5),'Entradas e Saídas'!$F:$F,'Fluxo de Caixa'!$B24)</f>
        <v>0</v>
      </c>
      <c r="AJ24" s="14">
        <f>SUMIFS('Entradas e Saídas'!$G:$G,'Entradas e Saídas'!$E:$E,"Vendas",'Entradas e Saídas'!$C:$C,MONTH('Fluxo de Caixa'!AJ$5),'Entradas e Saídas'!$D:$D,YEAR('Fluxo de Caixa'!AJ$5),'Entradas e Saídas'!$F:$F,'Fluxo de Caixa'!$B24)</f>
        <v>0</v>
      </c>
      <c r="AK24" s="14">
        <f>SUMIFS('Entradas e Saídas'!$G:$G,'Entradas e Saídas'!$E:$E,"Vendas",'Entradas e Saídas'!$C:$C,MONTH('Fluxo de Caixa'!AK$5),'Entradas e Saídas'!$D:$D,YEAR('Fluxo de Caixa'!AK$5),'Entradas e Saídas'!$F:$F,'Fluxo de Caixa'!$B24)</f>
        <v>0</v>
      </c>
      <c r="AL24" s="14">
        <f>SUMIFS('Entradas e Saídas'!$G:$G,'Entradas e Saídas'!$E:$E,"Vendas",'Entradas e Saídas'!$C:$C,MONTH('Fluxo de Caixa'!AL$5),'Entradas e Saídas'!$D:$D,YEAR('Fluxo de Caixa'!AL$5),'Entradas e Saídas'!$F:$F,'Fluxo de Caixa'!$B24)</f>
        <v>0</v>
      </c>
      <c r="AM24" s="14">
        <f>SUMIFS('Entradas e Saídas'!$G:$G,'Entradas e Saídas'!$E:$E,"Vendas",'Entradas e Saídas'!$C:$C,MONTH('Fluxo de Caixa'!AM$5),'Entradas e Saídas'!$D:$D,YEAR('Fluxo de Caixa'!AM$5),'Entradas e Saídas'!$F:$F,'Fluxo de Caixa'!$B24)</f>
        <v>0</v>
      </c>
      <c r="AN24" s="14">
        <f>SUMIFS('Entradas e Saídas'!$G:$G,'Entradas e Saídas'!$E:$E,"Vendas",'Entradas e Saídas'!$C:$C,MONTH('Fluxo de Caixa'!AN$5),'Entradas e Saídas'!$D:$D,YEAR('Fluxo de Caixa'!AN$5),'Entradas e Saídas'!$F:$F,'Fluxo de Caixa'!$B24)</f>
        <v>0</v>
      </c>
      <c r="AO24" s="14">
        <f>SUMIFS('Entradas e Saídas'!$G:$G,'Entradas e Saídas'!$E:$E,"Vendas",'Entradas e Saídas'!$C:$C,MONTH('Fluxo de Caixa'!AO$5),'Entradas e Saídas'!$D:$D,YEAR('Fluxo de Caixa'!AO$5),'Entradas e Saídas'!$F:$F,'Fluxo de Caixa'!$B24)</f>
        <v>0</v>
      </c>
      <c r="AP24" s="14">
        <f>SUMIFS('Entradas e Saídas'!$G:$G,'Entradas e Saídas'!$E:$E,"Vendas",'Entradas e Saídas'!$C:$C,MONTH('Fluxo de Caixa'!AP$5),'Entradas e Saídas'!$D:$D,YEAR('Fluxo de Caixa'!AP$5),'Entradas e Saídas'!$F:$F,'Fluxo de Caixa'!$B24)</f>
        <v>0</v>
      </c>
      <c r="AQ24" s="14">
        <f>SUMIFS('Entradas e Saídas'!$G:$G,'Entradas e Saídas'!$E:$E,"Vendas",'Entradas e Saídas'!$C:$C,MONTH('Fluxo de Caixa'!AQ$5),'Entradas e Saídas'!$D:$D,YEAR('Fluxo de Caixa'!AQ$5),'Entradas e Saídas'!$F:$F,'Fluxo de Caixa'!$B24)</f>
        <v>0</v>
      </c>
      <c r="AR24" s="14">
        <f>SUMIFS('Entradas e Saídas'!$G:$G,'Entradas e Saídas'!$E:$E,"Vendas",'Entradas e Saídas'!$C:$C,MONTH('Fluxo de Caixa'!AR$5),'Entradas e Saídas'!$D:$D,YEAR('Fluxo de Caixa'!AR$5),'Entradas e Saídas'!$F:$F,'Fluxo de Caixa'!$B24)</f>
        <v>0</v>
      </c>
      <c r="AS24" s="14">
        <f>SUMIFS('Entradas e Saídas'!$G:$G,'Entradas e Saídas'!$E:$E,"Vendas",'Entradas e Saídas'!$C:$C,MONTH('Fluxo de Caixa'!AS$5),'Entradas e Saídas'!$D:$D,YEAR('Fluxo de Caixa'!AS$5),'Entradas e Saídas'!$F:$F,'Fluxo de Caixa'!$B24)</f>
        <v>0</v>
      </c>
    </row>
    <row r="25" spans="2:45" ht="15.6">
      <c r="B25" s="15" t="str">
        <f>IF(Produtos!B17="","-",Produtos!B17)</f>
        <v>-</v>
      </c>
      <c r="C25" s="14">
        <f>SUMIFS('Entradas e Saídas'!$G:$G,'Entradas e Saídas'!$E:$E,"Vendas",'Entradas e Saídas'!$C:$C,MONTH('Fluxo de Caixa'!C$5),'Entradas e Saídas'!$D:$D,YEAR('Fluxo de Caixa'!C$5),'Entradas e Saídas'!$F:$F,'Fluxo de Caixa'!$B25)</f>
        <v>0</v>
      </c>
      <c r="D25" s="14">
        <f>SUMIFS('Entradas e Saídas'!$G:$G,'Entradas e Saídas'!$E:$E,"Vendas",'Entradas e Saídas'!$C:$C,MONTH('Fluxo de Caixa'!D$5),'Entradas e Saídas'!$D:$D,YEAR('Fluxo de Caixa'!D$5),'Entradas e Saídas'!$F:$F,'Fluxo de Caixa'!$B25)</f>
        <v>0</v>
      </c>
      <c r="E25" s="14">
        <f>SUMIFS('Entradas e Saídas'!$G:$G,'Entradas e Saídas'!$E:$E,"Vendas",'Entradas e Saídas'!$C:$C,MONTH('Fluxo de Caixa'!E$5),'Entradas e Saídas'!$D:$D,YEAR('Fluxo de Caixa'!E$5),'Entradas e Saídas'!$F:$F,'Fluxo de Caixa'!$B25)</f>
        <v>0</v>
      </c>
      <c r="F25" s="14">
        <f>SUMIFS('Entradas e Saídas'!$G:$G,'Entradas e Saídas'!$E:$E,"Vendas",'Entradas e Saídas'!$C:$C,MONTH('Fluxo de Caixa'!F$5),'Entradas e Saídas'!$D:$D,YEAR('Fluxo de Caixa'!F$5),'Entradas e Saídas'!$F:$F,'Fluxo de Caixa'!$B25)</f>
        <v>0</v>
      </c>
      <c r="G25" s="14">
        <f>SUMIFS('Entradas e Saídas'!$G:$G,'Entradas e Saídas'!$E:$E,"Vendas",'Entradas e Saídas'!$C:$C,MONTH('Fluxo de Caixa'!G$5),'Entradas e Saídas'!$D:$D,YEAR('Fluxo de Caixa'!G$5),'Entradas e Saídas'!$F:$F,'Fluxo de Caixa'!$B25)</f>
        <v>0</v>
      </c>
      <c r="H25" s="14">
        <f>SUMIFS('Entradas e Saídas'!$G:$G,'Entradas e Saídas'!$E:$E,"Vendas",'Entradas e Saídas'!$C:$C,MONTH('Fluxo de Caixa'!H$5),'Entradas e Saídas'!$D:$D,YEAR('Fluxo de Caixa'!H$5),'Entradas e Saídas'!$F:$F,'Fluxo de Caixa'!$B25)</f>
        <v>0</v>
      </c>
      <c r="I25" s="14">
        <f>SUMIFS('Entradas e Saídas'!$G:$G,'Entradas e Saídas'!$E:$E,"Vendas",'Entradas e Saídas'!$C:$C,MONTH('Fluxo de Caixa'!I$5),'Entradas e Saídas'!$D:$D,YEAR('Fluxo de Caixa'!I$5),'Entradas e Saídas'!$F:$F,'Fluxo de Caixa'!$B25)</f>
        <v>0</v>
      </c>
      <c r="J25" s="14">
        <f>SUMIFS('Entradas e Saídas'!$G:$G,'Entradas e Saídas'!$E:$E,"Vendas",'Entradas e Saídas'!$C:$C,MONTH('Fluxo de Caixa'!J$5),'Entradas e Saídas'!$D:$D,YEAR('Fluxo de Caixa'!J$5),'Entradas e Saídas'!$F:$F,'Fluxo de Caixa'!$B25)</f>
        <v>0</v>
      </c>
      <c r="K25" s="14">
        <f>SUMIFS('Entradas e Saídas'!$G:$G,'Entradas e Saídas'!$E:$E,"Vendas",'Entradas e Saídas'!$C:$C,MONTH('Fluxo de Caixa'!K$5),'Entradas e Saídas'!$D:$D,YEAR('Fluxo de Caixa'!K$5),'Entradas e Saídas'!$F:$F,'Fluxo de Caixa'!$B25)</f>
        <v>0</v>
      </c>
      <c r="L25" s="14">
        <f>SUMIFS('Entradas e Saídas'!$G:$G,'Entradas e Saídas'!$E:$E,"Vendas",'Entradas e Saídas'!$C:$C,MONTH('Fluxo de Caixa'!L$5),'Entradas e Saídas'!$D:$D,YEAR('Fluxo de Caixa'!L$5),'Entradas e Saídas'!$F:$F,'Fluxo de Caixa'!$B25)</f>
        <v>0</v>
      </c>
      <c r="M25" s="14">
        <f>SUMIFS('Entradas e Saídas'!$G:$G,'Entradas e Saídas'!$E:$E,"Vendas",'Entradas e Saídas'!$C:$C,MONTH('Fluxo de Caixa'!M$5),'Entradas e Saídas'!$D:$D,YEAR('Fluxo de Caixa'!M$5),'Entradas e Saídas'!$F:$F,'Fluxo de Caixa'!$B25)</f>
        <v>0</v>
      </c>
      <c r="N25" s="14">
        <f>SUMIFS('Entradas e Saídas'!$G:$G,'Entradas e Saídas'!$E:$E,"Vendas",'Entradas e Saídas'!$C:$C,MONTH('Fluxo de Caixa'!N$5),'Entradas e Saídas'!$D:$D,YEAR('Fluxo de Caixa'!N$5),'Entradas e Saídas'!$F:$F,'Fluxo de Caixa'!$B25)</f>
        <v>0</v>
      </c>
      <c r="O25" s="14">
        <f>SUMIFS('Entradas e Saídas'!$G:$G,'Entradas e Saídas'!$E:$E,"Vendas",'Entradas e Saídas'!$C:$C,MONTH('Fluxo de Caixa'!O$5),'Entradas e Saídas'!$D:$D,YEAR('Fluxo de Caixa'!O$5),'Entradas e Saídas'!$F:$F,'Fluxo de Caixa'!$B25)</f>
        <v>0</v>
      </c>
      <c r="P25" s="14">
        <f>SUMIFS('Entradas e Saídas'!$G:$G,'Entradas e Saídas'!$E:$E,"Vendas",'Entradas e Saídas'!$C:$C,MONTH('Fluxo de Caixa'!P$5),'Entradas e Saídas'!$D:$D,YEAR('Fluxo de Caixa'!P$5),'Entradas e Saídas'!$F:$F,'Fluxo de Caixa'!$B25)</f>
        <v>0</v>
      </c>
      <c r="Q25" s="14">
        <f>SUMIFS('Entradas e Saídas'!$G:$G,'Entradas e Saídas'!$E:$E,"Vendas",'Entradas e Saídas'!$C:$C,MONTH('Fluxo de Caixa'!Q$5),'Entradas e Saídas'!$D:$D,YEAR('Fluxo de Caixa'!Q$5),'Entradas e Saídas'!$F:$F,'Fluxo de Caixa'!$B25)</f>
        <v>0</v>
      </c>
      <c r="R25" s="14">
        <f>SUMIFS('Entradas e Saídas'!$G:$G,'Entradas e Saídas'!$E:$E,"Vendas",'Entradas e Saídas'!$C:$C,MONTH('Fluxo de Caixa'!R$5),'Entradas e Saídas'!$D:$D,YEAR('Fluxo de Caixa'!R$5),'Entradas e Saídas'!$F:$F,'Fluxo de Caixa'!$B25)</f>
        <v>0</v>
      </c>
      <c r="S25" s="14">
        <f>SUMIFS('Entradas e Saídas'!$G:$G,'Entradas e Saídas'!$E:$E,"Vendas",'Entradas e Saídas'!$C:$C,MONTH('Fluxo de Caixa'!S$5),'Entradas e Saídas'!$D:$D,YEAR('Fluxo de Caixa'!S$5),'Entradas e Saídas'!$F:$F,'Fluxo de Caixa'!$B25)</f>
        <v>0</v>
      </c>
      <c r="T25" s="14">
        <f>SUMIFS('Entradas e Saídas'!$G:$G,'Entradas e Saídas'!$E:$E,"Vendas",'Entradas e Saídas'!$C:$C,MONTH('Fluxo de Caixa'!T$5),'Entradas e Saídas'!$D:$D,YEAR('Fluxo de Caixa'!T$5),'Entradas e Saídas'!$F:$F,'Fluxo de Caixa'!$B25)</f>
        <v>0</v>
      </c>
      <c r="U25" s="14">
        <f>SUMIFS('Entradas e Saídas'!$G:$G,'Entradas e Saídas'!$E:$E,"Vendas",'Entradas e Saídas'!$C:$C,MONTH('Fluxo de Caixa'!U$5),'Entradas e Saídas'!$D:$D,YEAR('Fluxo de Caixa'!U$5),'Entradas e Saídas'!$F:$F,'Fluxo de Caixa'!$B25)</f>
        <v>0</v>
      </c>
      <c r="V25" s="14">
        <f>SUMIFS('Entradas e Saídas'!$G:$G,'Entradas e Saídas'!$E:$E,"Vendas",'Entradas e Saídas'!$C:$C,MONTH('Fluxo de Caixa'!V$5),'Entradas e Saídas'!$D:$D,YEAR('Fluxo de Caixa'!V$5),'Entradas e Saídas'!$F:$F,'Fluxo de Caixa'!$B25)</f>
        <v>0</v>
      </c>
      <c r="W25" s="14">
        <f>SUMIFS('Entradas e Saídas'!$G:$G,'Entradas e Saídas'!$E:$E,"Vendas",'Entradas e Saídas'!$C:$C,MONTH('Fluxo de Caixa'!W$5),'Entradas e Saídas'!$D:$D,YEAR('Fluxo de Caixa'!W$5),'Entradas e Saídas'!$F:$F,'Fluxo de Caixa'!$B25)</f>
        <v>0</v>
      </c>
      <c r="X25" s="14">
        <f>SUMIFS('Entradas e Saídas'!$G:$G,'Entradas e Saídas'!$E:$E,"Vendas",'Entradas e Saídas'!$C:$C,MONTH('Fluxo de Caixa'!X$5),'Entradas e Saídas'!$D:$D,YEAR('Fluxo de Caixa'!X$5),'Entradas e Saídas'!$F:$F,'Fluxo de Caixa'!$B25)</f>
        <v>0</v>
      </c>
      <c r="Y25" s="14">
        <f>SUMIFS('Entradas e Saídas'!$G:$G,'Entradas e Saídas'!$E:$E,"Vendas",'Entradas e Saídas'!$C:$C,MONTH('Fluxo de Caixa'!Y$5),'Entradas e Saídas'!$D:$D,YEAR('Fluxo de Caixa'!Y$5),'Entradas e Saídas'!$F:$F,'Fluxo de Caixa'!$B25)</f>
        <v>0</v>
      </c>
      <c r="Z25" s="14">
        <f>SUMIFS('Entradas e Saídas'!$G:$G,'Entradas e Saídas'!$E:$E,"Vendas",'Entradas e Saídas'!$C:$C,MONTH('Fluxo de Caixa'!Z$5),'Entradas e Saídas'!$D:$D,YEAR('Fluxo de Caixa'!Z$5),'Entradas e Saídas'!$F:$F,'Fluxo de Caixa'!$B25)</f>
        <v>0</v>
      </c>
      <c r="AA25" s="14">
        <f>SUMIFS('Entradas e Saídas'!$G:$G,'Entradas e Saídas'!$E:$E,"Vendas",'Entradas e Saídas'!$C:$C,MONTH('Fluxo de Caixa'!AA$5),'Entradas e Saídas'!$D:$D,YEAR('Fluxo de Caixa'!AA$5),'Entradas e Saídas'!$F:$F,'Fluxo de Caixa'!$B25)</f>
        <v>0</v>
      </c>
      <c r="AB25" s="14">
        <f>SUMIFS('Entradas e Saídas'!$G:$G,'Entradas e Saídas'!$E:$E,"Vendas",'Entradas e Saídas'!$C:$C,MONTH('Fluxo de Caixa'!AB$5),'Entradas e Saídas'!$D:$D,YEAR('Fluxo de Caixa'!AB$5),'Entradas e Saídas'!$F:$F,'Fluxo de Caixa'!$B25)</f>
        <v>0</v>
      </c>
      <c r="AC25" s="14">
        <f>SUMIFS('Entradas e Saídas'!$G:$G,'Entradas e Saídas'!$E:$E,"Vendas",'Entradas e Saídas'!$C:$C,MONTH('Fluxo de Caixa'!AC$5),'Entradas e Saídas'!$D:$D,YEAR('Fluxo de Caixa'!AC$5),'Entradas e Saídas'!$F:$F,'Fluxo de Caixa'!$B25)</f>
        <v>0</v>
      </c>
      <c r="AD25" s="14">
        <f>SUMIFS('Entradas e Saídas'!$G:$G,'Entradas e Saídas'!$E:$E,"Vendas",'Entradas e Saídas'!$C:$C,MONTH('Fluxo de Caixa'!AD$5),'Entradas e Saídas'!$D:$D,YEAR('Fluxo de Caixa'!AD$5),'Entradas e Saídas'!$F:$F,'Fluxo de Caixa'!$B25)</f>
        <v>0</v>
      </c>
      <c r="AE25" s="14">
        <f>SUMIFS('Entradas e Saídas'!$G:$G,'Entradas e Saídas'!$E:$E,"Vendas",'Entradas e Saídas'!$C:$C,MONTH('Fluxo de Caixa'!AE$5),'Entradas e Saídas'!$D:$D,YEAR('Fluxo de Caixa'!AE$5),'Entradas e Saídas'!$F:$F,'Fluxo de Caixa'!$B25)</f>
        <v>0</v>
      </c>
      <c r="AF25" s="14">
        <f>SUMIFS('Entradas e Saídas'!$G:$G,'Entradas e Saídas'!$E:$E,"Vendas",'Entradas e Saídas'!$C:$C,MONTH('Fluxo de Caixa'!AF$5),'Entradas e Saídas'!$D:$D,YEAR('Fluxo de Caixa'!AF$5),'Entradas e Saídas'!$F:$F,'Fluxo de Caixa'!$B25)</f>
        <v>0</v>
      </c>
      <c r="AG25" s="14">
        <f>SUMIFS('Entradas e Saídas'!$G:$G,'Entradas e Saídas'!$E:$E,"Vendas",'Entradas e Saídas'!$C:$C,MONTH('Fluxo de Caixa'!AG$5),'Entradas e Saídas'!$D:$D,YEAR('Fluxo de Caixa'!AG$5),'Entradas e Saídas'!$F:$F,'Fluxo de Caixa'!$B25)</f>
        <v>0</v>
      </c>
      <c r="AH25" s="14">
        <f>SUMIFS('Entradas e Saídas'!$G:$G,'Entradas e Saídas'!$E:$E,"Vendas",'Entradas e Saídas'!$C:$C,MONTH('Fluxo de Caixa'!AH$5),'Entradas e Saídas'!$D:$D,YEAR('Fluxo de Caixa'!AH$5),'Entradas e Saídas'!$F:$F,'Fluxo de Caixa'!$B25)</f>
        <v>0</v>
      </c>
      <c r="AI25" s="14">
        <f>SUMIFS('Entradas e Saídas'!$G:$G,'Entradas e Saídas'!$E:$E,"Vendas",'Entradas e Saídas'!$C:$C,MONTH('Fluxo de Caixa'!AI$5),'Entradas e Saídas'!$D:$D,YEAR('Fluxo de Caixa'!AI$5),'Entradas e Saídas'!$F:$F,'Fluxo de Caixa'!$B25)</f>
        <v>0</v>
      </c>
      <c r="AJ25" s="14">
        <f>SUMIFS('Entradas e Saídas'!$G:$G,'Entradas e Saídas'!$E:$E,"Vendas",'Entradas e Saídas'!$C:$C,MONTH('Fluxo de Caixa'!AJ$5),'Entradas e Saídas'!$D:$D,YEAR('Fluxo de Caixa'!AJ$5),'Entradas e Saídas'!$F:$F,'Fluxo de Caixa'!$B25)</f>
        <v>0</v>
      </c>
      <c r="AK25" s="14">
        <f>SUMIFS('Entradas e Saídas'!$G:$G,'Entradas e Saídas'!$E:$E,"Vendas",'Entradas e Saídas'!$C:$C,MONTH('Fluxo de Caixa'!AK$5),'Entradas e Saídas'!$D:$D,YEAR('Fluxo de Caixa'!AK$5),'Entradas e Saídas'!$F:$F,'Fluxo de Caixa'!$B25)</f>
        <v>0</v>
      </c>
      <c r="AL25" s="14">
        <f>SUMIFS('Entradas e Saídas'!$G:$G,'Entradas e Saídas'!$E:$E,"Vendas",'Entradas e Saídas'!$C:$C,MONTH('Fluxo de Caixa'!AL$5),'Entradas e Saídas'!$D:$D,YEAR('Fluxo de Caixa'!AL$5),'Entradas e Saídas'!$F:$F,'Fluxo de Caixa'!$B25)</f>
        <v>0</v>
      </c>
      <c r="AM25" s="14">
        <f>SUMIFS('Entradas e Saídas'!$G:$G,'Entradas e Saídas'!$E:$E,"Vendas",'Entradas e Saídas'!$C:$C,MONTH('Fluxo de Caixa'!AM$5),'Entradas e Saídas'!$D:$D,YEAR('Fluxo de Caixa'!AM$5),'Entradas e Saídas'!$F:$F,'Fluxo de Caixa'!$B25)</f>
        <v>0</v>
      </c>
      <c r="AN25" s="14">
        <f>SUMIFS('Entradas e Saídas'!$G:$G,'Entradas e Saídas'!$E:$E,"Vendas",'Entradas e Saídas'!$C:$C,MONTH('Fluxo de Caixa'!AN$5),'Entradas e Saídas'!$D:$D,YEAR('Fluxo de Caixa'!AN$5),'Entradas e Saídas'!$F:$F,'Fluxo de Caixa'!$B25)</f>
        <v>0</v>
      </c>
      <c r="AO25" s="14">
        <f>SUMIFS('Entradas e Saídas'!$G:$G,'Entradas e Saídas'!$E:$E,"Vendas",'Entradas e Saídas'!$C:$C,MONTH('Fluxo de Caixa'!AO$5),'Entradas e Saídas'!$D:$D,YEAR('Fluxo de Caixa'!AO$5),'Entradas e Saídas'!$F:$F,'Fluxo de Caixa'!$B25)</f>
        <v>0</v>
      </c>
      <c r="AP25" s="14">
        <f>SUMIFS('Entradas e Saídas'!$G:$G,'Entradas e Saídas'!$E:$E,"Vendas",'Entradas e Saídas'!$C:$C,MONTH('Fluxo de Caixa'!AP$5),'Entradas e Saídas'!$D:$D,YEAR('Fluxo de Caixa'!AP$5),'Entradas e Saídas'!$F:$F,'Fluxo de Caixa'!$B25)</f>
        <v>0</v>
      </c>
      <c r="AQ25" s="14">
        <f>SUMIFS('Entradas e Saídas'!$G:$G,'Entradas e Saídas'!$E:$E,"Vendas",'Entradas e Saídas'!$C:$C,MONTH('Fluxo de Caixa'!AQ$5),'Entradas e Saídas'!$D:$D,YEAR('Fluxo de Caixa'!AQ$5),'Entradas e Saídas'!$F:$F,'Fluxo de Caixa'!$B25)</f>
        <v>0</v>
      </c>
      <c r="AR25" s="14">
        <f>SUMIFS('Entradas e Saídas'!$G:$G,'Entradas e Saídas'!$E:$E,"Vendas",'Entradas e Saídas'!$C:$C,MONTH('Fluxo de Caixa'!AR$5),'Entradas e Saídas'!$D:$D,YEAR('Fluxo de Caixa'!AR$5),'Entradas e Saídas'!$F:$F,'Fluxo de Caixa'!$B25)</f>
        <v>0</v>
      </c>
      <c r="AS25" s="14">
        <f>SUMIFS('Entradas e Saídas'!$G:$G,'Entradas e Saídas'!$E:$E,"Vendas",'Entradas e Saídas'!$C:$C,MONTH('Fluxo de Caixa'!AS$5),'Entradas e Saídas'!$D:$D,YEAR('Fluxo de Caixa'!AS$5),'Entradas e Saídas'!$F:$F,'Fluxo de Caixa'!$B25)</f>
        <v>0</v>
      </c>
    </row>
    <row r="26" spans="2:45">
      <c r="E26" s="5"/>
    </row>
    <row r="27" spans="2:45">
      <c r="B27" s="6" t="s">
        <v>172</v>
      </c>
      <c r="C27" s="16">
        <f>SUM(C6:C12)</f>
        <v>-207.2</v>
      </c>
      <c r="D27" s="16">
        <f>SUM(D6:D12)</f>
        <v>294.70999999999998</v>
      </c>
      <c r="E27" s="16">
        <f t="shared" ref="E27:AS27" si="0">SUM(E6:E12)</f>
        <v>74.396000000000001</v>
      </c>
      <c r="F27" s="16">
        <f t="shared" si="0"/>
        <v>504.83000000000004</v>
      </c>
      <c r="G27" s="16">
        <f t="shared" si="0"/>
        <v>197.07</v>
      </c>
      <c r="H27" s="16">
        <f t="shared" si="0"/>
        <v>838.6</v>
      </c>
      <c r="I27" s="16">
        <f t="shared" si="0"/>
        <v>1026.51</v>
      </c>
      <c r="J27" s="16">
        <f t="shared" si="0"/>
        <v>697.26249999999993</v>
      </c>
      <c r="K27" s="16">
        <f t="shared" si="0"/>
        <v>1119.566</v>
      </c>
      <c r="L27" s="16">
        <f t="shared" si="0"/>
        <v>181.04000000000008</v>
      </c>
      <c r="M27" s="16">
        <f t="shared" si="0"/>
        <v>1488.83</v>
      </c>
      <c r="N27" s="16">
        <f t="shared" si="0"/>
        <v>429.05000000000007</v>
      </c>
      <c r="O27" s="16">
        <f t="shared" si="0"/>
        <v>865.61</v>
      </c>
      <c r="P27" s="16">
        <f t="shared" si="0"/>
        <v>800.81</v>
      </c>
      <c r="Q27" s="16">
        <f t="shared" si="0"/>
        <v>44.549999999999955</v>
      </c>
      <c r="R27" s="16">
        <f t="shared" si="0"/>
        <v>900.69</v>
      </c>
      <c r="S27" s="16">
        <f t="shared" si="0"/>
        <v>144</v>
      </c>
      <c r="T27" s="16">
        <f t="shared" si="0"/>
        <v>469.48</v>
      </c>
      <c r="U27" s="16">
        <f t="shared" si="0"/>
        <v>557.67999999999995</v>
      </c>
      <c r="V27" s="16">
        <f t="shared" si="0"/>
        <v>531.30999999999995</v>
      </c>
      <c r="W27" s="16">
        <f t="shared" si="0"/>
        <v>555.1</v>
      </c>
      <c r="X27" s="16">
        <f t="shared" si="0"/>
        <v>263.64999999999998</v>
      </c>
      <c r="Y27" s="16">
        <f t="shared" si="0"/>
        <v>207.03999999999996</v>
      </c>
      <c r="Z27" s="16">
        <f t="shared" si="0"/>
        <v>198.26</v>
      </c>
      <c r="AA27" s="16">
        <f t="shared" si="0"/>
        <v>337.38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si="0"/>
        <v>0</v>
      </c>
      <c r="AQ27" s="16">
        <f t="shared" si="0"/>
        <v>0</v>
      </c>
      <c r="AR27" s="16">
        <f t="shared" si="0"/>
        <v>0</v>
      </c>
      <c r="AS27" s="16">
        <f t="shared" si="0"/>
        <v>0</v>
      </c>
    </row>
    <row r="28" spans="2:45">
      <c r="B28" s="6" t="s">
        <v>173</v>
      </c>
      <c r="C28" s="16">
        <f>C27</f>
        <v>-207.2</v>
      </c>
      <c r="D28" s="16">
        <f t="shared" ref="D28" si="1">C28+D27</f>
        <v>87.509999999999991</v>
      </c>
      <c r="E28" s="16">
        <f t="shared" ref="E28" si="2">D28+E27</f>
        <v>161.90600000000001</v>
      </c>
      <c r="F28" s="16">
        <f t="shared" ref="F28" si="3">E28+F27</f>
        <v>666.7360000000001</v>
      </c>
      <c r="G28" s="16">
        <f t="shared" ref="G28" si="4">F28+G27</f>
        <v>863.80600000000004</v>
      </c>
      <c r="H28" s="16">
        <f t="shared" ref="H28" si="5">G28+H27</f>
        <v>1702.4059999999999</v>
      </c>
      <c r="I28" s="16">
        <f t="shared" ref="I28" si="6">H28+I27</f>
        <v>2728.9160000000002</v>
      </c>
      <c r="J28" s="16">
        <f t="shared" ref="J28" si="7">I28+J27</f>
        <v>3426.1785</v>
      </c>
      <c r="K28" s="16">
        <f t="shared" ref="K28" si="8">J28+K27</f>
        <v>4545.7444999999998</v>
      </c>
      <c r="L28" s="16">
        <f t="shared" ref="L28" si="9">K28+L27</f>
        <v>4726.7844999999998</v>
      </c>
      <c r="M28" s="16">
        <f t="shared" ref="M28" si="10">L28+M27</f>
        <v>6215.6144999999997</v>
      </c>
      <c r="N28" s="16">
        <f t="shared" ref="N28" si="11">M28+N27</f>
        <v>6644.6644999999999</v>
      </c>
      <c r="O28" s="16">
        <f t="shared" ref="O28" si="12">N28+O27</f>
        <v>7510.2744999999995</v>
      </c>
      <c r="P28" s="16">
        <f t="shared" ref="P28" si="13">O28+P27</f>
        <v>8311.084499999999</v>
      </c>
      <c r="Q28" s="16">
        <f t="shared" ref="Q28" si="14">P28+Q27</f>
        <v>8355.6344999999983</v>
      </c>
      <c r="R28" s="16">
        <f t="shared" ref="R28" si="15">Q28+R27</f>
        <v>9256.3244999999988</v>
      </c>
      <c r="S28" s="16">
        <f t="shared" ref="S28" si="16">R28+S27</f>
        <v>9400.3244999999988</v>
      </c>
      <c r="T28" s="16">
        <f t="shared" ref="T28" si="17">S28+T27</f>
        <v>9869.8044999999984</v>
      </c>
      <c r="U28" s="16">
        <f t="shared" ref="U28" si="18">T28+U27</f>
        <v>10427.484499999999</v>
      </c>
      <c r="V28" s="16">
        <f t="shared" ref="V28" si="19">U28+V27</f>
        <v>10958.794499999998</v>
      </c>
      <c r="W28" s="16">
        <f t="shared" ref="W28" si="20">V28+W27</f>
        <v>11513.894499999999</v>
      </c>
      <c r="X28" s="16">
        <f t="shared" ref="X28" si="21">W28+X27</f>
        <v>11777.544499999998</v>
      </c>
      <c r="Y28" s="16">
        <f t="shared" ref="Y28" si="22">X28+Y27</f>
        <v>11984.584499999997</v>
      </c>
      <c r="Z28" s="16">
        <f t="shared" ref="Z28" si="23">Y28+Z27</f>
        <v>12182.844499999997</v>
      </c>
      <c r="AA28" s="16">
        <f t="shared" ref="AA28" si="24">Z28+AA27</f>
        <v>12520.224499999997</v>
      </c>
      <c r="AB28" s="16">
        <f t="shared" ref="AB28" si="25">AA28+AB27</f>
        <v>12520.224499999997</v>
      </c>
      <c r="AC28" s="16">
        <f t="shared" ref="AC28" si="26">AB28+AC27</f>
        <v>12520.224499999997</v>
      </c>
      <c r="AD28" s="16">
        <f t="shared" ref="AD28" si="27">AC28+AD27</f>
        <v>12520.224499999997</v>
      </c>
      <c r="AE28" s="16">
        <f t="shared" ref="AE28" si="28">AD28+AE27</f>
        <v>12520.224499999997</v>
      </c>
      <c r="AF28" s="16">
        <f t="shared" ref="AF28" si="29">AE28+AF27</f>
        <v>12520.224499999997</v>
      </c>
      <c r="AG28" s="16">
        <f t="shared" ref="AG28" si="30">AF28+AG27</f>
        <v>12520.224499999997</v>
      </c>
      <c r="AH28" s="16">
        <f t="shared" ref="AH28" si="31">AG28+AH27</f>
        <v>12520.224499999997</v>
      </c>
      <c r="AI28" s="16">
        <f t="shared" ref="AI28" si="32">AH28+AI27</f>
        <v>12520.224499999997</v>
      </c>
      <c r="AJ28" s="16">
        <f t="shared" ref="AJ28" si="33">AI28+AJ27</f>
        <v>12520.224499999997</v>
      </c>
      <c r="AK28" s="16">
        <f t="shared" ref="AK28" si="34">AJ28+AK27</f>
        <v>12520.224499999997</v>
      </c>
      <c r="AL28" s="16">
        <f t="shared" ref="AL28" si="35">AK28+AL27</f>
        <v>12520.224499999997</v>
      </c>
      <c r="AM28" s="16">
        <f t="shared" ref="AM28" si="36">AL28+AM27</f>
        <v>12520.224499999997</v>
      </c>
      <c r="AN28" s="16">
        <f t="shared" ref="AN28" si="37">AM28+AN27</f>
        <v>12520.224499999997</v>
      </c>
      <c r="AO28" s="16">
        <f t="shared" ref="AO28" si="38">AN28+AO27</f>
        <v>12520.224499999997</v>
      </c>
      <c r="AP28" s="16">
        <f t="shared" ref="AP28" si="39">AO28+AP27</f>
        <v>12520.224499999997</v>
      </c>
      <c r="AQ28" s="16">
        <f t="shared" ref="AQ28" si="40">AP28+AQ27</f>
        <v>12520.224499999997</v>
      </c>
      <c r="AR28" s="16">
        <f t="shared" ref="AR28" si="41">AQ28+AR27</f>
        <v>12520.224499999997</v>
      </c>
      <c r="AS28" s="16">
        <f t="shared" ref="AS28" si="42">AR28+AS27</f>
        <v>12520.224499999997</v>
      </c>
    </row>
    <row r="30" spans="2:45">
      <c r="H30" s="5"/>
      <c r="O30" s="5"/>
    </row>
    <row r="31" spans="2:45">
      <c r="H31" s="17"/>
    </row>
    <row r="34" spans="13:13">
      <c r="M34" s="5"/>
    </row>
  </sheetData>
  <mergeCells count="1">
    <mergeCell ref="B4:B5"/>
  </mergeCells>
  <conditionalFormatting sqref="C6:AS25 C27:AS28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7783-BD33-4685-A9FB-2C7BCB032F1A}">
  <sheetPr>
    <tabColor theme="4" tint="-0.249977111117893"/>
  </sheetPr>
  <dimension ref="B1:AT19"/>
  <sheetViews>
    <sheetView showGridLines="0" zoomScale="90" zoomScaleNormal="90" workbookViewId="0">
      <selection activeCell="G12" sqref="G12"/>
    </sheetView>
  </sheetViews>
  <sheetFormatPr defaultRowHeight="14.45"/>
  <cols>
    <col min="1" max="1" width="2.42578125" customWidth="1"/>
    <col min="2" max="2" width="26.28515625" bestFit="1" customWidth="1"/>
    <col min="3" max="45" width="15" customWidth="1"/>
  </cols>
  <sheetData>
    <row r="1" spans="2:46" ht="4.9000000000000004" customHeight="1"/>
    <row r="2" spans="2:46" ht="31.15">
      <c r="B2" s="1" t="s">
        <v>174</v>
      </c>
      <c r="C2" s="2"/>
      <c r="D2" s="1"/>
      <c r="E2" s="1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2:46" ht="4.9000000000000004" customHeight="1"/>
    <row r="4" spans="2:46">
      <c r="B4" s="35" t="s">
        <v>175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2:46" ht="15.6">
      <c r="B5" s="36"/>
      <c r="C5" s="13">
        <v>44166</v>
      </c>
      <c r="D5" s="13">
        <v>44197</v>
      </c>
      <c r="E5" s="13">
        <v>44228</v>
      </c>
      <c r="F5" s="13">
        <v>44256</v>
      </c>
      <c r="G5" s="13">
        <v>44287</v>
      </c>
      <c r="H5" s="13">
        <v>44317</v>
      </c>
      <c r="I5" s="13">
        <v>44348</v>
      </c>
      <c r="J5" s="13">
        <v>44378</v>
      </c>
      <c r="K5" s="13">
        <v>44409</v>
      </c>
      <c r="L5" s="13">
        <v>44440</v>
      </c>
      <c r="M5" s="13">
        <v>44470</v>
      </c>
      <c r="N5" s="13">
        <v>44501</v>
      </c>
      <c r="O5" s="13">
        <v>44531</v>
      </c>
      <c r="P5" s="13">
        <v>44562</v>
      </c>
      <c r="Q5" s="13">
        <v>44593</v>
      </c>
      <c r="R5" s="13">
        <v>44621</v>
      </c>
      <c r="S5" s="13">
        <v>44652</v>
      </c>
      <c r="T5" s="13">
        <v>44682</v>
      </c>
      <c r="U5" s="13">
        <v>44713</v>
      </c>
      <c r="V5" s="13">
        <v>44743</v>
      </c>
      <c r="W5" s="13">
        <v>44774</v>
      </c>
      <c r="X5" s="13">
        <v>44805</v>
      </c>
      <c r="Y5" s="13">
        <v>44835</v>
      </c>
      <c r="Z5" s="13">
        <v>44866</v>
      </c>
      <c r="AA5" s="13">
        <v>44896</v>
      </c>
      <c r="AB5" s="13">
        <v>44927</v>
      </c>
      <c r="AC5" s="13">
        <v>44958</v>
      </c>
      <c r="AD5" s="13">
        <v>44986</v>
      </c>
      <c r="AE5" s="13">
        <v>45017</v>
      </c>
      <c r="AF5" s="13">
        <v>45047</v>
      </c>
      <c r="AG5" s="13">
        <v>45078</v>
      </c>
      <c r="AH5" s="13">
        <v>45108</v>
      </c>
      <c r="AI5" s="13">
        <v>45139</v>
      </c>
      <c r="AJ5" s="13">
        <v>45170</v>
      </c>
      <c r="AK5" s="13">
        <v>45200</v>
      </c>
      <c r="AL5" s="13">
        <v>45231</v>
      </c>
      <c r="AM5" s="13">
        <v>45261</v>
      </c>
      <c r="AN5" s="13">
        <v>45292</v>
      </c>
      <c r="AO5" s="13">
        <v>45323</v>
      </c>
      <c r="AP5" s="13">
        <v>45352</v>
      </c>
      <c r="AQ5" s="13">
        <v>45383</v>
      </c>
      <c r="AR5" s="13">
        <v>45413</v>
      </c>
      <c r="AS5" s="13">
        <v>45444</v>
      </c>
    </row>
    <row r="6" spans="2:46" ht="15.6">
      <c r="B6" s="15" t="str">
        <f>IF(Produtos!B5="","-",Produtos!B5)</f>
        <v>Brigadeiro Chocolate</v>
      </c>
      <c r="C6" s="33">
        <v>2000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2">
        <f>SUM(C6:AS6)</f>
        <v>2000</v>
      </c>
    </row>
    <row r="7" spans="2:46" ht="15.6">
      <c r="B7" s="15" t="str">
        <f>IF(Produtos!B6="","-",Produtos!B6)</f>
        <v>Brigadeiro Coco</v>
      </c>
      <c r="C7" s="33">
        <v>1000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2">
        <f t="shared" ref="AT7:AT19" si="0">SUM(C7:AS7)</f>
        <v>1000</v>
      </c>
    </row>
    <row r="8" spans="2:46" ht="15.6">
      <c r="B8" s="15" t="str">
        <f>IF(Produtos!B7="","-",Produtos!B7)</f>
        <v>Brigadeiro Café</v>
      </c>
      <c r="C8" s="33">
        <v>1000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2">
        <f t="shared" si="0"/>
        <v>1000</v>
      </c>
    </row>
    <row r="9" spans="2:46" ht="15.6">
      <c r="B9" s="15" t="str">
        <f>IF(Produtos!B8="","-",Produtos!B8)</f>
        <v>Brigadeiro Nozes</v>
      </c>
      <c r="C9" s="33">
        <v>1000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2">
        <f t="shared" si="0"/>
        <v>1000</v>
      </c>
    </row>
    <row r="10" spans="2:46" ht="15.6">
      <c r="B10" s="15" t="str">
        <f>IF(Produtos!B9="","-",Produtos!B9)</f>
        <v>Brigadeiro Churros</v>
      </c>
      <c r="C10" s="33">
        <v>1000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2">
        <f t="shared" si="0"/>
        <v>1000</v>
      </c>
    </row>
    <row r="11" spans="2:46" ht="15.6">
      <c r="B11" s="15" t="str">
        <f>IF(Produtos!B10="","-",Produtos!B10)</f>
        <v>Brigadeiro Paçoca</v>
      </c>
      <c r="C11" s="33">
        <v>1000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2">
        <f t="shared" si="0"/>
        <v>1000</v>
      </c>
    </row>
    <row r="12" spans="2:46" ht="15.6">
      <c r="B12" s="15" t="str">
        <f>IF(Produtos!B11="","-",Produtos!B11)</f>
        <v>Brigadeiro Limão</v>
      </c>
      <c r="C12" s="33">
        <v>1000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2">
        <f t="shared" si="0"/>
        <v>1000</v>
      </c>
    </row>
    <row r="13" spans="2:46" ht="15.6">
      <c r="B13" s="15" t="str">
        <f>IF(Produtos!B12="","-",Produtos!B12)</f>
        <v>-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2">
        <f t="shared" si="0"/>
        <v>0</v>
      </c>
    </row>
    <row r="14" spans="2:46" ht="15.6">
      <c r="B14" s="15" t="str">
        <f>IF(Produtos!B13="","-",Produtos!B13)</f>
        <v>-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2">
        <f t="shared" si="0"/>
        <v>0</v>
      </c>
    </row>
    <row r="15" spans="2:46" ht="15.6">
      <c r="B15" s="15" t="str">
        <f>IF(Produtos!B14="","-",Produtos!B14)</f>
        <v>-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2">
        <f t="shared" si="0"/>
        <v>0</v>
      </c>
    </row>
    <row r="16" spans="2:46" ht="15.6">
      <c r="B16" s="15" t="str">
        <f>IF(Produtos!B15="","-",Produtos!B15)</f>
        <v>-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2">
        <f t="shared" si="0"/>
        <v>0</v>
      </c>
    </row>
    <row r="17" spans="2:46" ht="15.6">
      <c r="B17" s="15" t="str">
        <f>IF(Produtos!B16="","-",Produtos!B16)</f>
        <v>-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2">
        <f t="shared" si="0"/>
        <v>0</v>
      </c>
    </row>
    <row r="18" spans="2:46" ht="15.6">
      <c r="B18" s="15" t="str">
        <f>IF(Produtos!B17="","-",Produtos!B17)</f>
        <v>-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2">
        <f t="shared" si="0"/>
        <v>0</v>
      </c>
    </row>
    <row r="19" spans="2:46" ht="15.6">
      <c r="B19" s="15" t="str">
        <f>IF(Produtos!B18="","-",Produtos!B18)</f>
        <v>-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2">
        <f t="shared" si="0"/>
        <v>0</v>
      </c>
    </row>
  </sheetData>
  <mergeCells count="1">
    <mergeCell ref="B4:B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BE65-A12F-4EB0-8D05-EF7F1031D9C6}">
  <sheetPr codeName="Plan14">
    <tabColor theme="4" tint="-0.249977111117893"/>
  </sheetPr>
  <dimension ref="B1:K112"/>
  <sheetViews>
    <sheetView showGridLines="0" zoomScale="115" zoomScaleNormal="115" workbookViewId="0">
      <pane xSplit="2" ySplit="4" topLeftCell="C5" activePane="bottomRight" state="frozen"/>
      <selection pane="bottomRight" activeCell="E20" sqref="E20"/>
      <selection pane="bottomLeft" activeCell="A5" sqref="A5"/>
      <selection pane="topRight" activeCell="E1" sqref="E1"/>
    </sheetView>
  </sheetViews>
  <sheetFormatPr defaultRowHeight="14.45"/>
  <cols>
    <col min="1" max="1" width="2.42578125" customWidth="1"/>
    <col min="2" max="2" width="35.42578125" bestFit="1" customWidth="1"/>
    <col min="3" max="3" width="8.7109375" bestFit="1" customWidth="1"/>
    <col min="4" max="4" width="16.85546875" bestFit="1" customWidth="1"/>
    <col min="5" max="5" width="15.140625" bestFit="1" customWidth="1"/>
    <col min="6" max="6" width="15.140625" customWidth="1"/>
    <col min="7" max="8" width="21.85546875" customWidth="1"/>
    <col min="10" max="10" width="11.7109375" bestFit="1" customWidth="1"/>
  </cols>
  <sheetData>
    <row r="1" spans="2:11" ht="4.9000000000000004" customHeight="1">
      <c r="G1" s="4"/>
      <c r="H1" s="4"/>
    </row>
    <row r="2" spans="2:11" ht="19.5" customHeight="1">
      <c r="B2" s="28" t="s">
        <v>176</v>
      </c>
      <c r="C2" s="1"/>
      <c r="D2" s="2"/>
      <c r="E2" s="2"/>
      <c r="F2" s="2"/>
    </row>
    <row r="3" spans="2:11" ht="4.9000000000000004" customHeight="1"/>
    <row r="4" spans="2:11" ht="31.15">
      <c r="B4" s="30" t="s">
        <v>0</v>
      </c>
      <c r="C4" s="30" t="s">
        <v>177</v>
      </c>
      <c r="D4" s="30" t="s">
        <v>178</v>
      </c>
      <c r="E4" s="30" t="s">
        <v>179</v>
      </c>
      <c r="F4" s="30" t="s">
        <v>180</v>
      </c>
    </row>
    <row r="5" spans="2:11">
      <c r="B5" s="6" t="str">
        <f>IFERROR(Tabela2[[#This Row],[Materiais]],"-")</f>
        <v>Açucar cristal</v>
      </c>
      <c r="C5" s="6" t="str">
        <f>IFERROR(VLOOKUP(B5,Materiais!B:C,2,0),"-")</f>
        <v>g</v>
      </c>
      <c r="D5" s="29">
        <f>IFERROR(SUMIFS('Entradas e Saídas'!H:H,'Entradas e Saídas'!F:F,Estoque!B5),"-")</f>
        <v>5000</v>
      </c>
      <c r="E5" s="7">
        <f>SUMIFS(Produtos!F:F,Produtos!D:D,Estoque!B5)+SUMIFS(Produtos!J:J,Produtos!H:H,Estoque!B5)+SUMIFS(Produtos!N:N,Produtos!L:L,Estoque!B5)+SUMIFS(Produtos!R:R,Produtos!P:P,Estoque!B5)+SUMIFS(Produtos!V:V,Produtos!T:T,Estoque!B5)+SUMIFS(Produtos!Z:Z,Produtos!X:X,Estoque!B5)+SUMIFS(Produtos!AD:AD,Produtos!AB:AB,Estoque!B5)</f>
        <v>350.90909090909088</v>
      </c>
      <c r="F5" s="31">
        <f>D5-E5</f>
        <v>4649.090909090909</v>
      </c>
    </row>
    <row r="6" spans="2:11">
      <c r="B6" s="6" t="str">
        <f>IFERROR(Tabela2[[#This Row],[Materiais]],"-")</f>
        <v>Amendoim moído</v>
      </c>
      <c r="C6" s="6" t="str">
        <f>IFERROR(VLOOKUP(B6,Materiais!B:C,2,0),"-")</f>
        <v>g</v>
      </c>
      <c r="D6" s="29">
        <f>IFERROR(SUMIFS('Entradas e Saídas'!H:H,'Entradas e Saídas'!F:F,Estoque!B6),"-")</f>
        <v>3246</v>
      </c>
      <c r="E6" s="7">
        <f>SUMIFS(Produtos!F:F,Produtos!D:D,Estoque!B6)+SUMIFS(Produtos!J:J,Produtos!H:H,Estoque!B6)+SUMIFS(Produtos!N:N,Produtos!L:L,Estoque!B6)+SUMIFS(Produtos!R:R,Produtos!P:P,Estoque!B6)+SUMIFS(Produtos!V:V,Produtos!T:T,Estoque!B6)+SUMIFS(Produtos!Z:Z,Produtos!X:X,Estoque!B6)+SUMIFS(Produtos!AD:AD,Produtos!AB:AB,Estoque!B6)</f>
        <v>100</v>
      </c>
      <c r="F6" s="31">
        <f t="shared" ref="F6:F69" si="0">D6-E6</f>
        <v>3146</v>
      </c>
      <c r="H6" s="8"/>
      <c r="I6" s="9"/>
      <c r="J6" s="8"/>
      <c r="K6" s="8"/>
    </row>
    <row r="7" spans="2:11">
      <c r="B7" s="6" t="str">
        <f>IFERROR(Tabela2[[#This Row],[Materiais]],"-")</f>
        <v>Amendoim picado</v>
      </c>
      <c r="C7" s="6" t="str">
        <f>IFERROR(VLOOKUP(B7,Materiais!B:C,2,0),"-")</f>
        <v>g</v>
      </c>
      <c r="D7" s="29">
        <f>IFERROR(SUMIFS('Entradas e Saídas'!H:H,'Entradas e Saídas'!F:F,Estoque!B7),"-")</f>
        <v>461</v>
      </c>
      <c r="E7" s="7">
        <f>SUMIFS(Produtos!F:F,Produtos!D:D,Estoque!B7)+SUMIFS(Produtos!J:J,Produtos!H:H,Estoque!B7)+SUMIFS(Produtos!N:N,Produtos!L:L,Estoque!B7)+SUMIFS(Produtos!R:R,Produtos!P:P,Estoque!B7)+SUMIFS(Produtos!V:V,Produtos!T:T,Estoque!B7)+SUMIFS(Produtos!Z:Z,Produtos!X:X,Estoque!B7)+SUMIFS(Produtos!AD:AD,Produtos!AB:AB,Estoque!B7)</f>
        <v>100</v>
      </c>
      <c r="F7" s="31">
        <f t="shared" si="0"/>
        <v>361</v>
      </c>
      <c r="H7" s="9"/>
      <c r="I7" s="9"/>
      <c r="J7" s="8"/>
      <c r="K7" s="8"/>
    </row>
    <row r="8" spans="2:11">
      <c r="B8" s="6" t="str">
        <f>IFERROR(Tabela2[[#This Row],[Materiais]],"-")</f>
        <v>Barra chocolate amargo SICAO</v>
      </c>
      <c r="C8" s="6" t="str">
        <f>IFERROR(VLOOKUP(B8,Materiais!B:C,2,0),"-")</f>
        <v>g</v>
      </c>
      <c r="D8" s="29">
        <f>IFERROR(SUMIFS('Entradas e Saídas'!H:H,'Entradas e Saídas'!F:F,Estoque!B8),"-")</f>
        <v>3210</v>
      </c>
      <c r="E8" s="7">
        <f>SUMIFS(Produtos!F:F,Produtos!D:D,Estoque!B8)+SUMIFS(Produtos!J:J,Produtos!H:H,Estoque!B8)+SUMIFS(Produtos!N:N,Produtos!L:L,Estoque!B8)+SUMIFS(Produtos!R:R,Produtos!P:P,Estoque!B8)+SUMIFS(Produtos!V:V,Produtos!T:T,Estoque!B8)+SUMIFS(Produtos!Z:Z,Produtos!X:X,Estoque!B8)+SUMIFS(Produtos!AD:AD,Produtos!AB:AB,Estoque!B8)</f>
        <v>786.66666666666663</v>
      </c>
      <c r="F8" s="31">
        <f t="shared" si="0"/>
        <v>2423.3333333333335</v>
      </c>
      <c r="H8" s="8"/>
      <c r="I8" s="8"/>
      <c r="J8" s="8"/>
      <c r="K8" s="8"/>
    </row>
    <row r="9" spans="2:11">
      <c r="B9" s="6" t="str">
        <f>IFERROR(Tabela2[[#This Row],[Materiais]],"-")</f>
        <v>Barra chocolate branco SICAO</v>
      </c>
      <c r="C9" s="6" t="str">
        <f>IFERROR(VLOOKUP(B9,Materiais!B:C,2,0),"-")</f>
        <v>g</v>
      </c>
      <c r="D9" s="29">
        <f>IFERROR(SUMIFS('Entradas e Saídas'!H:H,'Entradas e Saídas'!F:F,Estoque!B9),"-")</f>
        <v>2050</v>
      </c>
      <c r="E9" s="7">
        <f>SUMIFS(Produtos!F:F,Produtos!D:D,Estoque!B9)+SUMIFS(Produtos!J:J,Produtos!H:H,Estoque!B9)+SUMIFS(Produtos!N:N,Produtos!L:L,Estoque!B9)+SUMIFS(Produtos!R:R,Produtos!P:P,Estoque!B9)+SUMIFS(Produtos!V:V,Produtos!T:T,Estoque!B9)+SUMIFS(Produtos!Z:Z,Produtos!X:X,Estoque!B9)+SUMIFS(Produtos!AD:AD,Produtos!AB:AB,Estoque!B9)</f>
        <v>127.27272727272728</v>
      </c>
      <c r="F9" s="31">
        <f t="shared" si="0"/>
        <v>1922.7272727272727</v>
      </c>
      <c r="H9" s="9"/>
      <c r="I9" s="8"/>
      <c r="J9" s="8"/>
      <c r="K9" s="8"/>
    </row>
    <row r="10" spans="2:11">
      <c r="B10" s="6" t="str">
        <f>IFERROR(Tabela2[[#This Row],[Materiais]],"-")</f>
        <v>Cacau em pó</v>
      </c>
      <c r="C10" s="6" t="str">
        <f>IFERROR(VLOOKUP(B10,Materiais!B:C,2,0),"-")</f>
        <v>g</v>
      </c>
      <c r="D10" s="29">
        <f>IFERROR(SUMIFS('Entradas e Saídas'!H:H,'Entradas e Saídas'!F:F,Estoque!B10),"-")</f>
        <v>1005</v>
      </c>
      <c r="E10" s="7">
        <f>SUMIFS(Produtos!F:F,Produtos!D:D,Estoque!B10)+SUMIFS(Produtos!J:J,Produtos!H:H,Estoque!B10)+SUMIFS(Produtos!N:N,Produtos!L:L,Estoque!B10)+SUMIFS(Produtos!R:R,Produtos!P:P,Estoque!B10)+SUMIFS(Produtos!V:V,Produtos!T:T,Estoque!B10)+SUMIFS(Produtos!Z:Z,Produtos!X:X,Estoque!B10)+SUMIFS(Produtos!AD:AD,Produtos!AB:AB,Estoque!B10)</f>
        <v>20</v>
      </c>
      <c r="F10" s="31">
        <f t="shared" si="0"/>
        <v>985</v>
      </c>
    </row>
    <row r="11" spans="2:11">
      <c r="B11" s="6" t="str">
        <f>IFERROR(Tabela2[[#This Row],[Materiais]],"-")</f>
        <v>Café soluvel</v>
      </c>
      <c r="C11" s="6" t="str">
        <f>IFERROR(VLOOKUP(B11,Materiais!B:C,2,0),"-")</f>
        <v>g</v>
      </c>
      <c r="D11" s="29">
        <f>IFERROR(SUMIFS('Entradas e Saídas'!H:H,'Entradas e Saídas'!F:F,Estoque!B11),"-")</f>
        <v>0</v>
      </c>
      <c r="E11" s="7">
        <f>SUMIFS(Produtos!F:F,Produtos!D:D,Estoque!B11)+SUMIFS(Produtos!J:J,Produtos!H:H,Estoque!B11)+SUMIFS(Produtos!N:N,Produtos!L:L,Estoque!B11)+SUMIFS(Produtos!R:R,Produtos!P:P,Estoque!B11)+SUMIFS(Produtos!V:V,Produtos!T:T,Estoque!B11)+SUMIFS(Produtos!Z:Z,Produtos!X:X,Estoque!B11)+SUMIFS(Produtos!AD:AD,Produtos!AB:AB,Estoque!B11)</f>
        <v>10</v>
      </c>
      <c r="F11" s="31">
        <f t="shared" si="0"/>
        <v>-10</v>
      </c>
    </row>
    <row r="12" spans="2:11">
      <c r="B12" s="6" t="str">
        <f>IFERROR(Tabela2[[#This Row],[Materiais]],"-")</f>
        <v>Canela</v>
      </c>
      <c r="C12" s="6" t="str">
        <f>IFERROR(VLOOKUP(B12,Materiais!B:C,2,0),"-")</f>
        <v>g</v>
      </c>
      <c r="D12" s="29">
        <f>IFERROR(SUMIFS('Entradas e Saídas'!H:H,'Entradas e Saídas'!F:F,Estoque!B12),"-")</f>
        <v>185</v>
      </c>
      <c r="E12" s="7">
        <f>SUMIFS(Produtos!F:F,Produtos!D:D,Estoque!B12)+SUMIFS(Produtos!J:J,Produtos!H:H,Estoque!B12)+SUMIFS(Produtos!N:N,Produtos!L:L,Estoque!B12)+SUMIFS(Produtos!R:R,Produtos!P:P,Estoque!B12)+SUMIFS(Produtos!V:V,Produtos!T:T,Estoque!B12)+SUMIFS(Produtos!Z:Z,Produtos!X:X,Estoque!B12)+SUMIFS(Produtos!AD:AD,Produtos!AB:AB,Estoque!B12)</f>
        <v>4</v>
      </c>
      <c r="F12" s="31">
        <f t="shared" si="0"/>
        <v>181</v>
      </c>
    </row>
    <row r="13" spans="2:11">
      <c r="B13" s="6" t="str">
        <f>IFERROR(Tabela2[[#This Row],[Materiais]],"-")</f>
        <v>Chocolate em pó</v>
      </c>
      <c r="C13" s="6" t="str">
        <f>IFERROR(VLOOKUP(B13,Materiais!B:C,2,0),"-")</f>
        <v>g</v>
      </c>
      <c r="D13" s="29">
        <f>IFERROR(SUMIFS('Entradas e Saídas'!H:H,'Entradas e Saídas'!F:F,Estoque!B13),"-")</f>
        <v>600</v>
      </c>
      <c r="E13" s="7">
        <f>SUMIFS(Produtos!F:F,Produtos!D:D,Estoque!B13)+SUMIFS(Produtos!J:J,Produtos!H:H,Estoque!B13)+SUMIFS(Produtos!N:N,Produtos!L:L,Estoque!B13)+SUMIFS(Produtos!R:R,Produtos!P:P,Estoque!B13)+SUMIFS(Produtos!V:V,Produtos!T:T,Estoque!B13)+SUMIFS(Produtos!Z:Z,Produtos!X:X,Estoque!B13)+SUMIFS(Produtos!AD:AD,Produtos!AB:AB,Estoque!B13)</f>
        <v>30</v>
      </c>
      <c r="F13" s="31">
        <f t="shared" si="0"/>
        <v>570</v>
      </c>
    </row>
    <row r="14" spans="2:11">
      <c r="B14" s="6" t="str">
        <f>IFERROR(Tabela2[[#This Row],[Materiais]],"-")</f>
        <v>Côco ralado fino</v>
      </c>
      <c r="C14" s="6" t="str">
        <f>IFERROR(VLOOKUP(B14,Materiais!B:C,2,0),"-")</f>
        <v>g</v>
      </c>
      <c r="D14" s="29">
        <f>IFERROR(SUMIFS('Entradas e Saídas'!H:H,'Entradas e Saídas'!F:F,Estoque!B14),"-")</f>
        <v>1946</v>
      </c>
      <c r="E14" s="7">
        <f>SUMIFS(Produtos!F:F,Produtos!D:D,Estoque!B14)+SUMIFS(Produtos!J:J,Produtos!H:H,Estoque!B14)+SUMIFS(Produtos!N:N,Produtos!L:L,Estoque!B14)+SUMIFS(Produtos!R:R,Produtos!P:P,Estoque!B14)+SUMIFS(Produtos!V:V,Produtos!T:T,Estoque!B14)+SUMIFS(Produtos!Z:Z,Produtos!X:X,Estoque!B14)+SUMIFS(Produtos!AD:AD,Produtos!AB:AB,Estoque!B14)</f>
        <v>90.909090909090907</v>
      </c>
      <c r="F14" s="31">
        <f t="shared" si="0"/>
        <v>1855.090909090909</v>
      </c>
    </row>
    <row r="15" spans="2:11">
      <c r="B15" s="6" t="str">
        <f>IFERROR(Tabela2[[#This Row],[Materiais]],"-")</f>
        <v>Côco ralado grosso</v>
      </c>
      <c r="C15" s="6" t="str">
        <f>IFERROR(VLOOKUP(B15,Materiais!B:C,2,0),"-")</f>
        <v>g</v>
      </c>
      <c r="D15" s="29">
        <f>IFERROR(SUMIFS('Entradas e Saídas'!H:H,'Entradas e Saídas'!F:F,Estoque!B15),"-")</f>
        <v>2725.5</v>
      </c>
      <c r="E15" s="7">
        <f>SUMIFS(Produtos!F:F,Produtos!D:D,Estoque!B15)+SUMIFS(Produtos!J:J,Produtos!H:H,Estoque!B15)+SUMIFS(Produtos!N:N,Produtos!L:L,Estoque!B15)+SUMIFS(Produtos!R:R,Produtos!P:P,Estoque!B15)+SUMIFS(Produtos!V:V,Produtos!T:T,Estoque!B15)+SUMIFS(Produtos!Z:Z,Produtos!X:X,Estoque!B15)+SUMIFS(Produtos!AD:AD,Produtos!AB:AB,Estoque!B15)</f>
        <v>109.09090909090909</v>
      </c>
      <c r="F15" s="31">
        <f t="shared" si="0"/>
        <v>2616.409090909091</v>
      </c>
    </row>
    <row r="16" spans="2:11">
      <c r="B16" s="6" t="str">
        <f>IFERROR(Tabela2[[#This Row],[Materiais]],"-")</f>
        <v>Creme de leite</v>
      </c>
      <c r="C16" s="6" t="str">
        <f>IFERROR(VLOOKUP(B16,Materiais!B:C,2,0),"-")</f>
        <v>g</v>
      </c>
      <c r="D16" s="29">
        <f>IFERROR(SUMIFS('Entradas e Saídas'!H:H,'Entradas e Saídas'!F:F,Estoque!B16),"-")</f>
        <v>6200</v>
      </c>
      <c r="E16" s="7">
        <f>SUMIFS(Produtos!F:F,Produtos!D:D,Estoque!B16)+SUMIFS(Produtos!J:J,Produtos!H:H,Estoque!B16)+SUMIFS(Produtos!N:N,Produtos!L:L,Estoque!B16)+SUMIFS(Produtos!R:R,Produtos!P:P,Estoque!B16)+SUMIFS(Produtos!V:V,Produtos!T:T,Estoque!B16)+SUMIFS(Produtos!Z:Z,Produtos!X:X,Estoque!B16)+SUMIFS(Produtos!AD:AD,Produtos!AB:AB,Estoque!B16)</f>
        <v>357.57575757575756</v>
      </c>
      <c r="F16" s="31">
        <f t="shared" si="0"/>
        <v>5842.424242424242</v>
      </c>
    </row>
    <row r="17" spans="2:6">
      <c r="B17" s="6" t="str">
        <f>IFERROR(Tabela2[[#This Row],[Materiais]],"-")</f>
        <v>Doce de leite cremoso</v>
      </c>
      <c r="C17" s="6" t="str">
        <f>IFERROR(VLOOKUP(B17,Materiais!B:C,2,0),"-")</f>
        <v>g</v>
      </c>
      <c r="D17" s="29">
        <f>IFERROR(SUMIFS('Entradas e Saídas'!H:H,'Entradas e Saídas'!F:F,Estoque!B17),"-")</f>
        <v>2225</v>
      </c>
      <c r="E17" s="7">
        <f>SUMIFS(Produtos!F:F,Produtos!D:D,Estoque!B17)+SUMIFS(Produtos!J:J,Produtos!H:H,Estoque!B17)+SUMIFS(Produtos!N:N,Produtos!L:L,Estoque!B17)+SUMIFS(Produtos!R:R,Produtos!P:P,Estoque!B17)+SUMIFS(Produtos!V:V,Produtos!T:T,Estoque!B17)+SUMIFS(Produtos!Z:Z,Produtos!X:X,Estoque!B17)+SUMIFS(Produtos!AD:AD,Produtos!AB:AB,Estoque!B17)</f>
        <v>60</v>
      </c>
      <c r="F17" s="31">
        <f t="shared" si="0"/>
        <v>2165</v>
      </c>
    </row>
    <row r="18" spans="2:6">
      <c r="B18" s="6" t="str">
        <f>IFERROR(Tabela2[[#This Row],[Materiais]],"-")</f>
        <v>Farinha de trigo</v>
      </c>
      <c r="C18" s="6" t="str">
        <f>IFERROR(VLOOKUP(B18,Materiais!B:C,2,0),"-")</f>
        <v>g</v>
      </c>
      <c r="D18" s="29">
        <f>IFERROR(SUMIFS('Entradas e Saídas'!H:H,'Entradas e Saídas'!F:F,Estoque!B18),"-")</f>
        <v>1000</v>
      </c>
      <c r="E18" s="7">
        <f>SUMIFS(Produtos!F:F,Produtos!D:D,Estoque!B18)+SUMIFS(Produtos!J:J,Produtos!H:H,Estoque!B18)+SUMIFS(Produtos!N:N,Produtos!L:L,Estoque!B18)+SUMIFS(Produtos!R:R,Produtos!P:P,Estoque!B18)+SUMIFS(Produtos!V:V,Produtos!T:T,Estoque!B18)+SUMIFS(Produtos!Z:Z,Produtos!X:X,Estoque!B18)+SUMIFS(Produtos!AD:AD,Produtos!AB:AB,Estoque!B18)</f>
        <v>30</v>
      </c>
      <c r="F18" s="31">
        <f t="shared" si="0"/>
        <v>970</v>
      </c>
    </row>
    <row r="19" spans="2:6">
      <c r="B19" s="6" t="str">
        <f>IFERROR(Tabela2[[#This Row],[Materiais]],"-")</f>
        <v>Leite condensado</v>
      </c>
      <c r="C19" s="6" t="str">
        <f>IFERROR(VLOOKUP(B19,Materiais!B:C,2,0),"-")</f>
        <v>g</v>
      </c>
      <c r="D19" s="29">
        <f>IFERROR(SUMIFS('Entradas e Saídas'!H:H,'Entradas e Saídas'!F:F,Estoque!B19),"-")</f>
        <v>147738</v>
      </c>
      <c r="E19" s="7">
        <f>SUMIFS(Produtos!F:F,Produtos!D:D,Estoque!B19)+SUMIFS(Produtos!J:J,Produtos!H:H,Estoque!B19)+SUMIFS(Produtos!N:N,Produtos!L:L,Estoque!B19)+SUMIFS(Produtos!R:R,Produtos!P:P,Estoque!B19)+SUMIFS(Produtos!V:V,Produtos!T:T,Estoque!B19)+SUMIFS(Produtos!Z:Z,Produtos!X:X,Estoque!B19)+SUMIFS(Produtos!AD:AD,Produtos!AB:AB,Estoque!B19)</f>
        <v>5913.030303030303</v>
      </c>
      <c r="F19" s="31">
        <f t="shared" si="0"/>
        <v>141824.9696969697</v>
      </c>
    </row>
    <row r="20" spans="2:6">
      <c r="B20" s="6" t="str">
        <f>IFERROR(Tabela2[[#This Row],[Materiais]],"-")</f>
        <v>Limão</v>
      </c>
      <c r="C20" s="6" t="str">
        <f>IFERROR(VLOOKUP(B20,Materiais!B:C,2,0),"-")</f>
        <v>g</v>
      </c>
      <c r="D20" s="29">
        <f>IFERROR(SUMIFS('Entradas e Saídas'!H:H,'Entradas e Saídas'!F:F,Estoque!B20),"-")</f>
        <v>938</v>
      </c>
      <c r="E20" s="7">
        <f>SUMIFS(Produtos!F:F,Produtos!D:D,Estoque!B20)+SUMIFS(Produtos!J:J,Produtos!H:H,Estoque!B20)+SUMIFS(Produtos!N:N,Produtos!L:L,Estoque!B20)+SUMIFS(Produtos!R:R,Produtos!P:P,Estoque!B20)+SUMIFS(Produtos!V:V,Produtos!T:T,Estoque!B20)+SUMIFS(Produtos!Z:Z,Produtos!X:X,Estoque!B20)+SUMIFS(Produtos!AD:AD,Produtos!AB:AB,Estoque!B20)</f>
        <v>90.909090909090907</v>
      </c>
      <c r="F20" s="31">
        <f t="shared" si="0"/>
        <v>847.09090909090912</v>
      </c>
    </row>
    <row r="21" spans="2:6">
      <c r="B21" s="6" t="str">
        <f>IFERROR(Tabela2[[#This Row],[Materiais]],"-")</f>
        <v>Manteiga sem sal</v>
      </c>
      <c r="C21" s="6" t="str">
        <f>IFERROR(VLOOKUP(B21,Materiais!B:C,2,0),"-")</f>
        <v>g</v>
      </c>
      <c r="D21" s="29">
        <f>IFERROR(SUMIFS('Entradas e Saídas'!H:H,'Entradas e Saídas'!F:F,Estoque!B21),"-")</f>
        <v>5100</v>
      </c>
      <c r="E21" s="7">
        <f>SUMIFS(Produtos!F:F,Produtos!D:D,Estoque!B21)+SUMIFS(Produtos!J:J,Produtos!H:H,Estoque!B21)+SUMIFS(Produtos!N:N,Produtos!L:L,Estoque!B21)+SUMIFS(Produtos!R:R,Produtos!P:P,Estoque!B21)+SUMIFS(Produtos!V:V,Produtos!T:T,Estoque!B21)+SUMIFS(Produtos!Z:Z,Produtos!X:X,Estoque!B21)+SUMIFS(Produtos!AD:AD,Produtos!AB:AB,Estoque!B21)</f>
        <v>224.54545454545456</v>
      </c>
      <c r="F21" s="31">
        <f t="shared" si="0"/>
        <v>4875.454545454545</v>
      </c>
    </row>
    <row r="22" spans="2:6">
      <c r="B22" s="6" t="str">
        <f>IFERROR(Tabela2[[#This Row],[Materiais]],"-")</f>
        <v>Nozes moída</v>
      </c>
      <c r="C22" s="6" t="str">
        <f>IFERROR(VLOOKUP(B22,Materiais!B:C,2,0),"-")</f>
        <v>g</v>
      </c>
      <c r="D22" s="29">
        <f>IFERROR(SUMIFS('Entradas e Saídas'!H:H,'Entradas e Saídas'!F:F,Estoque!B22),"-")</f>
        <v>0</v>
      </c>
      <c r="E22" s="7">
        <f>SUMIFS(Produtos!F:F,Produtos!D:D,Estoque!B22)+SUMIFS(Produtos!J:J,Produtos!H:H,Estoque!B22)+SUMIFS(Produtos!N:N,Produtos!L:L,Estoque!B22)+SUMIFS(Produtos!R:R,Produtos!P:P,Estoque!B22)+SUMIFS(Produtos!V:V,Produtos!T:T,Estoque!B22)+SUMIFS(Produtos!Z:Z,Produtos!X:X,Estoque!B22)+SUMIFS(Produtos!AD:AD,Produtos!AB:AB,Estoque!B22)</f>
        <v>100</v>
      </c>
      <c r="F22" s="31">
        <f t="shared" si="0"/>
        <v>-100</v>
      </c>
    </row>
    <row r="23" spans="2:6">
      <c r="B23" s="6" t="str">
        <f>IFERROR(Tabela2[[#This Row],[Materiais]],"-")</f>
        <v>Nozes pedaço</v>
      </c>
      <c r="C23" s="6" t="str">
        <f>IFERROR(VLOOKUP(B23,Materiais!B:C,2,0),"-")</f>
        <v>g</v>
      </c>
      <c r="D23" s="29">
        <f>IFERROR(SUMIFS('Entradas e Saídas'!H:H,'Entradas e Saídas'!F:F,Estoque!B23),"-")</f>
        <v>0</v>
      </c>
      <c r="E23" s="7">
        <f>SUMIFS(Produtos!F:F,Produtos!D:D,Estoque!B23)+SUMIFS(Produtos!J:J,Produtos!H:H,Estoque!B23)+SUMIFS(Produtos!N:N,Produtos!L:L,Estoque!B23)+SUMIFS(Produtos!R:R,Produtos!P:P,Estoque!B23)+SUMIFS(Produtos!V:V,Produtos!T:T,Estoque!B23)+SUMIFS(Produtos!Z:Z,Produtos!X:X,Estoque!B23)+SUMIFS(Produtos!AD:AD,Produtos!AB:AB,Estoque!B23)</f>
        <v>54</v>
      </c>
      <c r="F23" s="31">
        <f t="shared" si="0"/>
        <v>-54</v>
      </c>
    </row>
    <row r="24" spans="2:6">
      <c r="B24" s="6" t="str">
        <f>IFERROR(Tabela2[[#This Row],[Materiais]],"-")</f>
        <v>-</v>
      </c>
      <c r="C24" s="6" t="str">
        <f>IFERROR(VLOOKUP(B24,Materiais!B:C,2,0),"-")</f>
        <v>-</v>
      </c>
      <c r="D24" s="29">
        <f>IFERROR(SUMIFS('Entradas e Saídas'!H:H,'Entradas e Saídas'!F:F,Estoque!B24),"-")</f>
        <v>0</v>
      </c>
      <c r="E24" s="7">
        <f>SUMIFS(Produtos!F:F,Produtos!D:D,Estoque!B24)+SUMIFS(Produtos!J:J,Produtos!H:H,Estoque!B24)+SUMIFS(Produtos!N:N,Produtos!L:L,Estoque!B24)+SUMIFS(Produtos!R:R,Produtos!P:P,Estoque!B24)+SUMIFS(Produtos!V:V,Produtos!T:T,Estoque!B24)+SUMIFS(Produtos!Z:Z,Produtos!X:X,Estoque!B24)+SUMIFS(Produtos!AD:AD,Produtos!AB:AB,Estoque!B24)</f>
        <v>0</v>
      </c>
      <c r="F24" s="31">
        <f t="shared" si="0"/>
        <v>0</v>
      </c>
    </row>
    <row r="25" spans="2:6">
      <c r="B25" s="6" t="str">
        <f>IFERROR(Tabela2[[#This Row],[Materiais]],"-")</f>
        <v>-</v>
      </c>
      <c r="C25" s="6" t="str">
        <f>IFERROR(VLOOKUP(B25,Materiais!B:C,2,0),"-")</f>
        <v>-</v>
      </c>
      <c r="D25" s="29">
        <f>IFERROR(SUMIFS('Entradas e Saídas'!H:H,'Entradas e Saídas'!F:F,Estoque!B25),"-")</f>
        <v>0</v>
      </c>
      <c r="E25" s="7">
        <f>SUMIFS(Produtos!F:F,Produtos!D:D,Estoque!B25)+SUMIFS(Produtos!J:J,Produtos!H:H,Estoque!B25)+SUMIFS(Produtos!N:N,Produtos!L:L,Estoque!B25)+SUMIFS(Produtos!R:R,Produtos!P:P,Estoque!B25)+SUMIFS(Produtos!V:V,Produtos!T:T,Estoque!B25)+SUMIFS(Produtos!Z:Z,Produtos!X:X,Estoque!B25)+SUMIFS(Produtos!AD:AD,Produtos!AB:AB,Estoque!B25)</f>
        <v>0</v>
      </c>
      <c r="F25" s="31">
        <f t="shared" si="0"/>
        <v>0</v>
      </c>
    </row>
    <row r="26" spans="2:6">
      <c r="B26" s="6" t="str">
        <f>IFERROR(Tabela2[[#This Row],[Materiais]],"-")</f>
        <v>-</v>
      </c>
      <c r="C26" s="6" t="str">
        <f>IFERROR(VLOOKUP(B26,Materiais!B:C,2,0),"-")</f>
        <v>-</v>
      </c>
      <c r="D26" s="29">
        <f>IFERROR(SUMIFS('Entradas e Saídas'!H:H,'Entradas e Saídas'!F:F,Estoque!B26),"-")</f>
        <v>0</v>
      </c>
      <c r="E26" s="7">
        <f>SUMIFS(Produtos!F:F,Produtos!D:D,Estoque!B26)+SUMIFS(Produtos!J:J,Produtos!H:H,Estoque!B26)+SUMIFS(Produtos!N:N,Produtos!L:L,Estoque!B26)+SUMIFS(Produtos!R:R,Produtos!P:P,Estoque!B26)+SUMIFS(Produtos!V:V,Produtos!T:T,Estoque!B26)+SUMIFS(Produtos!Z:Z,Produtos!X:X,Estoque!B26)+SUMIFS(Produtos!AD:AD,Produtos!AB:AB,Estoque!B26)</f>
        <v>0</v>
      </c>
      <c r="F26" s="31">
        <f t="shared" si="0"/>
        <v>0</v>
      </c>
    </row>
    <row r="27" spans="2:6">
      <c r="B27" s="6" t="str">
        <f>IFERROR(Tabela2[[#This Row],[Materiais]],"-")</f>
        <v>-</v>
      </c>
      <c r="C27" s="6" t="str">
        <f>IFERROR(VLOOKUP(B27,Materiais!B:C,2,0),"-")</f>
        <v>-</v>
      </c>
      <c r="D27" s="29">
        <f>IFERROR(SUMIFS('Entradas e Saídas'!H:H,'Entradas e Saídas'!F:F,Estoque!B27),"-")</f>
        <v>0</v>
      </c>
      <c r="E27" s="7">
        <f>SUMIFS(Produtos!F:F,Produtos!D:D,Estoque!B27)+SUMIFS(Produtos!J:J,Produtos!H:H,Estoque!B27)+SUMIFS(Produtos!N:N,Produtos!L:L,Estoque!B27)+SUMIFS(Produtos!R:R,Produtos!P:P,Estoque!B27)+SUMIFS(Produtos!V:V,Produtos!T:T,Estoque!B27)+SUMIFS(Produtos!Z:Z,Produtos!X:X,Estoque!B27)+SUMIFS(Produtos!AD:AD,Produtos!AB:AB,Estoque!B27)</f>
        <v>0</v>
      </c>
      <c r="F27" s="31">
        <f t="shared" si="0"/>
        <v>0</v>
      </c>
    </row>
    <row r="28" spans="2:6">
      <c r="B28" s="6" t="str">
        <f>IFERROR(Tabela2[[#This Row],[Materiais]],"-")</f>
        <v>-</v>
      </c>
      <c r="C28" s="6" t="str">
        <f>IFERROR(VLOOKUP(B28,Materiais!B:C,2,0),"-")</f>
        <v>-</v>
      </c>
      <c r="D28" s="29">
        <f>IFERROR(SUMIFS('Entradas e Saídas'!H:H,'Entradas e Saídas'!F:F,Estoque!B28),"-")</f>
        <v>0</v>
      </c>
      <c r="E28" s="7">
        <f>SUMIFS(Produtos!F:F,Produtos!D:D,Estoque!B28)+SUMIFS(Produtos!J:J,Produtos!H:H,Estoque!B28)+SUMIFS(Produtos!N:N,Produtos!L:L,Estoque!B28)+SUMIFS(Produtos!R:R,Produtos!P:P,Estoque!B28)+SUMIFS(Produtos!V:V,Produtos!T:T,Estoque!B28)+SUMIFS(Produtos!Z:Z,Produtos!X:X,Estoque!B28)+SUMIFS(Produtos!AD:AD,Produtos!AB:AB,Estoque!B28)</f>
        <v>0</v>
      </c>
      <c r="F28" s="31">
        <f t="shared" si="0"/>
        <v>0</v>
      </c>
    </row>
    <row r="29" spans="2:6">
      <c r="B29" s="6" t="str">
        <f>IFERROR(Tabela2[[#This Row],[Materiais]],"-")</f>
        <v>-</v>
      </c>
      <c r="C29" s="6" t="str">
        <f>IFERROR(VLOOKUP(B29,Materiais!B:C,2,0),"-")</f>
        <v>-</v>
      </c>
      <c r="D29" s="29">
        <f>IFERROR(SUMIFS('Entradas e Saídas'!H:H,'Entradas e Saídas'!F:F,Estoque!B29),"-")</f>
        <v>0</v>
      </c>
      <c r="E29" s="7">
        <f>SUMIFS(Produtos!F:F,Produtos!D:D,Estoque!B29)+SUMIFS(Produtos!J:J,Produtos!H:H,Estoque!B29)+SUMIFS(Produtos!N:N,Produtos!L:L,Estoque!B29)+SUMIFS(Produtos!R:R,Produtos!P:P,Estoque!B29)+SUMIFS(Produtos!V:V,Produtos!T:T,Estoque!B29)+SUMIFS(Produtos!Z:Z,Produtos!X:X,Estoque!B29)+SUMIFS(Produtos!AD:AD,Produtos!AB:AB,Estoque!B29)</f>
        <v>0</v>
      </c>
      <c r="F29" s="31">
        <f t="shared" si="0"/>
        <v>0</v>
      </c>
    </row>
    <row r="30" spans="2:6">
      <c r="B30" s="6" t="str">
        <f>IFERROR(Tabela2[[#This Row],[Materiais]],"-")</f>
        <v>-</v>
      </c>
      <c r="C30" s="6" t="str">
        <f>IFERROR(VLOOKUP(B30,Materiais!B:C,2,0),"-")</f>
        <v>-</v>
      </c>
      <c r="D30" s="29">
        <f>IFERROR(SUMIFS('Entradas e Saídas'!H:H,'Entradas e Saídas'!F:F,Estoque!B30),"-")</f>
        <v>0</v>
      </c>
      <c r="E30" s="7">
        <f>SUMIFS(Produtos!F:F,Produtos!D:D,Estoque!B30)+SUMIFS(Produtos!J:J,Produtos!H:H,Estoque!B30)+SUMIFS(Produtos!N:N,Produtos!L:L,Estoque!B30)+SUMIFS(Produtos!R:R,Produtos!P:P,Estoque!B30)+SUMIFS(Produtos!V:V,Produtos!T:T,Estoque!B30)+SUMIFS(Produtos!Z:Z,Produtos!X:X,Estoque!B30)+SUMIFS(Produtos!AD:AD,Produtos!AB:AB,Estoque!B30)</f>
        <v>0</v>
      </c>
      <c r="F30" s="31">
        <f t="shared" si="0"/>
        <v>0</v>
      </c>
    </row>
    <row r="31" spans="2:6">
      <c r="B31" s="6" t="str">
        <f>IFERROR(Tabela2[[#This Row],[Materiais]],"-")</f>
        <v>-</v>
      </c>
      <c r="C31" s="6" t="str">
        <f>IFERROR(VLOOKUP(B31,Materiais!B:C,2,0),"-")</f>
        <v>-</v>
      </c>
      <c r="D31" s="29">
        <f>IFERROR(SUMIFS('Entradas e Saídas'!H:H,'Entradas e Saídas'!F:F,Estoque!B31),"-")</f>
        <v>0</v>
      </c>
      <c r="E31" s="7">
        <f>SUMIFS(Produtos!F:F,Produtos!D:D,Estoque!B31)+SUMIFS(Produtos!J:J,Produtos!H:H,Estoque!B31)+SUMIFS(Produtos!N:N,Produtos!L:L,Estoque!B31)+SUMIFS(Produtos!R:R,Produtos!P:P,Estoque!B31)+SUMIFS(Produtos!V:V,Produtos!T:T,Estoque!B31)+SUMIFS(Produtos!Z:Z,Produtos!X:X,Estoque!B31)+SUMIFS(Produtos!AD:AD,Produtos!AB:AB,Estoque!B31)</f>
        <v>0</v>
      </c>
      <c r="F31" s="31">
        <f t="shared" si="0"/>
        <v>0</v>
      </c>
    </row>
    <row r="32" spans="2:6">
      <c r="B32" s="6" t="str">
        <f>IFERROR(Tabela2[[#This Row],[Materiais]],"-")</f>
        <v>-</v>
      </c>
      <c r="C32" s="6" t="str">
        <f>IFERROR(VLOOKUP(B32,Materiais!B:C,2,0),"-")</f>
        <v>-</v>
      </c>
      <c r="D32" s="29">
        <f>IFERROR(SUMIFS('Entradas e Saídas'!H:H,'Entradas e Saídas'!F:F,Estoque!B32),"-")</f>
        <v>0</v>
      </c>
      <c r="E32" s="7">
        <f>SUMIFS(Produtos!F:F,Produtos!D:D,Estoque!B32)+SUMIFS(Produtos!J:J,Produtos!H:H,Estoque!B32)+SUMIFS(Produtos!N:N,Produtos!L:L,Estoque!B32)+SUMIFS(Produtos!R:R,Produtos!P:P,Estoque!B32)+SUMIFS(Produtos!V:V,Produtos!T:T,Estoque!B32)+SUMIFS(Produtos!Z:Z,Produtos!X:X,Estoque!B32)+SUMIFS(Produtos!AD:AD,Produtos!AB:AB,Estoque!B32)</f>
        <v>0</v>
      </c>
      <c r="F32" s="31">
        <f t="shared" si="0"/>
        <v>0</v>
      </c>
    </row>
    <row r="33" spans="2:6">
      <c r="B33" s="6" t="str">
        <f>IFERROR(Tabela2[[#This Row],[Materiais]],"-")</f>
        <v>-</v>
      </c>
      <c r="C33" s="6" t="str">
        <f>IFERROR(VLOOKUP(B33,Materiais!B:C,2,0),"-")</f>
        <v>-</v>
      </c>
      <c r="D33" s="29">
        <f>IFERROR(SUMIFS('Entradas e Saídas'!H:H,'Entradas e Saídas'!F:F,Estoque!B33),"-")</f>
        <v>0</v>
      </c>
      <c r="E33" s="7">
        <f>SUMIFS(Produtos!F:F,Produtos!D:D,Estoque!B33)+SUMIFS(Produtos!J:J,Produtos!H:H,Estoque!B33)+SUMIFS(Produtos!N:N,Produtos!L:L,Estoque!B33)+SUMIFS(Produtos!R:R,Produtos!P:P,Estoque!B33)+SUMIFS(Produtos!V:V,Produtos!T:T,Estoque!B33)+SUMIFS(Produtos!Z:Z,Produtos!X:X,Estoque!B33)+SUMIFS(Produtos!AD:AD,Produtos!AB:AB,Estoque!B33)</f>
        <v>0</v>
      </c>
      <c r="F33" s="31">
        <f t="shared" si="0"/>
        <v>0</v>
      </c>
    </row>
    <row r="34" spans="2:6">
      <c r="B34" s="6" t="str">
        <f>IFERROR(Tabela2[[#This Row],[Materiais]],"-")</f>
        <v>-</v>
      </c>
      <c r="C34" s="6" t="str">
        <f>IFERROR(VLOOKUP(B34,Materiais!B:C,2,0),"-")</f>
        <v>-</v>
      </c>
      <c r="D34" s="29">
        <f>IFERROR(SUMIFS('Entradas e Saídas'!H:H,'Entradas e Saídas'!F:F,Estoque!B34),"-")</f>
        <v>0</v>
      </c>
      <c r="E34" s="7">
        <f>SUMIFS(Produtos!F:F,Produtos!D:D,Estoque!B34)+SUMIFS(Produtos!J:J,Produtos!H:H,Estoque!B34)+SUMIFS(Produtos!N:N,Produtos!L:L,Estoque!B34)+SUMIFS(Produtos!R:R,Produtos!P:P,Estoque!B34)+SUMIFS(Produtos!V:V,Produtos!T:T,Estoque!B34)+SUMIFS(Produtos!Z:Z,Produtos!X:X,Estoque!B34)+SUMIFS(Produtos!AD:AD,Produtos!AB:AB,Estoque!B34)</f>
        <v>0</v>
      </c>
      <c r="F34" s="31">
        <f t="shared" si="0"/>
        <v>0</v>
      </c>
    </row>
    <row r="35" spans="2:6">
      <c r="B35" s="6" t="str">
        <f>IFERROR(Tabela2[[#This Row],[Materiais]],"-")</f>
        <v>-</v>
      </c>
      <c r="C35" s="6" t="str">
        <f>IFERROR(VLOOKUP(B35,Materiais!B:C,2,0),"-")</f>
        <v>-</v>
      </c>
      <c r="D35" s="29">
        <f>IFERROR(SUMIFS('Entradas e Saídas'!H:H,'Entradas e Saídas'!F:F,Estoque!B35),"-")</f>
        <v>0</v>
      </c>
      <c r="E35" s="7">
        <f>SUMIFS(Produtos!F:F,Produtos!D:D,Estoque!B35)+SUMIFS(Produtos!J:J,Produtos!H:H,Estoque!B35)+SUMIFS(Produtos!N:N,Produtos!L:L,Estoque!B35)+SUMIFS(Produtos!R:R,Produtos!P:P,Estoque!B35)+SUMIFS(Produtos!V:V,Produtos!T:T,Estoque!B35)+SUMIFS(Produtos!Z:Z,Produtos!X:X,Estoque!B35)+SUMIFS(Produtos!AD:AD,Produtos!AB:AB,Estoque!B35)</f>
        <v>0</v>
      </c>
      <c r="F35" s="31">
        <f t="shared" si="0"/>
        <v>0</v>
      </c>
    </row>
    <row r="36" spans="2:6">
      <c r="B36" s="6" t="str">
        <f>IFERROR(Tabela2[[#This Row],[Materiais]],"-")</f>
        <v>-</v>
      </c>
      <c r="C36" s="6" t="str">
        <f>IFERROR(VLOOKUP(B36,Materiais!B:C,2,0),"-")</f>
        <v>-</v>
      </c>
      <c r="D36" s="29">
        <f>IFERROR(SUMIFS('Entradas e Saídas'!H:H,'Entradas e Saídas'!F:F,Estoque!B36),"-")</f>
        <v>0</v>
      </c>
      <c r="E36" s="7">
        <f>SUMIFS(Produtos!F:F,Produtos!D:D,Estoque!B36)+SUMIFS(Produtos!J:J,Produtos!H:H,Estoque!B36)+SUMIFS(Produtos!N:N,Produtos!L:L,Estoque!B36)+SUMIFS(Produtos!R:R,Produtos!P:P,Estoque!B36)+SUMIFS(Produtos!V:V,Produtos!T:T,Estoque!B36)+SUMIFS(Produtos!Z:Z,Produtos!X:X,Estoque!B36)+SUMIFS(Produtos!AD:AD,Produtos!AB:AB,Estoque!B36)</f>
        <v>0</v>
      </c>
      <c r="F36" s="31">
        <f t="shared" si="0"/>
        <v>0</v>
      </c>
    </row>
    <row r="37" spans="2:6">
      <c r="B37" s="6" t="str">
        <f>IFERROR(Tabela2[[#This Row],[Materiais]],"-")</f>
        <v>-</v>
      </c>
      <c r="C37" s="6" t="str">
        <f>IFERROR(VLOOKUP(B37,Materiais!B:C,2,0),"-")</f>
        <v>-</v>
      </c>
      <c r="D37" s="29">
        <f>IFERROR(SUMIFS('Entradas e Saídas'!H:H,'Entradas e Saídas'!F:F,Estoque!B37),"-")</f>
        <v>0</v>
      </c>
      <c r="E37" s="7">
        <f>SUMIFS(Produtos!F:F,Produtos!D:D,Estoque!B37)+SUMIFS(Produtos!J:J,Produtos!H:H,Estoque!B37)+SUMIFS(Produtos!N:N,Produtos!L:L,Estoque!B37)+SUMIFS(Produtos!R:R,Produtos!P:P,Estoque!B37)+SUMIFS(Produtos!V:V,Produtos!T:T,Estoque!B37)+SUMIFS(Produtos!Z:Z,Produtos!X:X,Estoque!B37)+SUMIFS(Produtos!AD:AD,Produtos!AB:AB,Estoque!B37)</f>
        <v>0</v>
      </c>
      <c r="F37" s="31">
        <f t="shared" si="0"/>
        <v>0</v>
      </c>
    </row>
    <row r="38" spans="2:6">
      <c r="B38" s="6" t="str">
        <f>IFERROR(Tabela2[[#This Row],[Materiais]],"-")</f>
        <v>-</v>
      </c>
      <c r="C38" s="6" t="str">
        <f>IFERROR(VLOOKUP(B38,Materiais!B:C,2,0),"-")</f>
        <v>-</v>
      </c>
      <c r="D38" s="29">
        <f>IFERROR(SUMIFS('Entradas e Saídas'!H:H,'Entradas e Saídas'!F:F,Estoque!B38),"-")</f>
        <v>0</v>
      </c>
      <c r="E38" s="7">
        <f>SUMIFS(Produtos!F:F,Produtos!D:D,Estoque!B38)+SUMIFS(Produtos!J:J,Produtos!H:H,Estoque!B38)+SUMIFS(Produtos!N:N,Produtos!L:L,Estoque!B38)+SUMIFS(Produtos!R:R,Produtos!P:P,Estoque!B38)+SUMIFS(Produtos!V:V,Produtos!T:T,Estoque!B38)+SUMIFS(Produtos!Z:Z,Produtos!X:X,Estoque!B38)+SUMIFS(Produtos!AD:AD,Produtos!AB:AB,Estoque!B38)</f>
        <v>0</v>
      </c>
      <c r="F38" s="31">
        <f t="shared" si="0"/>
        <v>0</v>
      </c>
    </row>
    <row r="39" spans="2:6">
      <c r="B39" s="6" t="str">
        <f>IFERROR(Tabela2[[#This Row],[Materiais]],"-")</f>
        <v>-</v>
      </c>
      <c r="C39" s="6" t="str">
        <f>IFERROR(VLOOKUP(B39,Materiais!B:C,2,0),"-")</f>
        <v>-</v>
      </c>
      <c r="D39" s="29">
        <f>IFERROR(SUMIFS('Entradas e Saídas'!H:H,'Entradas e Saídas'!F:F,Estoque!B39),"-")</f>
        <v>0</v>
      </c>
      <c r="E39" s="7">
        <f>SUMIFS(Produtos!F:F,Produtos!D:D,Estoque!B39)+SUMIFS(Produtos!J:J,Produtos!H:H,Estoque!B39)+SUMIFS(Produtos!N:N,Produtos!L:L,Estoque!B39)+SUMIFS(Produtos!R:R,Produtos!P:P,Estoque!B39)+SUMIFS(Produtos!V:V,Produtos!T:T,Estoque!B39)+SUMIFS(Produtos!Z:Z,Produtos!X:X,Estoque!B39)+SUMIFS(Produtos!AD:AD,Produtos!AB:AB,Estoque!B39)</f>
        <v>0</v>
      </c>
      <c r="F39" s="31">
        <f t="shared" si="0"/>
        <v>0</v>
      </c>
    </row>
    <row r="40" spans="2:6">
      <c r="B40" s="6" t="str">
        <f>IFERROR(Tabela2[[#This Row],[Materiais]],"-")</f>
        <v>-</v>
      </c>
      <c r="C40" s="6" t="str">
        <f>IFERROR(VLOOKUP(B40,Materiais!B:C,2,0),"-")</f>
        <v>-</v>
      </c>
      <c r="D40" s="29">
        <f>IFERROR(SUMIFS('Entradas e Saídas'!H:H,'Entradas e Saídas'!F:F,Estoque!B40),"-")</f>
        <v>0</v>
      </c>
      <c r="E40" s="7">
        <f>SUMIFS(Produtos!F:F,Produtos!D:D,Estoque!B40)+SUMIFS(Produtos!J:J,Produtos!H:H,Estoque!B40)+SUMIFS(Produtos!N:N,Produtos!L:L,Estoque!B40)+SUMIFS(Produtos!R:R,Produtos!P:P,Estoque!B40)+SUMIFS(Produtos!V:V,Produtos!T:T,Estoque!B40)+SUMIFS(Produtos!Z:Z,Produtos!X:X,Estoque!B40)+SUMIFS(Produtos!AD:AD,Produtos!AB:AB,Estoque!B40)</f>
        <v>0</v>
      </c>
      <c r="F40" s="31">
        <f t="shared" si="0"/>
        <v>0</v>
      </c>
    </row>
    <row r="41" spans="2:6">
      <c r="B41" s="6" t="str">
        <f>IFERROR(Tabela2[[#This Row],[Materiais]],"-")</f>
        <v>-</v>
      </c>
      <c r="C41" s="6" t="str">
        <f>IFERROR(VLOOKUP(B41,Materiais!B:C,2,0),"-")</f>
        <v>-</v>
      </c>
      <c r="D41" s="29">
        <f>IFERROR(SUMIFS('Entradas e Saídas'!H:H,'Entradas e Saídas'!F:F,Estoque!B41),"-")</f>
        <v>0</v>
      </c>
      <c r="E41" s="7">
        <f>SUMIFS(Produtos!F:F,Produtos!D:D,Estoque!B41)+SUMIFS(Produtos!J:J,Produtos!H:H,Estoque!B41)+SUMIFS(Produtos!N:N,Produtos!L:L,Estoque!B41)+SUMIFS(Produtos!R:R,Produtos!P:P,Estoque!B41)+SUMIFS(Produtos!V:V,Produtos!T:T,Estoque!B41)+SUMIFS(Produtos!Z:Z,Produtos!X:X,Estoque!B41)+SUMIFS(Produtos!AD:AD,Produtos!AB:AB,Estoque!B41)</f>
        <v>0</v>
      </c>
      <c r="F41" s="31">
        <f t="shared" si="0"/>
        <v>0</v>
      </c>
    </row>
    <row r="42" spans="2:6">
      <c r="B42" s="6" t="str">
        <f>IFERROR(Tabela2[[#This Row],[Materiais]],"-")</f>
        <v>-</v>
      </c>
      <c r="C42" s="6" t="str">
        <f>IFERROR(VLOOKUP(B42,Materiais!B:C,2,0),"-")</f>
        <v>-</v>
      </c>
      <c r="D42" s="29">
        <f>IFERROR(SUMIFS('Entradas e Saídas'!H:H,'Entradas e Saídas'!F:F,Estoque!B42),"-")</f>
        <v>0</v>
      </c>
      <c r="E42" s="7">
        <f>SUMIFS(Produtos!F:F,Produtos!D:D,Estoque!B42)+SUMIFS(Produtos!J:J,Produtos!H:H,Estoque!B42)+SUMIFS(Produtos!N:N,Produtos!L:L,Estoque!B42)+SUMIFS(Produtos!R:R,Produtos!P:P,Estoque!B42)+SUMIFS(Produtos!V:V,Produtos!T:T,Estoque!B42)+SUMIFS(Produtos!Z:Z,Produtos!X:X,Estoque!B42)+SUMIFS(Produtos!AD:AD,Produtos!AB:AB,Estoque!B42)</f>
        <v>0</v>
      </c>
      <c r="F42" s="31">
        <f t="shared" si="0"/>
        <v>0</v>
      </c>
    </row>
    <row r="43" spans="2:6">
      <c r="B43" s="6" t="str">
        <f>IFERROR(Tabela2[[#This Row],[Materiais]],"-")</f>
        <v>-</v>
      </c>
      <c r="C43" s="6" t="str">
        <f>IFERROR(VLOOKUP(B43,Materiais!B:C,2,0),"-")</f>
        <v>-</v>
      </c>
      <c r="D43" s="29">
        <f>IFERROR(SUMIFS('Entradas e Saídas'!H:H,'Entradas e Saídas'!F:F,Estoque!B43),"-")</f>
        <v>0</v>
      </c>
      <c r="E43" s="7">
        <f>SUMIFS(Produtos!F:F,Produtos!D:D,Estoque!B43)+SUMIFS(Produtos!J:J,Produtos!H:H,Estoque!B43)+SUMIFS(Produtos!N:N,Produtos!L:L,Estoque!B43)+SUMIFS(Produtos!R:R,Produtos!P:P,Estoque!B43)+SUMIFS(Produtos!V:V,Produtos!T:T,Estoque!B43)+SUMIFS(Produtos!Z:Z,Produtos!X:X,Estoque!B43)+SUMIFS(Produtos!AD:AD,Produtos!AB:AB,Estoque!B43)</f>
        <v>0</v>
      </c>
      <c r="F43" s="31">
        <f t="shared" si="0"/>
        <v>0</v>
      </c>
    </row>
    <row r="44" spans="2:6">
      <c r="B44" s="6" t="str">
        <f>IFERROR(Tabela2[[#This Row],[Materiais]],"-")</f>
        <v>-</v>
      </c>
      <c r="C44" s="6" t="str">
        <f>IFERROR(VLOOKUP(B44,Materiais!B:C,2,0),"-")</f>
        <v>-</v>
      </c>
      <c r="D44" s="29">
        <f>IFERROR(SUMIFS('Entradas e Saídas'!H:H,'Entradas e Saídas'!F:F,Estoque!B44),"-")</f>
        <v>0</v>
      </c>
      <c r="E44" s="7">
        <f>SUMIFS(Produtos!F:F,Produtos!D:D,Estoque!B44)+SUMIFS(Produtos!J:J,Produtos!H:H,Estoque!B44)+SUMIFS(Produtos!N:N,Produtos!L:L,Estoque!B44)+SUMIFS(Produtos!R:R,Produtos!P:P,Estoque!B44)+SUMIFS(Produtos!V:V,Produtos!T:T,Estoque!B44)+SUMIFS(Produtos!Z:Z,Produtos!X:X,Estoque!B44)+SUMIFS(Produtos!AD:AD,Produtos!AB:AB,Estoque!B44)</f>
        <v>0</v>
      </c>
      <c r="F44" s="31">
        <f t="shared" si="0"/>
        <v>0</v>
      </c>
    </row>
    <row r="45" spans="2:6">
      <c r="B45" s="6" t="str">
        <f>IFERROR(Tabela2[[#This Row],[Materiais]],"-")</f>
        <v>-</v>
      </c>
      <c r="C45" s="6" t="str">
        <f>IFERROR(VLOOKUP(B45,Materiais!B:C,2,0),"-")</f>
        <v>-</v>
      </c>
      <c r="D45" s="29">
        <f>IFERROR(SUMIFS('Entradas e Saídas'!H:H,'Entradas e Saídas'!F:F,Estoque!B45),"-")</f>
        <v>0</v>
      </c>
      <c r="E45" s="7">
        <f>SUMIFS(Produtos!F:F,Produtos!D:D,Estoque!B45)+SUMIFS(Produtos!J:J,Produtos!H:H,Estoque!B45)+SUMIFS(Produtos!N:N,Produtos!L:L,Estoque!B45)+SUMIFS(Produtos!R:R,Produtos!P:P,Estoque!B45)+SUMIFS(Produtos!V:V,Produtos!T:T,Estoque!B45)+SUMIFS(Produtos!Z:Z,Produtos!X:X,Estoque!B45)+SUMIFS(Produtos!AD:AD,Produtos!AB:AB,Estoque!B45)</f>
        <v>0</v>
      </c>
      <c r="F45" s="31">
        <f t="shared" si="0"/>
        <v>0</v>
      </c>
    </row>
    <row r="46" spans="2:6">
      <c r="B46" s="6" t="str">
        <f>IFERROR(Tabela2[[#This Row],[Materiais]],"-")</f>
        <v>-</v>
      </c>
      <c r="C46" s="6" t="str">
        <f>IFERROR(VLOOKUP(B46,Materiais!B:C,2,0),"-")</f>
        <v>-</v>
      </c>
      <c r="D46" s="29">
        <f>IFERROR(SUMIFS('Entradas e Saídas'!H:H,'Entradas e Saídas'!F:F,Estoque!B46),"-")</f>
        <v>0</v>
      </c>
      <c r="E46" s="7">
        <f>SUMIFS(Produtos!F:F,Produtos!D:D,Estoque!B46)+SUMIFS(Produtos!J:J,Produtos!H:H,Estoque!B46)+SUMIFS(Produtos!N:N,Produtos!L:L,Estoque!B46)+SUMIFS(Produtos!R:R,Produtos!P:P,Estoque!B46)+SUMIFS(Produtos!V:V,Produtos!T:T,Estoque!B46)+SUMIFS(Produtos!Z:Z,Produtos!X:X,Estoque!B46)+SUMIFS(Produtos!AD:AD,Produtos!AB:AB,Estoque!B46)</f>
        <v>0</v>
      </c>
      <c r="F46" s="31">
        <f t="shared" si="0"/>
        <v>0</v>
      </c>
    </row>
    <row r="47" spans="2:6">
      <c r="B47" s="6" t="str">
        <f>IFERROR(Tabela2[[#This Row],[Materiais]],"-")</f>
        <v>-</v>
      </c>
      <c r="C47" s="6" t="str">
        <f>IFERROR(VLOOKUP(B47,Materiais!B:C,2,0),"-")</f>
        <v>-</v>
      </c>
      <c r="D47" s="29">
        <f>IFERROR(SUMIFS('Entradas e Saídas'!H:H,'Entradas e Saídas'!F:F,Estoque!B47),"-")</f>
        <v>0</v>
      </c>
      <c r="E47" s="7">
        <f>SUMIFS(Produtos!F:F,Produtos!D:D,Estoque!B47)+SUMIFS(Produtos!J:J,Produtos!H:H,Estoque!B47)+SUMIFS(Produtos!N:N,Produtos!L:L,Estoque!B47)+SUMIFS(Produtos!R:R,Produtos!P:P,Estoque!B47)+SUMIFS(Produtos!V:V,Produtos!T:T,Estoque!B47)+SUMIFS(Produtos!Z:Z,Produtos!X:X,Estoque!B47)+SUMIFS(Produtos!AD:AD,Produtos!AB:AB,Estoque!B47)</f>
        <v>0</v>
      </c>
      <c r="F47" s="31">
        <f t="shared" si="0"/>
        <v>0</v>
      </c>
    </row>
    <row r="48" spans="2:6">
      <c r="B48" s="6" t="str">
        <f>IFERROR(Tabela2[[#This Row],[Materiais]],"-")</f>
        <v>-</v>
      </c>
      <c r="C48" s="6" t="str">
        <f>IFERROR(VLOOKUP(B48,Materiais!B:C,2,0),"-")</f>
        <v>-</v>
      </c>
      <c r="D48" s="29">
        <f>IFERROR(SUMIFS('Entradas e Saídas'!H:H,'Entradas e Saídas'!F:F,Estoque!B48),"-")</f>
        <v>0</v>
      </c>
      <c r="E48" s="7">
        <f>SUMIFS(Produtos!F:F,Produtos!D:D,Estoque!B48)+SUMIFS(Produtos!J:J,Produtos!H:H,Estoque!B48)+SUMIFS(Produtos!N:N,Produtos!L:L,Estoque!B48)+SUMIFS(Produtos!R:R,Produtos!P:P,Estoque!B48)+SUMIFS(Produtos!V:V,Produtos!T:T,Estoque!B48)+SUMIFS(Produtos!Z:Z,Produtos!X:X,Estoque!B48)+SUMIFS(Produtos!AD:AD,Produtos!AB:AB,Estoque!B48)</f>
        <v>0</v>
      </c>
      <c r="F48" s="31">
        <f t="shared" si="0"/>
        <v>0</v>
      </c>
    </row>
    <row r="49" spans="2:6">
      <c r="B49" s="6" t="str">
        <f>IFERROR(Tabela2[[#This Row],[Materiais]],"-")</f>
        <v>-</v>
      </c>
      <c r="C49" s="6" t="str">
        <f>IFERROR(VLOOKUP(B49,Materiais!B:C,2,0),"-")</f>
        <v>-</v>
      </c>
      <c r="D49" s="29">
        <f>IFERROR(SUMIFS('Entradas e Saídas'!H:H,'Entradas e Saídas'!F:F,Estoque!B49),"-")</f>
        <v>0</v>
      </c>
      <c r="E49" s="7">
        <f>SUMIFS(Produtos!F:F,Produtos!D:D,Estoque!B49)+SUMIFS(Produtos!J:J,Produtos!H:H,Estoque!B49)+SUMIFS(Produtos!N:N,Produtos!L:L,Estoque!B49)+SUMIFS(Produtos!R:R,Produtos!P:P,Estoque!B49)+SUMIFS(Produtos!V:V,Produtos!T:T,Estoque!B49)+SUMIFS(Produtos!Z:Z,Produtos!X:X,Estoque!B49)+SUMIFS(Produtos!AD:AD,Produtos!AB:AB,Estoque!B49)</f>
        <v>0</v>
      </c>
      <c r="F49" s="31">
        <f t="shared" si="0"/>
        <v>0</v>
      </c>
    </row>
    <row r="50" spans="2:6">
      <c r="B50" s="6" t="str">
        <f>IFERROR(Tabela2[[#This Row],[Materiais]],"-")</f>
        <v>-</v>
      </c>
      <c r="C50" s="6" t="str">
        <f>IFERROR(VLOOKUP(B50,Materiais!B:C,2,0),"-")</f>
        <v>-</v>
      </c>
      <c r="D50" s="29">
        <f>IFERROR(SUMIFS('Entradas e Saídas'!H:H,'Entradas e Saídas'!F:F,Estoque!B50),"-")</f>
        <v>0</v>
      </c>
      <c r="E50" s="7">
        <f>SUMIFS(Produtos!F:F,Produtos!D:D,Estoque!B50)+SUMIFS(Produtos!J:J,Produtos!H:H,Estoque!B50)+SUMIFS(Produtos!N:N,Produtos!L:L,Estoque!B50)+SUMIFS(Produtos!R:R,Produtos!P:P,Estoque!B50)+SUMIFS(Produtos!V:V,Produtos!T:T,Estoque!B50)+SUMIFS(Produtos!Z:Z,Produtos!X:X,Estoque!B50)+SUMIFS(Produtos!AD:AD,Produtos!AB:AB,Estoque!B50)</f>
        <v>0</v>
      </c>
      <c r="F50" s="31">
        <f t="shared" si="0"/>
        <v>0</v>
      </c>
    </row>
    <row r="51" spans="2:6">
      <c r="B51" s="6" t="str">
        <f>IFERROR(Tabela2[[#This Row],[Materiais]],"-")</f>
        <v>-</v>
      </c>
      <c r="C51" s="6" t="str">
        <f>IFERROR(VLOOKUP(B51,Materiais!B:C,2,0),"-")</f>
        <v>-</v>
      </c>
      <c r="D51" s="29">
        <f>IFERROR(SUMIFS('Entradas e Saídas'!H:H,'Entradas e Saídas'!F:F,Estoque!B51),"-")</f>
        <v>0</v>
      </c>
      <c r="E51" s="7">
        <f>SUMIFS(Produtos!F:F,Produtos!D:D,Estoque!B51)+SUMIFS(Produtos!J:J,Produtos!H:H,Estoque!B51)+SUMIFS(Produtos!N:N,Produtos!L:L,Estoque!B51)+SUMIFS(Produtos!R:R,Produtos!P:P,Estoque!B51)+SUMIFS(Produtos!V:V,Produtos!T:T,Estoque!B51)+SUMIFS(Produtos!Z:Z,Produtos!X:X,Estoque!B51)+SUMIFS(Produtos!AD:AD,Produtos!AB:AB,Estoque!B51)</f>
        <v>0</v>
      </c>
      <c r="F51" s="31">
        <f t="shared" si="0"/>
        <v>0</v>
      </c>
    </row>
    <row r="52" spans="2:6">
      <c r="B52" s="6" t="str">
        <f>IFERROR(Tabela2[[#This Row],[Materiais]],"-")</f>
        <v>-</v>
      </c>
      <c r="C52" s="6" t="str">
        <f>IFERROR(VLOOKUP(B52,Materiais!B:C,2,0),"-")</f>
        <v>-</v>
      </c>
      <c r="D52" s="29">
        <f>IFERROR(SUMIFS('Entradas e Saídas'!H:H,'Entradas e Saídas'!F:F,Estoque!B52),"-")</f>
        <v>0</v>
      </c>
      <c r="E52" s="7">
        <f>SUMIFS(Produtos!F:F,Produtos!D:D,Estoque!B52)+SUMIFS(Produtos!J:J,Produtos!H:H,Estoque!B52)+SUMIFS(Produtos!N:N,Produtos!L:L,Estoque!B52)+SUMIFS(Produtos!R:R,Produtos!P:P,Estoque!B52)+SUMIFS(Produtos!V:V,Produtos!T:T,Estoque!B52)+SUMIFS(Produtos!Z:Z,Produtos!X:X,Estoque!B52)+SUMIFS(Produtos!AD:AD,Produtos!AB:AB,Estoque!B52)</f>
        <v>0</v>
      </c>
      <c r="F52" s="31">
        <f t="shared" si="0"/>
        <v>0</v>
      </c>
    </row>
    <row r="53" spans="2:6">
      <c r="B53" s="6" t="str">
        <f>IFERROR(Tabela2[[#This Row],[Materiais]],"-")</f>
        <v>-</v>
      </c>
      <c r="C53" s="6" t="str">
        <f>IFERROR(VLOOKUP(B53,Materiais!B:C,2,0),"-")</f>
        <v>-</v>
      </c>
      <c r="D53" s="29">
        <f>IFERROR(SUMIFS('Entradas e Saídas'!H:H,'Entradas e Saídas'!F:F,Estoque!B53),"-")</f>
        <v>0</v>
      </c>
      <c r="E53" s="7">
        <f>SUMIFS(Produtos!F:F,Produtos!D:D,Estoque!B53)+SUMIFS(Produtos!J:J,Produtos!H:H,Estoque!B53)+SUMIFS(Produtos!N:N,Produtos!L:L,Estoque!B53)+SUMIFS(Produtos!R:R,Produtos!P:P,Estoque!B53)+SUMIFS(Produtos!V:V,Produtos!T:T,Estoque!B53)+SUMIFS(Produtos!Z:Z,Produtos!X:X,Estoque!B53)+SUMIFS(Produtos!AD:AD,Produtos!AB:AB,Estoque!B53)</f>
        <v>0</v>
      </c>
      <c r="F53" s="31">
        <f t="shared" si="0"/>
        <v>0</v>
      </c>
    </row>
    <row r="54" spans="2:6">
      <c r="B54" s="6" t="str">
        <f>IFERROR(Tabela2[[#This Row],[Materiais]],"-")</f>
        <v>-</v>
      </c>
      <c r="C54" s="6" t="str">
        <f>IFERROR(VLOOKUP(B54,Materiais!B:C,2,0),"-")</f>
        <v>-</v>
      </c>
      <c r="D54" s="29">
        <f>IFERROR(SUMIFS('Entradas e Saídas'!H:H,'Entradas e Saídas'!F:F,Estoque!B54),"-")</f>
        <v>0</v>
      </c>
      <c r="E54" s="7">
        <f>SUMIFS(Produtos!F:F,Produtos!D:D,Estoque!B54)+SUMIFS(Produtos!J:J,Produtos!H:H,Estoque!B54)+SUMIFS(Produtos!N:N,Produtos!L:L,Estoque!B54)+SUMIFS(Produtos!R:R,Produtos!P:P,Estoque!B54)+SUMIFS(Produtos!V:V,Produtos!T:T,Estoque!B54)+SUMIFS(Produtos!Z:Z,Produtos!X:X,Estoque!B54)+SUMIFS(Produtos!AD:AD,Produtos!AB:AB,Estoque!B54)</f>
        <v>0</v>
      </c>
      <c r="F54" s="31">
        <f t="shared" si="0"/>
        <v>0</v>
      </c>
    </row>
    <row r="55" spans="2:6">
      <c r="B55" s="6" t="str">
        <f>IFERROR(Tabela2[[#This Row],[Materiais]],"-")</f>
        <v>-</v>
      </c>
      <c r="C55" s="6" t="str">
        <f>IFERROR(VLOOKUP(B55,Materiais!B:C,2,0),"-")</f>
        <v>-</v>
      </c>
      <c r="D55" s="29">
        <f>IFERROR(SUMIFS('Entradas e Saídas'!H:H,'Entradas e Saídas'!F:F,Estoque!B55),"-")</f>
        <v>0</v>
      </c>
      <c r="E55" s="7">
        <f>SUMIFS(Produtos!F:F,Produtos!D:D,Estoque!B55)+SUMIFS(Produtos!J:J,Produtos!H:H,Estoque!B55)+SUMIFS(Produtos!N:N,Produtos!L:L,Estoque!B55)+SUMIFS(Produtos!R:R,Produtos!P:P,Estoque!B55)+SUMIFS(Produtos!V:V,Produtos!T:T,Estoque!B55)+SUMIFS(Produtos!Z:Z,Produtos!X:X,Estoque!B55)+SUMIFS(Produtos!AD:AD,Produtos!AB:AB,Estoque!B55)</f>
        <v>0</v>
      </c>
      <c r="F55" s="31">
        <f t="shared" si="0"/>
        <v>0</v>
      </c>
    </row>
    <row r="56" spans="2:6">
      <c r="B56" s="6" t="str">
        <f>IFERROR(Tabela2[[#This Row],[Materiais]],"-")</f>
        <v>-</v>
      </c>
      <c r="C56" s="6" t="str">
        <f>IFERROR(VLOOKUP(B56,Materiais!B:C,2,0),"-")</f>
        <v>-</v>
      </c>
      <c r="D56" s="29">
        <f>IFERROR(SUMIFS('Entradas e Saídas'!H:H,'Entradas e Saídas'!F:F,Estoque!B56),"-")</f>
        <v>0</v>
      </c>
      <c r="E56" s="7">
        <f>SUMIFS(Produtos!F:F,Produtos!D:D,Estoque!B56)+SUMIFS(Produtos!J:J,Produtos!H:H,Estoque!B56)+SUMIFS(Produtos!N:N,Produtos!L:L,Estoque!B56)+SUMIFS(Produtos!R:R,Produtos!P:P,Estoque!B56)+SUMIFS(Produtos!V:V,Produtos!T:T,Estoque!B56)+SUMIFS(Produtos!Z:Z,Produtos!X:X,Estoque!B56)+SUMIFS(Produtos!AD:AD,Produtos!AB:AB,Estoque!B56)</f>
        <v>0</v>
      </c>
      <c r="F56" s="31">
        <f t="shared" si="0"/>
        <v>0</v>
      </c>
    </row>
    <row r="57" spans="2:6">
      <c r="B57" s="6" t="str">
        <f>IFERROR(Tabela2[[#This Row],[Materiais]],"-")</f>
        <v>-</v>
      </c>
      <c r="C57" s="6" t="str">
        <f>IFERROR(VLOOKUP(B57,Materiais!B:C,2,0),"-")</f>
        <v>-</v>
      </c>
      <c r="D57" s="29">
        <f>IFERROR(SUMIFS('Entradas e Saídas'!H:H,'Entradas e Saídas'!F:F,Estoque!B57),"-")</f>
        <v>0</v>
      </c>
      <c r="E57" s="7">
        <f>SUMIFS(Produtos!F:F,Produtos!D:D,Estoque!B57)+SUMIFS(Produtos!J:J,Produtos!H:H,Estoque!B57)+SUMIFS(Produtos!N:N,Produtos!L:L,Estoque!B57)+SUMIFS(Produtos!R:R,Produtos!P:P,Estoque!B57)+SUMIFS(Produtos!V:V,Produtos!T:T,Estoque!B57)+SUMIFS(Produtos!Z:Z,Produtos!X:X,Estoque!B57)+SUMIFS(Produtos!AD:AD,Produtos!AB:AB,Estoque!B57)</f>
        <v>0</v>
      </c>
      <c r="F57" s="31">
        <f t="shared" si="0"/>
        <v>0</v>
      </c>
    </row>
    <row r="58" spans="2:6">
      <c r="B58" s="6" t="str">
        <f>IFERROR(Tabela2[[#This Row],[Materiais]],"-")</f>
        <v>-</v>
      </c>
      <c r="C58" s="6" t="str">
        <f>IFERROR(VLOOKUP(B58,Materiais!B:C,2,0),"-")</f>
        <v>-</v>
      </c>
      <c r="D58" s="29">
        <f>IFERROR(SUMIFS('Entradas e Saídas'!H:H,'Entradas e Saídas'!F:F,Estoque!B58),"-")</f>
        <v>0</v>
      </c>
      <c r="E58" s="7">
        <f>SUMIFS(Produtos!F:F,Produtos!D:D,Estoque!B58)+SUMIFS(Produtos!J:J,Produtos!H:H,Estoque!B58)+SUMIFS(Produtos!N:N,Produtos!L:L,Estoque!B58)+SUMIFS(Produtos!R:R,Produtos!P:P,Estoque!B58)+SUMIFS(Produtos!V:V,Produtos!T:T,Estoque!B58)+SUMIFS(Produtos!Z:Z,Produtos!X:X,Estoque!B58)+SUMIFS(Produtos!AD:AD,Produtos!AB:AB,Estoque!B58)</f>
        <v>0</v>
      </c>
      <c r="F58" s="31">
        <f t="shared" si="0"/>
        <v>0</v>
      </c>
    </row>
    <row r="59" spans="2:6">
      <c r="B59" s="6" t="str">
        <f>IFERROR(Tabela2[[#This Row],[Materiais]],"-")</f>
        <v>-</v>
      </c>
      <c r="C59" s="6" t="str">
        <f>IFERROR(VLOOKUP(B59,Materiais!B:C,2,0),"-")</f>
        <v>-</v>
      </c>
      <c r="D59" s="29">
        <f>IFERROR(SUMIFS('Entradas e Saídas'!H:H,'Entradas e Saídas'!F:F,Estoque!B59),"-")</f>
        <v>0</v>
      </c>
      <c r="E59" s="7">
        <f>SUMIFS(Produtos!F:F,Produtos!D:D,Estoque!B59)+SUMIFS(Produtos!J:J,Produtos!H:H,Estoque!B59)+SUMIFS(Produtos!N:N,Produtos!L:L,Estoque!B59)+SUMIFS(Produtos!R:R,Produtos!P:P,Estoque!B59)+SUMIFS(Produtos!V:V,Produtos!T:T,Estoque!B59)+SUMIFS(Produtos!Z:Z,Produtos!X:X,Estoque!B59)+SUMIFS(Produtos!AD:AD,Produtos!AB:AB,Estoque!B59)</f>
        <v>0</v>
      </c>
      <c r="F59" s="31">
        <f t="shared" si="0"/>
        <v>0</v>
      </c>
    </row>
    <row r="60" spans="2:6">
      <c r="B60" s="6" t="str">
        <f>IFERROR(Tabela2[[#This Row],[Materiais]],"-")</f>
        <v>-</v>
      </c>
      <c r="C60" s="6" t="str">
        <f>IFERROR(VLOOKUP(B60,Materiais!B:C,2,0),"-")</f>
        <v>-</v>
      </c>
      <c r="D60" s="29">
        <f>IFERROR(SUMIFS('Entradas e Saídas'!H:H,'Entradas e Saídas'!F:F,Estoque!B60),"-")</f>
        <v>0</v>
      </c>
      <c r="E60" s="7">
        <f>SUMIFS(Produtos!F:F,Produtos!D:D,Estoque!B60)+SUMIFS(Produtos!J:J,Produtos!H:H,Estoque!B60)+SUMIFS(Produtos!N:N,Produtos!L:L,Estoque!B60)+SUMIFS(Produtos!R:R,Produtos!P:P,Estoque!B60)+SUMIFS(Produtos!V:V,Produtos!T:T,Estoque!B60)+SUMIFS(Produtos!Z:Z,Produtos!X:X,Estoque!B60)+SUMIFS(Produtos!AD:AD,Produtos!AB:AB,Estoque!B60)</f>
        <v>0</v>
      </c>
      <c r="F60" s="31">
        <f t="shared" si="0"/>
        <v>0</v>
      </c>
    </row>
    <row r="61" spans="2:6">
      <c r="B61" s="6" t="str">
        <f>IFERROR(Tabela2[[#This Row],[Materiais]],"-")</f>
        <v>-</v>
      </c>
      <c r="C61" s="6" t="str">
        <f>IFERROR(VLOOKUP(B61,Materiais!B:C,2,0),"-")</f>
        <v>-</v>
      </c>
      <c r="D61" s="29">
        <f>IFERROR(SUMIFS('Entradas e Saídas'!H:H,'Entradas e Saídas'!F:F,Estoque!B61),"-")</f>
        <v>0</v>
      </c>
      <c r="E61" s="7">
        <f>SUMIFS(Produtos!F:F,Produtos!D:D,Estoque!B61)+SUMIFS(Produtos!J:J,Produtos!H:H,Estoque!B61)+SUMIFS(Produtos!N:N,Produtos!L:L,Estoque!B61)+SUMIFS(Produtos!R:R,Produtos!P:P,Estoque!B61)+SUMIFS(Produtos!V:V,Produtos!T:T,Estoque!B61)+SUMIFS(Produtos!Z:Z,Produtos!X:X,Estoque!B61)+SUMIFS(Produtos!AD:AD,Produtos!AB:AB,Estoque!B61)</f>
        <v>0</v>
      </c>
      <c r="F61" s="31">
        <f t="shared" si="0"/>
        <v>0</v>
      </c>
    </row>
    <row r="62" spans="2:6">
      <c r="B62" s="6" t="str">
        <f>IFERROR(Tabela2[[#This Row],[Materiais]],"-")</f>
        <v>-</v>
      </c>
      <c r="C62" s="6" t="str">
        <f>IFERROR(VLOOKUP(B62,Materiais!B:C,2,0),"-")</f>
        <v>-</v>
      </c>
      <c r="D62" s="29">
        <f>IFERROR(SUMIFS('Entradas e Saídas'!H:H,'Entradas e Saídas'!F:F,Estoque!B62),"-")</f>
        <v>0</v>
      </c>
      <c r="E62" s="7">
        <f>SUMIFS(Produtos!F:F,Produtos!D:D,Estoque!B62)+SUMIFS(Produtos!J:J,Produtos!H:H,Estoque!B62)+SUMIFS(Produtos!N:N,Produtos!L:L,Estoque!B62)+SUMIFS(Produtos!R:R,Produtos!P:P,Estoque!B62)+SUMIFS(Produtos!V:V,Produtos!T:T,Estoque!B62)+SUMIFS(Produtos!Z:Z,Produtos!X:X,Estoque!B62)+SUMIFS(Produtos!AD:AD,Produtos!AB:AB,Estoque!B62)</f>
        <v>0</v>
      </c>
      <c r="F62" s="31">
        <f t="shared" si="0"/>
        <v>0</v>
      </c>
    </row>
    <row r="63" spans="2:6">
      <c r="B63" s="6" t="str">
        <f>IFERROR(Tabela2[[#This Row],[Materiais]],"-")</f>
        <v>-</v>
      </c>
      <c r="C63" s="6" t="str">
        <f>IFERROR(VLOOKUP(B63,Materiais!B:C,2,0),"-")</f>
        <v>-</v>
      </c>
      <c r="D63" s="29">
        <f>IFERROR(SUMIFS('Entradas e Saídas'!H:H,'Entradas e Saídas'!F:F,Estoque!B63),"-")</f>
        <v>0</v>
      </c>
      <c r="E63" s="7">
        <f>SUMIFS(Produtos!F:F,Produtos!D:D,Estoque!B63)+SUMIFS(Produtos!J:J,Produtos!H:H,Estoque!B63)+SUMIFS(Produtos!N:N,Produtos!L:L,Estoque!B63)+SUMIFS(Produtos!R:R,Produtos!P:P,Estoque!B63)+SUMIFS(Produtos!V:V,Produtos!T:T,Estoque!B63)+SUMIFS(Produtos!Z:Z,Produtos!X:X,Estoque!B63)+SUMIFS(Produtos!AD:AD,Produtos!AB:AB,Estoque!B63)</f>
        <v>0</v>
      </c>
      <c r="F63" s="31">
        <f t="shared" si="0"/>
        <v>0</v>
      </c>
    </row>
    <row r="64" spans="2:6">
      <c r="B64" s="6" t="str">
        <f>IFERROR(Tabela2[[#This Row],[Materiais]],"-")</f>
        <v>-</v>
      </c>
      <c r="C64" s="6" t="str">
        <f>IFERROR(VLOOKUP(B64,Materiais!B:C,2,0),"-")</f>
        <v>-</v>
      </c>
      <c r="D64" s="29">
        <f>IFERROR(SUMIFS('Entradas e Saídas'!H:H,'Entradas e Saídas'!F:F,Estoque!B64),"-")</f>
        <v>0</v>
      </c>
      <c r="E64" s="7">
        <f>SUMIFS(Produtos!F:F,Produtos!D:D,Estoque!B64)+SUMIFS(Produtos!J:J,Produtos!H:H,Estoque!B64)+SUMIFS(Produtos!N:N,Produtos!L:L,Estoque!B64)+SUMIFS(Produtos!R:R,Produtos!P:P,Estoque!B64)+SUMIFS(Produtos!V:V,Produtos!T:T,Estoque!B64)+SUMIFS(Produtos!Z:Z,Produtos!X:X,Estoque!B64)+SUMIFS(Produtos!AD:AD,Produtos!AB:AB,Estoque!B64)</f>
        <v>0</v>
      </c>
      <c r="F64" s="31">
        <f t="shared" si="0"/>
        <v>0</v>
      </c>
    </row>
    <row r="65" spans="2:7">
      <c r="B65" s="6" t="str">
        <f>IFERROR(Tabela2[[#This Row],[Materiais]],"-")</f>
        <v>-</v>
      </c>
      <c r="C65" s="6" t="str">
        <f>IFERROR(VLOOKUP(B65,Materiais!B:C,2,0),"-")</f>
        <v>-</v>
      </c>
      <c r="D65" s="29">
        <f>IFERROR(SUMIFS('Entradas e Saídas'!H:H,'Entradas e Saídas'!F:F,Estoque!B65),"-")</f>
        <v>0</v>
      </c>
      <c r="E65" s="7">
        <f>SUMIFS(Produtos!F:F,Produtos!D:D,Estoque!B65)+SUMIFS(Produtos!J:J,Produtos!H:H,Estoque!B65)+SUMIFS(Produtos!N:N,Produtos!L:L,Estoque!B65)+SUMIFS(Produtos!R:R,Produtos!P:P,Estoque!B65)+SUMIFS(Produtos!V:V,Produtos!T:T,Estoque!B65)+SUMIFS(Produtos!Z:Z,Produtos!X:X,Estoque!B65)+SUMIFS(Produtos!AD:AD,Produtos!AB:AB,Estoque!B65)</f>
        <v>0</v>
      </c>
      <c r="F65" s="31">
        <f t="shared" si="0"/>
        <v>0</v>
      </c>
    </row>
    <row r="66" spans="2:7">
      <c r="B66" s="6" t="str">
        <f>IFERROR(Tabela2[[#This Row],[Materiais]],"-")</f>
        <v>-</v>
      </c>
      <c r="C66" s="6" t="str">
        <f>IFERROR(VLOOKUP(B66,Materiais!B:C,2,0),"-")</f>
        <v>-</v>
      </c>
      <c r="D66" s="29">
        <f>IFERROR(SUMIFS('Entradas e Saídas'!H:H,'Entradas e Saídas'!F:F,Estoque!B66),"-")</f>
        <v>0</v>
      </c>
      <c r="E66" s="7">
        <f>SUMIFS(Produtos!F:F,Produtos!D:D,Estoque!B66)+SUMIFS(Produtos!J:J,Produtos!H:H,Estoque!B66)+SUMIFS(Produtos!N:N,Produtos!L:L,Estoque!B66)+SUMIFS(Produtos!R:R,Produtos!P:P,Estoque!B66)+SUMIFS(Produtos!V:V,Produtos!T:T,Estoque!B66)+SUMIFS(Produtos!Z:Z,Produtos!X:X,Estoque!B66)+SUMIFS(Produtos!AD:AD,Produtos!AB:AB,Estoque!B66)</f>
        <v>0</v>
      </c>
      <c r="F66" s="31">
        <f t="shared" si="0"/>
        <v>0</v>
      </c>
    </row>
    <row r="67" spans="2:7">
      <c r="B67" s="6" t="str">
        <f>IFERROR(Tabela2[[#This Row],[Materiais]],"-")</f>
        <v>-</v>
      </c>
      <c r="C67" s="6" t="str">
        <f>IFERROR(VLOOKUP(B67,Materiais!B:C,2,0),"-")</f>
        <v>-</v>
      </c>
      <c r="D67" s="29">
        <f>IFERROR(SUMIFS('Entradas e Saídas'!H:H,'Entradas e Saídas'!F:F,Estoque!B67),"-")</f>
        <v>0</v>
      </c>
      <c r="E67" s="7">
        <f>SUMIFS(Produtos!F:F,Produtos!D:D,Estoque!B67)+SUMIFS(Produtos!J:J,Produtos!H:H,Estoque!B67)+SUMIFS(Produtos!N:N,Produtos!L:L,Estoque!B67)+SUMIFS(Produtos!R:R,Produtos!P:P,Estoque!B67)+SUMIFS(Produtos!V:V,Produtos!T:T,Estoque!B67)+SUMIFS(Produtos!Z:Z,Produtos!X:X,Estoque!B67)+SUMIFS(Produtos!AD:AD,Produtos!AB:AB,Estoque!B67)</f>
        <v>0</v>
      </c>
      <c r="F67" s="31">
        <f t="shared" si="0"/>
        <v>0</v>
      </c>
    </row>
    <row r="68" spans="2:7">
      <c r="B68" s="6" t="str">
        <f>IFERROR(Tabela2[[#This Row],[Materiais]],"-")</f>
        <v>-</v>
      </c>
      <c r="C68" s="6" t="str">
        <f>IFERROR(VLOOKUP(B68,Materiais!B:C,2,0),"-")</f>
        <v>-</v>
      </c>
      <c r="D68" s="29">
        <f>IFERROR(SUMIFS('Entradas e Saídas'!H:H,'Entradas e Saídas'!F:F,Estoque!B68),"-")</f>
        <v>0</v>
      </c>
      <c r="E68" s="7">
        <f>SUMIFS(Produtos!F:F,Produtos!D:D,Estoque!B68)+SUMIFS(Produtos!J:J,Produtos!H:H,Estoque!B68)+SUMIFS(Produtos!N:N,Produtos!L:L,Estoque!B68)+SUMIFS(Produtos!R:R,Produtos!P:P,Estoque!B68)+SUMIFS(Produtos!V:V,Produtos!T:T,Estoque!B68)+SUMIFS(Produtos!Z:Z,Produtos!X:X,Estoque!B68)+SUMIFS(Produtos!AD:AD,Produtos!AB:AB,Estoque!B68)</f>
        <v>0</v>
      </c>
      <c r="F68" s="31">
        <f t="shared" si="0"/>
        <v>0</v>
      </c>
    </row>
    <row r="69" spans="2:7">
      <c r="B69" s="6" t="str">
        <f>IFERROR(Tabela2[[#This Row],[Materiais]],"-")</f>
        <v>-</v>
      </c>
      <c r="C69" s="6" t="str">
        <f>IFERROR(VLOOKUP(B69,Materiais!B:C,2,0),"-")</f>
        <v>-</v>
      </c>
      <c r="D69" s="29">
        <f>IFERROR(SUMIFS('Entradas e Saídas'!H:H,'Entradas e Saídas'!F:F,Estoque!B69),"-")</f>
        <v>0</v>
      </c>
      <c r="E69" s="7">
        <f>SUMIFS(Produtos!F:F,Produtos!D:D,Estoque!B69)+SUMIFS(Produtos!J:J,Produtos!H:H,Estoque!B69)+SUMIFS(Produtos!N:N,Produtos!L:L,Estoque!B69)+SUMIFS(Produtos!R:R,Produtos!P:P,Estoque!B69)+SUMIFS(Produtos!V:V,Produtos!T:T,Estoque!B69)+SUMIFS(Produtos!Z:Z,Produtos!X:X,Estoque!B69)+SUMIFS(Produtos!AD:AD,Produtos!AB:AB,Estoque!B69)</f>
        <v>0</v>
      </c>
      <c r="F69" s="31">
        <f t="shared" si="0"/>
        <v>0</v>
      </c>
    </row>
    <row r="70" spans="2:7">
      <c r="B70" s="6" t="str">
        <f>IFERROR(Tabela2[[#This Row],[Materiais]],"-")</f>
        <v>-</v>
      </c>
      <c r="C70" s="6" t="str">
        <f>IFERROR(VLOOKUP(B70,Materiais!B:C,2,0),"-")</f>
        <v>-</v>
      </c>
      <c r="D70" s="29">
        <f>IFERROR(SUMIFS('Entradas e Saídas'!H:H,'Entradas e Saídas'!F:F,Estoque!B70),"-")</f>
        <v>0</v>
      </c>
      <c r="E70" s="7">
        <f>SUMIFS(Produtos!F:F,Produtos!D:D,Estoque!B70)+SUMIFS(Produtos!J:J,Produtos!H:H,Estoque!B70)+SUMIFS(Produtos!N:N,Produtos!L:L,Estoque!B70)+SUMIFS(Produtos!R:R,Produtos!P:P,Estoque!B70)+SUMIFS(Produtos!V:V,Produtos!T:T,Estoque!B70)+SUMIFS(Produtos!Z:Z,Produtos!X:X,Estoque!B70)+SUMIFS(Produtos!AD:AD,Produtos!AB:AB,Estoque!B70)</f>
        <v>0</v>
      </c>
      <c r="F70" s="31">
        <f t="shared" ref="F70:F106" si="1">D70-E70</f>
        <v>0</v>
      </c>
    </row>
    <row r="71" spans="2:7">
      <c r="B71" s="6" t="str">
        <f>IFERROR(Tabela2[[#This Row],[Materiais]],"-")</f>
        <v>-</v>
      </c>
      <c r="C71" s="6" t="str">
        <f>IFERROR(VLOOKUP(B71,Materiais!B:C,2,0),"-")</f>
        <v>-</v>
      </c>
      <c r="D71" s="29">
        <f>IFERROR(SUMIFS('Entradas e Saídas'!H:H,'Entradas e Saídas'!F:F,Estoque!B71),"-")</f>
        <v>0</v>
      </c>
      <c r="E71" s="7">
        <f>SUMIFS(Produtos!F:F,Produtos!D:D,Estoque!B71)+SUMIFS(Produtos!J:J,Produtos!H:H,Estoque!B71)+SUMIFS(Produtos!N:N,Produtos!L:L,Estoque!B71)+SUMIFS(Produtos!R:R,Produtos!P:P,Estoque!B71)+SUMIFS(Produtos!V:V,Produtos!T:T,Estoque!B71)+SUMIFS(Produtos!Z:Z,Produtos!X:X,Estoque!B71)+SUMIFS(Produtos!AD:AD,Produtos!AB:AB,Estoque!B71)</f>
        <v>0</v>
      </c>
      <c r="F71" s="31">
        <f t="shared" si="1"/>
        <v>0</v>
      </c>
    </row>
    <row r="72" spans="2:7">
      <c r="B72" s="6" t="str">
        <f>IFERROR(Tabela2[[#This Row],[Materiais]],"-")</f>
        <v>-</v>
      </c>
      <c r="C72" s="6" t="str">
        <f>IFERROR(VLOOKUP(B72,Materiais!B:C,2,0),"-")</f>
        <v>-</v>
      </c>
      <c r="D72" s="29">
        <f>IFERROR(SUMIFS('Entradas e Saídas'!H:H,'Entradas e Saídas'!F:F,Estoque!B72),"-")</f>
        <v>0</v>
      </c>
      <c r="E72" s="7">
        <f>SUMIFS(Produtos!F:F,Produtos!D:D,Estoque!B72)+SUMIFS(Produtos!J:J,Produtos!H:H,Estoque!B72)+SUMIFS(Produtos!N:N,Produtos!L:L,Estoque!B72)+SUMIFS(Produtos!R:R,Produtos!P:P,Estoque!B72)+SUMIFS(Produtos!V:V,Produtos!T:T,Estoque!B72)+SUMIFS(Produtos!Z:Z,Produtos!X:X,Estoque!B72)+SUMIFS(Produtos!AD:AD,Produtos!AB:AB,Estoque!B72)</f>
        <v>0</v>
      </c>
      <c r="F72" s="31">
        <f t="shared" si="1"/>
        <v>0</v>
      </c>
    </row>
    <row r="73" spans="2:7">
      <c r="B73" s="6" t="str">
        <f>IFERROR(Tabela2[[#This Row],[Materiais]],"-")</f>
        <v>-</v>
      </c>
      <c r="C73" s="6" t="str">
        <f>IFERROR(VLOOKUP(B73,Materiais!B:C,2,0),"-")</f>
        <v>-</v>
      </c>
      <c r="D73" s="29">
        <f>IFERROR(SUMIFS('Entradas e Saídas'!H:H,'Entradas e Saídas'!F:F,Estoque!B73),"-")</f>
        <v>0</v>
      </c>
      <c r="E73" s="7">
        <f>SUMIFS(Produtos!F:F,Produtos!D:D,Estoque!B73)+SUMIFS(Produtos!J:J,Produtos!H:H,Estoque!B73)+SUMIFS(Produtos!N:N,Produtos!L:L,Estoque!B73)+SUMIFS(Produtos!R:R,Produtos!P:P,Estoque!B73)+SUMIFS(Produtos!V:V,Produtos!T:T,Estoque!B73)+SUMIFS(Produtos!Z:Z,Produtos!X:X,Estoque!B73)+SUMIFS(Produtos!AD:AD,Produtos!AB:AB,Estoque!B73)</f>
        <v>0</v>
      </c>
      <c r="F73" s="31">
        <f t="shared" si="1"/>
        <v>0</v>
      </c>
      <c r="G73">
        <f>F73/395</f>
        <v>0</v>
      </c>
    </row>
    <row r="74" spans="2:7">
      <c r="B74" s="6" t="str">
        <f>IFERROR(Tabela2[[#This Row],[Materiais]],"-")</f>
        <v>-</v>
      </c>
      <c r="C74" s="6" t="str">
        <f>IFERROR(VLOOKUP(B74,Materiais!B:C,2,0),"-")</f>
        <v>-</v>
      </c>
      <c r="D74" s="29">
        <f>IFERROR(SUMIFS('Entradas e Saídas'!H:H,'Entradas e Saídas'!F:F,Estoque!B74),"-")</f>
        <v>0</v>
      </c>
      <c r="E74" s="7">
        <f>SUMIFS(Produtos!F:F,Produtos!D:D,Estoque!B74)+SUMIFS(Produtos!J:J,Produtos!H:H,Estoque!B74)+SUMIFS(Produtos!N:N,Produtos!L:L,Estoque!B74)+SUMIFS(Produtos!R:R,Produtos!P:P,Estoque!B74)+SUMIFS(Produtos!V:V,Produtos!T:T,Estoque!B74)+SUMIFS(Produtos!Z:Z,Produtos!X:X,Estoque!B74)+SUMIFS(Produtos!AD:AD,Produtos!AB:AB,Estoque!B74)</f>
        <v>0</v>
      </c>
      <c r="F74" s="31">
        <f t="shared" si="1"/>
        <v>0</v>
      </c>
    </row>
    <row r="75" spans="2:7">
      <c r="B75" s="6" t="str">
        <f>IFERROR(Tabela2[[#This Row],[Materiais]],"-")</f>
        <v>-</v>
      </c>
      <c r="C75" s="6" t="str">
        <f>IFERROR(VLOOKUP(B75,Materiais!B:C,2,0),"-")</f>
        <v>-</v>
      </c>
      <c r="D75" s="29">
        <f>IFERROR(SUMIFS('Entradas e Saídas'!H:H,'Entradas e Saídas'!F:F,Estoque!B75),"-")</f>
        <v>0</v>
      </c>
      <c r="E75" s="7">
        <f>SUMIFS(Produtos!F:F,Produtos!D:D,Estoque!B75)+SUMIFS(Produtos!J:J,Produtos!H:H,Estoque!B75)+SUMIFS(Produtos!N:N,Produtos!L:L,Estoque!B75)+SUMIFS(Produtos!R:R,Produtos!P:P,Estoque!B75)+SUMIFS(Produtos!V:V,Produtos!T:T,Estoque!B75)+SUMIFS(Produtos!Z:Z,Produtos!X:X,Estoque!B75)+SUMIFS(Produtos!AD:AD,Produtos!AB:AB,Estoque!B75)</f>
        <v>0</v>
      </c>
      <c r="F75" s="31">
        <f t="shared" si="1"/>
        <v>0</v>
      </c>
    </row>
    <row r="76" spans="2:7">
      <c r="B76" s="6" t="str">
        <f>IFERROR(Tabela2[[#This Row],[Materiais]],"-")</f>
        <v>-</v>
      </c>
      <c r="C76" s="6" t="str">
        <f>IFERROR(VLOOKUP(B76,Materiais!B:C,2,0),"-")</f>
        <v>-</v>
      </c>
      <c r="D76" s="29">
        <f>IFERROR(SUMIFS('Entradas e Saídas'!H:H,'Entradas e Saídas'!F:F,Estoque!B76),"-")</f>
        <v>0</v>
      </c>
      <c r="E76" s="7">
        <f>SUMIFS(Produtos!F:F,Produtos!D:D,Estoque!B76)+SUMIFS(Produtos!J:J,Produtos!H:H,Estoque!B76)+SUMIFS(Produtos!N:N,Produtos!L:L,Estoque!B76)+SUMIFS(Produtos!R:R,Produtos!P:P,Estoque!B76)+SUMIFS(Produtos!V:V,Produtos!T:T,Estoque!B76)+SUMIFS(Produtos!Z:Z,Produtos!X:X,Estoque!B76)+SUMIFS(Produtos!AD:AD,Produtos!AB:AB,Estoque!B76)</f>
        <v>0</v>
      </c>
      <c r="F76" s="31">
        <f t="shared" si="1"/>
        <v>0</v>
      </c>
    </row>
    <row r="77" spans="2:7">
      <c r="B77" s="6" t="str">
        <f>IFERROR(Tabela2[[#This Row],[Materiais]],"-")</f>
        <v>-</v>
      </c>
      <c r="C77" s="6" t="str">
        <f>IFERROR(VLOOKUP(B77,Materiais!B:C,2,0),"-")</f>
        <v>-</v>
      </c>
      <c r="D77" s="29">
        <f>IFERROR(SUMIFS('Entradas e Saídas'!H:H,'Entradas e Saídas'!F:F,Estoque!B77),"-")</f>
        <v>0</v>
      </c>
      <c r="E77" s="7">
        <f>SUMIFS(Produtos!F:F,Produtos!D:D,Estoque!B77)+SUMIFS(Produtos!J:J,Produtos!H:H,Estoque!B77)+SUMIFS(Produtos!N:N,Produtos!L:L,Estoque!B77)+SUMIFS(Produtos!R:R,Produtos!P:P,Estoque!B77)+SUMIFS(Produtos!V:V,Produtos!T:T,Estoque!B77)+SUMIFS(Produtos!Z:Z,Produtos!X:X,Estoque!B77)+SUMIFS(Produtos!AD:AD,Produtos!AB:AB,Estoque!B77)</f>
        <v>0</v>
      </c>
      <c r="F77" s="31">
        <f t="shared" si="1"/>
        <v>0</v>
      </c>
    </row>
    <row r="78" spans="2:7">
      <c r="B78" s="6" t="str">
        <f>IFERROR(Tabela2[[#This Row],[Materiais]],"-")</f>
        <v>-</v>
      </c>
      <c r="C78" s="6" t="str">
        <f>IFERROR(VLOOKUP(B78,Materiais!B:C,2,0),"-")</f>
        <v>-</v>
      </c>
      <c r="D78" s="29">
        <f>IFERROR(SUMIFS('Entradas e Saídas'!H:H,'Entradas e Saídas'!F:F,Estoque!B78),"-")</f>
        <v>0</v>
      </c>
      <c r="E78" s="7">
        <f>SUMIFS(Produtos!F:F,Produtos!D:D,Estoque!B78)+SUMIFS(Produtos!J:J,Produtos!H:H,Estoque!B78)+SUMIFS(Produtos!N:N,Produtos!L:L,Estoque!B78)+SUMIFS(Produtos!R:R,Produtos!P:P,Estoque!B78)+SUMIFS(Produtos!V:V,Produtos!T:T,Estoque!B78)+SUMIFS(Produtos!Z:Z,Produtos!X:X,Estoque!B78)+SUMIFS(Produtos!AD:AD,Produtos!AB:AB,Estoque!B78)</f>
        <v>0</v>
      </c>
      <c r="F78" s="31">
        <f t="shared" si="1"/>
        <v>0</v>
      </c>
    </row>
    <row r="79" spans="2:7">
      <c r="B79" s="6" t="str">
        <f>IFERROR(Tabela2[[#This Row],[Materiais]],"-")</f>
        <v>-</v>
      </c>
      <c r="C79" s="6" t="str">
        <f>IFERROR(VLOOKUP(B79,Materiais!B:C,2,0),"-")</f>
        <v>-</v>
      </c>
      <c r="D79" s="29">
        <f>IFERROR(SUMIFS('Entradas e Saídas'!H:H,'Entradas e Saídas'!F:F,Estoque!B79),"-")</f>
        <v>0</v>
      </c>
      <c r="E79" s="7">
        <f>SUMIFS(Produtos!F:F,Produtos!D:D,Estoque!B79)+SUMIFS(Produtos!J:J,Produtos!H:H,Estoque!B79)+SUMIFS(Produtos!N:N,Produtos!L:L,Estoque!B79)+SUMIFS(Produtos!R:R,Produtos!P:P,Estoque!B79)+SUMIFS(Produtos!V:V,Produtos!T:T,Estoque!B79)+SUMIFS(Produtos!Z:Z,Produtos!X:X,Estoque!B79)+SUMIFS(Produtos!AD:AD,Produtos!AB:AB,Estoque!B79)</f>
        <v>0</v>
      </c>
      <c r="F79" s="31">
        <f t="shared" si="1"/>
        <v>0</v>
      </c>
    </row>
    <row r="80" spans="2:7">
      <c r="B80" s="6" t="str">
        <f>IFERROR(Tabela2[[#This Row],[Materiais]],"-")</f>
        <v>-</v>
      </c>
      <c r="C80" s="6" t="str">
        <f>IFERROR(VLOOKUP(B80,Materiais!B:C,2,0),"-")</f>
        <v>-</v>
      </c>
      <c r="D80" s="29">
        <f>IFERROR(SUMIFS('Entradas e Saídas'!H:H,'Entradas e Saídas'!F:F,Estoque!B80),"-")</f>
        <v>0</v>
      </c>
      <c r="E80" s="7">
        <f>SUMIFS(Produtos!F:F,Produtos!D:D,Estoque!B80)+SUMIFS(Produtos!J:J,Produtos!H:H,Estoque!B80)+SUMIFS(Produtos!N:N,Produtos!L:L,Estoque!B80)+SUMIFS(Produtos!R:R,Produtos!P:P,Estoque!B80)+SUMIFS(Produtos!V:V,Produtos!T:T,Estoque!B80)+SUMIFS(Produtos!Z:Z,Produtos!X:X,Estoque!B80)+SUMIFS(Produtos!AD:AD,Produtos!AB:AB,Estoque!B80)</f>
        <v>0</v>
      </c>
      <c r="F80" s="31">
        <f t="shared" si="1"/>
        <v>0</v>
      </c>
    </row>
    <row r="81" spans="2:6">
      <c r="B81" s="6" t="str">
        <f>IFERROR(Tabela2[[#This Row],[Materiais]],"-")</f>
        <v>-</v>
      </c>
      <c r="C81" s="6" t="str">
        <f>IFERROR(VLOOKUP(B81,Materiais!B:C,2,0),"-")</f>
        <v>-</v>
      </c>
      <c r="D81" s="29">
        <f>IFERROR(SUMIFS('Entradas e Saídas'!H:H,'Entradas e Saídas'!F:F,Estoque!B81),"-")</f>
        <v>0</v>
      </c>
      <c r="E81" s="7">
        <f>SUMIFS(Produtos!F:F,Produtos!D:D,Estoque!B81)+SUMIFS(Produtos!J:J,Produtos!H:H,Estoque!B81)+SUMIFS(Produtos!N:N,Produtos!L:L,Estoque!B81)+SUMIFS(Produtos!R:R,Produtos!P:P,Estoque!B81)+SUMIFS(Produtos!V:V,Produtos!T:T,Estoque!B81)+SUMIFS(Produtos!Z:Z,Produtos!X:X,Estoque!B81)+SUMIFS(Produtos!AD:AD,Produtos!AB:AB,Estoque!B81)</f>
        <v>0</v>
      </c>
      <c r="F81" s="31">
        <f t="shared" si="1"/>
        <v>0</v>
      </c>
    </row>
    <row r="82" spans="2:6">
      <c r="B82" s="6" t="str">
        <f>IFERROR(Tabela2[[#This Row],[Materiais]],"-")</f>
        <v>-</v>
      </c>
      <c r="C82" s="6" t="str">
        <f>IFERROR(VLOOKUP(B82,Materiais!B:C,2,0),"-")</f>
        <v>-</v>
      </c>
      <c r="D82" s="29">
        <f>IFERROR(SUMIFS('Entradas e Saídas'!H:H,'Entradas e Saídas'!F:F,Estoque!B82),"-")</f>
        <v>0</v>
      </c>
      <c r="E82" s="7">
        <f>SUMIFS(Produtos!F:F,Produtos!D:D,Estoque!B82)+SUMIFS(Produtos!J:J,Produtos!H:H,Estoque!B82)+SUMIFS(Produtos!N:N,Produtos!L:L,Estoque!B82)+SUMIFS(Produtos!R:R,Produtos!P:P,Estoque!B82)+SUMIFS(Produtos!V:V,Produtos!T:T,Estoque!B82)+SUMIFS(Produtos!Z:Z,Produtos!X:X,Estoque!B82)+SUMIFS(Produtos!AD:AD,Produtos!AB:AB,Estoque!B82)</f>
        <v>0</v>
      </c>
      <c r="F82" s="31">
        <f t="shared" si="1"/>
        <v>0</v>
      </c>
    </row>
    <row r="83" spans="2:6">
      <c r="B83" s="6" t="str">
        <f>IFERROR(Tabela2[[#This Row],[Materiais]],"-")</f>
        <v>-</v>
      </c>
      <c r="C83" s="6" t="str">
        <f>IFERROR(VLOOKUP(B83,Materiais!B:C,2,0),"-")</f>
        <v>-</v>
      </c>
      <c r="D83" s="29">
        <f>IFERROR(SUMIFS('Entradas e Saídas'!H:H,'Entradas e Saídas'!F:F,Estoque!B83),"-")</f>
        <v>0</v>
      </c>
      <c r="E83" s="7">
        <f>SUMIFS(Produtos!F:F,Produtos!D:D,Estoque!B83)+SUMIFS(Produtos!J:J,Produtos!H:H,Estoque!B83)+SUMIFS(Produtos!N:N,Produtos!L:L,Estoque!B83)+SUMIFS(Produtos!R:R,Produtos!P:P,Estoque!B83)+SUMIFS(Produtos!V:V,Produtos!T:T,Estoque!B83)+SUMIFS(Produtos!Z:Z,Produtos!X:X,Estoque!B83)+SUMIFS(Produtos!AD:AD,Produtos!AB:AB,Estoque!B83)</f>
        <v>0</v>
      </c>
      <c r="F83" s="31">
        <f t="shared" si="1"/>
        <v>0</v>
      </c>
    </row>
    <row r="84" spans="2:6">
      <c r="B84" s="6" t="str">
        <f>IFERROR(Tabela2[[#This Row],[Materiais]],"-")</f>
        <v>-</v>
      </c>
      <c r="C84" s="6" t="str">
        <f>IFERROR(VLOOKUP(B84,Materiais!B:C,2,0),"-")</f>
        <v>-</v>
      </c>
      <c r="D84" s="29">
        <f>IFERROR(SUMIFS('Entradas e Saídas'!H:H,'Entradas e Saídas'!F:F,Estoque!B84),"-")</f>
        <v>0</v>
      </c>
      <c r="E84" s="7">
        <f>SUMIFS(Produtos!F:F,Produtos!D:D,Estoque!B84)+SUMIFS(Produtos!J:J,Produtos!H:H,Estoque!B84)+SUMIFS(Produtos!N:N,Produtos!L:L,Estoque!B84)+SUMIFS(Produtos!R:R,Produtos!P:P,Estoque!B84)+SUMIFS(Produtos!V:V,Produtos!T:T,Estoque!B84)+SUMIFS(Produtos!Z:Z,Produtos!X:X,Estoque!B84)+SUMIFS(Produtos!AD:AD,Produtos!AB:AB,Estoque!B84)</f>
        <v>0</v>
      </c>
      <c r="F84" s="31">
        <f t="shared" si="1"/>
        <v>0</v>
      </c>
    </row>
    <row r="85" spans="2:6">
      <c r="B85" s="6" t="str">
        <f>IFERROR(Tabela2[[#This Row],[Materiais]],"-")</f>
        <v>-</v>
      </c>
      <c r="C85" s="6" t="str">
        <f>IFERROR(VLOOKUP(B85,Materiais!B:C,2,0),"-")</f>
        <v>-</v>
      </c>
      <c r="D85" s="29">
        <f>IFERROR(SUMIFS('Entradas e Saídas'!H:H,'Entradas e Saídas'!F:F,Estoque!B85),"-")</f>
        <v>0</v>
      </c>
      <c r="E85" s="7">
        <f>SUMIFS(Produtos!F:F,Produtos!D:D,Estoque!B85)+SUMIFS(Produtos!J:J,Produtos!H:H,Estoque!B85)+SUMIFS(Produtos!N:N,Produtos!L:L,Estoque!B85)+SUMIFS(Produtos!R:R,Produtos!P:P,Estoque!B85)+SUMIFS(Produtos!V:V,Produtos!T:T,Estoque!B85)+SUMIFS(Produtos!Z:Z,Produtos!X:X,Estoque!B85)+SUMIFS(Produtos!AD:AD,Produtos!AB:AB,Estoque!B85)</f>
        <v>0</v>
      </c>
      <c r="F85" s="31">
        <f t="shared" si="1"/>
        <v>0</v>
      </c>
    </row>
    <row r="86" spans="2:6">
      <c r="B86" s="6" t="str">
        <f>IFERROR(Tabela2[[#This Row],[Materiais]],"-")</f>
        <v>-</v>
      </c>
      <c r="C86" s="6" t="str">
        <f>IFERROR(VLOOKUP(B86,Materiais!B:C,2,0),"-")</f>
        <v>-</v>
      </c>
      <c r="D86" s="29">
        <f>IFERROR(SUMIFS('Entradas e Saídas'!H:H,'Entradas e Saídas'!F:F,Estoque!B86),"-")</f>
        <v>0</v>
      </c>
      <c r="E86" s="7">
        <f>SUMIFS(Produtos!F:F,Produtos!D:D,Estoque!B86)+SUMIFS(Produtos!J:J,Produtos!H:H,Estoque!B86)+SUMIFS(Produtos!N:N,Produtos!L:L,Estoque!B86)+SUMIFS(Produtos!R:R,Produtos!P:P,Estoque!B86)+SUMIFS(Produtos!V:V,Produtos!T:T,Estoque!B86)+SUMIFS(Produtos!Z:Z,Produtos!X:X,Estoque!B86)+SUMIFS(Produtos!AD:AD,Produtos!AB:AB,Estoque!B86)</f>
        <v>0</v>
      </c>
      <c r="F86" s="31">
        <f t="shared" si="1"/>
        <v>0</v>
      </c>
    </row>
    <row r="87" spans="2:6">
      <c r="B87" s="6" t="str">
        <f>IFERROR(Tabela2[[#This Row],[Materiais]],"-")</f>
        <v>-</v>
      </c>
      <c r="C87" s="6" t="str">
        <f>IFERROR(VLOOKUP(B87,Materiais!B:C,2,0),"-")</f>
        <v>-</v>
      </c>
      <c r="D87" s="29">
        <f>IFERROR(SUMIFS('Entradas e Saídas'!H:H,'Entradas e Saídas'!F:F,Estoque!B87),"-")</f>
        <v>0</v>
      </c>
      <c r="E87" s="7">
        <f>SUMIFS(Produtos!F:F,Produtos!D:D,Estoque!B87)+SUMIFS(Produtos!J:J,Produtos!H:H,Estoque!B87)+SUMIFS(Produtos!N:N,Produtos!L:L,Estoque!B87)+SUMIFS(Produtos!R:R,Produtos!P:P,Estoque!B87)+SUMIFS(Produtos!V:V,Produtos!T:T,Estoque!B87)+SUMIFS(Produtos!Z:Z,Produtos!X:X,Estoque!B87)+SUMIFS(Produtos!AD:AD,Produtos!AB:AB,Estoque!B87)</f>
        <v>0</v>
      </c>
      <c r="F87" s="31">
        <f t="shared" si="1"/>
        <v>0</v>
      </c>
    </row>
    <row r="88" spans="2:6">
      <c r="B88" s="6" t="str">
        <f>IFERROR(Tabela2[[#This Row],[Materiais]],"-")</f>
        <v>-</v>
      </c>
      <c r="C88" s="6" t="str">
        <f>IFERROR(VLOOKUP(B88,Materiais!B:C,2,0),"-")</f>
        <v>-</v>
      </c>
      <c r="D88" s="29">
        <f>IFERROR(SUMIFS('Entradas e Saídas'!H:H,'Entradas e Saídas'!F:F,Estoque!B88),"-")</f>
        <v>0</v>
      </c>
      <c r="E88" s="7">
        <f>SUMIFS(Produtos!F:F,Produtos!D:D,Estoque!B88)+SUMIFS(Produtos!J:J,Produtos!H:H,Estoque!B88)+SUMIFS(Produtos!N:N,Produtos!L:L,Estoque!B88)+SUMIFS(Produtos!R:R,Produtos!P:P,Estoque!B88)+SUMIFS(Produtos!V:V,Produtos!T:T,Estoque!B88)+SUMIFS(Produtos!Z:Z,Produtos!X:X,Estoque!B88)+SUMIFS(Produtos!AD:AD,Produtos!AB:AB,Estoque!B88)</f>
        <v>0</v>
      </c>
      <c r="F88" s="31">
        <f t="shared" si="1"/>
        <v>0</v>
      </c>
    </row>
    <row r="89" spans="2:6">
      <c r="B89" s="6" t="str">
        <f>IFERROR(Tabela2[[#This Row],[Materiais]],"-")</f>
        <v>-</v>
      </c>
      <c r="C89" s="6" t="str">
        <f>IFERROR(VLOOKUP(B89,Materiais!B:C,2,0),"-")</f>
        <v>-</v>
      </c>
      <c r="D89" s="29">
        <f>IFERROR(SUMIFS('Entradas e Saídas'!H:H,'Entradas e Saídas'!F:F,Estoque!B89),"-")</f>
        <v>0</v>
      </c>
      <c r="E89" s="7">
        <f>SUMIFS(Produtos!F:F,Produtos!D:D,Estoque!B89)+SUMIFS(Produtos!J:J,Produtos!H:H,Estoque!B89)+SUMIFS(Produtos!N:N,Produtos!L:L,Estoque!B89)+SUMIFS(Produtos!R:R,Produtos!P:P,Estoque!B89)+SUMIFS(Produtos!V:V,Produtos!T:T,Estoque!B89)+SUMIFS(Produtos!Z:Z,Produtos!X:X,Estoque!B89)+SUMIFS(Produtos!AD:AD,Produtos!AB:AB,Estoque!B89)</f>
        <v>0</v>
      </c>
      <c r="F89" s="31">
        <f t="shared" si="1"/>
        <v>0</v>
      </c>
    </row>
    <row r="90" spans="2:6">
      <c r="B90" s="6" t="str">
        <f>IFERROR(Tabela2[[#This Row],[Materiais]],"-")</f>
        <v>-</v>
      </c>
      <c r="C90" s="6" t="str">
        <f>IFERROR(VLOOKUP(B90,Materiais!B:C,2,0),"-")</f>
        <v>-</v>
      </c>
      <c r="D90" s="29">
        <f>IFERROR(SUMIFS('Entradas e Saídas'!H:H,'Entradas e Saídas'!F:F,Estoque!B90),"-")</f>
        <v>0</v>
      </c>
      <c r="E90" s="7">
        <f>SUMIFS(Produtos!F:F,Produtos!D:D,Estoque!B90)+SUMIFS(Produtos!J:J,Produtos!H:H,Estoque!B90)+SUMIFS(Produtos!N:N,Produtos!L:L,Estoque!B90)+SUMIFS(Produtos!R:R,Produtos!P:P,Estoque!B90)+SUMIFS(Produtos!V:V,Produtos!T:T,Estoque!B90)+SUMIFS(Produtos!Z:Z,Produtos!X:X,Estoque!B90)+SUMIFS(Produtos!AD:AD,Produtos!AB:AB,Estoque!B90)</f>
        <v>0</v>
      </c>
      <c r="F90" s="31">
        <f t="shared" si="1"/>
        <v>0</v>
      </c>
    </row>
    <row r="91" spans="2:6">
      <c r="B91" s="6" t="str">
        <f>IFERROR(Tabela2[[#This Row],[Materiais]],"-")</f>
        <v>-</v>
      </c>
      <c r="C91" s="6" t="str">
        <f>IFERROR(VLOOKUP(B91,Materiais!B:C,2,0),"-")</f>
        <v>-</v>
      </c>
      <c r="D91" s="29">
        <f>IFERROR(SUMIFS('Entradas e Saídas'!H:H,'Entradas e Saídas'!F:F,Estoque!B91),"-")</f>
        <v>0</v>
      </c>
      <c r="E91" s="7">
        <f>SUMIFS(Produtos!F:F,Produtos!D:D,Estoque!B91)+SUMIFS(Produtos!J:J,Produtos!H:H,Estoque!B91)+SUMIFS(Produtos!N:N,Produtos!L:L,Estoque!B91)+SUMIFS(Produtos!R:R,Produtos!P:P,Estoque!B91)+SUMIFS(Produtos!V:V,Produtos!T:T,Estoque!B91)+SUMIFS(Produtos!Z:Z,Produtos!X:X,Estoque!B91)+SUMIFS(Produtos!AD:AD,Produtos!AB:AB,Estoque!B91)</f>
        <v>0</v>
      </c>
      <c r="F91" s="31">
        <f t="shared" si="1"/>
        <v>0</v>
      </c>
    </row>
    <row r="92" spans="2:6">
      <c r="B92" s="6" t="str">
        <f>IFERROR(Tabela2[[#This Row],[Materiais]],"-")</f>
        <v>-</v>
      </c>
      <c r="C92" s="6" t="str">
        <f>IFERROR(VLOOKUP(B92,Materiais!B:C,2,0),"-")</f>
        <v>-</v>
      </c>
      <c r="D92" s="29">
        <f>IFERROR(SUMIFS('Entradas e Saídas'!H:H,'Entradas e Saídas'!F:F,Estoque!B92),"-")</f>
        <v>0</v>
      </c>
      <c r="E92" s="7">
        <f>SUMIFS(Produtos!F:F,Produtos!D:D,Estoque!B92)+SUMIFS(Produtos!J:J,Produtos!H:H,Estoque!B92)+SUMIFS(Produtos!N:N,Produtos!L:L,Estoque!B92)+SUMIFS(Produtos!R:R,Produtos!P:P,Estoque!B92)+SUMIFS(Produtos!V:V,Produtos!T:T,Estoque!B92)+SUMIFS(Produtos!Z:Z,Produtos!X:X,Estoque!B92)+SUMIFS(Produtos!AD:AD,Produtos!AB:AB,Estoque!B92)</f>
        <v>0</v>
      </c>
      <c r="F92" s="31">
        <f t="shared" si="1"/>
        <v>0</v>
      </c>
    </row>
    <row r="93" spans="2:6">
      <c r="B93" s="6" t="str">
        <f>IFERROR(Tabela2[[#This Row],[Materiais]],"-")</f>
        <v>-</v>
      </c>
      <c r="C93" s="6" t="str">
        <f>IFERROR(VLOOKUP(B93,Materiais!B:C,2,0),"-")</f>
        <v>-</v>
      </c>
      <c r="D93" s="29">
        <f>IFERROR(SUMIFS('Entradas e Saídas'!H:H,'Entradas e Saídas'!F:F,Estoque!B93),"-")</f>
        <v>0</v>
      </c>
      <c r="E93" s="7">
        <f>SUMIFS(Produtos!F:F,Produtos!D:D,Estoque!B93)+SUMIFS(Produtos!J:J,Produtos!H:H,Estoque!B93)+SUMIFS(Produtos!N:N,Produtos!L:L,Estoque!B93)+SUMIFS(Produtos!R:R,Produtos!P:P,Estoque!B93)+SUMIFS(Produtos!V:V,Produtos!T:T,Estoque!B93)+SUMIFS(Produtos!Z:Z,Produtos!X:X,Estoque!B93)+SUMIFS(Produtos!AD:AD,Produtos!AB:AB,Estoque!B93)</f>
        <v>0</v>
      </c>
      <c r="F93" s="31">
        <f t="shared" si="1"/>
        <v>0</v>
      </c>
    </row>
    <row r="94" spans="2:6">
      <c r="B94" s="6" t="str">
        <f>IFERROR(Tabela2[[#This Row],[Materiais]],"-")</f>
        <v>-</v>
      </c>
      <c r="C94" s="6" t="str">
        <f>IFERROR(VLOOKUP(B94,Materiais!B:C,2,0),"-")</f>
        <v>-</v>
      </c>
      <c r="D94" s="29">
        <f>IFERROR(SUMIFS('Entradas e Saídas'!H:H,'Entradas e Saídas'!F:F,Estoque!B94),"-")</f>
        <v>0</v>
      </c>
      <c r="E94" s="7">
        <f>SUMIFS(Produtos!F:F,Produtos!D:D,Estoque!B94)+SUMIFS(Produtos!J:J,Produtos!H:H,Estoque!B94)+SUMIFS(Produtos!N:N,Produtos!L:L,Estoque!B94)+SUMIFS(Produtos!R:R,Produtos!P:P,Estoque!B94)+SUMIFS(Produtos!V:V,Produtos!T:T,Estoque!B94)+SUMIFS(Produtos!Z:Z,Produtos!X:X,Estoque!B94)+SUMIFS(Produtos!AD:AD,Produtos!AB:AB,Estoque!B94)</f>
        <v>0</v>
      </c>
      <c r="F94" s="31">
        <f t="shared" si="1"/>
        <v>0</v>
      </c>
    </row>
    <row r="95" spans="2:6">
      <c r="B95" s="6" t="str">
        <f>IFERROR(Tabela2[[#This Row],[Materiais]],"-")</f>
        <v>-</v>
      </c>
      <c r="C95" s="6" t="str">
        <f>IFERROR(VLOOKUP(B95,Materiais!B:C,2,0),"-")</f>
        <v>-</v>
      </c>
      <c r="D95" s="29">
        <f>IFERROR(SUMIFS('Entradas e Saídas'!H:H,'Entradas e Saídas'!F:F,Estoque!B95),"-")</f>
        <v>0</v>
      </c>
      <c r="E95" s="7">
        <f>SUMIFS(Produtos!F:F,Produtos!D:D,Estoque!B95)+SUMIFS(Produtos!J:J,Produtos!H:H,Estoque!B95)+SUMIFS(Produtos!N:N,Produtos!L:L,Estoque!B95)+SUMIFS(Produtos!R:R,Produtos!P:P,Estoque!B95)+SUMIFS(Produtos!V:V,Produtos!T:T,Estoque!B95)+SUMIFS(Produtos!Z:Z,Produtos!X:X,Estoque!B95)+SUMIFS(Produtos!AD:AD,Produtos!AB:AB,Estoque!B95)</f>
        <v>0</v>
      </c>
      <c r="F95" s="31">
        <f t="shared" si="1"/>
        <v>0</v>
      </c>
    </row>
    <row r="96" spans="2:6">
      <c r="B96" s="6" t="str">
        <f>IFERROR(Tabela2[[#This Row],[Materiais]],"-")</f>
        <v>-</v>
      </c>
      <c r="C96" s="6" t="str">
        <f>IFERROR(VLOOKUP(B96,Materiais!B:C,2,0),"-")</f>
        <v>-</v>
      </c>
      <c r="D96" s="29">
        <f>IFERROR(SUMIFS('Entradas e Saídas'!H:H,'Entradas e Saídas'!F:F,Estoque!B96),"-")</f>
        <v>0</v>
      </c>
      <c r="E96" s="7">
        <f>SUMIFS(Produtos!F:F,Produtos!D:D,Estoque!B96)+SUMIFS(Produtos!J:J,Produtos!H:H,Estoque!B96)+SUMIFS(Produtos!N:N,Produtos!L:L,Estoque!B96)+SUMIFS(Produtos!R:R,Produtos!P:P,Estoque!B96)+SUMIFS(Produtos!V:V,Produtos!T:T,Estoque!B96)+SUMIFS(Produtos!Z:Z,Produtos!X:X,Estoque!B96)+SUMIFS(Produtos!AD:AD,Produtos!AB:AB,Estoque!B96)</f>
        <v>0</v>
      </c>
      <c r="F96" s="31">
        <f t="shared" si="1"/>
        <v>0</v>
      </c>
    </row>
    <row r="97" spans="2:6">
      <c r="B97" s="6" t="str">
        <f>IFERROR(Tabela2[[#This Row],[Materiais]],"-")</f>
        <v>-</v>
      </c>
      <c r="C97" s="6" t="str">
        <f>IFERROR(VLOOKUP(B97,Materiais!B:C,2,0),"-")</f>
        <v>-</v>
      </c>
      <c r="D97" s="29">
        <f>IFERROR(SUMIFS('Entradas e Saídas'!H:H,'Entradas e Saídas'!F:F,Estoque!B97),"-")</f>
        <v>0</v>
      </c>
      <c r="E97" s="7">
        <f>SUMIFS(Produtos!F:F,Produtos!D:D,Estoque!B97)+SUMIFS(Produtos!J:J,Produtos!H:H,Estoque!B97)+SUMIFS(Produtos!N:N,Produtos!L:L,Estoque!B97)+SUMIFS(Produtos!R:R,Produtos!P:P,Estoque!B97)+SUMIFS(Produtos!V:V,Produtos!T:T,Estoque!B97)+SUMIFS(Produtos!Z:Z,Produtos!X:X,Estoque!B97)+SUMIFS(Produtos!AD:AD,Produtos!AB:AB,Estoque!B97)</f>
        <v>0</v>
      </c>
      <c r="F97" s="31">
        <f t="shared" si="1"/>
        <v>0</v>
      </c>
    </row>
    <row r="98" spans="2:6">
      <c r="B98" s="6" t="str">
        <f>IFERROR(Tabela2[[#This Row],[Materiais]],"-")</f>
        <v>-</v>
      </c>
      <c r="C98" s="6" t="str">
        <f>IFERROR(VLOOKUP(B98,Materiais!B:C,2,0),"-")</f>
        <v>-</v>
      </c>
      <c r="D98" s="29">
        <f>IFERROR(SUMIFS('Entradas e Saídas'!H:H,'Entradas e Saídas'!F:F,Estoque!B98),"-")</f>
        <v>0</v>
      </c>
      <c r="E98" s="7">
        <f>SUMIFS(Produtos!F:F,Produtos!D:D,Estoque!B98)+SUMIFS(Produtos!J:J,Produtos!H:H,Estoque!B98)+SUMIFS(Produtos!N:N,Produtos!L:L,Estoque!B98)+SUMIFS(Produtos!R:R,Produtos!P:P,Estoque!B98)+SUMIFS(Produtos!V:V,Produtos!T:T,Estoque!B98)+SUMIFS(Produtos!Z:Z,Produtos!X:X,Estoque!B98)+SUMIFS(Produtos!AD:AD,Produtos!AB:AB,Estoque!B98)</f>
        <v>0</v>
      </c>
      <c r="F98" s="31">
        <f t="shared" si="1"/>
        <v>0</v>
      </c>
    </row>
    <row r="99" spans="2:6">
      <c r="B99" s="6" t="str">
        <f>IFERROR(Tabela2[[#This Row],[Materiais]],"-")</f>
        <v>-</v>
      </c>
      <c r="C99" s="6" t="str">
        <f>IFERROR(VLOOKUP(B99,Materiais!B:C,2,0),"-")</f>
        <v>-</v>
      </c>
      <c r="D99" s="29">
        <f>IFERROR(SUMIFS('Entradas e Saídas'!H:H,'Entradas e Saídas'!F:F,Estoque!B99),"-")</f>
        <v>0</v>
      </c>
      <c r="E99" s="7">
        <f>SUMIFS(Produtos!F:F,Produtos!D:D,Estoque!B99)+SUMIFS(Produtos!J:J,Produtos!H:H,Estoque!B99)+SUMIFS(Produtos!N:N,Produtos!L:L,Estoque!B99)+SUMIFS(Produtos!R:R,Produtos!P:P,Estoque!B99)+SUMIFS(Produtos!V:V,Produtos!T:T,Estoque!B99)+SUMIFS(Produtos!Z:Z,Produtos!X:X,Estoque!B99)+SUMIFS(Produtos!AD:AD,Produtos!AB:AB,Estoque!B99)</f>
        <v>0</v>
      </c>
      <c r="F99" s="31">
        <f t="shared" si="1"/>
        <v>0</v>
      </c>
    </row>
    <row r="100" spans="2:6">
      <c r="B100" s="6" t="str">
        <f>IFERROR(Tabela2[[#This Row],[Materiais]],"-")</f>
        <v>-</v>
      </c>
      <c r="C100" s="6" t="str">
        <f>IFERROR(VLOOKUP(B100,Materiais!B:C,2,0),"-")</f>
        <v>-</v>
      </c>
      <c r="D100" s="29">
        <f>IFERROR(SUMIFS('Entradas e Saídas'!H:H,'Entradas e Saídas'!F:F,Estoque!B100),"-")</f>
        <v>0</v>
      </c>
      <c r="E100" s="7">
        <f>SUMIFS(Produtos!F:F,Produtos!D:D,Estoque!B100)+SUMIFS(Produtos!J:J,Produtos!H:H,Estoque!B100)+SUMIFS(Produtos!N:N,Produtos!L:L,Estoque!B100)+SUMIFS(Produtos!R:R,Produtos!P:P,Estoque!B100)+SUMIFS(Produtos!V:V,Produtos!T:T,Estoque!B100)+SUMIFS(Produtos!Z:Z,Produtos!X:X,Estoque!B100)+SUMIFS(Produtos!AD:AD,Produtos!AB:AB,Estoque!B100)</f>
        <v>0</v>
      </c>
      <c r="F100" s="31">
        <f t="shared" si="1"/>
        <v>0</v>
      </c>
    </row>
    <row r="101" spans="2:6">
      <c r="B101" s="6" t="str">
        <f>IFERROR(Tabela2[[#This Row],[Materiais]],"-")</f>
        <v>-</v>
      </c>
      <c r="C101" s="6" t="str">
        <f>IFERROR(VLOOKUP(B101,Materiais!B:C,2,0),"-")</f>
        <v>-</v>
      </c>
      <c r="D101" s="29">
        <f>IFERROR(SUMIFS('Entradas e Saídas'!H:H,'Entradas e Saídas'!F:F,Estoque!B101),"-")</f>
        <v>0</v>
      </c>
      <c r="E101" s="7">
        <f>SUMIFS(Produtos!F:F,Produtos!D:D,Estoque!B101)+SUMIFS(Produtos!J:J,Produtos!H:H,Estoque!B101)+SUMIFS(Produtos!N:N,Produtos!L:L,Estoque!B101)+SUMIFS(Produtos!R:R,Produtos!P:P,Estoque!B101)+SUMIFS(Produtos!V:V,Produtos!T:T,Estoque!B101)+SUMIFS(Produtos!Z:Z,Produtos!X:X,Estoque!B101)+SUMIFS(Produtos!AD:AD,Produtos!AB:AB,Estoque!B101)</f>
        <v>0</v>
      </c>
      <c r="F101" s="31">
        <f t="shared" si="1"/>
        <v>0</v>
      </c>
    </row>
    <row r="102" spans="2:6">
      <c r="B102" s="6" t="str">
        <f>IFERROR(Tabela2[[#This Row],[Materiais]],"-")</f>
        <v>-</v>
      </c>
      <c r="C102" s="6" t="str">
        <f>IFERROR(VLOOKUP(B102,Materiais!B:C,2,0),"-")</f>
        <v>-</v>
      </c>
      <c r="D102" s="29">
        <f>IFERROR(SUMIFS('Entradas e Saídas'!H:H,'Entradas e Saídas'!F:F,Estoque!B102),"-")</f>
        <v>0</v>
      </c>
      <c r="E102" s="7">
        <f>SUMIFS(Produtos!F:F,Produtos!D:D,Estoque!B102)+SUMIFS(Produtos!J:J,Produtos!H:H,Estoque!B102)+SUMIFS(Produtos!N:N,Produtos!L:L,Estoque!B102)+SUMIFS(Produtos!R:R,Produtos!P:P,Estoque!B102)+SUMIFS(Produtos!V:V,Produtos!T:T,Estoque!B102)+SUMIFS(Produtos!Z:Z,Produtos!X:X,Estoque!B102)+SUMIFS(Produtos!AD:AD,Produtos!AB:AB,Estoque!B102)</f>
        <v>0</v>
      </c>
      <c r="F102" s="31">
        <f t="shared" si="1"/>
        <v>0</v>
      </c>
    </row>
    <row r="103" spans="2:6">
      <c r="B103" s="6" t="str">
        <f>IFERROR(Tabela2[[#This Row],[Materiais]],"-")</f>
        <v>-</v>
      </c>
      <c r="C103" s="6" t="str">
        <f>IFERROR(VLOOKUP(B103,Materiais!B:C,2,0),"-")</f>
        <v>-</v>
      </c>
      <c r="D103" s="29">
        <f>IFERROR(SUMIFS('Entradas e Saídas'!H:H,'Entradas e Saídas'!F:F,Estoque!B103),"-")</f>
        <v>0</v>
      </c>
      <c r="E103" s="7">
        <f>SUMIFS(Produtos!F:F,Produtos!D:D,Estoque!B103)+SUMIFS(Produtos!J:J,Produtos!H:H,Estoque!B103)+SUMIFS(Produtos!N:N,Produtos!L:L,Estoque!B103)+SUMIFS(Produtos!R:R,Produtos!P:P,Estoque!B103)+SUMIFS(Produtos!V:V,Produtos!T:T,Estoque!B103)+SUMIFS(Produtos!Z:Z,Produtos!X:X,Estoque!B103)+SUMIFS(Produtos!AD:AD,Produtos!AB:AB,Estoque!B103)</f>
        <v>0</v>
      </c>
      <c r="F103" s="31">
        <f t="shared" si="1"/>
        <v>0</v>
      </c>
    </row>
    <row r="104" spans="2:6">
      <c r="B104" s="6" t="str">
        <f>IFERROR(Tabela2[[#This Row],[Materiais]],"-")</f>
        <v>-</v>
      </c>
      <c r="C104" s="6" t="str">
        <f>IFERROR(VLOOKUP(B104,Materiais!B:C,2,0),"-")</f>
        <v>-</v>
      </c>
      <c r="D104" s="29">
        <f>IFERROR(SUMIFS('Entradas e Saídas'!H:H,'Entradas e Saídas'!F:F,Estoque!B104),"-")</f>
        <v>0</v>
      </c>
      <c r="E104" s="7">
        <f>SUMIFS(Produtos!F:F,Produtos!D:D,Estoque!B104)+SUMIFS(Produtos!J:J,Produtos!H:H,Estoque!B104)+SUMIFS(Produtos!N:N,Produtos!L:L,Estoque!B104)+SUMIFS(Produtos!R:R,Produtos!P:P,Estoque!B104)+SUMIFS(Produtos!V:V,Produtos!T:T,Estoque!B104)+SUMIFS(Produtos!Z:Z,Produtos!X:X,Estoque!B104)+SUMIFS(Produtos!AD:AD,Produtos!AB:AB,Estoque!B104)</f>
        <v>0</v>
      </c>
      <c r="F104" s="31">
        <f t="shared" si="1"/>
        <v>0</v>
      </c>
    </row>
    <row r="105" spans="2:6">
      <c r="B105" s="6" t="str">
        <f>IFERROR(Tabela2[[#This Row],[Materiais]],"-")</f>
        <v>-</v>
      </c>
      <c r="C105" s="6" t="str">
        <f>IFERROR(VLOOKUP(B105,Materiais!B:C,2,0),"-")</f>
        <v>-</v>
      </c>
      <c r="D105" s="29">
        <f>IFERROR(SUMIFS('Entradas e Saídas'!H:H,'Entradas e Saídas'!F:F,Estoque!B105),"-")</f>
        <v>0</v>
      </c>
      <c r="E105" s="7">
        <f>SUMIFS(Produtos!F:F,Produtos!D:D,Estoque!B105)+SUMIFS(Produtos!J:J,Produtos!H:H,Estoque!B105)+SUMIFS(Produtos!N:N,Produtos!L:L,Estoque!B105)+SUMIFS(Produtos!R:R,Produtos!P:P,Estoque!B105)+SUMIFS(Produtos!V:V,Produtos!T:T,Estoque!B105)+SUMIFS(Produtos!Z:Z,Produtos!X:X,Estoque!B105)+SUMIFS(Produtos!AD:AD,Produtos!AB:AB,Estoque!B105)</f>
        <v>0</v>
      </c>
      <c r="F105" s="31">
        <f t="shared" si="1"/>
        <v>0</v>
      </c>
    </row>
    <row r="106" spans="2:6">
      <c r="B106" s="6" t="str">
        <f>IFERROR(Tabela2[[#This Row],[Materiais]],"-")</f>
        <v>-</v>
      </c>
      <c r="C106" s="6" t="str">
        <f>IFERROR(VLOOKUP(B106,Materiais!B:C,2,0),"-")</f>
        <v>-</v>
      </c>
      <c r="D106" s="29">
        <f>IFERROR(SUMIFS('Entradas e Saídas'!H:H,'Entradas e Saídas'!F:F,Estoque!B106),"-")</f>
        <v>0</v>
      </c>
      <c r="E106" s="7">
        <f>SUMIFS(Produtos!F:F,Produtos!D:D,Estoque!B106)+SUMIFS(Produtos!J:J,Produtos!H:H,Estoque!B106)+SUMIFS(Produtos!N:N,Produtos!L:L,Estoque!B106)+SUMIFS(Produtos!R:R,Produtos!P:P,Estoque!B106)+SUMIFS(Produtos!V:V,Produtos!T:T,Estoque!B106)+SUMIFS(Produtos!Z:Z,Produtos!X:X,Estoque!B106)+SUMIFS(Produtos!AD:AD,Produtos!AB:AB,Estoque!B106)</f>
        <v>0</v>
      </c>
      <c r="F106" s="31">
        <f t="shared" si="1"/>
        <v>0</v>
      </c>
    </row>
    <row r="111" spans="2:6">
      <c r="B111" t="s">
        <v>181</v>
      </c>
      <c r="D111" t="s">
        <v>182</v>
      </c>
    </row>
    <row r="112" spans="2:6">
      <c r="B112" t="s">
        <v>183</v>
      </c>
      <c r="D112" t="s">
        <v>184</v>
      </c>
    </row>
  </sheetData>
  <autoFilter ref="B4:F106" xr:uid="{00000000-0009-0000-0000-000007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2022-11-25T20:34:37Z</dcterms:created>
  <dcterms:modified xsi:type="dcterms:W3CDTF">2022-11-29T19:16:44Z</dcterms:modified>
  <cp:category/>
  <cp:contentStatus/>
</cp:coreProperties>
</file>