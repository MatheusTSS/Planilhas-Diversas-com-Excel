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25E354D7-6304-49BF-8133-E8588F459B52}" xr6:coauthVersionLast="47" xr6:coauthVersionMax="47" xr10:uidLastSave="{00000000-0000-0000-0000-000000000000}"/>
  <bookViews>
    <workbookView xWindow="-108" yWindow="-108" windowWidth="23256" windowHeight="13176" tabRatio="272" firstSheet="3" activeTab="3" xr2:uid="{9FBDBAC4-3288-4F85-8D95-35665FD07955}"/>
  </bookViews>
  <sheets>
    <sheet name="Funcionários" sheetId="1" r:id="rId1"/>
    <sheet name="Folha" sheetId="2" r:id="rId2"/>
    <sheet name="Cálculos" sheetId="3" state="hidden" r:id="rId3"/>
    <sheet name="Painel" sheetId="4" r:id="rId4"/>
  </sheets>
  <calcPr calcId="191028"/>
  <pivotCaches>
    <pivotCache cacheId="415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K32" i="2"/>
  <c r="K33" i="2"/>
  <c r="K36" i="2"/>
  <c r="K37" i="2"/>
  <c r="K44" i="2"/>
  <c r="K47" i="2"/>
  <c r="K48" i="2"/>
  <c r="K49" i="2"/>
  <c r="K52" i="2"/>
  <c r="K53" i="2"/>
  <c r="K63" i="2"/>
  <c r="K64" i="2"/>
  <c r="K65" i="2"/>
  <c r="K68" i="2"/>
  <c r="K69" i="2"/>
  <c r="K79" i="2"/>
  <c r="K80" i="2"/>
  <c r="K81" i="2"/>
  <c r="K84" i="2"/>
  <c r="K85" i="2"/>
  <c r="K95" i="2"/>
  <c r="K96" i="2"/>
  <c r="K97" i="2"/>
  <c r="F92" i="2"/>
  <c r="F93" i="2"/>
  <c r="F94" i="2"/>
  <c r="F95" i="2"/>
  <c r="F96" i="2"/>
  <c r="F97" i="2"/>
  <c r="F98" i="2"/>
  <c r="F99" i="2"/>
  <c r="K92" i="2"/>
  <c r="K93" i="2"/>
  <c r="K94" i="2"/>
  <c r="K98" i="2"/>
  <c r="K99" i="2"/>
  <c r="F84" i="2"/>
  <c r="F85" i="2"/>
  <c r="F86" i="2"/>
  <c r="F87" i="2"/>
  <c r="F88" i="2"/>
  <c r="F89" i="2"/>
  <c r="F90" i="2"/>
  <c r="F91" i="2"/>
  <c r="K86" i="2"/>
  <c r="K87" i="2"/>
  <c r="K88" i="2"/>
  <c r="K89" i="2"/>
  <c r="K90" i="2"/>
  <c r="K91" i="2"/>
  <c r="F76" i="2"/>
  <c r="F77" i="2"/>
  <c r="F78" i="2"/>
  <c r="F79" i="2"/>
  <c r="F80" i="2"/>
  <c r="F81" i="2"/>
  <c r="F82" i="2"/>
  <c r="F83" i="2"/>
  <c r="K76" i="2"/>
  <c r="K77" i="2"/>
  <c r="K78" i="2"/>
  <c r="K82" i="2"/>
  <c r="K83" i="2"/>
  <c r="F68" i="2"/>
  <c r="F69" i="2"/>
  <c r="F70" i="2"/>
  <c r="F71" i="2"/>
  <c r="F72" i="2"/>
  <c r="F73" i="2"/>
  <c r="F74" i="2"/>
  <c r="F75" i="2"/>
  <c r="L74" i="2"/>
  <c r="K70" i="2"/>
  <c r="K71" i="2"/>
  <c r="K72" i="2"/>
  <c r="K73" i="2"/>
  <c r="K74" i="2"/>
  <c r="K75" i="2"/>
  <c r="F60" i="2"/>
  <c r="F61" i="2"/>
  <c r="F62" i="2"/>
  <c r="F63" i="2"/>
  <c r="F64" i="2"/>
  <c r="F65" i="2"/>
  <c r="F66" i="2"/>
  <c r="F67" i="2"/>
  <c r="K60" i="2"/>
  <c r="K61" i="2"/>
  <c r="K62" i="2"/>
  <c r="K66" i="2"/>
  <c r="K67" i="2"/>
  <c r="F52" i="2"/>
  <c r="F53" i="2"/>
  <c r="F54" i="2"/>
  <c r="F55" i="2"/>
  <c r="F56" i="2"/>
  <c r="F57" i="2"/>
  <c r="F58" i="2"/>
  <c r="F59" i="2"/>
  <c r="K54" i="2"/>
  <c r="K55" i="2"/>
  <c r="K56" i="2"/>
  <c r="K57" i="2"/>
  <c r="K58" i="2"/>
  <c r="K59" i="2"/>
  <c r="F44" i="2"/>
  <c r="F45" i="2"/>
  <c r="F46" i="2"/>
  <c r="F47" i="2"/>
  <c r="F48" i="2"/>
  <c r="F49" i="2"/>
  <c r="F50" i="2"/>
  <c r="F51" i="2"/>
  <c r="K45" i="2"/>
  <c r="K46" i="2"/>
  <c r="K50" i="2"/>
  <c r="K51" i="2"/>
  <c r="F36" i="2"/>
  <c r="F37" i="2"/>
  <c r="F38" i="2"/>
  <c r="F39" i="2"/>
  <c r="F40" i="2"/>
  <c r="F41" i="2"/>
  <c r="F42" i="2"/>
  <c r="F43" i="2"/>
  <c r="K38" i="2"/>
  <c r="K39" i="2"/>
  <c r="K40" i="2"/>
  <c r="K41" i="2"/>
  <c r="K42" i="2"/>
  <c r="K43" i="2"/>
  <c r="F28" i="2"/>
  <c r="F29" i="2"/>
  <c r="F30" i="2"/>
  <c r="F31" i="2"/>
  <c r="F32" i="2"/>
  <c r="F33" i="2"/>
  <c r="F34" i="2"/>
  <c r="F35" i="2"/>
  <c r="K28" i="2"/>
  <c r="K29" i="2"/>
  <c r="K30" i="2"/>
  <c r="K34" i="2"/>
  <c r="K35" i="2"/>
  <c r="K10" i="2"/>
  <c r="K16" i="2"/>
  <c r="K26" i="2"/>
  <c r="F20" i="2"/>
  <c r="F21" i="2"/>
  <c r="F22" i="2"/>
  <c r="F23" i="2"/>
  <c r="F24" i="2"/>
  <c r="F25" i="2"/>
  <c r="F26" i="2"/>
  <c r="F27" i="2"/>
  <c r="K20" i="2"/>
  <c r="K21" i="2"/>
  <c r="K22" i="2"/>
  <c r="K23" i="2"/>
  <c r="K24" i="2"/>
  <c r="K25" i="2"/>
  <c r="K27" i="2"/>
  <c r="F12" i="2"/>
  <c r="F13" i="2"/>
  <c r="F14" i="2"/>
  <c r="F15" i="2"/>
  <c r="F16" i="2"/>
  <c r="F17" i="2"/>
  <c r="F18" i="2"/>
  <c r="F19" i="2"/>
  <c r="K12" i="2"/>
  <c r="K13" i="2"/>
  <c r="K14" i="2"/>
  <c r="K15" i="2"/>
  <c r="K17" i="2"/>
  <c r="K18" i="2"/>
  <c r="K19" i="2"/>
  <c r="F5" i="2"/>
  <c r="F6" i="2"/>
  <c r="F7" i="2"/>
  <c r="F8" i="2"/>
  <c r="F9" i="2"/>
  <c r="F10" i="2"/>
  <c r="F11" i="2"/>
  <c r="K5" i="2"/>
  <c r="K6" i="2"/>
  <c r="K7" i="2"/>
  <c r="K8" i="2"/>
  <c r="K9" i="2"/>
  <c r="K11" i="2"/>
  <c r="G11" i="1"/>
  <c r="G10" i="1"/>
  <c r="G9" i="1"/>
  <c r="G8" i="1"/>
  <c r="G7" i="1"/>
  <c r="G6" i="1"/>
  <c r="K4" i="2"/>
  <c r="F4" i="2"/>
  <c r="G4" i="1"/>
  <c r="G5" i="1"/>
  <c r="L60" i="2" l="1"/>
  <c r="L91" i="2"/>
  <c r="L71" i="2"/>
  <c r="L99" i="2"/>
  <c r="L97" i="2"/>
  <c r="L96" i="2"/>
  <c r="L79" i="2"/>
  <c r="L78" i="2"/>
  <c r="L95" i="2"/>
  <c r="L94" i="2"/>
  <c r="L93" i="2"/>
  <c r="L86" i="2"/>
  <c r="L98" i="2"/>
  <c r="L89" i="2"/>
  <c r="L92" i="2"/>
  <c r="L77" i="2"/>
  <c r="L65" i="2"/>
  <c r="L82" i="2"/>
  <c r="L62" i="2"/>
  <c r="L76" i="2"/>
  <c r="L90" i="2"/>
  <c r="L88" i="2"/>
  <c r="L87" i="2"/>
  <c r="L83" i="2"/>
  <c r="L85" i="2"/>
  <c r="L81" i="2"/>
  <c r="L84" i="2"/>
  <c r="L75" i="2"/>
  <c r="L73" i="2"/>
  <c r="L80" i="2"/>
  <c r="L70" i="2"/>
  <c r="L68" i="2"/>
  <c r="L72" i="2"/>
  <c r="L61" i="2"/>
  <c r="L69" i="2"/>
  <c r="L52" i="2"/>
  <c r="L66" i="2"/>
  <c r="L64" i="2"/>
  <c r="L63" i="2"/>
  <c r="L58" i="2"/>
  <c r="L67" i="2"/>
  <c r="L56" i="2"/>
  <c r="L50" i="2"/>
  <c r="L59" i="2"/>
  <c r="L53" i="2"/>
  <c r="L57" i="2"/>
  <c r="L55" i="2"/>
  <c r="L54" i="2"/>
  <c r="L43" i="2"/>
  <c r="L42" i="2"/>
  <c r="L49" i="2"/>
  <c r="L48" i="2"/>
  <c r="L45" i="2"/>
  <c r="L44" i="2"/>
  <c r="L51" i="2"/>
  <c r="L47" i="2"/>
  <c r="L46" i="2"/>
  <c r="L18" i="2"/>
  <c r="L17" i="2"/>
  <c r="L35" i="2"/>
  <c r="L40" i="2"/>
  <c r="L38" i="2"/>
  <c r="L37" i="2"/>
  <c r="L41" i="2"/>
  <c r="L39" i="2"/>
  <c r="L36" i="2"/>
  <c r="L33" i="2"/>
  <c r="L25" i="2"/>
  <c r="L23" i="2"/>
  <c r="L29" i="2"/>
  <c r="L10" i="2"/>
  <c r="L24" i="2"/>
  <c r="L34" i="2"/>
  <c r="L32" i="2"/>
  <c r="L30" i="2"/>
  <c r="L31" i="2"/>
  <c r="L28" i="2"/>
  <c r="L20" i="2"/>
  <c r="L19" i="2"/>
  <c r="L16" i="2"/>
  <c r="L15" i="2"/>
  <c r="L14" i="2"/>
  <c r="L13" i="2"/>
  <c r="L4" i="2"/>
  <c r="L12" i="2"/>
  <c r="L27" i="2"/>
  <c r="L11" i="2"/>
  <c r="L8" i="2"/>
  <c r="L7" i="2"/>
  <c r="L26" i="2"/>
  <c r="L9" i="2"/>
  <c r="L22" i="2"/>
  <c r="L6" i="2"/>
  <c r="L21" i="2"/>
  <c r="L5" i="2"/>
</calcChain>
</file>

<file path=xl/sharedStrings.xml><?xml version="1.0" encoding="utf-8"?>
<sst xmlns="http://schemas.openxmlformats.org/spreadsheetml/2006/main" count="244" uniqueCount="59">
  <si>
    <t>Cadastro de Funcionários</t>
  </si>
  <si>
    <t>Funcionário</t>
  </si>
  <si>
    <t>Cargo</t>
  </si>
  <si>
    <t>Departamento</t>
  </si>
  <si>
    <t>Salário Bruto</t>
  </si>
  <si>
    <t>Regime Contratação</t>
  </si>
  <si>
    <t>Valor Hora Extra</t>
  </si>
  <si>
    <t>Roberta Alencar</t>
  </si>
  <si>
    <t>Diretor</t>
  </si>
  <si>
    <t>Operações</t>
  </si>
  <si>
    <t>PJ</t>
  </si>
  <si>
    <t>Felipe Mascarenhas</t>
  </si>
  <si>
    <t>Coordenador</t>
  </si>
  <si>
    <t>Finanças</t>
  </si>
  <si>
    <t>CLT</t>
  </si>
  <si>
    <t>Eliza Luna</t>
  </si>
  <si>
    <t>Especialista</t>
  </si>
  <si>
    <t>Logística</t>
  </si>
  <si>
    <t>Eduardo Damasceno</t>
  </si>
  <si>
    <t>Analista Sênior</t>
  </si>
  <si>
    <t>Recursos Humanos</t>
  </si>
  <si>
    <t>Bruna Sales</t>
  </si>
  <si>
    <t>Analista</t>
  </si>
  <si>
    <t>Marketing</t>
  </si>
  <si>
    <t>Lucas Pinheiro</t>
  </si>
  <si>
    <t>Estagiário</t>
  </si>
  <si>
    <t>Estágio</t>
  </si>
  <si>
    <t>Bento Luiz</t>
  </si>
  <si>
    <t>Jovem Aprendiz</t>
  </si>
  <si>
    <t>Diego Diegues</t>
  </si>
  <si>
    <t>Folha de Pagamentos</t>
  </si>
  <si>
    <t>Competência</t>
  </si>
  <si>
    <t>Data pagamento</t>
  </si>
  <si>
    <t>Quantidade HE</t>
  </si>
  <si>
    <t>Desconto Transporte</t>
  </si>
  <si>
    <t>Desconto IR</t>
  </si>
  <si>
    <t>Desconto INSS</t>
  </si>
  <si>
    <t>Outros Descontos</t>
  </si>
  <si>
    <t>Salário Líquido</t>
  </si>
  <si>
    <t>Rótulos de Linha</t>
  </si>
  <si>
    <t>Soma de Salário Líquido</t>
  </si>
  <si>
    <t>Soma de Quantidade HE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</si>
  <si>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</si>
  <si>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</si>
  <si>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</si>
  <si>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</si>
  <si>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</si>
  <si>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</si>
  <si>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</si>
  <si>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</si>
  <si>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</si>
  <si>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Total Geral</t>
  </si>
  <si>
    <t>out</t>
  </si>
  <si>
    <t>nov</t>
  </si>
  <si>
    <t>dez</t>
  </si>
  <si>
    <t>Soma de Desconto INSS</t>
  </si>
  <si>
    <t>Soma de Desconto IR</t>
  </si>
  <si>
    <t>Soma de Desconto Transporte</t>
  </si>
  <si>
    <t>Soma de Total Descontos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</si>
</sst>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24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9" fontId="0" fillId="0" borderId="0" xfId="1" applyFont="1" applyAlignment="1">
      <alignment horizontal="center"/>
    </xf>
    <xf numFmtId="17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5" fontId="0" fillId="0" borderId="0" xfId="0" applyNumberFormat="1"/>
    <xf numFmtId="0" fontId="5" fillId="2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29"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22" formatCode="mmm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numFmt numFmtId="165" formatCode="&quot;R$&quot;\ #,##0"/>
    </dxf>
    <dxf>
      <numFmt numFmtId="164" formatCode="&quot;R$&quot;\ #,##0.00"/>
    </dxf>
    <dxf>
      <numFmt numFmtId="165" formatCode="&quot;R$&quot;\ #,##0"/>
    </dxf>
    <dxf>
      <numFmt numFmtId="165" formatCode="&quot;R$&quot;\ #,##0"/>
    </dxf>
    <dxf>
      <numFmt numFmtId="165" formatCode="&quot;R$&quot;\ #,##0"/>
    </dxf>
    <dxf>
      <numFmt numFmtId="164" formatCode="&quot;R$&quot;\ #,##0.00"/>
    </dxf>
    <dxf>
      <numFmt numFmtId="1" formatCode="0"/>
    </dxf>
    <dxf>
      <font>
        <sz val="9"/>
        <color theme="0"/>
        <name val="Montserrat"/>
        <scheme val="none"/>
      </font>
      <fill>
        <patternFill>
          <bgColor theme="7" tint="-0.499984740745262"/>
        </patternFill>
      </fill>
    </dxf>
  </dxfs>
  <tableStyles count="1" defaultTableStyle="TableStyleMedium2" defaultPivotStyle="PivotStyleLight16">
    <tableStyle name="Estilo de Segmentação de Dados 2 2" pivot="0" table="0" count="3" xr9:uid="{42027D4A-D6C1-4CCC-8109-22E0FB9B4B3E}">
      <tableStyleElement type="wholeTable" dxfId="28"/>
    </tableStyle>
  </tableStyles>
  <extLst>
    <ext xmlns:x14="http://schemas.microsoft.com/office/spreadsheetml/2009/9/main" uri="{46F421CA-312F-682f-3DD2-61675219B42D}">
      <x14:dxfs count="2"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100000">
                  <a:schemeClr val="accent4">
                    <a:lumMod val="40000"/>
                    <a:lumOff val="60000"/>
                  </a:schemeClr>
                </a:gs>
                <a:gs pos="0">
                  <a:schemeClr val="accent4">
                    <a:lumMod val="7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Cálculos!$H$25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lumMod val="40000"/>
                      <a:lumOff val="60000"/>
                    </a:schemeClr>
                  </a:gs>
                  <a:gs pos="0">
                    <a:schemeClr val="accent4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Cálculos!$G$26:$G$38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Cálculos!$H$26:$H$38</c:f>
              <c:numCache>
                <c:formatCode>"R$"\ #,##0</c:formatCode>
                <c:ptCount val="12"/>
                <c:pt idx="0">
                  <c:v>1875</c:v>
                </c:pt>
                <c:pt idx="1">
                  <c:v>1950</c:v>
                </c:pt>
                <c:pt idx="2">
                  <c:v>2660</c:v>
                </c:pt>
                <c:pt idx="3">
                  <c:v>1875</c:v>
                </c:pt>
                <c:pt idx="4">
                  <c:v>1950</c:v>
                </c:pt>
                <c:pt idx="5">
                  <c:v>2660</c:v>
                </c:pt>
                <c:pt idx="6">
                  <c:v>1875</c:v>
                </c:pt>
                <c:pt idx="7">
                  <c:v>1950</c:v>
                </c:pt>
                <c:pt idx="8">
                  <c:v>2660</c:v>
                </c:pt>
                <c:pt idx="9">
                  <c:v>1875</c:v>
                </c:pt>
                <c:pt idx="10">
                  <c:v>1950</c:v>
                </c:pt>
                <c:pt idx="11">
                  <c:v>2660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97-48D7-B12A-C54DE9100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220959"/>
        <c:axId val="346221455"/>
      </c:lineChart>
      <c:catAx>
        <c:axId val="346220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6221455"/>
        <c:crosses val="autoZero"/>
        <c:auto val="1"/>
        <c:lblAlgn val="ctr"/>
        <c:lblOffset val="100"/>
        <c:noMultiLvlLbl val="0"/>
      </c:catAx>
      <c:valAx>
        <c:axId val="346221455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34622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0">
                  <a:schemeClr val="accent4">
                    <a:lumMod val="7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Cálculos!$E$25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Cálculos!$D$26:$D$38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Cálculos!$E$26:$E$38</c:f>
              <c:numCache>
                <c:formatCode>"R$"\ #,##0</c:formatCode>
                <c:ptCount val="12"/>
                <c:pt idx="0">
                  <c:v>5200</c:v>
                </c:pt>
                <c:pt idx="1">
                  <c:v>5160</c:v>
                </c:pt>
                <c:pt idx="2">
                  <c:v>5415</c:v>
                </c:pt>
                <c:pt idx="3">
                  <c:v>5200</c:v>
                </c:pt>
                <c:pt idx="4">
                  <c:v>5160</c:v>
                </c:pt>
                <c:pt idx="5">
                  <c:v>5415</c:v>
                </c:pt>
                <c:pt idx="6">
                  <c:v>5200</c:v>
                </c:pt>
                <c:pt idx="7">
                  <c:v>5160</c:v>
                </c:pt>
                <c:pt idx="8">
                  <c:v>5415</c:v>
                </c:pt>
                <c:pt idx="9">
                  <c:v>5200</c:v>
                </c:pt>
                <c:pt idx="10">
                  <c:v>5160</c:v>
                </c:pt>
                <c:pt idx="11">
                  <c:v>5415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38-4592-A92E-E7878E440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653663"/>
        <c:axId val="1161672015"/>
      </c:lineChart>
      <c:catAx>
        <c:axId val="116165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1672015"/>
        <c:crosses val="autoZero"/>
        <c:auto val="1"/>
        <c:lblAlgn val="ctr"/>
        <c:lblOffset val="100"/>
        <c:noMultiLvlLbl val="0"/>
      </c:catAx>
      <c:valAx>
        <c:axId val="1161672015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616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0">
                  <a:schemeClr val="accent4">
                    <a:lumMod val="7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Cálculos!$A$26:$A$38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Cálculos!$B$26:$B$38</c:f>
              <c:numCache>
                <c:formatCode>"R$"\ #,##0</c:formatCode>
                <c:ptCount val="12"/>
                <c:pt idx="0">
                  <c:v>4120</c:v>
                </c:pt>
                <c:pt idx="1">
                  <c:v>3285</c:v>
                </c:pt>
                <c:pt idx="2">
                  <c:v>4070</c:v>
                </c:pt>
                <c:pt idx="3">
                  <c:v>4120</c:v>
                </c:pt>
                <c:pt idx="4">
                  <c:v>3285</c:v>
                </c:pt>
                <c:pt idx="5">
                  <c:v>4070</c:v>
                </c:pt>
                <c:pt idx="6">
                  <c:v>4120</c:v>
                </c:pt>
                <c:pt idx="7">
                  <c:v>3285</c:v>
                </c:pt>
                <c:pt idx="8">
                  <c:v>4070</c:v>
                </c:pt>
                <c:pt idx="9">
                  <c:v>4120</c:v>
                </c:pt>
                <c:pt idx="10">
                  <c:v>3285</c:v>
                </c:pt>
                <c:pt idx="11">
                  <c:v>4070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94-4A8C-9C46-74D6C5DEF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679455"/>
        <c:axId val="1161663087"/>
      </c:lineChart>
      <c:catAx>
        <c:axId val="1161679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1663087"/>
        <c:crosses val="autoZero"/>
        <c:auto val="1"/>
        <c:lblAlgn val="ctr"/>
        <c:lblOffset val="100"/>
        <c:noMultiLvlLbl val="0"/>
      </c:catAx>
      <c:valAx>
        <c:axId val="1161663087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6167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1000">
                  <a:schemeClr val="accent4">
                    <a:lumMod val="75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1000">
                    <a:schemeClr val="accent4">
                      <a:lumMod val="75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Cálculos!$A$4:$A$16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Cálculos!$B$4:$B$16</c:f>
              <c:numCache>
                <c:formatCode>"R$"\ #,##0.00</c:formatCode>
                <c:ptCount val="12"/>
                <c:pt idx="0">
                  <c:v>34635.954545454544</c:v>
                </c:pt>
                <c:pt idx="1">
                  <c:v>35466.727272727279</c:v>
                </c:pt>
                <c:pt idx="2">
                  <c:v>33800.772727272728</c:v>
                </c:pt>
                <c:pt idx="3">
                  <c:v>34780.954545454551</c:v>
                </c:pt>
                <c:pt idx="4">
                  <c:v>35725.818181818184</c:v>
                </c:pt>
                <c:pt idx="5">
                  <c:v>33388.590909090912</c:v>
                </c:pt>
                <c:pt idx="6">
                  <c:v>34837.909090909096</c:v>
                </c:pt>
                <c:pt idx="7">
                  <c:v>35736.227272727272</c:v>
                </c:pt>
                <c:pt idx="8">
                  <c:v>33570.045454545449</c:v>
                </c:pt>
                <c:pt idx="9">
                  <c:v>34621.954545454544</c:v>
                </c:pt>
                <c:pt idx="10">
                  <c:v>35308.681818181816</c:v>
                </c:pt>
                <c:pt idx="11">
                  <c:v>33923.5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F0-4FDD-9F18-5834D2ACE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998303"/>
        <c:axId val="198999791"/>
      </c:lineChart>
      <c:catAx>
        <c:axId val="1989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8999791"/>
        <c:crosses val="autoZero"/>
        <c:auto val="1"/>
        <c:lblAlgn val="ctr"/>
        <c:lblOffset val="100"/>
        <c:noMultiLvlLbl val="0"/>
      </c:catAx>
      <c:valAx>
        <c:axId val="198999791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89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4">
                  <a:lumMod val="60000"/>
                  <a:lumOff val="40000"/>
                </a:schemeClr>
              </a:gs>
              <a:gs pos="37000">
                <a:schemeClr val="accent4">
                  <a:lumMod val="7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Cálculos!$K$25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37000">
                  <a:schemeClr val="accent4">
                    <a:lumMod val="7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Cálculos!$J$26:$J$38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Cálculos!$K$26:$K$38</c:f>
              <c:numCache>
                <c:formatCode>"R$"\ #,##0</c:formatCode>
                <c:ptCount val="12"/>
                <c:pt idx="0">
                  <c:v>12222</c:v>
                </c:pt>
                <c:pt idx="1">
                  <c:v>11606</c:v>
                </c:pt>
                <c:pt idx="2">
                  <c:v>13364</c:v>
                </c:pt>
                <c:pt idx="3">
                  <c:v>12452</c:v>
                </c:pt>
                <c:pt idx="4">
                  <c:v>11531</c:v>
                </c:pt>
                <c:pt idx="5">
                  <c:v>13408</c:v>
                </c:pt>
                <c:pt idx="6">
                  <c:v>12303</c:v>
                </c:pt>
                <c:pt idx="7">
                  <c:v>11524</c:v>
                </c:pt>
                <c:pt idx="8">
                  <c:v>13397</c:v>
                </c:pt>
                <c:pt idx="9">
                  <c:v>12461</c:v>
                </c:pt>
                <c:pt idx="10">
                  <c:v>11672</c:v>
                </c:pt>
                <c:pt idx="11">
                  <c:v>13289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D-4DF7-9E62-E1190CEDE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7322015"/>
        <c:axId val="207339375"/>
      </c:barChart>
      <c:catAx>
        <c:axId val="20732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07339375"/>
        <c:crosses val="autoZero"/>
        <c:auto val="1"/>
        <c:lblAlgn val="ctr"/>
        <c:lblOffset val="100"/>
        <c:noMultiLvlLbl val="0"/>
      </c:catAx>
      <c:valAx>
        <c:axId val="2073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0732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55000">
                <a:schemeClr val="accent4">
                  <a:lumMod val="40000"/>
                  <a:lumOff val="60000"/>
                </a:schemeClr>
              </a:gs>
              <a:gs pos="82000">
                <a:schemeClr val="accent4">
                  <a:lumMod val="60000"/>
                  <a:lumOff val="40000"/>
                </a:schemeClr>
              </a:gs>
              <a:gs pos="14000">
                <a:schemeClr val="accent4">
                  <a:lumMod val="7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Cálculos!$H$3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55000">
                  <a:schemeClr val="accent4">
                    <a:lumMod val="40000"/>
                    <a:lumOff val="60000"/>
                  </a:schemeClr>
                </a:gs>
                <a:gs pos="82000">
                  <a:schemeClr val="accent4">
                    <a:lumMod val="60000"/>
                    <a:lumOff val="40000"/>
                  </a:schemeClr>
                </a:gs>
                <a:gs pos="14000">
                  <a:schemeClr val="accent4">
                    <a:lumMod val="7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Cálculos!$G$4:$G$12</c:f>
              <c:strCache>
                <c:ptCount val="8"/>
                <c:pt idx="0">
                  <c:v>Bruna Sales</c:v>
                </c:pt>
                <c:pt idx="1">
                  <c:v>Felipe Mascarenhas</c:v>
                </c:pt>
                <c:pt idx="2">
                  <c:v>Roberta Alencar</c:v>
                </c:pt>
                <c:pt idx="3">
                  <c:v>Diego Diegues</c:v>
                </c:pt>
                <c:pt idx="4">
                  <c:v>Eduardo Damasceno</c:v>
                </c:pt>
                <c:pt idx="5">
                  <c:v>Bento Luiz</c:v>
                </c:pt>
                <c:pt idx="6">
                  <c:v>Lucas Pinheiro</c:v>
                </c:pt>
                <c:pt idx="7">
                  <c:v>Eliza Luna</c:v>
                </c:pt>
              </c:strCache>
            </c:strRef>
          </c:cat>
          <c:val>
            <c:numRef>
              <c:f>Cálculos!$H$4:$H$12</c:f>
              <c:numCache>
                <c:formatCode>0</c:formatCode>
                <c:ptCount val="8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43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D-4534-AC80-C3A8B5263F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161663087"/>
        <c:axId val="1161664079"/>
      </c:barChart>
      <c:catAx>
        <c:axId val="116166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161664079"/>
        <c:crosses val="autoZero"/>
        <c:auto val="1"/>
        <c:lblAlgn val="ctr"/>
        <c:lblOffset val="100"/>
        <c:noMultiLvlLbl val="0"/>
      </c:catAx>
      <c:valAx>
        <c:axId val="1161664079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16166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Folha de Pagamentos.xlsx]Cálculos!Tabela dinâmica2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60000"/>
                  <a:lumOff val="40000"/>
                </a:schemeClr>
              </a:gs>
              <a:gs pos="100000">
                <a:schemeClr val="accent4">
                  <a:lumMod val="75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  <a:lumOff val="40000"/>
                  </a:schemeClr>
                </a:gs>
                <a:gs pos="100000">
                  <a:schemeClr val="accent4">
                    <a:lumMod val="7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Cálculos!$D$4:$D$12</c:f>
              <c:strCache>
                <c:ptCount val="8"/>
                <c:pt idx="0">
                  <c:v>Bento Luiz</c:v>
                </c:pt>
                <c:pt idx="1">
                  <c:v>Bruna Sales</c:v>
                </c:pt>
                <c:pt idx="2">
                  <c:v>Diego Diegues</c:v>
                </c:pt>
                <c:pt idx="3">
                  <c:v>Eduardo Damasceno</c:v>
                </c:pt>
                <c:pt idx="4">
                  <c:v>Eliza Luna</c:v>
                </c:pt>
                <c:pt idx="5">
                  <c:v>Felipe Mascarenhas</c:v>
                </c:pt>
                <c:pt idx="6">
                  <c:v>Lucas Pinheiro</c:v>
                </c:pt>
                <c:pt idx="7">
                  <c:v>Roberta Alencar</c:v>
                </c:pt>
              </c:strCache>
            </c:strRef>
          </c:cat>
          <c:val>
            <c:numRef>
              <c:f>Cálculos!$E$4:$E$12</c:f>
              <c:numCache>
                <c:formatCode>"R$"\ #,##0.00</c:formatCode>
                <c:ptCount val="8"/>
                <c:pt idx="0">
                  <c:v>7171</c:v>
                </c:pt>
                <c:pt idx="1">
                  <c:v>26387.81818181818</c:v>
                </c:pt>
                <c:pt idx="2">
                  <c:v>18370.36363636364</c:v>
                </c:pt>
                <c:pt idx="3">
                  <c:v>35028.272727272728</c:v>
                </c:pt>
                <c:pt idx="4">
                  <c:v>59238.499999999993</c:v>
                </c:pt>
                <c:pt idx="5">
                  <c:v>70847.181818181809</c:v>
                </c:pt>
                <c:pt idx="6">
                  <c:v>16240</c:v>
                </c:pt>
                <c:pt idx="7">
                  <c:v>182514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5-4AFF-A640-7DE0DC0795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7344335"/>
        <c:axId val="207325983"/>
      </c:barChart>
      <c:catAx>
        <c:axId val="207344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07325983"/>
        <c:crosses val="autoZero"/>
        <c:auto val="1"/>
        <c:lblAlgn val="ctr"/>
        <c:lblOffset val="100"/>
        <c:noMultiLvlLbl val="0"/>
      </c:catAx>
      <c:valAx>
        <c:axId val="20732598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0734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</xdr:colOff>
      <xdr:row>10</xdr:row>
      <xdr:rowOff>152399</xdr:rowOff>
    </xdr:from>
    <xdr:to>
      <xdr:col>13</xdr:col>
      <xdr:colOff>447674</xdr:colOff>
      <xdr:row>15</xdr:row>
      <xdr:rowOff>114299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4E2E557D-43B6-40A5-1DBE-40431FFA94AA}"/>
            </a:ext>
          </a:extLst>
        </xdr:cNvPr>
        <xdr:cNvSpPr/>
      </xdr:nvSpPr>
      <xdr:spPr>
        <a:xfrm>
          <a:off x="3733799" y="1962149"/>
          <a:ext cx="4638675" cy="866775"/>
        </a:xfrm>
        <a:prstGeom prst="roundRect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33</xdr:col>
      <xdr:colOff>327251</xdr:colOff>
      <xdr:row>53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2CC2814-C9DC-4E5C-B92C-1775F671AC39}"/>
            </a:ext>
          </a:extLst>
        </xdr:cNvPr>
        <xdr:cNvSpPr/>
      </xdr:nvSpPr>
      <xdr:spPr>
        <a:xfrm>
          <a:off x="0" y="286294"/>
          <a:ext cx="20444051" cy="9875532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10</xdr:row>
      <xdr:rowOff>131984</xdr:rowOff>
    </xdr:from>
    <xdr:to>
      <xdr:col>27</xdr:col>
      <xdr:colOff>227238</xdr:colOff>
      <xdr:row>30</xdr:row>
      <xdr:rowOff>2716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F85139F-D778-4FE6-AF78-407AEE7A7021}"/>
            </a:ext>
          </a:extLst>
        </xdr:cNvPr>
        <xdr:cNvSpPr/>
      </xdr:nvSpPr>
      <xdr:spPr>
        <a:xfrm>
          <a:off x="8704489" y="2326544"/>
          <a:ext cx="7981949" cy="3528332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10</xdr:row>
      <xdr:rowOff>134703</xdr:rowOff>
    </xdr:from>
    <xdr:to>
      <xdr:col>13</xdr:col>
      <xdr:colOff>530678</xdr:colOff>
      <xdr:row>30</xdr:row>
      <xdr:rowOff>5435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AC2F0D6-0F84-4F61-B010-E5C06D2D3A32}"/>
            </a:ext>
          </a:extLst>
        </xdr:cNvPr>
        <xdr:cNvSpPr/>
      </xdr:nvSpPr>
      <xdr:spPr>
        <a:xfrm>
          <a:off x="415018" y="2329263"/>
          <a:ext cx="8040460" cy="3528332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394605</xdr:colOff>
      <xdr:row>31</xdr:row>
      <xdr:rowOff>70755</xdr:rowOff>
    </xdr:from>
    <xdr:to>
      <xdr:col>13</xdr:col>
      <xdr:colOff>542924</xdr:colOff>
      <xdr:row>50</xdr:row>
      <xdr:rowOff>125185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573A1B3-C6AB-4F9F-B5B5-3167812C03D0}"/>
            </a:ext>
          </a:extLst>
        </xdr:cNvPr>
        <xdr:cNvSpPr/>
      </xdr:nvSpPr>
      <xdr:spPr>
        <a:xfrm>
          <a:off x="394605" y="5680980"/>
          <a:ext cx="8073119" cy="3492955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133693</xdr:colOff>
      <xdr:row>1</xdr:row>
      <xdr:rowOff>119063</xdr:rowOff>
    </xdr:from>
    <xdr:to>
      <xdr:col>9</xdr:col>
      <xdr:colOff>133693</xdr:colOff>
      <xdr:row>7</xdr:row>
      <xdr:rowOff>136751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9F1B7B-858B-4EF7-AAF3-290A07B6C7EE}"/>
            </a:ext>
          </a:extLst>
        </xdr:cNvPr>
        <xdr:cNvCxnSpPr/>
      </xdr:nvCxnSpPr>
      <xdr:spPr>
        <a:xfrm>
          <a:off x="5620093" y="300038"/>
          <a:ext cx="0" cy="1103538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1</xdr:row>
      <xdr:rowOff>119063</xdr:rowOff>
    </xdr:from>
    <xdr:to>
      <xdr:col>17</xdr:col>
      <xdr:colOff>605180</xdr:colOff>
      <xdr:row>7</xdr:row>
      <xdr:rowOff>136751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1D6237D-9170-4196-BC19-FCD22E8B060A}"/>
            </a:ext>
          </a:extLst>
        </xdr:cNvPr>
        <xdr:cNvCxnSpPr/>
      </xdr:nvCxnSpPr>
      <xdr:spPr>
        <a:xfrm>
          <a:off x="10968380" y="300038"/>
          <a:ext cx="0" cy="1103538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428623</xdr:colOff>
      <xdr:row>11</xdr:row>
      <xdr:rowOff>30970</xdr:rowOff>
    </xdr:from>
    <xdr:to>
      <xdr:col>7</xdr:col>
      <xdr:colOff>219075</xdr:colOff>
      <xdr:row>12</xdr:row>
      <xdr:rowOff>180649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5627DBF-804A-4F22-B347-0ED5E0B51441}"/>
            </a:ext>
          </a:extLst>
        </xdr:cNvPr>
        <xdr:cNvSpPr txBox="1"/>
      </xdr:nvSpPr>
      <xdr:spPr>
        <a:xfrm>
          <a:off x="428623" y="2383645"/>
          <a:ext cx="4057652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Evolução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Total Pago em Descontos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206826</xdr:colOff>
      <xdr:row>11</xdr:row>
      <xdr:rowOff>30970</xdr:rowOff>
    </xdr:from>
    <xdr:to>
      <xdr:col>19</xdr:col>
      <xdr:colOff>476249</xdr:colOff>
      <xdr:row>12</xdr:row>
      <xdr:rowOff>180649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220751BA-C95F-42CE-A566-61D0861D1DCD}"/>
            </a:ext>
          </a:extLst>
        </xdr:cNvPr>
        <xdr:cNvSpPr txBox="1"/>
      </xdr:nvSpPr>
      <xdr:spPr>
        <a:xfrm>
          <a:off x="8741226" y="2383645"/>
          <a:ext cx="3317423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Evolução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de Salários Líquidos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410936</xdr:colOff>
      <xdr:row>31</xdr:row>
      <xdr:rowOff>160557</xdr:rowOff>
    </xdr:from>
    <xdr:to>
      <xdr:col>6</xdr:col>
      <xdr:colOff>133350</xdr:colOff>
      <xdr:row>33</xdr:row>
      <xdr:rowOff>126539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53E08183-0303-481E-8964-3DBE858EDE9D}"/>
            </a:ext>
          </a:extLst>
        </xdr:cNvPr>
        <xdr:cNvSpPr txBox="1"/>
      </xdr:nvSpPr>
      <xdr:spPr>
        <a:xfrm>
          <a:off x="410936" y="6132732"/>
          <a:ext cx="3380014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Horas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Extras por Funcionário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401412</xdr:colOff>
      <xdr:row>1</xdr:row>
      <xdr:rowOff>73831</xdr:rowOff>
    </xdr:from>
    <xdr:to>
      <xdr:col>7</xdr:col>
      <xdr:colOff>209549</xdr:colOff>
      <xdr:row>3</xdr:row>
      <xdr:rowOff>39813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3C78057-6A59-4BC1-9E7F-EC8B8DF229A1}"/>
            </a:ext>
          </a:extLst>
        </xdr:cNvPr>
        <xdr:cNvSpPr txBox="1"/>
      </xdr:nvSpPr>
      <xdr:spPr>
        <a:xfrm>
          <a:off x="401412" y="254806"/>
          <a:ext cx="4075337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4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Descontos Transporte</a:t>
          </a:r>
          <a:endParaRPr lang="pt-BR" sz="1400" b="0">
            <a:solidFill>
              <a:schemeClr val="bg1">
                <a:lumMod val="75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435899</xdr:colOff>
      <xdr:row>12</xdr:row>
      <xdr:rowOff>38061</xdr:rowOff>
    </xdr:from>
    <xdr:to>
      <xdr:col>4</xdr:col>
      <xdr:colOff>34489</xdr:colOff>
      <xdr:row>14</xdr:row>
      <xdr:rowOff>4043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E7A3E149-4DCD-4C53-8A8D-B94C4259C058}"/>
            </a:ext>
          </a:extLst>
        </xdr:cNvPr>
        <xdr:cNvSpPr txBox="1"/>
      </xdr:nvSpPr>
      <xdr:spPr>
        <a:xfrm>
          <a:off x="435899" y="2598381"/>
          <a:ext cx="203699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de todo histórico</a:t>
          </a:r>
        </a:p>
      </xdr:txBody>
    </xdr:sp>
    <xdr:clientData/>
  </xdr:twoCellAnchor>
  <xdr:twoCellAnchor>
    <xdr:from>
      <xdr:col>14</xdr:col>
      <xdr:colOff>224379</xdr:colOff>
      <xdr:row>12</xdr:row>
      <xdr:rowOff>41954</xdr:rowOff>
    </xdr:from>
    <xdr:to>
      <xdr:col>18</xdr:col>
      <xdr:colOff>400050</xdr:colOff>
      <xdr:row>14</xdr:row>
      <xdr:rowOff>7936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FDFD7079-D143-4E79-B7D8-5BAB062B160B}"/>
            </a:ext>
          </a:extLst>
        </xdr:cNvPr>
        <xdr:cNvSpPr txBox="1"/>
      </xdr:nvSpPr>
      <xdr:spPr>
        <a:xfrm>
          <a:off x="8758779" y="2213654"/>
          <a:ext cx="2614071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32</xdr:row>
      <xdr:rowOff>168786</xdr:rowOff>
    </xdr:from>
    <xdr:to>
      <xdr:col>4</xdr:col>
      <xdr:colOff>415158</xdr:colOff>
      <xdr:row>34</xdr:row>
      <xdr:rowOff>134768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665BE9EE-E8AF-4889-BE39-098957B06A4C}"/>
            </a:ext>
          </a:extLst>
        </xdr:cNvPr>
        <xdr:cNvSpPr txBox="1"/>
      </xdr:nvSpPr>
      <xdr:spPr>
        <a:xfrm>
          <a:off x="418819" y="6386706"/>
          <a:ext cx="2434739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</a:t>
          </a:r>
          <a:r>
            <a:rPr lang="pt-BR" sz="900" b="0" baseline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 Ranking</a:t>
          </a:r>
          <a:endParaRPr lang="pt-BR" sz="900" b="0">
            <a:solidFill>
              <a:schemeClr val="bg1">
                <a:lumMod val="7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171450</xdr:colOff>
      <xdr:row>31</xdr:row>
      <xdr:rowOff>68034</xdr:rowOff>
    </xdr:from>
    <xdr:to>
      <xdr:col>27</xdr:col>
      <xdr:colOff>238124</xdr:colOff>
      <xdr:row>50</xdr:row>
      <xdr:rowOff>122464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9A597AAD-00A7-4653-9139-FA60EEE1693B}"/>
            </a:ext>
          </a:extLst>
        </xdr:cNvPr>
        <xdr:cNvSpPr/>
      </xdr:nvSpPr>
      <xdr:spPr>
        <a:xfrm>
          <a:off x="8705850" y="5678259"/>
          <a:ext cx="7991474" cy="3492955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229951</xdr:colOff>
      <xdr:row>31</xdr:row>
      <xdr:rowOff>178924</xdr:rowOff>
    </xdr:from>
    <xdr:to>
      <xdr:col>19</xdr:col>
      <xdr:colOff>210909</xdr:colOff>
      <xdr:row>33</xdr:row>
      <xdr:rowOff>149670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E413353D-E315-4FF7-A10A-D1F255A9F882}"/>
            </a:ext>
          </a:extLst>
        </xdr:cNvPr>
        <xdr:cNvSpPr txBox="1"/>
      </xdr:nvSpPr>
      <xdr:spPr>
        <a:xfrm>
          <a:off x="8764351" y="5789149"/>
          <a:ext cx="3028958" cy="332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Salário Líquido por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Funcionário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237841</xdr:colOff>
      <xdr:row>33</xdr:row>
      <xdr:rowOff>4139</xdr:rowOff>
    </xdr:from>
    <xdr:to>
      <xdr:col>18</xdr:col>
      <xdr:colOff>234180</xdr:colOff>
      <xdr:row>34</xdr:row>
      <xdr:rowOff>151095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95BF6791-6504-4013-9F8D-5C6ACA3BE5DE}"/>
            </a:ext>
          </a:extLst>
        </xdr:cNvPr>
        <xdr:cNvSpPr txBox="1"/>
      </xdr:nvSpPr>
      <xdr:spPr>
        <a:xfrm>
          <a:off x="8772241" y="5976314"/>
          <a:ext cx="2434739" cy="3279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270784</xdr:colOff>
      <xdr:row>1</xdr:row>
      <xdr:rowOff>67027</xdr:rowOff>
    </xdr:from>
    <xdr:to>
      <xdr:col>12</xdr:col>
      <xdr:colOff>515714</xdr:colOff>
      <xdr:row>3</xdr:row>
      <xdr:rowOff>33009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467DDA89-B5A0-40E3-9551-9BD6E8C17EB2}"/>
            </a:ext>
          </a:extLst>
        </xdr:cNvPr>
        <xdr:cNvSpPr txBox="1"/>
      </xdr:nvSpPr>
      <xdr:spPr>
        <a:xfrm>
          <a:off x="5757184" y="248002"/>
          <a:ext cx="2073730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4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Descontos de IR</a:t>
          </a:r>
        </a:p>
      </xdr:txBody>
    </xdr:sp>
    <xdr:clientData/>
  </xdr:twoCellAnchor>
  <xdr:twoCellAnchor>
    <xdr:from>
      <xdr:col>18</xdr:col>
      <xdr:colOff>99331</xdr:colOff>
      <xdr:row>1</xdr:row>
      <xdr:rowOff>67027</xdr:rowOff>
    </xdr:from>
    <xdr:to>
      <xdr:col>21</xdr:col>
      <xdr:colOff>344259</xdr:colOff>
      <xdr:row>3</xdr:row>
      <xdr:rowOff>33009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CBD493EB-E277-4FC7-ACBC-80070A0D0985}"/>
            </a:ext>
          </a:extLst>
        </xdr:cNvPr>
        <xdr:cNvSpPr txBox="1"/>
      </xdr:nvSpPr>
      <xdr:spPr>
        <a:xfrm>
          <a:off x="11072131" y="248002"/>
          <a:ext cx="2073728" cy="3279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400" b="0">
              <a:solidFill>
                <a:schemeClr val="bg1">
                  <a:lumMod val="7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Descontos INSS</a:t>
          </a:r>
        </a:p>
      </xdr:txBody>
    </xdr:sp>
    <xdr:clientData/>
  </xdr:twoCellAnchor>
  <xdr:twoCellAnchor>
    <xdr:from>
      <xdr:col>0</xdr:col>
      <xdr:colOff>380999</xdr:colOff>
      <xdr:row>2</xdr:row>
      <xdr:rowOff>113619</xdr:rowOff>
    </xdr:from>
    <xdr:to>
      <xdr:col>3</xdr:col>
      <xdr:colOff>591909</xdr:colOff>
      <xdr:row>5</xdr:row>
      <xdr:rowOff>72798</xdr:rowOff>
    </xdr:to>
    <xdr:sp macro="" textlink="Cálculos!H38">
      <xdr:nvSpPr>
        <xdr:cNvPr id="43" name="CaixaDeTexto 42">
          <a:extLst>
            <a:ext uri="{FF2B5EF4-FFF2-40B4-BE49-F238E27FC236}">
              <a16:creationId xmlns:a16="http://schemas.microsoft.com/office/drawing/2014/main" id="{84DBDAFA-5D3B-48A3-BBDE-E18BCDB3954F}"/>
            </a:ext>
          </a:extLst>
        </xdr:cNvPr>
        <xdr:cNvSpPr txBox="1"/>
      </xdr:nvSpPr>
      <xdr:spPr>
        <a:xfrm>
          <a:off x="380999" y="475569"/>
          <a:ext cx="2039710" cy="502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A658330-0106-472E-B9DE-790728DDFC36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R$ 25.940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2</xdr:row>
      <xdr:rowOff>113619</xdr:rowOff>
    </xdr:from>
    <xdr:to>
      <xdr:col>12</xdr:col>
      <xdr:colOff>461282</xdr:colOff>
      <xdr:row>5</xdr:row>
      <xdr:rowOff>72798</xdr:rowOff>
    </xdr:to>
    <xdr:sp macro="" textlink="Cálculos!E38">
      <xdr:nvSpPr>
        <xdr:cNvPr id="45" name="CaixaDeTexto 44">
          <a:extLst>
            <a:ext uri="{FF2B5EF4-FFF2-40B4-BE49-F238E27FC236}">
              <a16:creationId xmlns:a16="http://schemas.microsoft.com/office/drawing/2014/main" id="{FF093B01-F6B4-4D1F-A874-A1E52B0FC1C4}"/>
            </a:ext>
          </a:extLst>
        </xdr:cNvPr>
        <xdr:cNvSpPr txBox="1"/>
      </xdr:nvSpPr>
      <xdr:spPr>
        <a:xfrm>
          <a:off x="5736770" y="475569"/>
          <a:ext cx="2039712" cy="502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1944360-17A4-442B-878D-DD4BE2726958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R$ 63.100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2</xdr:row>
      <xdr:rowOff>113619</xdr:rowOff>
    </xdr:from>
    <xdr:to>
      <xdr:col>21</xdr:col>
      <xdr:colOff>296634</xdr:colOff>
      <xdr:row>5</xdr:row>
      <xdr:rowOff>72798</xdr:rowOff>
    </xdr:to>
    <xdr:sp macro="" textlink="Cálculos!B38">
      <xdr:nvSpPr>
        <xdr:cNvPr id="47" name="CaixaDeTexto 46">
          <a:extLst>
            <a:ext uri="{FF2B5EF4-FFF2-40B4-BE49-F238E27FC236}">
              <a16:creationId xmlns:a16="http://schemas.microsoft.com/office/drawing/2014/main" id="{DC6C3E4C-E79D-4EB6-8002-A3EE8B320326}"/>
            </a:ext>
          </a:extLst>
        </xdr:cNvPr>
        <xdr:cNvSpPr txBox="1"/>
      </xdr:nvSpPr>
      <xdr:spPr>
        <a:xfrm>
          <a:off x="11058524" y="475569"/>
          <a:ext cx="2039710" cy="502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0E20686-E19A-457A-B11B-127D7BB77A13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R$ 45.900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247650</xdr:colOff>
      <xdr:row>4</xdr:row>
      <xdr:rowOff>95250</xdr:rowOff>
    </xdr:from>
    <xdr:to>
      <xdr:col>8</xdr:col>
      <xdr:colOff>495299</xdr:colOff>
      <xdr:row>11</xdr:row>
      <xdr:rowOff>0</xdr:rowOff>
    </xdr:to>
    <xdr:graphicFrame macro="">
      <xdr:nvGraphicFramePr>
        <xdr:cNvPr id="106" name="Gráfico 105">
          <a:extLst>
            <a:ext uri="{FF2B5EF4-FFF2-40B4-BE49-F238E27FC236}">
              <a16:creationId xmlns:a16="http://schemas.microsoft.com/office/drawing/2014/main" id="{9B83ED4F-4250-4E15-8858-B06CA05A0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</xdr:row>
      <xdr:rowOff>85725</xdr:rowOff>
    </xdr:from>
    <xdr:to>
      <xdr:col>17</xdr:col>
      <xdr:colOff>257175</xdr:colOff>
      <xdr:row>9</xdr:row>
      <xdr:rowOff>104775</xdr:rowOff>
    </xdr:to>
    <xdr:graphicFrame macro="">
      <xdr:nvGraphicFramePr>
        <xdr:cNvPr id="107" name="Gráfico 106">
          <a:extLst>
            <a:ext uri="{FF2B5EF4-FFF2-40B4-BE49-F238E27FC236}">
              <a16:creationId xmlns:a16="http://schemas.microsoft.com/office/drawing/2014/main" id="{B9872CA8-01B7-4CD6-88E7-6EC986C86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5</xdr:row>
      <xdr:rowOff>38100</xdr:rowOff>
    </xdr:from>
    <xdr:to>
      <xdr:col>27</xdr:col>
      <xdr:colOff>238125</xdr:colOff>
      <xdr:row>10</xdr:row>
      <xdr:rowOff>47625</xdr:rowOff>
    </xdr:to>
    <xdr:graphicFrame macro="">
      <xdr:nvGraphicFramePr>
        <xdr:cNvPr id="108" name="Gráfico 107">
          <a:extLst>
            <a:ext uri="{FF2B5EF4-FFF2-40B4-BE49-F238E27FC236}">
              <a16:creationId xmlns:a16="http://schemas.microsoft.com/office/drawing/2014/main" id="{753AAD4A-63ED-4CDC-9FA5-A8F1A1FB9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170088</xdr:colOff>
      <xdr:row>14</xdr:row>
      <xdr:rowOff>123825</xdr:rowOff>
    </xdr:from>
    <xdr:to>
      <xdr:col>27</xdr:col>
      <xdr:colOff>228599</xdr:colOff>
      <xdr:row>30</xdr:row>
      <xdr:rowOff>9524</xdr:rowOff>
    </xdr:to>
    <xdr:graphicFrame macro="">
      <xdr:nvGraphicFramePr>
        <xdr:cNvPr id="109" name="Gráfico 108">
          <a:extLst>
            <a:ext uri="{FF2B5EF4-FFF2-40B4-BE49-F238E27FC236}">
              <a16:creationId xmlns:a16="http://schemas.microsoft.com/office/drawing/2014/main" id="{4F1D3F38-C82F-4F5A-AE5C-1180AB273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447675</xdr:colOff>
      <xdr:row>15</xdr:row>
      <xdr:rowOff>28575</xdr:rowOff>
    </xdr:from>
    <xdr:to>
      <xdr:col>13</xdr:col>
      <xdr:colOff>476250</xdr:colOff>
      <xdr:row>29</xdr:row>
      <xdr:rowOff>161925</xdr:rowOff>
    </xdr:to>
    <xdr:graphicFrame macro="">
      <xdr:nvGraphicFramePr>
        <xdr:cNvPr id="110" name="Gráfico 109">
          <a:extLst>
            <a:ext uri="{FF2B5EF4-FFF2-40B4-BE49-F238E27FC236}">
              <a16:creationId xmlns:a16="http://schemas.microsoft.com/office/drawing/2014/main" id="{86AF1345-A292-4768-B0B6-BBB4E08CC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466724</xdr:colOff>
      <xdr:row>34</xdr:row>
      <xdr:rowOff>95250</xdr:rowOff>
    </xdr:from>
    <xdr:to>
      <xdr:col>13</xdr:col>
      <xdr:colOff>266700</xdr:colOff>
      <xdr:row>50</xdr:row>
      <xdr:rowOff>38100</xdr:rowOff>
    </xdr:to>
    <xdr:graphicFrame macro="">
      <xdr:nvGraphicFramePr>
        <xdr:cNvPr id="111" name="Gráfico 110">
          <a:extLst>
            <a:ext uri="{FF2B5EF4-FFF2-40B4-BE49-F238E27FC236}">
              <a16:creationId xmlns:a16="http://schemas.microsoft.com/office/drawing/2014/main" id="{8CDF21E8-A474-40CE-BB1C-65EBFB5A7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171450</xdr:colOff>
      <xdr:row>33</xdr:row>
      <xdr:rowOff>180974</xdr:rowOff>
    </xdr:from>
    <xdr:to>
      <xdr:col>27</xdr:col>
      <xdr:colOff>228600</xdr:colOff>
      <xdr:row>50</xdr:row>
      <xdr:rowOff>85724</xdr:rowOff>
    </xdr:to>
    <xdr:graphicFrame macro="">
      <xdr:nvGraphicFramePr>
        <xdr:cNvPr id="112" name="Gráfico 111">
          <a:extLst>
            <a:ext uri="{FF2B5EF4-FFF2-40B4-BE49-F238E27FC236}">
              <a16:creationId xmlns:a16="http://schemas.microsoft.com/office/drawing/2014/main" id="{8CAA3BC6-9D8D-4A79-8A5C-B4BD307C1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321.830634375001" createdVersion="8" refreshedVersion="8" minRefreshableVersion="3" recordCount="96" xr:uid="{BCED8FE3-AC6D-4147-B111-04C156550016}">
  <cacheSource type="worksheet">
    <worksheetSource name="Tabela2"/>
  </cacheSource>
  <cacheFields count="14">
    <cacheField name="Funcionário" numFmtId="0">
      <sharedItems count="8">
        <s v="Roberta Alencar"/>
        <s v="Felipe Mascarenhas"/>
        <s v="Eliza Luna"/>
        <s v="Eduardo Damasceno"/>
        <s v="Bruna Sales"/>
        <s v="Lucas Pinheiro"/>
        <s v="Bento Luiz"/>
        <s v="Diego Diegues"/>
      </sharedItems>
    </cacheField>
    <cacheField name="Competência" numFmtId="17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2"/>
    </cacheField>
    <cacheField name="Data pagamento" numFmtId="14">
      <sharedItems containsSemiMixedTypes="0" containsNonDate="0" containsDate="1" containsString="0" minDate="2024-02-01T00:00:00" maxDate="2025-01-02T00:00:00"/>
    </cacheField>
    <cacheField name="Quantidade HE" numFmtId="0">
      <sharedItems containsSemiMixedTypes="0" containsString="0" containsNumber="1" containsInteger="1" minValue="0" maxValue="7"/>
    </cacheField>
    <cacheField name="Salário Bruto" numFmtId="164">
      <sharedItems containsSemiMixedTypes="0" containsString="0" containsNumber="1" containsInteger="1" minValue="1000" maxValue="20000"/>
    </cacheField>
    <cacheField name="Desconto Transporte" numFmtId="164">
      <sharedItems containsSemiMixedTypes="0" containsString="0" containsNumber="1" containsInteger="1" minValue="50" maxValue="1000"/>
    </cacheField>
    <cacheField name="Desconto IR" numFmtId="164">
      <sharedItems containsSemiMixedTypes="0" containsString="0" containsNumber="1" containsInteger="1" minValue="0" maxValue="2400"/>
    </cacheField>
    <cacheField name="Desconto INSS" numFmtId="164">
      <sharedItems containsSemiMixedTypes="0" containsString="0" containsNumber="1" containsInteger="1" minValue="0" maxValue="1800"/>
    </cacheField>
    <cacheField name="Outros Descontos" numFmtId="164">
      <sharedItems containsSemiMixedTypes="0" containsString="0" containsNumber="1" containsInteger="1" minValue="101" maxValue="198"/>
    </cacheField>
    <cacheField name="Valor Hora Extra" numFmtId="164">
      <sharedItems containsSemiMixedTypes="0" containsString="0" containsNumber="1" minValue="0" maxValue="381.81818181818181"/>
    </cacheField>
    <cacheField name="Salário Líquido" numFmtId="164">
      <sharedItems containsSemiMixedTypes="0" containsString="0" containsNumber="1" minValue="527" maxValue="15673"/>
    </cacheField>
    <cacheField name="Dias (Competência)" numFmtId="0" databaseField="0">
      <fieldGroup base="1">
        <rangePr groupBy="days" startDate="2024-01-01T00:00:00" endDate="2024-12-02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4"/>
        </groupItems>
      </fieldGroup>
    </cacheField>
    <cacheField name="Meses (Competência)" numFmtId="0" databaseField="0">
      <fieldGroup base="1">
        <rangePr groupBy="months" startDate="2024-01-01T00:00:00" endDate="2024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4"/>
        </groupItems>
      </fieldGroup>
    </cacheField>
    <cacheField name="Total Descontos" numFmtId="0" formula="'Desconto Transporte'+'Desconto IR'+'Desconto INSS'+'Outros Descontos'" databaseField="0"/>
  </cacheFields>
  <extLst>
    <ext xmlns:x14="http://schemas.microsoft.com/office/spreadsheetml/2009/9/main" uri="{725AE2AE-9491-48be-B2B4-4EB974FC3084}">
      <x14:pivotCacheDefinition pivotCacheId="11155704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d v="2024-02-01T00:00:00"/>
    <n v="0"/>
    <n v="20000"/>
    <n v="300"/>
    <n v="2400"/>
    <n v="1800"/>
    <n v="113"/>
    <n v="0"/>
    <n v="15387"/>
  </r>
  <r>
    <x v="1"/>
    <x v="0"/>
    <d v="2024-02-01T00:00:00"/>
    <n v="0"/>
    <n v="8000"/>
    <n v="480"/>
    <n v="880"/>
    <n v="800"/>
    <n v="162"/>
    <n v="0"/>
    <n v="5678"/>
  </r>
  <r>
    <x v="2"/>
    <x v="0"/>
    <d v="2024-02-01T00:00:00"/>
    <n v="3"/>
    <n v="6500"/>
    <n v="325"/>
    <n v="650"/>
    <n v="650"/>
    <n v="111"/>
    <n v="132.95454545454547"/>
    <n v="4896.954545454545"/>
  </r>
  <r>
    <x v="3"/>
    <x v="0"/>
    <d v="2024-02-01T00:00:00"/>
    <n v="3"/>
    <n v="4000"/>
    <n v="280"/>
    <n v="400"/>
    <n v="280"/>
    <n v="138"/>
    <n v="81.818181818181813"/>
    <n v="2983.818181818182"/>
  </r>
  <r>
    <x v="4"/>
    <x v="0"/>
    <d v="2024-02-01T00:00:00"/>
    <n v="5"/>
    <n v="3000"/>
    <n v="180"/>
    <n v="330"/>
    <n v="270"/>
    <n v="127"/>
    <n v="102.27272727272727"/>
    <n v="2195.2727272727275"/>
  </r>
  <r>
    <x v="5"/>
    <x v="0"/>
    <d v="2024-02-01T00:00:00"/>
    <n v="5"/>
    <n v="2000"/>
    <n v="120"/>
    <n v="200"/>
    <n v="140"/>
    <n v="141"/>
    <n v="0"/>
    <n v="1399"/>
  </r>
  <r>
    <x v="6"/>
    <x v="0"/>
    <d v="2024-02-01T00:00:00"/>
    <n v="6"/>
    <n v="1000"/>
    <n v="70"/>
    <n v="100"/>
    <n v="60"/>
    <n v="115"/>
    <n v="0"/>
    <n v="655"/>
  </r>
  <r>
    <x v="7"/>
    <x v="0"/>
    <d v="2024-02-01T00:00:00"/>
    <n v="3"/>
    <n v="2000"/>
    <n v="120"/>
    <n v="240"/>
    <n v="120"/>
    <n v="120"/>
    <n v="40.909090909090907"/>
    <n v="1440.909090909091"/>
  </r>
  <r>
    <x v="0"/>
    <x v="1"/>
    <d v="2024-03-01T00:00:00"/>
    <n v="7"/>
    <n v="20000"/>
    <n v="400"/>
    <n v="2400"/>
    <n v="1400"/>
    <n v="192"/>
    <n v="0"/>
    <n v="15608"/>
  </r>
  <r>
    <x v="1"/>
    <x v="1"/>
    <d v="2024-03-01T00:00:00"/>
    <n v="1"/>
    <n v="8000"/>
    <n v="480"/>
    <n v="960"/>
    <n v="560"/>
    <n v="168"/>
    <n v="54.545454545454547"/>
    <n v="5886.545454545455"/>
  </r>
  <r>
    <x v="2"/>
    <x v="1"/>
    <d v="2024-03-01T00:00:00"/>
    <n v="6"/>
    <n v="6500"/>
    <n v="390"/>
    <n v="650"/>
    <n v="455"/>
    <n v="164"/>
    <n v="265.90909090909093"/>
    <n v="5106.909090909091"/>
  </r>
  <r>
    <x v="3"/>
    <x v="1"/>
    <d v="2024-03-01T00:00:00"/>
    <n v="2"/>
    <n v="4000"/>
    <n v="240"/>
    <n v="480"/>
    <n v="400"/>
    <n v="131"/>
    <n v="54.545454545454547"/>
    <n v="2803.5454545454545"/>
  </r>
  <r>
    <x v="4"/>
    <x v="1"/>
    <d v="2024-03-01T00:00:00"/>
    <n v="5"/>
    <n v="3000"/>
    <n v="150"/>
    <n v="330"/>
    <n v="210"/>
    <n v="124"/>
    <n v="102.27272727272727"/>
    <n v="2288.2727272727275"/>
  </r>
  <r>
    <x v="5"/>
    <x v="1"/>
    <d v="2024-03-01T00:00:00"/>
    <n v="5"/>
    <n v="2000"/>
    <n v="100"/>
    <n v="240"/>
    <n v="160"/>
    <n v="148"/>
    <n v="0"/>
    <n v="1352"/>
  </r>
  <r>
    <x v="6"/>
    <x v="1"/>
    <d v="2024-03-01T00:00:00"/>
    <n v="7"/>
    <n v="1000"/>
    <n v="50"/>
    <n v="100"/>
    <n v="100"/>
    <n v="143"/>
    <n v="0"/>
    <n v="607"/>
  </r>
  <r>
    <x v="7"/>
    <x v="1"/>
    <d v="2024-03-01T00:00:00"/>
    <n v="7"/>
    <n v="2000"/>
    <n v="140"/>
    <n v="0"/>
    <n v="0"/>
    <n v="141"/>
    <n v="95.454545454545453"/>
    <n v="1814.4545454545455"/>
  </r>
  <r>
    <x v="0"/>
    <x v="2"/>
    <d v="2024-04-01T00:00:00"/>
    <n v="1"/>
    <n v="20000"/>
    <n v="1000"/>
    <n v="2400"/>
    <n v="1800"/>
    <n v="109"/>
    <n v="0"/>
    <n v="14691"/>
  </r>
  <r>
    <x v="1"/>
    <x v="2"/>
    <d v="2024-04-01T00:00:00"/>
    <n v="2"/>
    <n v="8000"/>
    <n v="560"/>
    <n v="960"/>
    <n v="640"/>
    <n v="138"/>
    <n v="109.09090909090909"/>
    <n v="5811.090909090909"/>
  </r>
  <r>
    <x v="2"/>
    <x v="2"/>
    <d v="2024-04-01T00:00:00"/>
    <n v="7"/>
    <n v="6500"/>
    <n v="390"/>
    <n v="715"/>
    <n v="650"/>
    <n v="158"/>
    <n v="310.22727272727275"/>
    <n v="4897.227272727273"/>
  </r>
  <r>
    <x v="3"/>
    <x v="2"/>
    <d v="2024-04-01T00:00:00"/>
    <n v="7"/>
    <n v="4000"/>
    <n v="240"/>
    <n v="480"/>
    <n v="280"/>
    <n v="186"/>
    <n v="190.90909090909091"/>
    <n v="3004.909090909091"/>
  </r>
  <r>
    <x v="4"/>
    <x v="2"/>
    <d v="2024-04-01T00:00:00"/>
    <n v="2"/>
    <n v="3000"/>
    <n v="180"/>
    <n v="300"/>
    <n v="210"/>
    <n v="190"/>
    <n v="40.909090909090907"/>
    <n v="2160.909090909091"/>
  </r>
  <r>
    <x v="5"/>
    <x v="2"/>
    <d v="2024-04-01T00:00:00"/>
    <n v="0"/>
    <n v="2000"/>
    <n v="120"/>
    <n v="220"/>
    <n v="200"/>
    <n v="137"/>
    <n v="0"/>
    <n v="1323"/>
  </r>
  <r>
    <x v="6"/>
    <x v="2"/>
    <d v="2024-04-01T00:00:00"/>
    <n v="3"/>
    <n v="1000"/>
    <n v="70"/>
    <n v="120"/>
    <n v="90"/>
    <n v="127"/>
    <n v="0"/>
    <n v="593"/>
  </r>
  <r>
    <x v="7"/>
    <x v="2"/>
    <d v="2024-04-01T00:00:00"/>
    <n v="1"/>
    <n v="2000"/>
    <n v="100"/>
    <n v="220"/>
    <n v="200"/>
    <n v="174"/>
    <n v="13.636363636363637"/>
    <n v="1319.6363636363637"/>
  </r>
  <r>
    <x v="0"/>
    <x v="3"/>
    <d v="2024-05-02T00:00:00"/>
    <n v="1"/>
    <n v="20000"/>
    <n v="300"/>
    <n v="2400"/>
    <n v="1800"/>
    <n v="174"/>
    <n v="0"/>
    <n v="15326"/>
  </r>
  <r>
    <x v="1"/>
    <x v="3"/>
    <d v="2024-05-02T00:00:00"/>
    <n v="5"/>
    <n v="8000"/>
    <n v="480"/>
    <n v="880"/>
    <n v="800"/>
    <n v="162"/>
    <n v="272.72727272727275"/>
    <n v="5950.727272727273"/>
  </r>
  <r>
    <x v="2"/>
    <x v="3"/>
    <d v="2024-05-02T00:00:00"/>
    <n v="5"/>
    <n v="6500"/>
    <n v="325"/>
    <n v="650"/>
    <n v="650"/>
    <n v="108"/>
    <n v="221.59090909090909"/>
    <n v="4988.590909090909"/>
  </r>
  <r>
    <x v="3"/>
    <x v="3"/>
    <d v="2024-05-02T00:00:00"/>
    <n v="2"/>
    <n v="4000"/>
    <n v="280"/>
    <n v="400"/>
    <n v="280"/>
    <n v="198"/>
    <n v="54.545454545454547"/>
    <n v="2896.5454545454545"/>
  </r>
  <r>
    <x v="4"/>
    <x v="3"/>
    <d v="2024-05-02T00:00:00"/>
    <n v="5"/>
    <n v="3000"/>
    <n v="180"/>
    <n v="330"/>
    <n v="270"/>
    <n v="178"/>
    <n v="102.27272727272727"/>
    <n v="2144.2727272727275"/>
  </r>
  <r>
    <x v="5"/>
    <x v="3"/>
    <d v="2024-05-02T00:00:00"/>
    <n v="2"/>
    <n v="2000"/>
    <n v="120"/>
    <n v="200"/>
    <n v="140"/>
    <n v="141"/>
    <n v="0"/>
    <n v="1399"/>
  </r>
  <r>
    <x v="6"/>
    <x v="3"/>
    <d v="2024-05-02T00:00:00"/>
    <n v="3"/>
    <n v="1000"/>
    <n v="70"/>
    <n v="100"/>
    <n v="60"/>
    <n v="117"/>
    <n v="0"/>
    <n v="653"/>
  </r>
  <r>
    <x v="7"/>
    <x v="3"/>
    <d v="2024-05-02T00:00:00"/>
    <n v="6"/>
    <n v="2000"/>
    <n v="120"/>
    <n v="240"/>
    <n v="120"/>
    <n v="179"/>
    <n v="81.818181818181813"/>
    <n v="1422.8181818181818"/>
  </r>
  <r>
    <x v="0"/>
    <x v="4"/>
    <d v="2024-06-01T00:00:00"/>
    <n v="6"/>
    <n v="20000"/>
    <n v="400"/>
    <n v="2400"/>
    <n v="1400"/>
    <n v="127"/>
    <n v="0"/>
    <n v="15673"/>
  </r>
  <r>
    <x v="1"/>
    <x v="4"/>
    <d v="2024-06-01T00:00:00"/>
    <n v="7"/>
    <n v="8000"/>
    <n v="480"/>
    <n v="960"/>
    <n v="560"/>
    <n v="107"/>
    <n v="381.81818181818181"/>
    <n v="6274.818181818182"/>
  </r>
  <r>
    <x v="2"/>
    <x v="4"/>
    <d v="2024-06-01T00:00:00"/>
    <n v="2"/>
    <n v="6500"/>
    <n v="390"/>
    <n v="650"/>
    <n v="455"/>
    <n v="104"/>
    <n v="88.63636363636364"/>
    <n v="4989.636363636364"/>
  </r>
  <r>
    <x v="3"/>
    <x v="4"/>
    <d v="2024-06-01T00:00:00"/>
    <n v="5"/>
    <n v="4000"/>
    <n v="240"/>
    <n v="480"/>
    <n v="400"/>
    <n v="178"/>
    <n v="136.36363636363637"/>
    <n v="2838.3636363636365"/>
  </r>
  <r>
    <x v="4"/>
    <x v="4"/>
    <d v="2024-06-01T00:00:00"/>
    <n v="6"/>
    <n v="3000"/>
    <n v="150"/>
    <n v="330"/>
    <n v="210"/>
    <n v="115"/>
    <n v="122.72727272727272"/>
    <n v="2317.7272727272725"/>
  </r>
  <r>
    <x v="5"/>
    <x v="4"/>
    <d v="2024-06-01T00:00:00"/>
    <n v="5"/>
    <n v="2000"/>
    <n v="100"/>
    <n v="240"/>
    <n v="160"/>
    <n v="142"/>
    <n v="0"/>
    <n v="1358"/>
  </r>
  <r>
    <x v="6"/>
    <x v="4"/>
    <d v="2024-06-01T00:00:00"/>
    <n v="1"/>
    <n v="1000"/>
    <n v="50"/>
    <n v="100"/>
    <n v="100"/>
    <n v="188"/>
    <n v="0"/>
    <n v="562"/>
  </r>
  <r>
    <x v="7"/>
    <x v="4"/>
    <d v="2024-06-01T00:00:00"/>
    <n v="2"/>
    <n v="2000"/>
    <n v="140"/>
    <n v="0"/>
    <n v="0"/>
    <n v="175"/>
    <n v="27.272727272727273"/>
    <n v="1712.2727272727273"/>
  </r>
  <r>
    <x v="0"/>
    <x v="5"/>
    <d v="2024-07-02T00:00:00"/>
    <n v="3"/>
    <n v="20000"/>
    <n v="1000"/>
    <n v="2400"/>
    <n v="1800"/>
    <n v="197"/>
    <n v="0"/>
    <n v="14603"/>
  </r>
  <r>
    <x v="1"/>
    <x v="5"/>
    <d v="2024-07-02T00:00:00"/>
    <n v="1"/>
    <n v="8000"/>
    <n v="560"/>
    <n v="960"/>
    <n v="640"/>
    <n v="174"/>
    <n v="54.545454545454547"/>
    <n v="5720.545454545455"/>
  </r>
  <r>
    <x v="2"/>
    <x v="5"/>
    <d v="2024-07-02T00:00:00"/>
    <n v="3"/>
    <n v="6500"/>
    <n v="390"/>
    <n v="715"/>
    <n v="650"/>
    <n v="136"/>
    <n v="132.95454545454547"/>
    <n v="4741.954545454545"/>
  </r>
  <r>
    <x v="3"/>
    <x v="5"/>
    <d v="2024-07-02T00:00:00"/>
    <n v="1"/>
    <n v="4000"/>
    <n v="240"/>
    <n v="480"/>
    <n v="280"/>
    <n v="126"/>
    <n v="27.272727272727273"/>
    <n v="2901.2727272727275"/>
  </r>
  <r>
    <x v="4"/>
    <x v="5"/>
    <d v="2024-07-02T00:00:00"/>
    <n v="2"/>
    <n v="3000"/>
    <n v="180"/>
    <n v="300"/>
    <n v="210"/>
    <n v="153"/>
    <n v="40.909090909090907"/>
    <n v="2197.909090909091"/>
  </r>
  <r>
    <x v="5"/>
    <x v="5"/>
    <d v="2024-07-02T00:00:00"/>
    <n v="6"/>
    <n v="2000"/>
    <n v="120"/>
    <n v="220"/>
    <n v="200"/>
    <n v="169"/>
    <n v="0"/>
    <n v="1291"/>
  </r>
  <r>
    <x v="6"/>
    <x v="5"/>
    <d v="2024-07-02T00:00:00"/>
    <n v="2"/>
    <n v="1000"/>
    <n v="70"/>
    <n v="120"/>
    <n v="90"/>
    <n v="193"/>
    <n v="0"/>
    <n v="527"/>
  </r>
  <r>
    <x v="7"/>
    <x v="5"/>
    <d v="2024-07-02T00:00:00"/>
    <n v="3"/>
    <n v="2000"/>
    <n v="100"/>
    <n v="220"/>
    <n v="200"/>
    <n v="115"/>
    <n v="40.909090909090907"/>
    <n v="1405.909090909091"/>
  </r>
  <r>
    <x v="0"/>
    <x v="6"/>
    <d v="2024-08-01T00:00:00"/>
    <n v="6"/>
    <n v="20000"/>
    <n v="300"/>
    <n v="2400"/>
    <n v="1800"/>
    <n v="135"/>
    <n v="0"/>
    <n v="15365"/>
  </r>
  <r>
    <x v="1"/>
    <x v="6"/>
    <d v="2024-08-01T00:00:00"/>
    <n v="5"/>
    <n v="8000"/>
    <n v="480"/>
    <n v="880"/>
    <n v="800"/>
    <n v="127"/>
    <n v="272.72727272727275"/>
    <n v="5985.727272727273"/>
  </r>
  <r>
    <x v="2"/>
    <x v="6"/>
    <d v="2024-08-01T00:00:00"/>
    <n v="6"/>
    <n v="6500"/>
    <n v="325"/>
    <n v="650"/>
    <n v="650"/>
    <n v="144"/>
    <n v="265.90909090909093"/>
    <n v="4996.909090909091"/>
  </r>
  <r>
    <x v="3"/>
    <x v="6"/>
    <d v="2024-08-01T00:00:00"/>
    <n v="2"/>
    <n v="4000"/>
    <n v="280"/>
    <n v="400"/>
    <n v="280"/>
    <n v="155"/>
    <n v="54.545454545454547"/>
    <n v="2939.5454545454545"/>
  </r>
  <r>
    <x v="4"/>
    <x v="6"/>
    <d v="2024-08-01T00:00:00"/>
    <n v="1"/>
    <n v="3000"/>
    <n v="180"/>
    <n v="330"/>
    <n v="270"/>
    <n v="118"/>
    <n v="20.454545454545453"/>
    <n v="2122.4545454545455"/>
  </r>
  <r>
    <x v="5"/>
    <x v="6"/>
    <d v="2024-08-01T00:00:00"/>
    <n v="1"/>
    <n v="2000"/>
    <n v="120"/>
    <n v="200"/>
    <n v="140"/>
    <n v="117"/>
    <n v="0"/>
    <n v="1423"/>
  </r>
  <r>
    <x v="6"/>
    <x v="6"/>
    <d v="2024-08-01T00:00:00"/>
    <n v="4"/>
    <n v="1000"/>
    <n v="70"/>
    <n v="100"/>
    <n v="60"/>
    <n v="182"/>
    <n v="0"/>
    <n v="588"/>
  </r>
  <r>
    <x v="7"/>
    <x v="6"/>
    <d v="2024-08-01T00:00:00"/>
    <n v="2"/>
    <n v="2000"/>
    <n v="120"/>
    <n v="240"/>
    <n v="120"/>
    <n v="130"/>
    <n v="27.272727272727273"/>
    <n v="1417.2727272727273"/>
  </r>
  <r>
    <x v="0"/>
    <x v="7"/>
    <d v="2024-09-01T00:00:00"/>
    <n v="3"/>
    <n v="20000"/>
    <n v="400"/>
    <n v="2400"/>
    <n v="1400"/>
    <n v="194"/>
    <n v="0"/>
    <n v="15606"/>
  </r>
  <r>
    <x v="1"/>
    <x v="7"/>
    <d v="2024-09-01T00:00:00"/>
    <n v="4"/>
    <n v="8000"/>
    <n v="480"/>
    <n v="960"/>
    <n v="560"/>
    <n v="197"/>
    <n v="218.18181818181819"/>
    <n v="6021.181818181818"/>
  </r>
  <r>
    <x v="2"/>
    <x v="7"/>
    <d v="2024-09-01T00:00:00"/>
    <n v="7"/>
    <n v="6500"/>
    <n v="390"/>
    <n v="650"/>
    <n v="455"/>
    <n v="155"/>
    <n v="310.22727272727275"/>
    <n v="5160.227272727273"/>
  </r>
  <r>
    <x v="3"/>
    <x v="7"/>
    <d v="2024-09-01T00:00:00"/>
    <n v="6"/>
    <n v="4000"/>
    <n v="240"/>
    <n v="480"/>
    <n v="400"/>
    <n v="110"/>
    <n v="163.63636363636363"/>
    <n v="2933.6363636363635"/>
  </r>
  <r>
    <x v="4"/>
    <x v="7"/>
    <d v="2024-09-01T00:00:00"/>
    <n v="2"/>
    <n v="3000"/>
    <n v="150"/>
    <n v="330"/>
    <n v="210"/>
    <n v="102"/>
    <n v="40.909090909090907"/>
    <n v="2248.909090909091"/>
  </r>
  <r>
    <x v="5"/>
    <x v="7"/>
    <d v="2024-09-01T00:00:00"/>
    <n v="5"/>
    <n v="2000"/>
    <n v="100"/>
    <n v="240"/>
    <n v="160"/>
    <n v="139"/>
    <n v="0"/>
    <n v="1361"/>
  </r>
  <r>
    <x v="6"/>
    <x v="7"/>
    <d v="2024-09-01T00:00:00"/>
    <n v="5"/>
    <n v="1000"/>
    <n v="50"/>
    <n v="100"/>
    <n v="100"/>
    <n v="131"/>
    <n v="0"/>
    <n v="619"/>
  </r>
  <r>
    <x v="7"/>
    <x v="7"/>
    <d v="2024-09-01T00:00:00"/>
    <n v="2"/>
    <n v="2000"/>
    <n v="140"/>
    <n v="0"/>
    <n v="0"/>
    <n v="101"/>
    <n v="27.272727272727273"/>
    <n v="1786.2727272727273"/>
  </r>
  <r>
    <x v="0"/>
    <x v="8"/>
    <d v="2024-10-02T00:00:00"/>
    <n v="3"/>
    <n v="20000"/>
    <n v="1000"/>
    <n v="2400"/>
    <n v="1800"/>
    <n v="146"/>
    <n v="0"/>
    <n v="14654"/>
  </r>
  <r>
    <x v="1"/>
    <x v="8"/>
    <d v="2024-10-02T00:00:00"/>
    <n v="3"/>
    <n v="8000"/>
    <n v="560"/>
    <n v="960"/>
    <n v="640"/>
    <n v="152"/>
    <n v="163.63636363636363"/>
    <n v="5851.636363636364"/>
  </r>
  <r>
    <x v="2"/>
    <x v="8"/>
    <d v="2024-10-02T00:00:00"/>
    <n v="3"/>
    <n v="6500"/>
    <n v="390"/>
    <n v="715"/>
    <n v="650"/>
    <n v="132"/>
    <n v="132.95454545454547"/>
    <n v="4745.954545454545"/>
  </r>
  <r>
    <x v="3"/>
    <x v="8"/>
    <d v="2024-10-02T00:00:00"/>
    <n v="4"/>
    <n v="4000"/>
    <n v="240"/>
    <n v="480"/>
    <n v="280"/>
    <n v="166"/>
    <n v="109.09090909090909"/>
    <n v="2943.090909090909"/>
  </r>
  <r>
    <x v="4"/>
    <x v="8"/>
    <d v="2024-10-02T00:00:00"/>
    <n v="1"/>
    <n v="3000"/>
    <n v="180"/>
    <n v="300"/>
    <n v="210"/>
    <n v="184"/>
    <n v="20.454545454545453"/>
    <n v="2146.4545454545455"/>
  </r>
  <r>
    <x v="5"/>
    <x v="8"/>
    <d v="2024-10-02T00:00:00"/>
    <n v="5"/>
    <n v="2000"/>
    <n v="120"/>
    <n v="220"/>
    <n v="200"/>
    <n v="166"/>
    <n v="0"/>
    <n v="1294"/>
  </r>
  <r>
    <x v="6"/>
    <x v="8"/>
    <d v="2024-10-02T00:00:00"/>
    <n v="6"/>
    <n v="1000"/>
    <n v="70"/>
    <n v="120"/>
    <n v="90"/>
    <n v="132"/>
    <n v="0"/>
    <n v="588"/>
  </r>
  <r>
    <x v="7"/>
    <x v="8"/>
    <d v="2024-10-02T00:00:00"/>
    <n v="3"/>
    <n v="2000"/>
    <n v="100"/>
    <n v="220"/>
    <n v="200"/>
    <n v="174"/>
    <n v="40.909090909090907"/>
    <n v="1346.909090909091"/>
  </r>
  <r>
    <x v="0"/>
    <x v="9"/>
    <d v="2024-11-01T00:00:00"/>
    <n v="2"/>
    <n v="20000"/>
    <n v="300"/>
    <n v="2400"/>
    <n v="1800"/>
    <n v="187"/>
    <n v="0"/>
    <n v="15313"/>
  </r>
  <r>
    <x v="1"/>
    <x v="9"/>
    <d v="2024-11-01T00:00:00"/>
    <n v="6"/>
    <n v="8000"/>
    <n v="480"/>
    <n v="880"/>
    <n v="800"/>
    <n v="191"/>
    <n v="327.27272727272725"/>
    <n v="5976.272727272727"/>
  </r>
  <r>
    <x v="2"/>
    <x v="9"/>
    <d v="2024-11-01T00:00:00"/>
    <n v="3"/>
    <n v="6500"/>
    <n v="325"/>
    <n v="650"/>
    <n v="650"/>
    <n v="162"/>
    <n v="132.95454545454547"/>
    <n v="4845.954545454545"/>
  </r>
  <r>
    <x v="3"/>
    <x v="9"/>
    <d v="2024-11-01T00:00:00"/>
    <n v="1"/>
    <n v="4000"/>
    <n v="280"/>
    <n v="400"/>
    <n v="280"/>
    <n v="187"/>
    <n v="27.272727272727273"/>
    <n v="2880.2727272727275"/>
  </r>
  <r>
    <x v="4"/>
    <x v="9"/>
    <d v="2024-11-01T00:00:00"/>
    <n v="2"/>
    <n v="3000"/>
    <n v="180"/>
    <n v="330"/>
    <n v="270"/>
    <n v="134"/>
    <n v="40.909090909090907"/>
    <n v="2126.909090909091"/>
  </r>
  <r>
    <x v="5"/>
    <x v="9"/>
    <d v="2024-11-01T00:00:00"/>
    <n v="7"/>
    <n v="2000"/>
    <n v="120"/>
    <n v="200"/>
    <n v="140"/>
    <n v="145"/>
    <n v="0"/>
    <n v="1395"/>
  </r>
  <r>
    <x v="6"/>
    <x v="9"/>
    <d v="2024-11-01T00:00:00"/>
    <n v="3"/>
    <n v="1000"/>
    <n v="70"/>
    <n v="100"/>
    <n v="60"/>
    <n v="157"/>
    <n v="0"/>
    <n v="613"/>
  </r>
  <r>
    <x v="7"/>
    <x v="9"/>
    <d v="2024-11-01T00:00:00"/>
    <n v="4"/>
    <n v="2000"/>
    <n v="120"/>
    <n v="240"/>
    <n v="120"/>
    <n v="103"/>
    <n v="54.545454545454547"/>
    <n v="1471.5454545454545"/>
  </r>
  <r>
    <x v="0"/>
    <x v="10"/>
    <d v="2024-12-02T00:00:00"/>
    <n v="2"/>
    <n v="20000"/>
    <n v="400"/>
    <n v="2400"/>
    <n v="1400"/>
    <n v="162"/>
    <n v="0"/>
    <n v="15638"/>
  </r>
  <r>
    <x v="1"/>
    <x v="10"/>
    <d v="2024-12-02T00:00:00"/>
    <n v="1"/>
    <n v="8000"/>
    <n v="480"/>
    <n v="960"/>
    <n v="560"/>
    <n v="134"/>
    <n v="54.545454545454547"/>
    <n v="5920.545454545455"/>
  </r>
  <r>
    <x v="2"/>
    <x v="10"/>
    <d v="2024-12-02T00:00:00"/>
    <n v="3"/>
    <n v="6500"/>
    <n v="390"/>
    <n v="650"/>
    <n v="455"/>
    <n v="142"/>
    <n v="132.95454545454547"/>
    <n v="4995.954545454545"/>
  </r>
  <r>
    <x v="3"/>
    <x v="10"/>
    <d v="2024-12-02T00:00:00"/>
    <n v="5"/>
    <n v="4000"/>
    <n v="240"/>
    <n v="480"/>
    <n v="400"/>
    <n v="171"/>
    <n v="136.36363636363637"/>
    <n v="2845.3636363636365"/>
  </r>
  <r>
    <x v="4"/>
    <x v="10"/>
    <d v="2024-12-02T00:00:00"/>
    <n v="3"/>
    <n v="3000"/>
    <n v="150"/>
    <n v="330"/>
    <n v="210"/>
    <n v="178"/>
    <n v="61.36363636363636"/>
    <n v="2193.3636363636365"/>
  </r>
  <r>
    <x v="5"/>
    <x v="10"/>
    <d v="2024-12-02T00:00:00"/>
    <n v="1"/>
    <n v="2000"/>
    <n v="100"/>
    <n v="240"/>
    <n v="160"/>
    <n v="151"/>
    <n v="0"/>
    <n v="1349"/>
  </r>
  <r>
    <x v="6"/>
    <x v="10"/>
    <d v="2024-12-02T00:00:00"/>
    <n v="4"/>
    <n v="1000"/>
    <n v="50"/>
    <n v="100"/>
    <n v="100"/>
    <n v="196"/>
    <n v="0"/>
    <n v="554"/>
  </r>
  <r>
    <x v="7"/>
    <x v="10"/>
    <d v="2024-12-02T00:00:00"/>
    <n v="7"/>
    <n v="2000"/>
    <n v="140"/>
    <n v="0"/>
    <n v="0"/>
    <n v="143"/>
    <n v="95.454545454545453"/>
    <n v="1812.4545454545455"/>
  </r>
  <r>
    <x v="0"/>
    <x v="11"/>
    <d v="2025-01-01T00:00:00"/>
    <n v="3"/>
    <n v="20000"/>
    <n v="1000"/>
    <n v="2400"/>
    <n v="1800"/>
    <n v="150"/>
    <n v="0"/>
    <n v="14650"/>
  </r>
  <r>
    <x v="1"/>
    <x v="11"/>
    <d v="2025-01-01T00:00:00"/>
    <n v="2"/>
    <n v="8000"/>
    <n v="560"/>
    <n v="960"/>
    <n v="640"/>
    <n v="179"/>
    <n v="109.09090909090909"/>
    <n v="5770.090909090909"/>
  </r>
  <r>
    <x v="2"/>
    <x v="11"/>
    <d v="2025-01-01T00:00:00"/>
    <n v="7"/>
    <n v="6500"/>
    <n v="390"/>
    <n v="715"/>
    <n v="650"/>
    <n v="183"/>
    <n v="310.22727272727275"/>
    <n v="4872.227272727273"/>
  </r>
  <r>
    <x v="3"/>
    <x v="11"/>
    <d v="2025-01-01T00:00:00"/>
    <n v="7"/>
    <n v="4000"/>
    <n v="240"/>
    <n v="480"/>
    <n v="280"/>
    <n v="133"/>
    <n v="190.90909090909091"/>
    <n v="3057.909090909091"/>
  </r>
  <r>
    <x v="4"/>
    <x v="11"/>
    <d v="2025-01-01T00:00:00"/>
    <n v="3"/>
    <n v="3000"/>
    <n v="180"/>
    <n v="300"/>
    <n v="210"/>
    <n v="126"/>
    <n v="61.36363636363636"/>
    <n v="2245.3636363636365"/>
  </r>
  <r>
    <x v="5"/>
    <x v="11"/>
    <d v="2025-01-01T00:00:00"/>
    <n v="5"/>
    <n v="2000"/>
    <n v="120"/>
    <n v="220"/>
    <n v="200"/>
    <n v="164"/>
    <n v="0"/>
    <n v="1296"/>
  </r>
  <r>
    <x v="6"/>
    <x v="11"/>
    <d v="2025-01-01T00:00:00"/>
    <n v="2"/>
    <n v="1000"/>
    <n v="70"/>
    <n v="120"/>
    <n v="90"/>
    <n v="108"/>
    <n v="0"/>
    <n v="612"/>
  </r>
  <r>
    <x v="7"/>
    <x v="11"/>
    <d v="2025-01-01T00:00:00"/>
    <n v="3"/>
    <n v="2000"/>
    <n v="100"/>
    <n v="220"/>
    <n v="200"/>
    <n v="101"/>
    <n v="40.909090909090907"/>
    <n v="1419.9090909090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30DBE-C637-4ED7-B074-2CF2EC494153}" name="Tabela dinâmica3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3:H12" firstHeaderRow="1" firstDataRow="1" firstDataCol="1"/>
  <pivotFields count="14">
    <pivotField axis="axisRow" showAll="0" sortType="ascending">
      <items count="9">
        <item x="6"/>
        <item x="4"/>
        <item x="7"/>
        <item x="3"/>
        <item x="2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0"/>
  </rowFields>
  <rowItems count="9">
    <i>
      <x v="1"/>
    </i>
    <i>
      <x v="5"/>
    </i>
    <i>
      <x v="7"/>
    </i>
    <i>
      <x v="2"/>
    </i>
    <i>
      <x v="3"/>
    </i>
    <i>
      <x/>
    </i>
    <i>
      <x v="6"/>
    </i>
    <i>
      <x v="4"/>
    </i>
    <i t="grand">
      <x/>
    </i>
  </rowItems>
  <colItems count="1">
    <i/>
  </colItems>
  <dataFields count="1">
    <dataField name="Soma de Quantidade HE" fld="3" baseField="0" baseItem="0" numFmtId="1"/>
  </dataFields>
  <formats count="1">
    <format dxfId="2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7E6A-B79E-43C9-B230-486DE4A3B29F}" name="Tabela dinâmica1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4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ário Líquido" fld="10" baseField="0" baseItem="0" numFmtId="164"/>
  </dataFields>
  <formats count="1">
    <format dxfId="2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32225-7AF3-467A-AC0C-E4A09C5D00C3}" name="Tabela dinâmica7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J25:K38" firstHeaderRow="1" firstDataRow="1" firstDataCol="1"/>
  <pivotFields count="14">
    <pivotField showAll="0">
      <items count="9">
        <item x="6"/>
        <item h="1" x="4"/>
        <item h="1" x="7"/>
        <item h="1" x="3"/>
        <item h="1" x="2"/>
        <item h="1" x="1"/>
        <item h="1" x="5"/>
        <item h="1" x="0"/>
        <item t="default"/>
      </items>
    </pivotField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Descontos" fld="13" baseField="0" baseItem="0" numFmtId="164"/>
  </dataFields>
  <formats count="1">
    <format dxfId="25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146F7-18E0-4AC0-B427-FFDB9855A4F0}" name="Tabela dinâmica5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25:E38" firstHeaderRow="1" firstDataRow="1" firstDataCol="1"/>
  <pivotFields count="14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IR" fld="6" baseField="0" baseItem="0" numFmtId="165"/>
  </dataFields>
  <formats count="1">
    <format dxfId="2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0E76A-834D-452E-9210-BB3ADCA2B765}" name="Tabela dinâmica4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5:B38" firstHeaderRow="1" firstDataRow="1" firstDataCol="1"/>
  <pivotFields count="14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INSS" fld="7" baseField="0" baseItem="0" numFmtId="165"/>
  </dataFields>
  <formats count="1">
    <format dxfId="23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31A60-A3F9-4731-959B-3CEA8C278442}" name="Tabela dinâmica2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3:E12" firstHeaderRow="1" firstDataRow="1" firstDataCol="1"/>
  <pivotFields count="14">
    <pivotField axis="axisRow" showAll="0" sortType="ascending">
      <items count="9">
        <item x="6"/>
        <item x="4"/>
        <item x="7"/>
        <item x="3"/>
        <item x="2"/>
        <item x="1"/>
        <item x="5"/>
        <item x="0"/>
        <item t="default"/>
      </items>
    </pivotField>
    <pivotField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Salário Líquido" fld="10" baseField="0" baseItem="0" numFmtId="164"/>
  </dataFields>
  <formats count="1">
    <format dxfId="22">
      <pivotArea outline="0" collapsedLevelsAreSubtotals="1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7921E-6EFF-4144-BD82-ED60D9C7AEA6}" name="Tabela dinâmica6" cacheId="4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25:H38" firstHeaderRow="1" firstDataRow="1" firstDataCol="1"/>
  <pivotFields count="14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Transporte" fld="5" baseField="0" baseItem="0" numFmtId="165"/>
  </dataFields>
  <formats count="1">
    <format dxfId="2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68C7F-1B33-4967-88C2-ADF587C0E070}" name="Tabela1" displayName="Tabela1" ref="B3:G11" totalsRowShown="0" headerRowDxfId="20" dataDxfId="19">
  <autoFilter ref="B3:G11" xr:uid="{6A068C7F-1B33-4967-88C2-ADF587C0E070}"/>
  <tableColumns count="6">
    <tableColumn id="1" xr3:uid="{8DF1D1B0-2E44-4BFD-8E5A-95C15508A94E}" name="Funcionário" dataDxfId="18"/>
    <tableColumn id="2" xr3:uid="{A6F06264-AB1B-4E12-8B1F-31519563935A}" name="Cargo" dataDxfId="17"/>
    <tableColumn id="3" xr3:uid="{4CE85886-8C38-47DC-A4EF-259424C823AA}" name="Departamento" dataDxfId="16"/>
    <tableColumn id="4" xr3:uid="{A032FCAF-2E27-4F30-800D-203B85057C4D}" name="Salário Bruto" dataDxfId="15"/>
    <tableColumn id="5" xr3:uid="{87D52E97-0C9F-40AB-AB14-F684C806FF18}" name="Regime Contratação" dataDxfId="14"/>
    <tableColumn id="8" xr3:uid="{88A9292B-00B4-4E78-9008-ACEF76829517}" name="Valor Hora Extra" dataDxfId="13">
      <calculatedColumnFormula>IF(Tabela1[[#This Row],[Regime Contratação]]="CLT",Tabela1[[#This Row],[Salário Bruto]]*1.5/220,0)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22022D-8E03-4A4E-BE3F-AD24F94A9912}" name="Tabela2" displayName="Tabela2" ref="B3:L99" totalsRowShown="0" headerRowDxfId="12" dataDxfId="11">
  <autoFilter ref="B3:L99" xr:uid="{AE22022D-8E03-4A4E-BE3F-AD24F94A9912}"/>
  <tableColumns count="11">
    <tableColumn id="1" xr3:uid="{B49AE1AD-A3B7-465A-8999-6193DA86E7E3}" name="Funcionário" dataDxfId="10"/>
    <tableColumn id="2" xr3:uid="{BB4DD30A-363A-4526-8B97-30C750A67C47}" name="Competência" dataDxfId="9"/>
    <tableColumn id="3" xr3:uid="{2F0A0231-92A6-48C7-88D9-4543D5A4FE02}" name="Data pagamento" dataDxfId="8"/>
    <tableColumn id="4" xr3:uid="{BA4F29E5-5C3F-4F9D-8CDD-93D16C56B741}" name="Quantidade HE" dataDxfId="7"/>
    <tableColumn id="5" xr3:uid="{94F339BF-F002-44E3-99FC-7BA9FCD0C693}" name="Salário Bruto" dataDxfId="6">
      <calculatedColumnFormula>VLOOKUP(Tabela2[[#This Row],[Funcionário]],Funcionários!B:G,4,0)</calculatedColumnFormula>
    </tableColumn>
    <tableColumn id="6" xr3:uid="{421C6296-3E0F-41EF-9B25-CF29EEDAF97A}" name="Desconto Transporte" dataDxfId="5"/>
    <tableColumn id="7" xr3:uid="{9C905090-A935-4761-B234-598640700873}" name="Desconto IR" dataDxfId="4"/>
    <tableColumn id="8" xr3:uid="{B0772984-00E9-4A36-A468-AEF22B2948EB}" name="Desconto INSS" dataDxfId="3"/>
    <tableColumn id="9" xr3:uid="{AD36DFDA-677C-4BD2-ABB1-67C0810155FA}" name="Outros Descontos" dataDxfId="2"/>
    <tableColumn id="10" xr3:uid="{5F74C961-53D8-4D14-90FB-8559A36633CD}" name="Valor Hora Extra" dataDxfId="1">
      <calculatedColumnFormula>Tabela2[[#This Row],[Quantidade HE]]*VLOOKUP(Tabela2[[#This Row],[Funcionário]],Funcionários!B:G,6,0)</calculatedColumnFormula>
    </tableColumn>
    <tableColumn id="11" xr3:uid="{D34A0286-44EA-43C5-ACCC-6CFF1430CA7C}" name="Salário Líquido" dataDxfId="0">
      <calculatedColumnFormula>Tabela2[[#This Row],[Salário Bruto]]-SUM(Tabela2[[#This Row],[Desconto Transporte]:[Outros Descontos]])+Tabela2[[#This Row],[Valor Hora Extra]]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AEEE-0B6A-4997-B1F0-EFA537A1EB5F}">
  <dimension ref="B1:G872"/>
  <sheetViews>
    <sheetView showGridLines="0" zoomScale="130" zoomScaleNormal="130" workbookViewId="0">
      <selection activeCell="G8" sqref="G8"/>
    </sheetView>
  </sheetViews>
  <sheetFormatPr defaultRowHeight="14.45"/>
  <cols>
    <col min="1" max="1" width="1.7109375" customWidth="1"/>
    <col min="2" max="2" width="32.28515625" customWidth="1"/>
    <col min="3" max="3" width="21" customWidth="1"/>
    <col min="4" max="4" width="22.7109375" customWidth="1"/>
    <col min="5" max="5" width="20.5703125" customWidth="1"/>
    <col min="6" max="6" width="26.7109375" customWidth="1"/>
    <col min="7" max="7" width="22.7109375" customWidth="1"/>
  </cols>
  <sheetData>
    <row r="1" spans="2:7" ht="40.15" customHeight="1">
      <c r="B1" s="15" t="s">
        <v>0</v>
      </c>
      <c r="C1" s="15"/>
      <c r="D1" s="15"/>
      <c r="E1" s="15"/>
      <c r="F1" s="15"/>
      <c r="G1" s="15"/>
    </row>
    <row r="2" spans="2:7" ht="10.15" customHeight="1">
      <c r="C2" s="10"/>
    </row>
    <row r="3" spans="2:7" s="3" customFormat="1" ht="34.9" customHeight="1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2:7" ht="16.899999999999999">
      <c r="B4" s="4" t="s">
        <v>7</v>
      </c>
      <c r="C4" s="4" t="s">
        <v>8</v>
      </c>
      <c r="D4" s="4" t="s">
        <v>9</v>
      </c>
      <c r="E4" s="5">
        <v>20000</v>
      </c>
      <c r="F4" s="4" t="s">
        <v>10</v>
      </c>
      <c r="G4" s="5">
        <f>IF(Tabela1[[#This Row],[Regime Contratação]]="CLT",Tabela1[[#This Row],[Salário Bruto]]*1.5/220,0)</f>
        <v>0</v>
      </c>
    </row>
    <row r="5" spans="2:7" ht="16.899999999999999">
      <c r="B5" s="4" t="s">
        <v>11</v>
      </c>
      <c r="C5" s="4" t="s">
        <v>12</v>
      </c>
      <c r="D5" s="4" t="s">
        <v>13</v>
      </c>
      <c r="E5" s="5">
        <v>8000</v>
      </c>
      <c r="F5" s="4" t="s">
        <v>14</v>
      </c>
      <c r="G5" s="5">
        <f>IF(Tabela1[[#This Row],[Regime Contratação]]="CLT",Tabela1[[#This Row],[Salário Bruto]]*1.5/220,0)</f>
        <v>54.545454545454547</v>
      </c>
    </row>
    <row r="6" spans="2:7" ht="16.899999999999999">
      <c r="B6" s="4" t="s">
        <v>15</v>
      </c>
      <c r="C6" s="4" t="s">
        <v>16</v>
      </c>
      <c r="D6" s="4" t="s">
        <v>17</v>
      </c>
      <c r="E6" s="5">
        <v>6500</v>
      </c>
      <c r="F6" s="4" t="s">
        <v>14</v>
      </c>
      <c r="G6" s="5">
        <f>IF(Tabela1[[#This Row],[Regime Contratação]]="CLT",Tabela1[[#This Row],[Salário Bruto]]*1.5/220,0)</f>
        <v>44.31818181818182</v>
      </c>
    </row>
    <row r="7" spans="2:7" ht="16.899999999999999">
      <c r="B7" s="4" t="s">
        <v>18</v>
      </c>
      <c r="C7" s="4" t="s">
        <v>19</v>
      </c>
      <c r="D7" s="4" t="s">
        <v>20</v>
      </c>
      <c r="E7" s="5">
        <v>4000</v>
      </c>
      <c r="F7" s="4" t="s">
        <v>14</v>
      </c>
      <c r="G7" s="5">
        <f>IF(Tabela1[[#This Row],[Regime Contratação]]="CLT",Tabela1[[#This Row],[Salário Bruto]]*1.5/220,0)</f>
        <v>27.272727272727273</v>
      </c>
    </row>
    <row r="8" spans="2:7" ht="16.899999999999999">
      <c r="B8" s="4" t="s">
        <v>21</v>
      </c>
      <c r="C8" s="4" t="s">
        <v>22</v>
      </c>
      <c r="D8" s="4" t="s">
        <v>23</v>
      </c>
      <c r="E8" s="5">
        <v>3000</v>
      </c>
      <c r="F8" s="4" t="s">
        <v>14</v>
      </c>
      <c r="G8" s="5">
        <f>IF(Tabela1[[#This Row],[Regime Contratação]]="CLT",Tabela1[[#This Row],[Salário Bruto]]*1.5/220,0)</f>
        <v>20.454545454545453</v>
      </c>
    </row>
    <row r="9" spans="2:7" ht="16.899999999999999">
      <c r="B9" s="4" t="s">
        <v>24</v>
      </c>
      <c r="C9" s="4" t="s">
        <v>25</v>
      </c>
      <c r="D9" s="4" t="s">
        <v>9</v>
      </c>
      <c r="E9" s="5">
        <v>2000</v>
      </c>
      <c r="F9" s="4" t="s">
        <v>26</v>
      </c>
      <c r="G9" s="5">
        <f>IF(Tabela1[[#This Row],[Regime Contratação]]="CLT",Tabela1[[#This Row],[Salário Bruto]]*1.5/220,0)</f>
        <v>0</v>
      </c>
    </row>
    <row r="10" spans="2:7" ht="16.899999999999999">
      <c r="B10" s="4" t="s">
        <v>27</v>
      </c>
      <c r="C10" s="4" t="s">
        <v>28</v>
      </c>
      <c r="D10" s="4" t="s">
        <v>13</v>
      </c>
      <c r="E10" s="5">
        <v>1000</v>
      </c>
      <c r="F10" s="4" t="s">
        <v>28</v>
      </c>
      <c r="G10" s="5">
        <f>IF(Tabela1[[#This Row],[Regime Contratação]]="CLT",Tabela1[[#This Row],[Salário Bruto]]*1.5/220,0)</f>
        <v>0</v>
      </c>
    </row>
    <row r="11" spans="2:7" ht="16.899999999999999">
      <c r="B11" s="4" t="s">
        <v>29</v>
      </c>
      <c r="C11" s="4" t="s">
        <v>19</v>
      </c>
      <c r="D11" s="4" t="s">
        <v>17</v>
      </c>
      <c r="E11" s="5">
        <v>2000</v>
      </c>
      <c r="F11" s="4" t="s">
        <v>14</v>
      </c>
      <c r="G11" s="5">
        <f>IF(Tabela1[[#This Row],[Regime Contratação]]="CLT",Tabela1[[#This Row],[Salário Bruto]]*1.5/220,0)</f>
        <v>13.636363636363637</v>
      </c>
    </row>
    <row r="12" spans="2:7">
      <c r="B12" s="2"/>
      <c r="C12" s="2"/>
      <c r="D12" s="2"/>
      <c r="E12" s="2"/>
      <c r="F12" s="2"/>
      <c r="G12" s="2"/>
    </row>
    <row r="13" spans="2:7">
      <c r="B13" s="2"/>
      <c r="C13" s="2"/>
      <c r="D13" s="2"/>
      <c r="E13" s="2"/>
      <c r="F13" s="2"/>
      <c r="G13" s="2"/>
    </row>
    <row r="14" spans="2:7">
      <c r="B14" s="2"/>
      <c r="C14" s="2"/>
      <c r="D14" s="2"/>
      <c r="E14" s="2"/>
      <c r="F14" s="7"/>
      <c r="G14" s="2"/>
    </row>
    <row r="15" spans="2:7">
      <c r="B15" s="2"/>
      <c r="C15" s="2"/>
      <c r="D15" s="2"/>
      <c r="E15" s="2"/>
      <c r="F15" s="2"/>
      <c r="G15" s="2"/>
    </row>
    <row r="16" spans="2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8" spans="2:7">
      <c r="B18" s="2"/>
      <c r="C18" s="2"/>
      <c r="D18" s="2"/>
      <c r="E18" s="2"/>
      <c r="F18" s="2"/>
      <c r="G18" s="2"/>
    </row>
    <row r="19" spans="2:7">
      <c r="B19" s="2"/>
      <c r="C19" s="2"/>
      <c r="D19" s="2"/>
      <c r="E19" s="2"/>
      <c r="F19" s="2"/>
      <c r="G19" s="2"/>
    </row>
    <row r="20" spans="2:7">
      <c r="B20" s="2"/>
      <c r="C20" s="2"/>
      <c r="D20" s="2"/>
      <c r="E20" s="2"/>
      <c r="F20" s="2"/>
      <c r="G20" s="2"/>
    </row>
    <row r="21" spans="2:7">
      <c r="B21" s="2"/>
      <c r="C21" s="2"/>
      <c r="D21" s="2"/>
      <c r="E21" s="2"/>
      <c r="F21" s="2"/>
      <c r="G21" s="2"/>
    </row>
    <row r="22" spans="2:7">
      <c r="B22" s="2"/>
      <c r="C22" s="2"/>
      <c r="D22" s="2"/>
      <c r="E22" s="2"/>
      <c r="F22" s="2"/>
      <c r="G22" s="2"/>
    </row>
    <row r="23" spans="2:7">
      <c r="B23" s="2"/>
      <c r="C23" s="2"/>
      <c r="D23" s="2"/>
      <c r="E23" s="2"/>
      <c r="F23" s="2"/>
      <c r="G23" s="2"/>
    </row>
    <row r="24" spans="2:7">
      <c r="B24" s="2"/>
      <c r="C24" s="2"/>
      <c r="D24" s="2"/>
      <c r="E24" s="2"/>
      <c r="F24" s="2"/>
      <c r="G24" s="2"/>
    </row>
    <row r="25" spans="2:7">
      <c r="B25" s="2"/>
      <c r="C25" s="2"/>
      <c r="D25" s="2"/>
      <c r="E25" s="2"/>
      <c r="F25" s="2"/>
      <c r="G25" s="2"/>
    </row>
    <row r="26" spans="2:7">
      <c r="B26" s="2"/>
      <c r="C26" s="2"/>
      <c r="D26" s="2"/>
      <c r="E26" s="2"/>
      <c r="F26" s="2"/>
      <c r="G26" s="2"/>
    </row>
    <row r="27" spans="2:7">
      <c r="B27" s="2"/>
      <c r="C27" s="2"/>
      <c r="D27" s="2"/>
      <c r="E27" s="2"/>
      <c r="F27" s="2"/>
      <c r="G27" s="2"/>
    </row>
    <row r="28" spans="2:7">
      <c r="B28" s="2"/>
      <c r="C28" s="2"/>
      <c r="D28" s="2"/>
      <c r="E28" s="2"/>
      <c r="F28" s="2"/>
      <c r="G28" s="2"/>
    </row>
    <row r="29" spans="2:7">
      <c r="B29" s="2"/>
      <c r="C29" s="2"/>
      <c r="D29" s="2"/>
      <c r="E29" s="2"/>
      <c r="F29" s="2"/>
      <c r="G29" s="2"/>
    </row>
    <row r="30" spans="2:7">
      <c r="B30" s="2"/>
      <c r="C30" s="2"/>
      <c r="D30" s="2"/>
      <c r="E30" s="2"/>
      <c r="F30" s="2"/>
      <c r="G30" s="2"/>
    </row>
    <row r="31" spans="2:7">
      <c r="B31" s="2"/>
      <c r="C31" s="2"/>
      <c r="D31" s="2"/>
      <c r="E31" s="2"/>
      <c r="F31" s="2"/>
      <c r="G31" s="2"/>
    </row>
    <row r="32" spans="2:7">
      <c r="B32" s="2"/>
      <c r="C32" s="2"/>
      <c r="D32" s="2"/>
      <c r="E32" s="2"/>
      <c r="F32" s="2"/>
      <c r="G32" s="2"/>
    </row>
    <row r="33" spans="2:7">
      <c r="B33" s="2"/>
      <c r="C33" s="2"/>
      <c r="D33" s="2"/>
      <c r="E33" s="2"/>
      <c r="F33" s="2"/>
      <c r="G33" s="2"/>
    </row>
    <row r="34" spans="2:7">
      <c r="B34" s="2"/>
      <c r="C34" s="2"/>
      <c r="D34" s="2"/>
      <c r="E34" s="2"/>
      <c r="F34" s="2"/>
      <c r="G34" s="2"/>
    </row>
    <row r="35" spans="2:7">
      <c r="B35" s="2"/>
      <c r="C35" s="2"/>
      <c r="D35" s="2"/>
      <c r="E35" s="2"/>
      <c r="F35" s="2"/>
      <c r="G35" s="2"/>
    </row>
    <row r="36" spans="2:7">
      <c r="B36" s="2"/>
      <c r="C36" s="2"/>
      <c r="D36" s="2"/>
      <c r="E36" s="2"/>
      <c r="F36" s="2"/>
      <c r="G36" s="2"/>
    </row>
    <row r="37" spans="2:7">
      <c r="B37" s="2"/>
      <c r="C37" s="2"/>
      <c r="D37" s="2"/>
      <c r="E37" s="2"/>
      <c r="F37" s="2"/>
      <c r="G37" s="2"/>
    </row>
    <row r="38" spans="2:7">
      <c r="B38" s="2"/>
      <c r="C38" s="2"/>
      <c r="D38" s="2"/>
      <c r="E38" s="2"/>
      <c r="F38" s="2"/>
      <c r="G38" s="2"/>
    </row>
    <row r="39" spans="2:7">
      <c r="B39" s="2"/>
      <c r="C39" s="2"/>
      <c r="D39" s="2"/>
      <c r="E39" s="2"/>
      <c r="F39" s="2"/>
      <c r="G39" s="2"/>
    </row>
    <row r="40" spans="2:7">
      <c r="B40" s="2"/>
      <c r="C40" s="2"/>
      <c r="D40" s="2"/>
      <c r="E40" s="2"/>
      <c r="F40" s="2"/>
      <c r="G40" s="2"/>
    </row>
    <row r="41" spans="2:7">
      <c r="B41" s="2"/>
      <c r="C41" s="2"/>
      <c r="D41" s="2"/>
      <c r="E41" s="2"/>
      <c r="F41" s="2"/>
      <c r="G41" s="2"/>
    </row>
    <row r="42" spans="2:7">
      <c r="B42" s="2"/>
      <c r="C42" s="2"/>
      <c r="D42" s="2"/>
      <c r="E42" s="2"/>
      <c r="F42" s="2"/>
      <c r="G42" s="2"/>
    </row>
    <row r="43" spans="2:7">
      <c r="B43" s="2"/>
      <c r="C43" s="2"/>
      <c r="D43" s="2"/>
      <c r="E43" s="2"/>
      <c r="F43" s="2"/>
      <c r="G43" s="2"/>
    </row>
    <row r="44" spans="2:7">
      <c r="B44" s="2"/>
      <c r="C44" s="2"/>
      <c r="D44" s="2"/>
      <c r="E44" s="2"/>
      <c r="F44" s="2"/>
      <c r="G44" s="2"/>
    </row>
    <row r="45" spans="2:7">
      <c r="B45" s="2"/>
      <c r="C45" s="2"/>
      <c r="D45" s="2"/>
      <c r="E45" s="2"/>
      <c r="F45" s="2"/>
      <c r="G45" s="2"/>
    </row>
    <row r="46" spans="2:7">
      <c r="B46" s="2"/>
      <c r="C46" s="2"/>
      <c r="D46" s="2"/>
      <c r="E46" s="2"/>
      <c r="F46" s="2"/>
      <c r="G46" s="2"/>
    </row>
    <row r="47" spans="2:7">
      <c r="B47" s="2"/>
      <c r="C47" s="2"/>
      <c r="D47" s="2"/>
      <c r="E47" s="2"/>
      <c r="F47" s="2"/>
      <c r="G47" s="2"/>
    </row>
    <row r="48" spans="2:7">
      <c r="B48" s="2"/>
      <c r="C48" s="2"/>
      <c r="D48" s="2"/>
      <c r="E48" s="2"/>
      <c r="F48" s="2"/>
      <c r="G48" s="2"/>
    </row>
    <row r="49" spans="2:7">
      <c r="B49" s="2"/>
      <c r="C49" s="2"/>
      <c r="D49" s="2"/>
      <c r="E49" s="2"/>
      <c r="F49" s="2"/>
      <c r="G49" s="2"/>
    </row>
    <row r="50" spans="2:7">
      <c r="B50" s="2"/>
      <c r="C50" s="2"/>
      <c r="D50" s="2"/>
      <c r="E50" s="2"/>
      <c r="F50" s="2"/>
      <c r="G50" s="2"/>
    </row>
    <row r="51" spans="2:7">
      <c r="B51" s="2"/>
      <c r="C51" s="2"/>
      <c r="D51" s="2"/>
      <c r="E51" s="2"/>
      <c r="F51" s="2"/>
      <c r="G51" s="2"/>
    </row>
    <row r="52" spans="2:7">
      <c r="B52" s="2"/>
      <c r="C52" s="2"/>
      <c r="D52" s="2"/>
      <c r="E52" s="2"/>
      <c r="F52" s="2"/>
      <c r="G52" s="2"/>
    </row>
    <row r="53" spans="2:7">
      <c r="B53" s="2"/>
      <c r="C53" s="2"/>
      <c r="D53" s="2"/>
      <c r="E53" s="2"/>
      <c r="F53" s="2"/>
      <c r="G53" s="2"/>
    </row>
    <row r="54" spans="2:7">
      <c r="B54" s="2"/>
      <c r="C54" s="2"/>
      <c r="D54" s="2"/>
      <c r="E54" s="2"/>
      <c r="F54" s="2"/>
      <c r="G54" s="2"/>
    </row>
    <row r="55" spans="2:7">
      <c r="B55" s="2"/>
      <c r="C55" s="2"/>
      <c r="D55" s="2"/>
      <c r="E55" s="2"/>
      <c r="F55" s="2"/>
      <c r="G55" s="2"/>
    </row>
    <row r="56" spans="2:7">
      <c r="B56" s="2"/>
      <c r="C56" s="2"/>
      <c r="D56" s="2"/>
      <c r="E56" s="2"/>
      <c r="F56" s="2"/>
      <c r="G56" s="2"/>
    </row>
    <row r="57" spans="2:7">
      <c r="B57" s="2"/>
      <c r="C57" s="2"/>
      <c r="D57" s="2"/>
      <c r="E57" s="2"/>
      <c r="F57" s="2"/>
      <c r="G57" s="2"/>
    </row>
    <row r="58" spans="2:7">
      <c r="B58" s="2"/>
      <c r="C58" s="2"/>
      <c r="D58" s="2"/>
      <c r="E58" s="2"/>
      <c r="F58" s="2"/>
      <c r="G58" s="2"/>
    </row>
    <row r="59" spans="2:7">
      <c r="B59" s="2"/>
      <c r="C59" s="2"/>
      <c r="D59" s="2"/>
      <c r="E59" s="2"/>
      <c r="F59" s="2"/>
      <c r="G59" s="2"/>
    </row>
    <row r="60" spans="2:7">
      <c r="B60" s="2"/>
      <c r="C60" s="2"/>
      <c r="D60" s="2"/>
      <c r="E60" s="2"/>
      <c r="F60" s="2"/>
      <c r="G60" s="2"/>
    </row>
    <row r="61" spans="2:7">
      <c r="B61" s="2"/>
      <c r="C61" s="2"/>
      <c r="D61" s="2"/>
      <c r="E61" s="2"/>
      <c r="F61" s="2"/>
      <c r="G61" s="2"/>
    </row>
    <row r="62" spans="2:7">
      <c r="B62" s="2"/>
      <c r="C62" s="2"/>
      <c r="D62" s="2"/>
      <c r="E62" s="2"/>
      <c r="F62" s="2"/>
      <c r="G62" s="2"/>
    </row>
    <row r="63" spans="2:7">
      <c r="B63" s="2"/>
      <c r="C63" s="2"/>
      <c r="D63" s="2"/>
      <c r="E63" s="2"/>
      <c r="F63" s="2"/>
      <c r="G63" s="2"/>
    </row>
    <row r="64" spans="2:7">
      <c r="B64" s="2"/>
      <c r="C64" s="2"/>
      <c r="D64" s="2"/>
      <c r="E64" s="2"/>
      <c r="F64" s="2"/>
      <c r="G64" s="2"/>
    </row>
    <row r="65" spans="2:7">
      <c r="B65" s="2"/>
      <c r="C65" s="2"/>
      <c r="D65" s="2"/>
      <c r="E65" s="2"/>
      <c r="F65" s="2"/>
      <c r="G65" s="2"/>
    </row>
    <row r="66" spans="2:7">
      <c r="B66" s="2"/>
      <c r="C66" s="2"/>
      <c r="D66" s="2"/>
      <c r="E66" s="2"/>
      <c r="F66" s="2"/>
      <c r="G66" s="2"/>
    </row>
    <row r="67" spans="2:7">
      <c r="B67" s="2"/>
      <c r="C67" s="2"/>
      <c r="D67" s="2"/>
      <c r="E67" s="2"/>
      <c r="F67" s="2"/>
      <c r="G67" s="2"/>
    </row>
    <row r="68" spans="2:7">
      <c r="B68" s="2"/>
      <c r="C68" s="2"/>
      <c r="D68" s="2"/>
      <c r="E68" s="2"/>
      <c r="F68" s="2"/>
      <c r="G68" s="2"/>
    </row>
    <row r="69" spans="2:7">
      <c r="B69" s="2"/>
      <c r="C69" s="2"/>
      <c r="D69" s="2"/>
      <c r="E69" s="2"/>
      <c r="F69" s="2"/>
      <c r="G69" s="2"/>
    </row>
    <row r="70" spans="2:7">
      <c r="B70" s="2"/>
      <c r="C70" s="2"/>
      <c r="D70" s="2"/>
      <c r="E70" s="2"/>
      <c r="F70" s="2"/>
      <c r="G70" s="2"/>
    </row>
    <row r="71" spans="2:7">
      <c r="B71" s="2"/>
      <c r="C71" s="2"/>
      <c r="D71" s="2"/>
      <c r="E71" s="2"/>
      <c r="F71" s="2"/>
      <c r="G71" s="2"/>
    </row>
    <row r="72" spans="2:7">
      <c r="B72" s="2"/>
      <c r="C72" s="2"/>
      <c r="D72" s="2"/>
      <c r="E72" s="2"/>
      <c r="F72" s="2"/>
      <c r="G72" s="2"/>
    </row>
    <row r="73" spans="2:7">
      <c r="B73" s="2"/>
      <c r="C73" s="2"/>
      <c r="D73" s="2"/>
      <c r="E73" s="2"/>
      <c r="F73" s="2"/>
      <c r="G73" s="2"/>
    </row>
    <row r="74" spans="2:7">
      <c r="B74" s="2"/>
      <c r="C74" s="2"/>
      <c r="D74" s="2"/>
      <c r="E74" s="2"/>
      <c r="F74" s="2"/>
      <c r="G74" s="2"/>
    </row>
    <row r="75" spans="2:7">
      <c r="B75" s="2"/>
      <c r="C75" s="2"/>
      <c r="D75" s="2"/>
      <c r="E75" s="2"/>
      <c r="F75" s="2"/>
      <c r="G75" s="2"/>
    </row>
    <row r="76" spans="2:7">
      <c r="B76" s="2"/>
      <c r="C76" s="2"/>
      <c r="D76" s="2"/>
      <c r="E76" s="2"/>
      <c r="F76" s="2"/>
      <c r="G76" s="2"/>
    </row>
    <row r="77" spans="2:7">
      <c r="B77" s="2"/>
      <c r="C77" s="2"/>
      <c r="D77" s="2"/>
      <c r="E77" s="2"/>
      <c r="F77" s="2"/>
      <c r="G77" s="2"/>
    </row>
    <row r="78" spans="2:7">
      <c r="B78" s="2"/>
      <c r="C78" s="2"/>
      <c r="D78" s="2"/>
      <c r="E78" s="2"/>
      <c r="F78" s="2"/>
      <c r="G78" s="2"/>
    </row>
    <row r="79" spans="2:7">
      <c r="B79" s="2"/>
      <c r="C79" s="2"/>
      <c r="D79" s="2"/>
      <c r="E79" s="2"/>
      <c r="F79" s="2"/>
      <c r="G79" s="2"/>
    </row>
    <row r="80" spans="2:7">
      <c r="B80" s="2"/>
      <c r="C80" s="2"/>
      <c r="D80" s="2"/>
      <c r="E80" s="2"/>
      <c r="F80" s="2"/>
      <c r="G80" s="2"/>
    </row>
    <row r="81" spans="2:7">
      <c r="B81" s="2"/>
      <c r="C81" s="2"/>
      <c r="D81" s="2"/>
      <c r="E81" s="2"/>
      <c r="F81" s="2"/>
      <c r="G81" s="2"/>
    </row>
    <row r="82" spans="2:7">
      <c r="B82" s="2"/>
      <c r="C82" s="2"/>
      <c r="D82" s="2"/>
      <c r="E82" s="2"/>
      <c r="F82" s="2"/>
      <c r="G82" s="2"/>
    </row>
    <row r="83" spans="2:7">
      <c r="B83" s="2"/>
      <c r="C83" s="2"/>
      <c r="D83" s="2"/>
      <c r="E83" s="2"/>
      <c r="F83" s="2"/>
      <c r="G83" s="2"/>
    </row>
    <row r="84" spans="2:7">
      <c r="B84" s="2"/>
      <c r="C84" s="2"/>
      <c r="D84" s="2"/>
      <c r="E84" s="2"/>
      <c r="F84" s="2"/>
      <c r="G84" s="2"/>
    </row>
    <row r="85" spans="2:7">
      <c r="B85" s="2"/>
      <c r="C85" s="2"/>
      <c r="D85" s="2"/>
      <c r="E85" s="2"/>
      <c r="F85" s="2"/>
      <c r="G85" s="2"/>
    </row>
    <row r="86" spans="2:7">
      <c r="B86" s="2"/>
      <c r="C86" s="2"/>
      <c r="D86" s="2"/>
      <c r="E86" s="2"/>
      <c r="F86" s="2"/>
      <c r="G86" s="2"/>
    </row>
    <row r="87" spans="2:7">
      <c r="B87" s="2"/>
      <c r="C87" s="2"/>
      <c r="D87" s="2"/>
      <c r="E87" s="2"/>
      <c r="F87" s="2"/>
      <c r="G87" s="2"/>
    </row>
    <row r="88" spans="2:7">
      <c r="B88" s="2"/>
      <c r="C88" s="2"/>
      <c r="D88" s="2"/>
      <c r="E88" s="2"/>
      <c r="F88" s="2"/>
      <c r="G88" s="2"/>
    </row>
    <row r="89" spans="2:7">
      <c r="B89" s="2"/>
      <c r="C89" s="2"/>
      <c r="D89" s="2"/>
      <c r="E89" s="2"/>
      <c r="F89" s="2"/>
      <c r="G89" s="2"/>
    </row>
    <row r="90" spans="2:7">
      <c r="B90" s="2"/>
      <c r="C90" s="2"/>
      <c r="D90" s="2"/>
      <c r="E90" s="2"/>
      <c r="F90" s="2"/>
      <c r="G90" s="2"/>
    </row>
    <row r="91" spans="2:7">
      <c r="B91" s="2"/>
      <c r="C91" s="2"/>
      <c r="D91" s="2"/>
      <c r="E91" s="2"/>
      <c r="F91" s="2"/>
      <c r="G91" s="2"/>
    </row>
    <row r="92" spans="2:7">
      <c r="B92" s="2"/>
      <c r="C92" s="2"/>
      <c r="D92" s="2"/>
      <c r="E92" s="2"/>
      <c r="F92" s="2"/>
      <c r="G92" s="2"/>
    </row>
    <row r="93" spans="2:7">
      <c r="B93" s="2"/>
      <c r="C93" s="2"/>
      <c r="D93" s="2"/>
      <c r="E93" s="2"/>
      <c r="F93" s="2"/>
      <c r="G93" s="2"/>
    </row>
    <row r="94" spans="2:7">
      <c r="B94" s="2"/>
      <c r="C94" s="2"/>
      <c r="D94" s="2"/>
      <c r="E94" s="2"/>
      <c r="F94" s="2"/>
      <c r="G94" s="2"/>
    </row>
    <row r="95" spans="2:7">
      <c r="B95" s="2"/>
      <c r="C95" s="2"/>
      <c r="D95" s="2"/>
      <c r="E95" s="2"/>
      <c r="F95" s="2"/>
      <c r="G95" s="2"/>
    </row>
    <row r="96" spans="2:7">
      <c r="B96" s="2"/>
      <c r="C96" s="2"/>
      <c r="D96" s="2"/>
      <c r="E96" s="2"/>
      <c r="F96" s="2"/>
      <c r="G96" s="2"/>
    </row>
    <row r="97" spans="2:7">
      <c r="B97" s="2"/>
      <c r="C97" s="2"/>
      <c r="D97" s="2"/>
      <c r="E97" s="2"/>
      <c r="F97" s="2"/>
      <c r="G97" s="2"/>
    </row>
    <row r="98" spans="2:7">
      <c r="B98" s="2"/>
      <c r="C98" s="2"/>
      <c r="D98" s="2"/>
      <c r="E98" s="2"/>
      <c r="F98" s="2"/>
      <c r="G98" s="2"/>
    </row>
    <row r="99" spans="2:7">
      <c r="B99" s="2"/>
      <c r="C99" s="2"/>
      <c r="D99" s="2"/>
      <c r="E99" s="2"/>
      <c r="F99" s="2"/>
      <c r="G99" s="2"/>
    </row>
    <row r="100" spans="2:7">
      <c r="B100" s="2"/>
      <c r="C100" s="2"/>
      <c r="D100" s="2"/>
      <c r="E100" s="2"/>
      <c r="F100" s="2"/>
      <c r="G100" s="2"/>
    </row>
    <row r="101" spans="2:7">
      <c r="B101" s="2"/>
      <c r="C101" s="2"/>
      <c r="D101" s="2"/>
      <c r="E101" s="2"/>
      <c r="F101" s="2"/>
      <c r="G101" s="2"/>
    </row>
    <row r="102" spans="2:7">
      <c r="B102" s="2"/>
      <c r="C102" s="2"/>
      <c r="D102" s="2"/>
      <c r="E102" s="2"/>
      <c r="F102" s="2"/>
      <c r="G102" s="2"/>
    </row>
    <row r="103" spans="2:7">
      <c r="B103" s="2"/>
      <c r="C103" s="2"/>
      <c r="D103" s="2"/>
      <c r="E103" s="2"/>
      <c r="F103" s="2"/>
      <c r="G103" s="2"/>
    </row>
    <row r="104" spans="2:7">
      <c r="B104" s="2"/>
      <c r="C104" s="2"/>
      <c r="D104" s="2"/>
      <c r="E104" s="2"/>
      <c r="F104" s="2"/>
      <c r="G104" s="2"/>
    </row>
    <row r="105" spans="2:7">
      <c r="B105" s="2"/>
      <c r="C105" s="2"/>
      <c r="D105" s="2"/>
      <c r="E105" s="2"/>
      <c r="F105" s="2"/>
      <c r="G105" s="2"/>
    </row>
    <row r="106" spans="2:7">
      <c r="B106" s="2"/>
      <c r="C106" s="2"/>
      <c r="D106" s="2"/>
      <c r="E106" s="2"/>
      <c r="F106" s="2"/>
      <c r="G106" s="2"/>
    </row>
    <row r="107" spans="2:7">
      <c r="B107" s="2"/>
      <c r="C107" s="2"/>
      <c r="D107" s="2"/>
      <c r="E107" s="2"/>
      <c r="F107" s="2"/>
      <c r="G107" s="2"/>
    </row>
    <row r="108" spans="2:7">
      <c r="B108" s="2"/>
      <c r="C108" s="2"/>
      <c r="D108" s="2"/>
      <c r="E108" s="2"/>
      <c r="F108" s="2"/>
      <c r="G108" s="2"/>
    </row>
    <row r="109" spans="2:7">
      <c r="B109" s="2"/>
      <c r="C109" s="2"/>
      <c r="D109" s="2"/>
      <c r="E109" s="2"/>
      <c r="F109" s="2"/>
      <c r="G109" s="2"/>
    </row>
    <row r="110" spans="2:7">
      <c r="B110" s="2"/>
      <c r="C110" s="2"/>
      <c r="D110" s="2"/>
      <c r="E110" s="2"/>
      <c r="F110" s="2"/>
      <c r="G110" s="2"/>
    </row>
    <row r="111" spans="2:7">
      <c r="B111" s="2"/>
      <c r="C111" s="2"/>
      <c r="D111" s="2"/>
      <c r="E111" s="2"/>
      <c r="F111" s="2"/>
      <c r="G111" s="2"/>
    </row>
    <row r="112" spans="2:7">
      <c r="B112" s="2"/>
      <c r="C112" s="2"/>
      <c r="D112" s="2"/>
      <c r="E112" s="2"/>
      <c r="F112" s="2"/>
      <c r="G112" s="2"/>
    </row>
    <row r="113" spans="2:7">
      <c r="B113" s="2"/>
      <c r="C113" s="2"/>
      <c r="D113" s="2"/>
      <c r="E113" s="2"/>
      <c r="F113" s="2"/>
      <c r="G113" s="2"/>
    </row>
    <row r="114" spans="2:7">
      <c r="B114" s="2"/>
      <c r="C114" s="2"/>
      <c r="D114" s="2"/>
      <c r="E114" s="2"/>
      <c r="F114" s="2"/>
      <c r="G114" s="2"/>
    </row>
    <row r="115" spans="2:7">
      <c r="B115" s="2"/>
      <c r="C115" s="2"/>
      <c r="D115" s="2"/>
      <c r="E115" s="2"/>
      <c r="F115" s="2"/>
      <c r="G115" s="2"/>
    </row>
    <row r="116" spans="2:7">
      <c r="B116" s="2"/>
      <c r="C116" s="2"/>
      <c r="D116" s="2"/>
      <c r="E116" s="2"/>
      <c r="F116" s="2"/>
      <c r="G116" s="2"/>
    </row>
    <row r="117" spans="2:7">
      <c r="B117" s="2"/>
      <c r="C117" s="2"/>
      <c r="D117" s="2"/>
      <c r="E117" s="2"/>
      <c r="F117" s="2"/>
      <c r="G117" s="2"/>
    </row>
    <row r="118" spans="2:7">
      <c r="B118" s="2"/>
      <c r="C118" s="2"/>
      <c r="D118" s="2"/>
      <c r="E118" s="2"/>
      <c r="F118" s="2"/>
      <c r="G118" s="2"/>
    </row>
    <row r="119" spans="2:7">
      <c r="B119" s="2"/>
      <c r="C119" s="2"/>
      <c r="D119" s="2"/>
      <c r="E119" s="2"/>
      <c r="F119" s="2"/>
      <c r="G119" s="2"/>
    </row>
    <row r="120" spans="2:7">
      <c r="B120" s="2"/>
      <c r="C120" s="2"/>
      <c r="D120" s="2"/>
      <c r="E120" s="2"/>
      <c r="F120" s="2"/>
      <c r="G120" s="2"/>
    </row>
    <row r="121" spans="2:7">
      <c r="B121" s="2"/>
      <c r="C121" s="2"/>
      <c r="D121" s="2"/>
      <c r="E121" s="2"/>
      <c r="F121" s="2"/>
      <c r="G121" s="2"/>
    </row>
    <row r="122" spans="2:7">
      <c r="B122" s="2"/>
      <c r="C122" s="2"/>
      <c r="D122" s="2"/>
      <c r="E122" s="2"/>
      <c r="F122" s="2"/>
      <c r="G122" s="2"/>
    </row>
    <row r="123" spans="2:7">
      <c r="B123" s="2"/>
      <c r="C123" s="2"/>
      <c r="D123" s="2"/>
      <c r="E123" s="2"/>
      <c r="F123" s="2"/>
      <c r="G123" s="2"/>
    </row>
    <row r="124" spans="2:7">
      <c r="B124" s="2"/>
      <c r="C124" s="2"/>
      <c r="D124" s="2"/>
      <c r="E124" s="2"/>
      <c r="F124" s="2"/>
      <c r="G124" s="2"/>
    </row>
    <row r="125" spans="2:7">
      <c r="B125" s="2"/>
      <c r="C125" s="2"/>
      <c r="D125" s="2"/>
      <c r="E125" s="2"/>
      <c r="F125" s="2"/>
      <c r="G125" s="2"/>
    </row>
    <row r="126" spans="2:7">
      <c r="B126" s="2"/>
      <c r="C126" s="2"/>
      <c r="D126" s="2"/>
      <c r="E126" s="2"/>
      <c r="F126" s="2"/>
      <c r="G126" s="2"/>
    </row>
    <row r="127" spans="2:7">
      <c r="B127" s="2"/>
      <c r="C127" s="2"/>
      <c r="D127" s="2"/>
      <c r="E127" s="2"/>
      <c r="F127" s="2"/>
      <c r="G127" s="2"/>
    </row>
    <row r="128" spans="2:7">
      <c r="B128" s="2"/>
      <c r="C128" s="2"/>
      <c r="D128" s="2"/>
      <c r="E128" s="2"/>
      <c r="F128" s="2"/>
      <c r="G128" s="2"/>
    </row>
    <row r="129" spans="2:7">
      <c r="B129" s="2"/>
      <c r="C129" s="2"/>
      <c r="D129" s="2"/>
      <c r="E129" s="2"/>
      <c r="F129" s="2"/>
      <c r="G129" s="2"/>
    </row>
    <row r="130" spans="2:7">
      <c r="B130" s="2"/>
      <c r="C130" s="2"/>
      <c r="D130" s="2"/>
      <c r="E130" s="2"/>
      <c r="F130" s="2"/>
      <c r="G130" s="2"/>
    </row>
    <row r="131" spans="2:7">
      <c r="B131" s="2"/>
      <c r="C131" s="2"/>
      <c r="D131" s="2"/>
      <c r="E131" s="2"/>
      <c r="F131" s="2"/>
      <c r="G131" s="2"/>
    </row>
    <row r="132" spans="2:7">
      <c r="B132" s="2"/>
      <c r="C132" s="2"/>
      <c r="D132" s="2"/>
      <c r="E132" s="2"/>
      <c r="F132" s="2"/>
      <c r="G132" s="2"/>
    </row>
    <row r="133" spans="2:7">
      <c r="B133" s="2"/>
      <c r="C133" s="2"/>
      <c r="D133" s="2"/>
      <c r="E133" s="2"/>
      <c r="F133" s="2"/>
      <c r="G133" s="2"/>
    </row>
    <row r="134" spans="2:7">
      <c r="B134" s="2"/>
      <c r="C134" s="2"/>
      <c r="D134" s="2"/>
      <c r="E134" s="2"/>
      <c r="F134" s="2"/>
      <c r="G134" s="2"/>
    </row>
    <row r="135" spans="2:7">
      <c r="B135" s="2"/>
      <c r="C135" s="2"/>
      <c r="D135" s="2"/>
      <c r="E135" s="2"/>
      <c r="F135" s="2"/>
      <c r="G135" s="2"/>
    </row>
    <row r="136" spans="2:7">
      <c r="B136" s="2"/>
      <c r="C136" s="2"/>
      <c r="D136" s="2"/>
      <c r="E136" s="2"/>
      <c r="F136" s="2"/>
      <c r="G136" s="2"/>
    </row>
    <row r="137" spans="2:7">
      <c r="B137" s="2"/>
      <c r="C137" s="2"/>
      <c r="D137" s="2"/>
      <c r="E137" s="2"/>
      <c r="F137" s="2"/>
      <c r="G137" s="2"/>
    </row>
    <row r="138" spans="2:7">
      <c r="B138" s="2"/>
      <c r="C138" s="2"/>
      <c r="D138" s="2"/>
      <c r="E138" s="2"/>
      <c r="F138" s="2"/>
      <c r="G138" s="2"/>
    </row>
    <row r="139" spans="2:7">
      <c r="B139" s="2"/>
      <c r="C139" s="2"/>
      <c r="D139" s="2"/>
      <c r="E139" s="2"/>
      <c r="F139" s="2"/>
      <c r="G139" s="2"/>
    </row>
    <row r="140" spans="2:7">
      <c r="B140" s="2"/>
      <c r="C140" s="2"/>
      <c r="D140" s="2"/>
      <c r="E140" s="2"/>
      <c r="F140" s="2"/>
      <c r="G140" s="2"/>
    </row>
    <row r="141" spans="2:7">
      <c r="B141" s="2"/>
      <c r="C141" s="2"/>
      <c r="D141" s="2"/>
      <c r="E141" s="2"/>
      <c r="F141" s="2"/>
      <c r="G141" s="2"/>
    </row>
    <row r="142" spans="2:7">
      <c r="B142" s="2"/>
      <c r="C142" s="2"/>
      <c r="D142" s="2"/>
      <c r="E142" s="2"/>
      <c r="F142" s="2"/>
      <c r="G142" s="2"/>
    </row>
    <row r="143" spans="2:7">
      <c r="B143" s="2"/>
      <c r="C143" s="2"/>
      <c r="D143" s="2"/>
      <c r="E143" s="2"/>
      <c r="F143" s="2"/>
      <c r="G143" s="2"/>
    </row>
    <row r="144" spans="2:7">
      <c r="B144" s="2"/>
      <c r="C144" s="2"/>
      <c r="D144" s="2"/>
      <c r="E144" s="2"/>
      <c r="F144" s="2"/>
      <c r="G144" s="2"/>
    </row>
    <row r="145" spans="2:7">
      <c r="B145" s="2"/>
      <c r="C145" s="2"/>
      <c r="D145" s="2"/>
      <c r="E145" s="2"/>
      <c r="F145" s="2"/>
      <c r="G145" s="2"/>
    </row>
    <row r="146" spans="2:7">
      <c r="B146" s="2"/>
      <c r="C146" s="2"/>
      <c r="D146" s="2"/>
      <c r="E146" s="2"/>
      <c r="F146" s="2"/>
      <c r="G146" s="2"/>
    </row>
    <row r="147" spans="2:7">
      <c r="B147" s="2"/>
      <c r="C147" s="2"/>
      <c r="D147" s="2"/>
      <c r="E147" s="2"/>
      <c r="F147" s="2"/>
      <c r="G147" s="2"/>
    </row>
    <row r="148" spans="2:7">
      <c r="B148" s="2"/>
      <c r="C148" s="2"/>
      <c r="D148" s="2"/>
      <c r="E148" s="2"/>
      <c r="F148" s="2"/>
      <c r="G148" s="2"/>
    </row>
    <row r="149" spans="2:7">
      <c r="B149" s="2"/>
      <c r="C149" s="2"/>
      <c r="D149" s="2"/>
      <c r="E149" s="2"/>
      <c r="F149" s="2"/>
      <c r="G149" s="2"/>
    </row>
    <row r="150" spans="2:7">
      <c r="B150" s="2"/>
      <c r="C150" s="2"/>
      <c r="D150" s="2"/>
      <c r="E150" s="2"/>
      <c r="F150" s="2"/>
      <c r="G150" s="2"/>
    </row>
    <row r="151" spans="2:7">
      <c r="B151" s="2"/>
      <c r="C151" s="2"/>
      <c r="D151" s="2"/>
      <c r="E151" s="2"/>
      <c r="F151" s="2"/>
      <c r="G151" s="2"/>
    </row>
    <row r="152" spans="2:7">
      <c r="B152" s="2"/>
      <c r="C152" s="2"/>
      <c r="D152" s="2"/>
      <c r="E152" s="2"/>
      <c r="F152" s="2"/>
      <c r="G152" s="2"/>
    </row>
    <row r="153" spans="2:7">
      <c r="B153" s="2"/>
      <c r="C153" s="2"/>
      <c r="D153" s="2"/>
      <c r="E153" s="2"/>
      <c r="F153" s="2"/>
      <c r="G153" s="2"/>
    </row>
    <row r="154" spans="2:7">
      <c r="B154" s="2"/>
      <c r="C154" s="2"/>
      <c r="D154" s="2"/>
      <c r="E154" s="2"/>
      <c r="F154" s="2"/>
      <c r="G154" s="2"/>
    </row>
    <row r="155" spans="2:7">
      <c r="B155" s="2"/>
      <c r="C155" s="2"/>
      <c r="D155" s="2"/>
      <c r="E155" s="2"/>
      <c r="F155" s="2"/>
      <c r="G155" s="2"/>
    </row>
    <row r="156" spans="2:7">
      <c r="B156" s="2"/>
      <c r="C156" s="2"/>
      <c r="D156" s="2"/>
      <c r="E156" s="2"/>
      <c r="F156" s="2"/>
      <c r="G156" s="2"/>
    </row>
    <row r="157" spans="2:7">
      <c r="B157" s="2"/>
      <c r="C157" s="2"/>
      <c r="D157" s="2"/>
      <c r="E157" s="2"/>
      <c r="F157" s="2"/>
      <c r="G157" s="2"/>
    </row>
    <row r="158" spans="2:7">
      <c r="B158" s="2"/>
      <c r="C158" s="2"/>
      <c r="D158" s="2"/>
      <c r="E158" s="2"/>
      <c r="F158" s="2"/>
      <c r="G158" s="2"/>
    </row>
    <row r="159" spans="2:7">
      <c r="B159" s="2"/>
      <c r="C159" s="2"/>
      <c r="D159" s="2"/>
      <c r="E159" s="2"/>
      <c r="F159" s="2"/>
      <c r="G159" s="2"/>
    </row>
    <row r="160" spans="2:7">
      <c r="B160" s="2"/>
      <c r="C160" s="2"/>
      <c r="D160" s="2"/>
      <c r="E160" s="2"/>
      <c r="F160" s="2"/>
      <c r="G160" s="2"/>
    </row>
    <row r="161" spans="2:7">
      <c r="B161" s="2"/>
      <c r="C161" s="2"/>
      <c r="D161" s="2"/>
      <c r="E161" s="2"/>
      <c r="F161" s="2"/>
      <c r="G161" s="2"/>
    </row>
    <row r="162" spans="2:7">
      <c r="B162" s="2"/>
      <c r="C162" s="2"/>
      <c r="D162" s="2"/>
      <c r="E162" s="2"/>
      <c r="F162" s="2"/>
      <c r="G162" s="2"/>
    </row>
    <row r="163" spans="2:7">
      <c r="B163" s="2"/>
      <c r="C163" s="2"/>
      <c r="D163" s="2"/>
      <c r="E163" s="2"/>
      <c r="F163" s="2"/>
      <c r="G163" s="2"/>
    </row>
    <row r="164" spans="2:7">
      <c r="B164" s="2"/>
      <c r="C164" s="2"/>
      <c r="D164" s="2"/>
      <c r="E164" s="2"/>
      <c r="F164" s="2"/>
      <c r="G164" s="2"/>
    </row>
    <row r="165" spans="2:7">
      <c r="B165" s="2"/>
      <c r="C165" s="2"/>
      <c r="D165" s="2"/>
      <c r="E165" s="2"/>
      <c r="F165" s="2"/>
      <c r="G165" s="2"/>
    </row>
    <row r="166" spans="2:7">
      <c r="B166" s="2"/>
      <c r="C166" s="2"/>
      <c r="D166" s="2"/>
      <c r="E166" s="2"/>
      <c r="F166" s="2"/>
      <c r="G166" s="2"/>
    </row>
    <row r="167" spans="2:7">
      <c r="B167" s="2"/>
      <c r="C167" s="2"/>
      <c r="D167" s="2"/>
      <c r="E167" s="2"/>
      <c r="F167" s="2"/>
      <c r="G167" s="2"/>
    </row>
    <row r="168" spans="2:7">
      <c r="B168" s="2"/>
      <c r="C168" s="2"/>
      <c r="D168" s="2"/>
      <c r="E168" s="2"/>
      <c r="F168" s="2"/>
      <c r="G168" s="2"/>
    </row>
    <row r="169" spans="2:7">
      <c r="B169" s="2"/>
      <c r="C169" s="2"/>
      <c r="D169" s="2"/>
      <c r="E169" s="2"/>
      <c r="F169" s="2"/>
      <c r="G169" s="2"/>
    </row>
    <row r="170" spans="2:7">
      <c r="B170" s="2"/>
      <c r="C170" s="2"/>
      <c r="D170" s="2"/>
      <c r="E170" s="2"/>
      <c r="F170" s="2"/>
      <c r="G170" s="2"/>
    </row>
    <row r="171" spans="2:7">
      <c r="B171" s="2"/>
      <c r="C171" s="2"/>
      <c r="D171" s="2"/>
      <c r="E171" s="2"/>
      <c r="F171" s="2"/>
      <c r="G171" s="2"/>
    </row>
    <row r="172" spans="2:7">
      <c r="B172" s="2"/>
      <c r="C172" s="2"/>
      <c r="D172" s="2"/>
      <c r="E172" s="2"/>
      <c r="F172" s="2"/>
      <c r="G172" s="2"/>
    </row>
    <row r="173" spans="2:7">
      <c r="B173" s="2"/>
      <c r="C173" s="2"/>
      <c r="D173" s="2"/>
      <c r="E173" s="2"/>
      <c r="F173" s="2"/>
      <c r="G173" s="2"/>
    </row>
    <row r="174" spans="2:7">
      <c r="B174" s="2"/>
      <c r="C174" s="2"/>
      <c r="D174" s="2"/>
      <c r="E174" s="2"/>
      <c r="F174" s="2"/>
      <c r="G174" s="2"/>
    </row>
    <row r="175" spans="2:7">
      <c r="B175" s="2"/>
      <c r="C175" s="2"/>
      <c r="D175" s="2"/>
      <c r="E175" s="2"/>
      <c r="F175" s="2"/>
      <c r="G175" s="2"/>
    </row>
    <row r="176" spans="2:7">
      <c r="B176" s="2"/>
      <c r="C176" s="2"/>
      <c r="D176" s="2"/>
      <c r="E176" s="2"/>
      <c r="F176" s="2"/>
      <c r="G176" s="2"/>
    </row>
    <row r="177" spans="2:7">
      <c r="B177" s="2"/>
      <c r="C177" s="2"/>
      <c r="D177" s="2"/>
      <c r="E177" s="2"/>
      <c r="F177" s="2"/>
      <c r="G177" s="2"/>
    </row>
    <row r="178" spans="2:7">
      <c r="B178" s="2"/>
      <c r="C178" s="2"/>
      <c r="D178" s="2"/>
      <c r="E178" s="2"/>
      <c r="F178" s="2"/>
      <c r="G178" s="2"/>
    </row>
    <row r="179" spans="2:7">
      <c r="B179" s="2"/>
      <c r="C179" s="2"/>
      <c r="D179" s="2"/>
      <c r="E179" s="2"/>
      <c r="F179" s="2"/>
      <c r="G179" s="2"/>
    </row>
    <row r="180" spans="2:7">
      <c r="B180" s="2"/>
      <c r="C180" s="2"/>
      <c r="D180" s="2"/>
      <c r="E180" s="2"/>
      <c r="F180" s="2"/>
      <c r="G180" s="2"/>
    </row>
    <row r="181" spans="2:7">
      <c r="B181" s="2"/>
      <c r="C181" s="2"/>
      <c r="D181" s="2"/>
      <c r="E181" s="2"/>
      <c r="F181" s="2"/>
      <c r="G181" s="2"/>
    </row>
    <row r="182" spans="2:7">
      <c r="B182" s="2"/>
      <c r="C182" s="2"/>
      <c r="D182" s="2"/>
      <c r="E182" s="2"/>
      <c r="F182" s="2"/>
      <c r="G182" s="2"/>
    </row>
    <row r="183" spans="2:7">
      <c r="B183" s="2"/>
      <c r="C183" s="2"/>
      <c r="D183" s="2"/>
      <c r="E183" s="2"/>
      <c r="F183" s="2"/>
      <c r="G183" s="2"/>
    </row>
    <row r="184" spans="2:7">
      <c r="B184" s="2"/>
      <c r="C184" s="2"/>
      <c r="D184" s="2"/>
      <c r="E184" s="2"/>
      <c r="F184" s="2"/>
      <c r="G184" s="2"/>
    </row>
    <row r="185" spans="2:7">
      <c r="B185" s="2"/>
      <c r="C185" s="2"/>
      <c r="D185" s="2"/>
      <c r="E185" s="2"/>
      <c r="F185" s="2"/>
      <c r="G185" s="2"/>
    </row>
    <row r="186" spans="2:7">
      <c r="B186" s="2"/>
      <c r="C186" s="2"/>
      <c r="D186" s="2"/>
      <c r="E186" s="2"/>
      <c r="F186" s="2"/>
      <c r="G186" s="2"/>
    </row>
    <row r="187" spans="2:7">
      <c r="B187" s="2"/>
      <c r="C187" s="2"/>
      <c r="D187" s="2"/>
      <c r="E187" s="2"/>
      <c r="F187" s="2"/>
      <c r="G187" s="2"/>
    </row>
    <row r="188" spans="2:7">
      <c r="B188" s="2"/>
      <c r="C188" s="2"/>
      <c r="D188" s="2"/>
      <c r="E188" s="2"/>
      <c r="F188" s="2"/>
      <c r="G188" s="2"/>
    </row>
    <row r="189" spans="2:7">
      <c r="B189" s="2"/>
      <c r="C189" s="2"/>
      <c r="D189" s="2"/>
      <c r="E189" s="2"/>
      <c r="F189" s="2"/>
      <c r="G189" s="2"/>
    </row>
    <row r="190" spans="2:7">
      <c r="B190" s="2"/>
      <c r="C190" s="2"/>
      <c r="D190" s="2"/>
      <c r="E190" s="2"/>
      <c r="F190" s="2"/>
      <c r="G190" s="2"/>
    </row>
    <row r="191" spans="2:7">
      <c r="B191" s="2"/>
      <c r="C191" s="2"/>
      <c r="D191" s="2"/>
      <c r="E191" s="2"/>
      <c r="F191" s="2"/>
      <c r="G191" s="2"/>
    </row>
    <row r="192" spans="2:7">
      <c r="B192" s="2"/>
      <c r="C192" s="2"/>
      <c r="D192" s="2"/>
      <c r="E192" s="2"/>
      <c r="F192" s="2"/>
      <c r="G192" s="2"/>
    </row>
    <row r="193" spans="2:7">
      <c r="B193" s="2"/>
      <c r="C193" s="2"/>
      <c r="D193" s="2"/>
      <c r="E193" s="2"/>
      <c r="F193" s="2"/>
      <c r="G193" s="2"/>
    </row>
    <row r="194" spans="2:7">
      <c r="B194" s="2"/>
      <c r="C194" s="2"/>
      <c r="D194" s="2"/>
      <c r="E194" s="2"/>
      <c r="F194" s="2"/>
      <c r="G194" s="2"/>
    </row>
    <row r="195" spans="2:7">
      <c r="B195" s="2"/>
      <c r="C195" s="2"/>
      <c r="D195" s="2"/>
      <c r="E195" s="2"/>
      <c r="F195" s="2"/>
      <c r="G195" s="2"/>
    </row>
    <row r="196" spans="2:7">
      <c r="B196" s="2"/>
      <c r="C196" s="2"/>
      <c r="D196" s="2"/>
      <c r="E196" s="2"/>
      <c r="F196" s="2"/>
      <c r="G196" s="2"/>
    </row>
    <row r="197" spans="2:7">
      <c r="B197" s="2"/>
      <c r="C197" s="2"/>
      <c r="D197" s="2"/>
      <c r="E197" s="2"/>
      <c r="F197" s="2"/>
      <c r="G197" s="2"/>
    </row>
    <row r="198" spans="2:7">
      <c r="B198" s="2"/>
      <c r="C198" s="2"/>
      <c r="D198" s="2"/>
      <c r="E198" s="2"/>
      <c r="F198" s="2"/>
      <c r="G198" s="2"/>
    </row>
    <row r="199" spans="2:7">
      <c r="B199" s="2"/>
      <c r="C199" s="2"/>
      <c r="D199" s="2"/>
      <c r="E199" s="2"/>
      <c r="F199" s="2"/>
      <c r="G199" s="2"/>
    </row>
    <row r="200" spans="2:7">
      <c r="B200" s="2"/>
      <c r="C200" s="2"/>
      <c r="D200" s="2"/>
      <c r="E200" s="2"/>
      <c r="F200" s="2"/>
      <c r="G200" s="2"/>
    </row>
    <row r="201" spans="2:7">
      <c r="B201" s="2"/>
      <c r="C201" s="2"/>
      <c r="D201" s="2"/>
      <c r="E201" s="2"/>
      <c r="F201" s="2"/>
      <c r="G201" s="2"/>
    </row>
    <row r="202" spans="2:7">
      <c r="B202" s="2"/>
      <c r="C202" s="2"/>
      <c r="D202" s="2"/>
      <c r="E202" s="2"/>
      <c r="F202" s="2"/>
      <c r="G202" s="2"/>
    </row>
    <row r="203" spans="2:7">
      <c r="B203" s="2"/>
      <c r="C203" s="2"/>
      <c r="D203" s="2"/>
      <c r="E203" s="2"/>
      <c r="F203" s="2"/>
      <c r="G203" s="2"/>
    </row>
    <row r="204" spans="2:7">
      <c r="B204" s="2"/>
      <c r="C204" s="2"/>
      <c r="D204" s="2"/>
      <c r="E204" s="2"/>
      <c r="F204" s="2"/>
      <c r="G204" s="2"/>
    </row>
    <row r="205" spans="2:7">
      <c r="B205" s="2"/>
      <c r="C205" s="2"/>
      <c r="D205" s="2"/>
      <c r="E205" s="2"/>
      <c r="F205" s="2"/>
      <c r="G205" s="2"/>
    </row>
    <row r="206" spans="2:7">
      <c r="B206" s="2"/>
      <c r="C206" s="2"/>
      <c r="D206" s="2"/>
      <c r="E206" s="2"/>
      <c r="F206" s="2"/>
      <c r="G206" s="2"/>
    </row>
    <row r="207" spans="2:7">
      <c r="B207" s="2"/>
      <c r="C207" s="2"/>
      <c r="D207" s="2"/>
      <c r="E207" s="2"/>
      <c r="F207" s="2"/>
      <c r="G207" s="2"/>
    </row>
    <row r="208" spans="2:7">
      <c r="B208" s="2"/>
      <c r="C208" s="2"/>
      <c r="D208" s="2"/>
      <c r="E208" s="2"/>
      <c r="F208" s="2"/>
      <c r="G208" s="2"/>
    </row>
    <row r="209" spans="2:7">
      <c r="B209" s="2"/>
      <c r="C209" s="2"/>
      <c r="D209" s="2"/>
      <c r="E209" s="2"/>
      <c r="F209" s="2"/>
      <c r="G209" s="2"/>
    </row>
    <row r="210" spans="2:7">
      <c r="B210" s="2"/>
      <c r="C210" s="2"/>
      <c r="D210" s="2"/>
      <c r="E210" s="2"/>
      <c r="F210" s="2"/>
      <c r="G210" s="2"/>
    </row>
    <row r="211" spans="2:7">
      <c r="B211" s="2"/>
      <c r="C211" s="2"/>
      <c r="D211" s="2"/>
      <c r="E211" s="2"/>
      <c r="F211" s="2"/>
      <c r="G211" s="2"/>
    </row>
    <row r="212" spans="2:7">
      <c r="B212" s="2"/>
      <c r="C212" s="2"/>
      <c r="D212" s="2"/>
      <c r="E212" s="2"/>
      <c r="F212" s="2"/>
      <c r="G212" s="2"/>
    </row>
    <row r="213" spans="2:7">
      <c r="B213" s="2"/>
      <c r="C213" s="2"/>
      <c r="D213" s="2"/>
      <c r="E213" s="2"/>
      <c r="F213" s="2"/>
      <c r="G213" s="2"/>
    </row>
    <row r="214" spans="2:7">
      <c r="B214" s="2"/>
      <c r="C214" s="2"/>
      <c r="D214" s="2"/>
      <c r="E214" s="2"/>
      <c r="F214" s="2"/>
      <c r="G214" s="2"/>
    </row>
    <row r="215" spans="2:7">
      <c r="B215" s="2"/>
      <c r="C215" s="2"/>
      <c r="D215" s="2"/>
      <c r="E215" s="2"/>
      <c r="F215" s="2"/>
      <c r="G215" s="2"/>
    </row>
    <row r="216" spans="2:7">
      <c r="B216" s="2"/>
      <c r="C216" s="2"/>
      <c r="D216" s="2"/>
      <c r="E216" s="2"/>
      <c r="F216" s="2"/>
      <c r="G216" s="2"/>
    </row>
    <row r="217" spans="2:7">
      <c r="B217" s="2"/>
      <c r="C217" s="2"/>
      <c r="D217" s="2"/>
      <c r="E217" s="2"/>
      <c r="F217" s="2"/>
      <c r="G217" s="2"/>
    </row>
    <row r="218" spans="2:7">
      <c r="B218" s="2"/>
      <c r="C218" s="2"/>
      <c r="D218" s="2"/>
      <c r="E218" s="2"/>
      <c r="F218" s="2"/>
      <c r="G218" s="2"/>
    </row>
    <row r="219" spans="2:7">
      <c r="B219" s="2"/>
      <c r="C219" s="2"/>
      <c r="D219" s="2"/>
      <c r="E219" s="2"/>
      <c r="F219" s="2"/>
      <c r="G219" s="2"/>
    </row>
    <row r="220" spans="2:7">
      <c r="B220" s="2"/>
      <c r="C220" s="2"/>
      <c r="D220" s="2"/>
      <c r="E220" s="2"/>
      <c r="F220" s="2"/>
      <c r="G220" s="2"/>
    </row>
    <row r="221" spans="2:7">
      <c r="B221" s="2"/>
      <c r="C221" s="2"/>
      <c r="D221" s="2"/>
      <c r="E221" s="2"/>
      <c r="F221" s="2"/>
      <c r="G221" s="2"/>
    </row>
    <row r="222" spans="2:7">
      <c r="B222" s="2"/>
      <c r="C222" s="2"/>
      <c r="D222" s="2"/>
      <c r="E222" s="2"/>
      <c r="F222" s="2"/>
      <c r="G222" s="2"/>
    </row>
    <row r="223" spans="2:7">
      <c r="B223" s="2"/>
      <c r="C223" s="2"/>
      <c r="D223" s="2"/>
      <c r="E223" s="2"/>
      <c r="F223" s="2"/>
      <c r="G223" s="2"/>
    </row>
    <row r="224" spans="2:7">
      <c r="B224" s="2"/>
      <c r="C224" s="2"/>
      <c r="D224" s="2"/>
      <c r="E224" s="2"/>
      <c r="F224" s="2"/>
      <c r="G224" s="2"/>
    </row>
    <row r="225" spans="2:7">
      <c r="B225" s="2"/>
      <c r="C225" s="2"/>
      <c r="D225" s="2"/>
      <c r="E225" s="2"/>
      <c r="F225" s="2"/>
      <c r="G225" s="2"/>
    </row>
    <row r="226" spans="2:7">
      <c r="B226" s="2"/>
      <c r="C226" s="2"/>
      <c r="D226" s="2"/>
      <c r="E226" s="2"/>
      <c r="F226" s="2"/>
      <c r="G226" s="2"/>
    </row>
    <row r="227" spans="2:7">
      <c r="B227" s="2"/>
      <c r="C227" s="2"/>
      <c r="D227" s="2"/>
      <c r="E227" s="2"/>
      <c r="F227" s="2"/>
      <c r="G227" s="2"/>
    </row>
    <row r="228" spans="2:7">
      <c r="B228" s="2"/>
      <c r="C228" s="2"/>
      <c r="D228" s="2"/>
      <c r="E228" s="2"/>
      <c r="F228" s="2"/>
      <c r="G228" s="2"/>
    </row>
    <row r="229" spans="2:7">
      <c r="B229" s="2"/>
      <c r="C229" s="2"/>
      <c r="D229" s="2"/>
      <c r="E229" s="2"/>
      <c r="F229" s="2"/>
      <c r="G229" s="2"/>
    </row>
    <row r="230" spans="2:7">
      <c r="B230" s="2"/>
      <c r="C230" s="2"/>
      <c r="D230" s="2"/>
      <c r="E230" s="2"/>
      <c r="F230" s="2"/>
      <c r="G230" s="2"/>
    </row>
    <row r="231" spans="2:7">
      <c r="B231" s="2"/>
      <c r="C231" s="2"/>
      <c r="D231" s="2"/>
      <c r="E231" s="2"/>
      <c r="F231" s="2"/>
      <c r="G231" s="2"/>
    </row>
    <row r="232" spans="2:7">
      <c r="B232" s="2"/>
      <c r="C232" s="2"/>
      <c r="D232" s="2"/>
      <c r="E232" s="2"/>
      <c r="F232" s="2"/>
      <c r="G232" s="2"/>
    </row>
    <row r="233" spans="2:7">
      <c r="B233" s="2"/>
      <c r="C233" s="2"/>
      <c r="D233" s="2"/>
      <c r="E233" s="2"/>
      <c r="F233" s="2"/>
      <c r="G233" s="2"/>
    </row>
    <row r="234" spans="2:7">
      <c r="B234" s="2"/>
      <c r="C234" s="2"/>
      <c r="D234" s="2"/>
      <c r="E234" s="2"/>
      <c r="F234" s="2"/>
      <c r="G234" s="2"/>
    </row>
    <row r="235" spans="2:7">
      <c r="B235" s="2"/>
      <c r="C235" s="2"/>
      <c r="D235" s="2"/>
      <c r="E235" s="2"/>
      <c r="F235" s="2"/>
      <c r="G235" s="2"/>
    </row>
    <row r="236" spans="2:7">
      <c r="B236" s="2"/>
      <c r="C236" s="2"/>
      <c r="D236" s="2"/>
      <c r="E236" s="2"/>
      <c r="F236" s="2"/>
      <c r="G236" s="2"/>
    </row>
    <row r="237" spans="2:7">
      <c r="B237" s="2"/>
      <c r="C237" s="2"/>
      <c r="D237" s="2"/>
      <c r="E237" s="2"/>
      <c r="F237" s="2"/>
      <c r="G237" s="2"/>
    </row>
    <row r="238" spans="2:7">
      <c r="B238" s="2"/>
      <c r="C238" s="2"/>
      <c r="D238" s="2"/>
      <c r="E238" s="2"/>
      <c r="F238" s="2"/>
      <c r="G238" s="2"/>
    </row>
    <row r="239" spans="2:7">
      <c r="B239" s="2"/>
      <c r="C239" s="2"/>
      <c r="D239" s="2"/>
      <c r="E239" s="2"/>
      <c r="F239" s="2"/>
      <c r="G239" s="2"/>
    </row>
    <row r="240" spans="2:7">
      <c r="B240" s="2"/>
      <c r="C240" s="2"/>
      <c r="D240" s="2"/>
      <c r="E240" s="2"/>
      <c r="F240" s="2"/>
      <c r="G240" s="2"/>
    </row>
    <row r="241" spans="2:7">
      <c r="B241" s="2"/>
      <c r="C241" s="2"/>
      <c r="D241" s="2"/>
      <c r="E241" s="2"/>
      <c r="F241" s="2"/>
      <c r="G241" s="2"/>
    </row>
    <row r="242" spans="2:7">
      <c r="B242" s="2"/>
      <c r="C242" s="2"/>
      <c r="D242" s="2"/>
      <c r="E242" s="2"/>
      <c r="F242" s="2"/>
      <c r="G242" s="2"/>
    </row>
    <row r="243" spans="2:7">
      <c r="B243" s="2"/>
      <c r="C243" s="2"/>
      <c r="D243" s="2"/>
      <c r="E243" s="2"/>
      <c r="F243" s="2"/>
      <c r="G243" s="2"/>
    </row>
    <row r="244" spans="2:7">
      <c r="B244" s="2"/>
      <c r="C244" s="2"/>
      <c r="D244" s="2"/>
      <c r="E244" s="2"/>
      <c r="F244" s="2"/>
      <c r="G244" s="2"/>
    </row>
    <row r="245" spans="2:7">
      <c r="B245" s="2"/>
      <c r="C245" s="2"/>
      <c r="D245" s="2"/>
      <c r="E245" s="2"/>
      <c r="F245" s="2"/>
      <c r="G245" s="2"/>
    </row>
    <row r="246" spans="2:7">
      <c r="B246" s="2"/>
      <c r="C246" s="2"/>
      <c r="D246" s="2"/>
      <c r="E246" s="2"/>
      <c r="F246" s="2"/>
      <c r="G246" s="2"/>
    </row>
    <row r="247" spans="2:7">
      <c r="B247" s="2"/>
      <c r="C247" s="2"/>
      <c r="D247" s="2"/>
      <c r="E247" s="2"/>
      <c r="F247" s="2"/>
      <c r="G247" s="2"/>
    </row>
    <row r="248" spans="2:7">
      <c r="B248" s="2"/>
      <c r="C248" s="2"/>
      <c r="D248" s="2"/>
      <c r="E248" s="2"/>
      <c r="F248" s="2"/>
      <c r="G248" s="2"/>
    </row>
    <row r="249" spans="2:7">
      <c r="B249" s="2"/>
      <c r="C249" s="2"/>
      <c r="D249" s="2"/>
      <c r="E249" s="2"/>
      <c r="F249" s="2"/>
      <c r="G249" s="2"/>
    </row>
    <row r="250" spans="2:7">
      <c r="B250" s="2"/>
      <c r="C250" s="2"/>
      <c r="D250" s="2"/>
      <c r="E250" s="2"/>
      <c r="F250" s="2"/>
      <c r="G250" s="2"/>
    </row>
    <row r="251" spans="2:7">
      <c r="B251" s="2"/>
      <c r="C251" s="2"/>
      <c r="D251" s="2"/>
      <c r="E251" s="2"/>
      <c r="F251" s="2"/>
      <c r="G251" s="2"/>
    </row>
    <row r="252" spans="2:7">
      <c r="B252" s="2"/>
      <c r="C252" s="2"/>
      <c r="D252" s="2"/>
      <c r="E252" s="2"/>
      <c r="F252" s="2"/>
      <c r="G252" s="2"/>
    </row>
    <row r="253" spans="2:7">
      <c r="B253" s="2"/>
      <c r="C253" s="2"/>
      <c r="D253" s="2"/>
      <c r="E253" s="2"/>
      <c r="F253" s="2"/>
      <c r="G253" s="2"/>
    </row>
    <row r="254" spans="2:7">
      <c r="B254" s="2"/>
      <c r="C254" s="2"/>
      <c r="D254" s="2"/>
      <c r="E254" s="2"/>
      <c r="F254" s="2"/>
      <c r="G254" s="2"/>
    </row>
    <row r="255" spans="2:7">
      <c r="B255" s="2"/>
      <c r="C255" s="2"/>
      <c r="D255" s="2"/>
      <c r="E255" s="2"/>
      <c r="F255" s="2"/>
      <c r="G255" s="2"/>
    </row>
    <row r="256" spans="2:7">
      <c r="B256" s="2"/>
      <c r="C256" s="2"/>
      <c r="D256" s="2"/>
      <c r="E256" s="2"/>
      <c r="F256" s="2"/>
      <c r="G256" s="2"/>
    </row>
    <row r="257" spans="2:7">
      <c r="B257" s="2"/>
      <c r="C257" s="2"/>
      <c r="D257" s="2"/>
      <c r="E257" s="2"/>
      <c r="F257" s="2"/>
      <c r="G257" s="2"/>
    </row>
    <row r="258" spans="2:7">
      <c r="B258" s="2"/>
      <c r="C258" s="2"/>
      <c r="D258" s="2"/>
      <c r="E258" s="2"/>
      <c r="F258" s="2"/>
      <c r="G258" s="2"/>
    </row>
    <row r="259" spans="2:7">
      <c r="B259" s="2"/>
      <c r="C259" s="2"/>
      <c r="D259" s="2"/>
      <c r="E259" s="2"/>
      <c r="F259" s="2"/>
      <c r="G259" s="2"/>
    </row>
    <row r="260" spans="2:7">
      <c r="B260" s="2"/>
      <c r="C260" s="2"/>
      <c r="D260" s="2"/>
      <c r="E260" s="2"/>
      <c r="F260" s="2"/>
      <c r="G260" s="2"/>
    </row>
    <row r="261" spans="2:7">
      <c r="B261" s="2"/>
      <c r="C261" s="2"/>
      <c r="D261" s="2"/>
      <c r="E261" s="2"/>
      <c r="F261" s="2"/>
      <c r="G261" s="2"/>
    </row>
    <row r="262" spans="2:7">
      <c r="B262" s="2"/>
      <c r="C262" s="2"/>
      <c r="D262" s="2"/>
      <c r="E262" s="2"/>
      <c r="F262" s="2"/>
      <c r="G262" s="2"/>
    </row>
    <row r="263" spans="2:7">
      <c r="B263" s="2"/>
      <c r="C263" s="2"/>
      <c r="D263" s="2"/>
      <c r="E263" s="2"/>
      <c r="F263" s="2"/>
      <c r="G263" s="2"/>
    </row>
    <row r="264" spans="2:7">
      <c r="B264" s="2"/>
      <c r="C264" s="2"/>
      <c r="D264" s="2"/>
      <c r="E264" s="2"/>
      <c r="F264" s="2"/>
      <c r="G264" s="2"/>
    </row>
    <row r="265" spans="2:7">
      <c r="B265" s="2"/>
      <c r="C265" s="2"/>
      <c r="D265" s="2"/>
      <c r="E265" s="2"/>
      <c r="F265" s="2"/>
      <c r="G265" s="2"/>
    </row>
    <row r="266" spans="2:7">
      <c r="B266" s="2"/>
      <c r="C266" s="2"/>
      <c r="D266" s="2"/>
      <c r="E266" s="2"/>
      <c r="F266" s="2"/>
      <c r="G266" s="2"/>
    </row>
    <row r="267" spans="2:7">
      <c r="B267" s="2"/>
      <c r="C267" s="2"/>
      <c r="D267" s="2"/>
      <c r="E267" s="2"/>
      <c r="F267" s="2"/>
      <c r="G267" s="2"/>
    </row>
    <row r="268" spans="2:7">
      <c r="B268" s="2"/>
      <c r="C268" s="2"/>
      <c r="D268" s="2"/>
      <c r="E268" s="2"/>
      <c r="F268" s="2"/>
      <c r="G268" s="2"/>
    </row>
    <row r="269" spans="2:7">
      <c r="B269" s="2"/>
      <c r="C269" s="2"/>
      <c r="D269" s="2"/>
      <c r="E269" s="2"/>
      <c r="F269" s="2"/>
      <c r="G269" s="2"/>
    </row>
    <row r="270" spans="2:7">
      <c r="B270" s="2"/>
      <c r="C270" s="2"/>
      <c r="D270" s="2"/>
      <c r="E270" s="2"/>
      <c r="F270" s="2"/>
      <c r="G270" s="2"/>
    </row>
    <row r="271" spans="2:7">
      <c r="B271" s="2"/>
      <c r="C271" s="2"/>
      <c r="D271" s="2"/>
      <c r="E271" s="2"/>
      <c r="F271" s="2"/>
      <c r="G271" s="2"/>
    </row>
    <row r="272" spans="2:7">
      <c r="B272" s="2"/>
      <c r="C272" s="2"/>
      <c r="D272" s="2"/>
      <c r="E272" s="2"/>
      <c r="F272" s="2"/>
      <c r="G272" s="2"/>
    </row>
    <row r="273" spans="2:7">
      <c r="B273" s="2"/>
      <c r="C273" s="2"/>
      <c r="D273" s="2"/>
      <c r="E273" s="2"/>
      <c r="F273" s="2"/>
      <c r="G273" s="2"/>
    </row>
    <row r="274" spans="2:7">
      <c r="B274" s="2"/>
      <c r="C274" s="2"/>
      <c r="D274" s="2"/>
      <c r="E274" s="2"/>
      <c r="F274" s="2"/>
      <c r="G274" s="2"/>
    </row>
    <row r="275" spans="2:7">
      <c r="B275" s="2"/>
      <c r="C275" s="2"/>
      <c r="D275" s="2"/>
      <c r="E275" s="2"/>
      <c r="F275" s="2"/>
      <c r="G275" s="2"/>
    </row>
    <row r="276" spans="2:7">
      <c r="B276" s="2"/>
      <c r="C276" s="2"/>
      <c r="D276" s="2"/>
      <c r="E276" s="2"/>
      <c r="F276" s="2"/>
      <c r="G276" s="2"/>
    </row>
    <row r="277" spans="2:7">
      <c r="B277" s="2"/>
      <c r="C277" s="2"/>
      <c r="D277" s="2"/>
      <c r="E277" s="2"/>
      <c r="F277" s="2"/>
      <c r="G277" s="2"/>
    </row>
    <row r="278" spans="2:7">
      <c r="B278" s="2"/>
      <c r="C278" s="2"/>
      <c r="D278" s="2"/>
      <c r="E278" s="2"/>
      <c r="F278" s="2"/>
      <c r="G278" s="2"/>
    </row>
    <row r="279" spans="2:7">
      <c r="B279" s="2"/>
      <c r="C279" s="2"/>
      <c r="D279" s="2"/>
      <c r="E279" s="2"/>
      <c r="F279" s="2"/>
      <c r="G279" s="2"/>
    </row>
    <row r="280" spans="2:7">
      <c r="B280" s="2"/>
      <c r="C280" s="2"/>
      <c r="D280" s="2"/>
      <c r="E280" s="2"/>
      <c r="F280" s="2"/>
      <c r="G280" s="2"/>
    </row>
    <row r="281" spans="2:7">
      <c r="B281" s="2"/>
      <c r="C281" s="2"/>
      <c r="D281" s="2"/>
      <c r="E281" s="2"/>
      <c r="F281" s="2"/>
      <c r="G281" s="2"/>
    </row>
    <row r="282" spans="2:7">
      <c r="B282" s="2"/>
      <c r="C282" s="2"/>
      <c r="D282" s="2"/>
      <c r="E282" s="2"/>
      <c r="F282" s="2"/>
      <c r="G282" s="2"/>
    </row>
    <row r="283" spans="2:7">
      <c r="B283" s="2"/>
      <c r="C283" s="2"/>
      <c r="D283" s="2"/>
      <c r="E283" s="2"/>
      <c r="F283" s="2"/>
      <c r="G283" s="2"/>
    </row>
    <row r="284" spans="2:7">
      <c r="B284" s="2"/>
      <c r="C284" s="2"/>
      <c r="D284" s="2"/>
      <c r="E284" s="2"/>
      <c r="F284" s="2"/>
      <c r="G284" s="2"/>
    </row>
    <row r="285" spans="2:7">
      <c r="B285" s="2"/>
      <c r="C285" s="2"/>
      <c r="D285" s="2"/>
      <c r="E285" s="2"/>
      <c r="F285" s="2"/>
      <c r="G285" s="2"/>
    </row>
    <row r="286" spans="2:7">
      <c r="B286" s="2"/>
      <c r="C286" s="2"/>
      <c r="D286" s="2"/>
      <c r="E286" s="2"/>
      <c r="F286" s="2"/>
      <c r="G286" s="2"/>
    </row>
    <row r="287" spans="2:7">
      <c r="B287" s="2"/>
      <c r="C287" s="2"/>
      <c r="D287" s="2"/>
      <c r="E287" s="2"/>
      <c r="F287" s="2"/>
      <c r="G287" s="2"/>
    </row>
    <row r="288" spans="2:7">
      <c r="B288" s="2"/>
      <c r="C288" s="2"/>
      <c r="D288" s="2"/>
      <c r="E288" s="2"/>
      <c r="F288" s="2"/>
      <c r="G288" s="2"/>
    </row>
    <row r="289" spans="2:7">
      <c r="B289" s="2"/>
      <c r="C289" s="2"/>
      <c r="D289" s="2"/>
      <c r="E289" s="2"/>
      <c r="F289" s="2"/>
      <c r="G289" s="2"/>
    </row>
    <row r="290" spans="2:7">
      <c r="B290" s="2"/>
      <c r="C290" s="2"/>
      <c r="D290" s="2"/>
      <c r="E290" s="2"/>
      <c r="F290" s="2"/>
      <c r="G290" s="2"/>
    </row>
    <row r="291" spans="2:7">
      <c r="B291" s="2"/>
      <c r="C291" s="2"/>
      <c r="D291" s="2"/>
      <c r="E291" s="2"/>
      <c r="F291" s="2"/>
      <c r="G291" s="2"/>
    </row>
    <row r="292" spans="2:7">
      <c r="B292" s="2"/>
      <c r="C292" s="2"/>
      <c r="D292" s="2"/>
      <c r="E292" s="2"/>
      <c r="F292" s="2"/>
      <c r="G292" s="2"/>
    </row>
    <row r="293" spans="2:7">
      <c r="B293" s="2"/>
      <c r="C293" s="2"/>
      <c r="D293" s="2"/>
      <c r="E293" s="2"/>
      <c r="F293" s="2"/>
      <c r="G293" s="2"/>
    </row>
    <row r="294" spans="2:7">
      <c r="B294" s="2"/>
      <c r="C294" s="2"/>
      <c r="D294" s="2"/>
      <c r="E294" s="2"/>
      <c r="F294" s="2"/>
      <c r="G294" s="2"/>
    </row>
    <row r="295" spans="2:7">
      <c r="B295" s="2"/>
      <c r="C295" s="2"/>
      <c r="D295" s="2"/>
      <c r="E295" s="2"/>
      <c r="F295" s="2"/>
      <c r="G295" s="2"/>
    </row>
    <row r="296" spans="2:7">
      <c r="B296" s="2"/>
      <c r="C296" s="2"/>
      <c r="D296" s="2"/>
      <c r="E296" s="2"/>
      <c r="F296" s="2"/>
      <c r="G296" s="2"/>
    </row>
    <row r="297" spans="2:7">
      <c r="B297" s="2"/>
      <c r="C297" s="2"/>
      <c r="D297" s="2"/>
      <c r="E297" s="2"/>
      <c r="F297" s="2"/>
      <c r="G297" s="2"/>
    </row>
    <row r="298" spans="2:7">
      <c r="B298" s="2"/>
      <c r="C298" s="2"/>
      <c r="D298" s="2"/>
      <c r="E298" s="2"/>
      <c r="F298" s="2"/>
      <c r="G298" s="2"/>
    </row>
    <row r="299" spans="2:7">
      <c r="B299" s="2"/>
      <c r="C299" s="2"/>
      <c r="D299" s="2"/>
      <c r="E299" s="2"/>
      <c r="F299" s="2"/>
      <c r="G299" s="2"/>
    </row>
    <row r="300" spans="2:7">
      <c r="B300" s="2"/>
      <c r="C300" s="2"/>
      <c r="D300" s="2"/>
      <c r="E300" s="2"/>
      <c r="F300" s="2"/>
      <c r="G300" s="2"/>
    </row>
    <row r="301" spans="2:7">
      <c r="B301" s="2"/>
      <c r="C301" s="2"/>
      <c r="D301" s="2"/>
      <c r="E301" s="2"/>
      <c r="F301" s="2"/>
      <c r="G301" s="2"/>
    </row>
    <row r="302" spans="2:7">
      <c r="B302" s="2"/>
      <c r="C302" s="2"/>
      <c r="D302" s="2"/>
      <c r="E302" s="2"/>
      <c r="F302" s="2"/>
      <c r="G302" s="2"/>
    </row>
    <row r="303" spans="2:7">
      <c r="B303" s="2"/>
      <c r="C303" s="2"/>
      <c r="D303" s="2"/>
      <c r="E303" s="2"/>
      <c r="F303" s="2"/>
      <c r="G303" s="2"/>
    </row>
    <row r="304" spans="2:7">
      <c r="B304" s="2"/>
      <c r="C304" s="2"/>
      <c r="D304" s="2"/>
      <c r="E304" s="2"/>
      <c r="F304" s="2"/>
      <c r="G304" s="2"/>
    </row>
    <row r="305" spans="2:7">
      <c r="B305" s="2"/>
      <c r="C305" s="2"/>
      <c r="D305" s="2"/>
      <c r="E305" s="2"/>
      <c r="F305" s="2"/>
      <c r="G305" s="2"/>
    </row>
    <row r="306" spans="2:7">
      <c r="B306" s="2"/>
      <c r="C306" s="2"/>
      <c r="D306" s="2"/>
      <c r="E306" s="2"/>
      <c r="F306" s="2"/>
      <c r="G306" s="2"/>
    </row>
    <row r="307" spans="2:7">
      <c r="B307" s="2"/>
      <c r="C307" s="2"/>
      <c r="D307" s="2"/>
      <c r="E307" s="2"/>
      <c r="F307" s="2"/>
      <c r="G307" s="2"/>
    </row>
    <row r="308" spans="2:7">
      <c r="B308" s="2"/>
      <c r="C308" s="2"/>
      <c r="D308" s="2"/>
      <c r="E308" s="2"/>
      <c r="F308" s="2"/>
      <c r="G308" s="2"/>
    </row>
    <row r="309" spans="2:7">
      <c r="B309" s="2"/>
      <c r="C309" s="2"/>
      <c r="D309" s="2"/>
      <c r="E309" s="2"/>
      <c r="F309" s="2"/>
      <c r="G309" s="2"/>
    </row>
    <row r="310" spans="2:7">
      <c r="B310" s="2"/>
      <c r="C310" s="2"/>
      <c r="D310" s="2"/>
      <c r="E310" s="2"/>
      <c r="F310" s="2"/>
      <c r="G310" s="2"/>
    </row>
    <row r="311" spans="2:7">
      <c r="B311" s="2"/>
      <c r="C311" s="2"/>
      <c r="D311" s="2"/>
      <c r="E311" s="2"/>
      <c r="F311" s="2"/>
      <c r="G311" s="2"/>
    </row>
    <row r="312" spans="2:7">
      <c r="B312" s="2"/>
      <c r="C312" s="2"/>
      <c r="D312" s="2"/>
      <c r="E312" s="2"/>
      <c r="F312" s="2"/>
      <c r="G312" s="2"/>
    </row>
    <row r="313" spans="2:7">
      <c r="B313" s="2"/>
      <c r="C313" s="2"/>
      <c r="D313" s="2"/>
      <c r="E313" s="2"/>
      <c r="F313" s="2"/>
      <c r="G313" s="2"/>
    </row>
    <row r="314" spans="2:7">
      <c r="B314" s="2"/>
      <c r="C314" s="2"/>
      <c r="D314" s="2"/>
      <c r="E314" s="2"/>
      <c r="F314" s="2"/>
      <c r="G314" s="2"/>
    </row>
    <row r="315" spans="2:7">
      <c r="B315" s="2"/>
      <c r="C315" s="2"/>
      <c r="D315" s="2"/>
      <c r="E315" s="2"/>
      <c r="F315" s="2"/>
      <c r="G315" s="2"/>
    </row>
    <row r="316" spans="2:7">
      <c r="B316" s="2"/>
      <c r="C316" s="2"/>
      <c r="D316" s="2"/>
      <c r="E316" s="2"/>
      <c r="F316" s="2"/>
      <c r="G316" s="2"/>
    </row>
    <row r="317" spans="2:7">
      <c r="B317" s="2"/>
      <c r="C317" s="2"/>
      <c r="D317" s="2"/>
      <c r="E317" s="2"/>
      <c r="F317" s="2"/>
      <c r="G317" s="2"/>
    </row>
    <row r="318" spans="2:7">
      <c r="B318" s="2"/>
      <c r="C318" s="2"/>
      <c r="D318" s="2"/>
      <c r="E318" s="2"/>
      <c r="F318" s="2"/>
      <c r="G318" s="2"/>
    </row>
    <row r="319" spans="2:7">
      <c r="B319" s="2"/>
      <c r="C319" s="2"/>
      <c r="D319" s="2"/>
      <c r="E319" s="2"/>
      <c r="F319" s="2"/>
      <c r="G319" s="2"/>
    </row>
    <row r="320" spans="2:7">
      <c r="B320" s="2"/>
      <c r="C320" s="2"/>
      <c r="D320" s="2"/>
      <c r="E320" s="2"/>
      <c r="F320" s="2"/>
      <c r="G320" s="2"/>
    </row>
    <row r="321" spans="2:7">
      <c r="B321" s="2"/>
      <c r="C321" s="2"/>
      <c r="D321" s="2"/>
      <c r="E321" s="2"/>
      <c r="F321" s="2"/>
      <c r="G321" s="2"/>
    </row>
    <row r="322" spans="2:7">
      <c r="B322" s="2"/>
      <c r="C322" s="2"/>
      <c r="D322" s="2"/>
      <c r="E322" s="2"/>
      <c r="F322" s="2"/>
      <c r="G322" s="2"/>
    </row>
    <row r="323" spans="2:7">
      <c r="B323" s="2"/>
      <c r="C323" s="2"/>
      <c r="D323" s="2"/>
      <c r="E323" s="2"/>
      <c r="F323" s="2"/>
      <c r="G323" s="2"/>
    </row>
    <row r="324" spans="2:7">
      <c r="B324" s="2"/>
      <c r="C324" s="2"/>
      <c r="D324" s="2"/>
      <c r="E324" s="2"/>
      <c r="F324" s="2"/>
      <c r="G324" s="2"/>
    </row>
    <row r="325" spans="2:7">
      <c r="B325" s="2"/>
      <c r="C325" s="2"/>
      <c r="D325" s="2"/>
      <c r="E325" s="2"/>
      <c r="F325" s="2"/>
      <c r="G325" s="2"/>
    </row>
    <row r="326" spans="2:7">
      <c r="B326" s="2"/>
      <c r="C326" s="2"/>
      <c r="D326" s="2"/>
      <c r="E326" s="2"/>
      <c r="F326" s="2"/>
      <c r="G326" s="2"/>
    </row>
    <row r="327" spans="2:7">
      <c r="B327" s="2"/>
      <c r="C327" s="2"/>
      <c r="D327" s="2"/>
      <c r="E327" s="2"/>
      <c r="F327" s="2"/>
      <c r="G327" s="2"/>
    </row>
    <row r="328" spans="2:7">
      <c r="B328" s="2"/>
      <c r="C328" s="2"/>
      <c r="D328" s="2"/>
      <c r="E328" s="2"/>
      <c r="F328" s="2"/>
      <c r="G328" s="2"/>
    </row>
    <row r="329" spans="2:7">
      <c r="B329" s="2"/>
      <c r="C329" s="2"/>
      <c r="D329" s="2"/>
      <c r="E329" s="2"/>
      <c r="F329" s="2"/>
      <c r="G329" s="2"/>
    </row>
    <row r="330" spans="2:7">
      <c r="B330" s="2"/>
      <c r="C330" s="2"/>
      <c r="D330" s="2"/>
      <c r="E330" s="2"/>
      <c r="F330" s="2"/>
      <c r="G330" s="2"/>
    </row>
    <row r="331" spans="2:7">
      <c r="B331" s="2"/>
      <c r="C331" s="2"/>
      <c r="D331" s="2"/>
      <c r="E331" s="2"/>
      <c r="F331" s="2"/>
      <c r="G331" s="2"/>
    </row>
    <row r="332" spans="2:7">
      <c r="B332" s="2"/>
      <c r="C332" s="2"/>
      <c r="D332" s="2"/>
      <c r="E332" s="2"/>
      <c r="F332" s="2"/>
      <c r="G332" s="2"/>
    </row>
    <row r="333" spans="2:7">
      <c r="B333" s="2"/>
      <c r="C333" s="2"/>
      <c r="D333" s="2"/>
      <c r="E333" s="2"/>
      <c r="F333" s="2"/>
      <c r="G333" s="2"/>
    </row>
    <row r="334" spans="2:7">
      <c r="B334" s="2"/>
      <c r="C334" s="2"/>
      <c r="D334" s="2"/>
      <c r="E334" s="2"/>
      <c r="F334" s="2"/>
      <c r="G334" s="2"/>
    </row>
    <row r="335" spans="2:7">
      <c r="B335" s="2"/>
      <c r="C335" s="2"/>
      <c r="D335" s="2"/>
      <c r="E335" s="2"/>
      <c r="F335" s="2"/>
      <c r="G335" s="2"/>
    </row>
    <row r="336" spans="2:7">
      <c r="B336" s="2"/>
      <c r="C336" s="2"/>
      <c r="D336" s="2"/>
      <c r="E336" s="2"/>
      <c r="F336" s="2"/>
      <c r="G336" s="2"/>
    </row>
    <row r="337" spans="2:7">
      <c r="B337" s="2"/>
      <c r="C337" s="2"/>
      <c r="D337" s="2"/>
      <c r="E337" s="2"/>
      <c r="F337" s="2"/>
      <c r="G337" s="2"/>
    </row>
    <row r="338" spans="2:7">
      <c r="B338" s="2"/>
      <c r="C338" s="2"/>
      <c r="D338" s="2"/>
      <c r="E338" s="2"/>
      <c r="F338" s="2"/>
      <c r="G338" s="2"/>
    </row>
    <row r="339" spans="2:7">
      <c r="B339" s="2"/>
      <c r="C339" s="2"/>
      <c r="D339" s="2"/>
      <c r="E339" s="2"/>
      <c r="F339" s="2"/>
      <c r="G339" s="2"/>
    </row>
    <row r="340" spans="2:7">
      <c r="B340" s="2"/>
      <c r="C340" s="2"/>
      <c r="D340" s="2"/>
      <c r="E340" s="2"/>
      <c r="F340" s="2"/>
      <c r="G340" s="2"/>
    </row>
    <row r="341" spans="2:7">
      <c r="B341" s="2"/>
      <c r="C341" s="2"/>
      <c r="D341" s="2"/>
      <c r="E341" s="2"/>
      <c r="F341" s="2"/>
      <c r="G341" s="2"/>
    </row>
    <row r="342" spans="2:7">
      <c r="B342" s="2"/>
      <c r="C342" s="2"/>
      <c r="D342" s="2"/>
      <c r="E342" s="2"/>
      <c r="F342" s="2"/>
      <c r="G342" s="2"/>
    </row>
    <row r="343" spans="2:7">
      <c r="B343" s="2"/>
      <c r="C343" s="2"/>
      <c r="D343" s="2"/>
      <c r="E343" s="2"/>
      <c r="F343" s="2"/>
      <c r="G343" s="2"/>
    </row>
    <row r="344" spans="2:7">
      <c r="B344" s="2"/>
      <c r="C344" s="2"/>
      <c r="D344" s="2"/>
      <c r="E344" s="2"/>
      <c r="F344" s="2"/>
      <c r="G344" s="2"/>
    </row>
    <row r="345" spans="2:7">
      <c r="B345" s="2"/>
      <c r="C345" s="2"/>
      <c r="D345" s="2"/>
      <c r="E345" s="2"/>
      <c r="F345" s="2"/>
      <c r="G345" s="2"/>
    </row>
    <row r="346" spans="2:7">
      <c r="B346" s="2"/>
      <c r="C346" s="2"/>
      <c r="D346" s="2"/>
      <c r="E346" s="2"/>
      <c r="F346" s="2"/>
      <c r="G346" s="2"/>
    </row>
    <row r="347" spans="2:7">
      <c r="B347" s="2"/>
      <c r="C347" s="2"/>
      <c r="D347" s="2"/>
      <c r="E347" s="2"/>
      <c r="F347" s="2"/>
      <c r="G347" s="2"/>
    </row>
    <row r="348" spans="2:7">
      <c r="B348" s="2"/>
      <c r="C348" s="2"/>
      <c r="D348" s="2"/>
      <c r="E348" s="2"/>
      <c r="F348" s="2"/>
      <c r="G348" s="2"/>
    </row>
    <row r="349" spans="2:7">
      <c r="B349" s="2"/>
      <c r="C349" s="2"/>
      <c r="D349" s="2"/>
      <c r="E349" s="2"/>
      <c r="F349" s="2"/>
      <c r="G349" s="2"/>
    </row>
    <row r="350" spans="2:7">
      <c r="B350" s="2"/>
      <c r="C350" s="2"/>
      <c r="D350" s="2"/>
      <c r="E350" s="2"/>
      <c r="F350" s="2"/>
      <c r="G350" s="2"/>
    </row>
    <row r="351" spans="2:7">
      <c r="B351" s="2"/>
      <c r="C351" s="2"/>
      <c r="D351" s="2"/>
      <c r="E351" s="2"/>
      <c r="F351" s="2"/>
      <c r="G351" s="2"/>
    </row>
    <row r="352" spans="2:7">
      <c r="B352" s="2"/>
      <c r="C352" s="2"/>
      <c r="D352" s="2"/>
      <c r="E352" s="2"/>
      <c r="F352" s="2"/>
      <c r="G352" s="2"/>
    </row>
    <row r="353" spans="2:7">
      <c r="B353" s="2"/>
      <c r="C353" s="2"/>
      <c r="D353" s="2"/>
      <c r="E353" s="2"/>
      <c r="F353" s="2"/>
      <c r="G353" s="2"/>
    </row>
    <row r="354" spans="2:7">
      <c r="B354" s="2"/>
      <c r="C354" s="2"/>
      <c r="D354" s="2"/>
      <c r="E354" s="2"/>
      <c r="F354" s="2"/>
      <c r="G354" s="2"/>
    </row>
    <row r="355" spans="2:7">
      <c r="B355" s="2"/>
      <c r="C355" s="2"/>
      <c r="D355" s="2"/>
      <c r="E355" s="2"/>
      <c r="F355" s="2"/>
      <c r="G355" s="2"/>
    </row>
    <row r="356" spans="2:7">
      <c r="B356" s="2"/>
      <c r="C356" s="2"/>
      <c r="D356" s="2"/>
      <c r="E356" s="2"/>
      <c r="F356" s="2"/>
      <c r="G356" s="2"/>
    </row>
    <row r="357" spans="2:7">
      <c r="B357" s="2"/>
      <c r="C357" s="2"/>
      <c r="D357" s="2"/>
      <c r="E357" s="2"/>
      <c r="F357" s="2"/>
      <c r="G357" s="2"/>
    </row>
    <row r="358" spans="2:7">
      <c r="B358" s="2"/>
      <c r="C358" s="2"/>
      <c r="D358" s="2"/>
      <c r="E358" s="2"/>
      <c r="F358" s="2"/>
      <c r="G358" s="2"/>
    </row>
    <row r="359" spans="2:7">
      <c r="B359" s="2"/>
      <c r="C359" s="2"/>
      <c r="D359" s="2"/>
      <c r="E359" s="2"/>
      <c r="F359" s="2"/>
      <c r="G359" s="2"/>
    </row>
    <row r="360" spans="2:7">
      <c r="B360" s="2"/>
      <c r="C360" s="2"/>
      <c r="D360" s="2"/>
      <c r="E360" s="2"/>
      <c r="F360" s="2"/>
      <c r="G360" s="2"/>
    </row>
    <row r="361" spans="2:7">
      <c r="B361" s="2"/>
      <c r="C361" s="2"/>
      <c r="D361" s="2"/>
      <c r="E361" s="2"/>
      <c r="F361" s="2"/>
      <c r="G361" s="2"/>
    </row>
    <row r="362" spans="2:7">
      <c r="B362" s="2"/>
      <c r="C362" s="2"/>
      <c r="D362" s="2"/>
      <c r="E362" s="2"/>
      <c r="F362" s="2"/>
      <c r="G362" s="2"/>
    </row>
    <row r="363" spans="2:7">
      <c r="B363" s="2"/>
      <c r="C363" s="2"/>
      <c r="D363" s="2"/>
      <c r="E363" s="2"/>
      <c r="F363" s="2"/>
      <c r="G363" s="2"/>
    </row>
    <row r="364" spans="2:7">
      <c r="B364" s="2"/>
      <c r="C364" s="2"/>
      <c r="D364" s="2"/>
      <c r="E364" s="2"/>
      <c r="F364" s="2"/>
      <c r="G364" s="2"/>
    </row>
    <row r="365" spans="2:7">
      <c r="B365" s="2"/>
      <c r="C365" s="2"/>
      <c r="D365" s="2"/>
      <c r="E365" s="2"/>
      <c r="F365" s="2"/>
      <c r="G365" s="2"/>
    </row>
    <row r="366" spans="2:7">
      <c r="B366" s="2"/>
      <c r="C366" s="2"/>
      <c r="D366" s="2"/>
      <c r="E366" s="2"/>
      <c r="F366" s="2"/>
      <c r="G366" s="2"/>
    </row>
    <row r="367" spans="2:7">
      <c r="B367" s="2"/>
      <c r="C367" s="2"/>
      <c r="D367" s="2"/>
      <c r="E367" s="2"/>
      <c r="F367" s="2"/>
      <c r="G367" s="2"/>
    </row>
    <row r="368" spans="2:7">
      <c r="B368" s="2"/>
      <c r="C368" s="2"/>
      <c r="D368" s="2"/>
      <c r="E368" s="2"/>
      <c r="F368" s="2"/>
      <c r="G368" s="2"/>
    </row>
    <row r="369" spans="2:7">
      <c r="B369" s="2"/>
      <c r="C369" s="2"/>
      <c r="D369" s="2"/>
      <c r="E369" s="2"/>
      <c r="F369" s="2"/>
      <c r="G369" s="2"/>
    </row>
    <row r="370" spans="2:7">
      <c r="B370" s="2"/>
      <c r="C370" s="2"/>
      <c r="D370" s="2"/>
      <c r="E370" s="2"/>
      <c r="F370" s="2"/>
      <c r="G370" s="2"/>
    </row>
    <row r="371" spans="2:7">
      <c r="B371" s="2"/>
      <c r="C371" s="2"/>
      <c r="D371" s="2"/>
      <c r="E371" s="2"/>
      <c r="F371" s="2"/>
      <c r="G371" s="2"/>
    </row>
    <row r="372" spans="2:7">
      <c r="B372" s="2"/>
      <c r="C372" s="2"/>
      <c r="D372" s="2"/>
      <c r="E372" s="2"/>
      <c r="F372" s="2"/>
      <c r="G372" s="2"/>
    </row>
    <row r="373" spans="2:7">
      <c r="B373" s="2"/>
      <c r="C373" s="2"/>
      <c r="D373" s="2"/>
      <c r="E373" s="2"/>
      <c r="F373" s="2"/>
      <c r="G373" s="2"/>
    </row>
    <row r="374" spans="2:7">
      <c r="B374" s="2"/>
      <c r="C374" s="2"/>
      <c r="D374" s="2"/>
      <c r="E374" s="2"/>
      <c r="F374" s="2"/>
      <c r="G374" s="2"/>
    </row>
    <row r="375" spans="2:7">
      <c r="B375" s="2"/>
      <c r="C375" s="2"/>
      <c r="D375" s="2"/>
      <c r="E375" s="2"/>
      <c r="F375" s="2"/>
      <c r="G375" s="2"/>
    </row>
    <row r="376" spans="2:7">
      <c r="B376" s="2"/>
      <c r="C376" s="2"/>
      <c r="D376" s="2"/>
      <c r="E376" s="2"/>
      <c r="F376" s="2"/>
      <c r="G376" s="2"/>
    </row>
    <row r="377" spans="2:7">
      <c r="B377" s="2"/>
      <c r="C377" s="2"/>
      <c r="D377" s="2"/>
      <c r="E377" s="2"/>
      <c r="F377" s="2"/>
      <c r="G377" s="2"/>
    </row>
    <row r="378" spans="2:7">
      <c r="B378" s="2"/>
      <c r="C378" s="2"/>
      <c r="D378" s="2"/>
      <c r="E378" s="2"/>
      <c r="F378" s="2"/>
      <c r="G378" s="2"/>
    </row>
    <row r="379" spans="2:7">
      <c r="B379" s="2"/>
      <c r="C379" s="2"/>
      <c r="D379" s="2"/>
      <c r="E379" s="2"/>
      <c r="F379" s="2"/>
      <c r="G379" s="2"/>
    </row>
    <row r="380" spans="2:7">
      <c r="B380" s="2"/>
      <c r="C380" s="2"/>
      <c r="D380" s="2"/>
      <c r="E380" s="2"/>
      <c r="F380" s="2"/>
      <c r="G380" s="2"/>
    </row>
    <row r="381" spans="2:7">
      <c r="B381" s="2"/>
      <c r="C381" s="2"/>
      <c r="D381" s="2"/>
      <c r="E381" s="2"/>
      <c r="F381" s="2"/>
      <c r="G381" s="2"/>
    </row>
    <row r="382" spans="2:7">
      <c r="B382" s="2"/>
      <c r="C382" s="2"/>
      <c r="D382" s="2"/>
      <c r="E382" s="2"/>
      <c r="F382" s="2"/>
      <c r="G382" s="2"/>
    </row>
    <row r="383" spans="2:7">
      <c r="B383" s="2"/>
      <c r="C383" s="2"/>
      <c r="D383" s="2"/>
      <c r="E383" s="2"/>
      <c r="F383" s="2"/>
      <c r="G383" s="2"/>
    </row>
    <row r="384" spans="2:7">
      <c r="B384" s="2"/>
      <c r="C384" s="2"/>
      <c r="D384" s="2"/>
      <c r="E384" s="2"/>
      <c r="F384" s="2"/>
      <c r="G384" s="2"/>
    </row>
    <row r="385" spans="2:7">
      <c r="B385" s="2"/>
      <c r="C385" s="2"/>
      <c r="D385" s="2"/>
      <c r="E385" s="2"/>
      <c r="F385" s="2"/>
      <c r="G385" s="2"/>
    </row>
    <row r="386" spans="2:7">
      <c r="B386" s="2"/>
      <c r="C386" s="2"/>
      <c r="D386" s="2"/>
      <c r="E386" s="2"/>
      <c r="F386" s="2"/>
      <c r="G386" s="2"/>
    </row>
    <row r="387" spans="2:7">
      <c r="B387" s="2"/>
      <c r="C387" s="2"/>
      <c r="D387" s="2"/>
      <c r="E387" s="2"/>
      <c r="F387" s="2"/>
      <c r="G387" s="2"/>
    </row>
    <row r="388" spans="2:7">
      <c r="B388" s="2"/>
      <c r="C388" s="2"/>
      <c r="D388" s="2"/>
      <c r="E388" s="2"/>
      <c r="F388" s="2"/>
      <c r="G388" s="2"/>
    </row>
    <row r="389" spans="2:7">
      <c r="B389" s="2"/>
      <c r="C389" s="2"/>
      <c r="D389" s="2"/>
      <c r="E389" s="2"/>
      <c r="F389" s="2"/>
      <c r="G389" s="2"/>
    </row>
    <row r="390" spans="2:7">
      <c r="B390" s="2"/>
      <c r="C390" s="2"/>
      <c r="D390" s="2"/>
      <c r="E390" s="2"/>
      <c r="F390" s="2"/>
      <c r="G390" s="2"/>
    </row>
    <row r="391" spans="2:7">
      <c r="B391" s="2"/>
      <c r="C391" s="2"/>
      <c r="D391" s="2"/>
      <c r="E391" s="2"/>
      <c r="F391" s="2"/>
      <c r="G391" s="2"/>
    </row>
    <row r="392" spans="2:7">
      <c r="B392" s="2"/>
      <c r="C392" s="2"/>
      <c r="D392" s="2"/>
      <c r="E392" s="2"/>
      <c r="F392" s="2"/>
      <c r="G392" s="2"/>
    </row>
    <row r="393" spans="2:7">
      <c r="B393" s="2"/>
      <c r="C393" s="2"/>
      <c r="D393" s="2"/>
      <c r="E393" s="2"/>
      <c r="F393" s="2"/>
      <c r="G393" s="2"/>
    </row>
    <row r="394" spans="2:7">
      <c r="B394" s="2"/>
      <c r="C394" s="2"/>
      <c r="D394" s="2"/>
      <c r="E394" s="2"/>
      <c r="F394" s="2"/>
      <c r="G394" s="2"/>
    </row>
    <row r="395" spans="2:7">
      <c r="B395" s="2"/>
      <c r="C395" s="2"/>
      <c r="D395" s="2"/>
      <c r="E395" s="2"/>
      <c r="F395" s="2"/>
      <c r="G395" s="2"/>
    </row>
    <row r="396" spans="2:7">
      <c r="B396" s="2"/>
      <c r="C396" s="2"/>
      <c r="D396" s="2"/>
      <c r="E396" s="2"/>
      <c r="F396" s="2"/>
      <c r="G396" s="2"/>
    </row>
    <row r="397" spans="2:7">
      <c r="B397" s="2"/>
      <c r="C397" s="2"/>
      <c r="D397" s="2"/>
      <c r="E397" s="2"/>
      <c r="F397" s="2"/>
      <c r="G397" s="2"/>
    </row>
    <row r="398" spans="2:7">
      <c r="B398" s="2"/>
      <c r="C398" s="2"/>
      <c r="D398" s="2"/>
      <c r="E398" s="2"/>
      <c r="F398" s="2"/>
      <c r="G398" s="2"/>
    </row>
    <row r="399" spans="2:7">
      <c r="B399" s="2"/>
      <c r="C399" s="2"/>
      <c r="D399" s="2"/>
      <c r="E399" s="2"/>
      <c r="F399" s="2"/>
      <c r="G399" s="2"/>
    </row>
    <row r="400" spans="2:7">
      <c r="B400" s="2"/>
      <c r="C400" s="2"/>
      <c r="D400" s="2"/>
      <c r="E400" s="2"/>
      <c r="F400" s="2"/>
      <c r="G400" s="2"/>
    </row>
    <row r="401" spans="2:7">
      <c r="B401" s="2"/>
      <c r="C401" s="2"/>
      <c r="D401" s="2"/>
      <c r="E401" s="2"/>
      <c r="F401" s="2"/>
      <c r="G401" s="2"/>
    </row>
    <row r="402" spans="2:7">
      <c r="B402" s="2"/>
      <c r="C402" s="2"/>
      <c r="D402" s="2"/>
      <c r="E402" s="2"/>
      <c r="F402" s="2"/>
      <c r="G402" s="2"/>
    </row>
    <row r="403" spans="2:7">
      <c r="B403" s="2"/>
      <c r="C403" s="2"/>
      <c r="D403" s="2"/>
      <c r="E403" s="2"/>
      <c r="F403" s="2"/>
      <c r="G403" s="2"/>
    </row>
    <row r="404" spans="2:7">
      <c r="B404" s="2"/>
      <c r="C404" s="2"/>
      <c r="D404" s="2"/>
      <c r="E404" s="2"/>
      <c r="F404" s="2"/>
      <c r="G404" s="2"/>
    </row>
    <row r="405" spans="2:7">
      <c r="B405" s="2"/>
      <c r="C405" s="2"/>
      <c r="D405" s="2"/>
      <c r="E405" s="2"/>
      <c r="F405" s="2"/>
      <c r="G405" s="2"/>
    </row>
    <row r="406" spans="2:7">
      <c r="B406" s="2"/>
      <c r="C406" s="2"/>
      <c r="D406" s="2"/>
      <c r="E406" s="2"/>
      <c r="F406" s="2"/>
      <c r="G406" s="2"/>
    </row>
    <row r="407" spans="2:7">
      <c r="B407" s="2"/>
      <c r="C407" s="2"/>
      <c r="D407" s="2"/>
      <c r="E407" s="2"/>
      <c r="F407" s="2"/>
      <c r="G407" s="2"/>
    </row>
    <row r="408" spans="2:7">
      <c r="B408" s="2"/>
      <c r="C408" s="2"/>
      <c r="D408" s="2"/>
      <c r="E408" s="2"/>
      <c r="F408" s="2"/>
      <c r="G408" s="2"/>
    </row>
    <row r="409" spans="2:7">
      <c r="B409" s="2"/>
      <c r="C409" s="2"/>
      <c r="D409" s="2"/>
      <c r="E409" s="2"/>
      <c r="F409" s="2"/>
      <c r="G409" s="2"/>
    </row>
    <row r="410" spans="2:7">
      <c r="B410" s="2"/>
      <c r="C410" s="2"/>
      <c r="D410" s="2"/>
      <c r="E410" s="2"/>
      <c r="F410" s="2"/>
      <c r="G410" s="2"/>
    </row>
    <row r="411" spans="2:7">
      <c r="B411" s="2"/>
      <c r="C411" s="2"/>
      <c r="D411" s="2"/>
      <c r="E411" s="2"/>
      <c r="F411" s="2"/>
      <c r="G411" s="2"/>
    </row>
    <row r="412" spans="2:7">
      <c r="B412" s="2"/>
      <c r="C412" s="2"/>
      <c r="D412" s="2"/>
      <c r="E412" s="2"/>
      <c r="F412" s="2"/>
      <c r="G412" s="2"/>
    </row>
    <row r="413" spans="2:7">
      <c r="B413" s="2"/>
      <c r="C413" s="2"/>
      <c r="D413" s="2"/>
      <c r="E413" s="2"/>
      <c r="F413" s="2"/>
      <c r="G413" s="2"/>
    </row>
    <row r="414" spans="2:7">
      <c r="B414" s="2"/>
      <c r="C414" s="2"/>
      <c r="D414" s="2"/>
      <c r="E414" s="2"/>
      <c r="F414" s="2"/>
      <c r="G414" s="2"/>
    </row>
    <row r="415" spans="2:7">
      <c r="B415" s="2"/>
      <c r="C415" s="2"/>
      <c r="D415" s="2"/>
      <c r="E415" s="2"/>
      <c r="F415" s="2"/>
      <c r="G415" s="2"/>
    </row>
    <row r="416" spans="2:7">
      <c r="B416" s="2"/>
      <c r="C416" s="2"/>
      <c r="D416" s="2"/>
      <c r="E416" s="2"/>
      <c r="F416" s="2"/>
      <c r="G416" s="2"/>
    </row>
    <row r="417" spans="2:7">
      <c r="B417" s="2"/>
      <c r="C417" s="2"/>
      <c r="D417" s="2"/>
      <c r="E417" s="2"/>
      <c r="F417" s="2"/>
      <c r="G417" s="2"/>
    </row>
    <row r="418" spans="2:7">
      <c r="B418" s="2"/>
      <c r="C418" s="2"/>
      <c r="D418" s="2"/>
      <c r="E418" s="2"/>
      <c r="F418" s="2"/>
      <c r="G418" s="2"/>
    </row>
    <row r="419" spans="2:7">
      <c r="B419" s="2"/>
      <c r="C419" s="2"/>
      <c r="D419" s="2"/>
      <c r="E419" s="2"/>
      <c r="F419" s="2"/>
      <c r="G419" s="2"/>
    </row>
    <row r="420" spans="2:7">
      <c r="B420" s="2"/>
      <c r="C420" s="2"/>
      <c r="D420" s="2"/>
      <c r="E420" s="2"/>
      <c r="F420" s="2"/>
      <c r="G420" s="2"/>
    </row>
    <row r="421" spans="2:7">
      <c r="B421" s="2"/>
      <c r="C421" s="2"/>
      <c r="D421" s="2"/>
      <c r="E421" s="2"/>
      <c r="F421" s="2"/>
      <c r="G421" s="2"/>
    </row>
    <row r="422" spans="2:7">
      <c r="B422" s="2"/>
      <c r="C422" s="2"/>
      <c r="D422" s="2"/>
      <c r="E422" s="2"/>
      <c r="F422" s="2"/>
      <c r="G422" s="2"/>
    </row>
    <row r="423" spans="2:7">
      <c r="B423" s="2"/>
      <c r="C423" s="2"/>
      <c r="D423" s="2"/>
      <c r="E423" s="2"/>
      <c r="F423" s="2"/>
      <c r="G423" s="2"/>
    </row>
    <row r="424" spans="2:7">
      <c r="B424" s="2"/>
      <c r="C424" s="2"/>
      <c r="D424" s="2"/>
      <c r="E424" s="2"/>
      <c r="F424" s="2"/>
      <c r="G424" s="2"/>
    </row>
    <row r="425" spans="2:7">
      <c r="B425" s="2"/>
      <c r="C425" s="2"/>
      <c r="D425" s="2"/>
      <c r="E425" s="2"/>
      <c r="F425" s="2"/>
      <c r="G425" s="2"/>
    </row>
    <row r="426" spans="2:7">
      <c r="B426" s="2"/>
      <c r="C426" s="2"/>
      <c r="D426" s="2"/>
      <c r="E426" s="2"/>
      <c r="F426" s="2"/>
      <c r="G426" s="2"/>
    </row>
    <row r="427" spans="2:7">
      <c r="B427" s="2"/>
      <c r="C427" s="2"/>
      <c r="D427" s="2"/>
      <c r="E427" s="2"/>
      <c r="F427" s="2"/>
      <c r="G427" s="2"/>
    </row>
    <row r="428" spans="2:7">
      <c r="B428" s="2"/>
      <c r="C428" s="2"/>
      <c r="D428" s="2"/>
      <c r="E428" s="2"/>
      <c r="F428" s="2"/>
      <c r="G428" s="2"/>
    </row>
    <row r="429" spans="2:7">
      <c r="B429" s="2"/>
      <c r="C429" s="2"/>
      <c r="D429" s="2"/>
      <c r="E429" s="2"/>
      <c r="F429" s="2"/>
      <c r="G429" s="2"/>
    </row>
    <row r="430" spans="2:7">
      <c r="B430" s="2"/>
      <c r="C430" s="2"/>
      <c r="D430" s="2"/>
      <c r="E430" s="2"/>
      <c r="F430" s="2"/>
      <c r="G430" s="2"/>
    </row>
    <row r="431" spans="2:7">
      <c r="B431" s="2"/>
      <c r="C431" s="2"/>
      <c r="D431" s="2"/>
      <c r="E431" s="2"/>
      <c r="F431" s="2"/>
      <c r="G431" s="2"/>
    </row>
    <row r="432" spans="2:7">
      <c r="B432" s="2"/>
      <c r="C432" s="2"/>
      <c r="D432" s="2"/>
      <c r="E432" s="2"/>
      <c r="F432" s="2"/>
      <c r="G432" s="2"/>
    </row>
    <row r="433" spans="2:7">
      <c r="B433" s="2"/>
      <c r="C433" s="2"/>
      <c r="D433" s="2"/>
      <c r="E433" s="2"/>
      <c r="F433" s="2"/>
      <c r="G433" s="2"/>
    </row>
    <row r="434" spans="2:7">
      <c r="B434" s="2"/>
      <c r="C434" s="2"/>
      <c r="D434" s="2"/>
      <c r="E434" s="2"/>
      <c r="F434" s="2"/>
      <c r="G434" s="2"/>
    </row>
    <row r="435" spans="2:7">
      <c r="B435" s="2"/>
      <c r="C435" s="2"/>
      <c r="D435" s="2"/>
      <c r="E435" s="2"/>
      <c r="F435" s="2"/>
      <c r="G435" s="2"/>
    </row>
    <row r="436" spans="2:7">
      <c r="B436" s="2"/>
      <c r="C436" s="2"/>
      <c r="D436" s="2"/>
      <c r="E436" s="2"/>
      <c r="F436" s="2"/>
      <c r="G436" s="2"/>
    </row>
    <row r="437" spans="2:7">
      <c r="B437" s="2"/>
      <c r="C437" s="2"/>
      <c r="D437" s="2"/>
      <c r="E437" s="2"/>
      <c r="F437" s="2"/>
      <c r="G437" s="2"/>
    </row>
    <row r="438" spans="2:7">
      <c r="B438" s="2"/>
      <c r="C438" s="2"/>
      <c r="D438" s="2"/>
      <c r="E438" s="2"/>
      <c r="F438" s="2"/>
      <c r="G438" s="2"/>
    </row>
    <row r="439" spans="2:7">
      <c r="B439" s="2"/>
      <c r="C439" s="2"/>
      <c r="D439" s="2"/>
      <c r="E439" s="2"/>
      <c r="F439" s="2"/>
      <c r="G439" s="2"/>
    </row>
    <row r="440" spans="2:7">
      <c r="B440" s="2"/>
      <c r="C440" s="2"/>
      <c r="D440" s="2"/>
      <c r="E440" s="2"/>
      <c r="F440" s="2"/>
      <c r="G440" s="2"/>
    </row>
    <row r="441" spans="2:7">
      <c r="B441" s="2"/>
      <c r="C441" s="2"/>
      <c r="D441" s="2"/>
      <c r="E441" s="2"/>
      <c r="F441" s="2"/>
      <c r="G441" s="2"/>
    </row>
    <row r="442" spans="2:7">
      <c r="B442" s="2"/>
      <c r="C442" s="2"/>
      <c r="D442" s="2"/>
      <c r="E442" s="2"/>
      <c r="F442" s="2"/>
      <c r="G442" s="2"/>
    </row>
    <row r="443" spans="2:7">
      <c r="B443" s="2"/>
      <c r="C443" s="2"/>
      <c r="D443" s="2"/>
      <c r="E443" s="2"/>
      <c r="F443" s="2"/>
      <c r="G443" s="2"/>
    </row>
    <row r="444" spans="2:7">
      <c r="B444" s="2"/>
      <c r="C444" s="2"/>
      <c r="D444" s="2"/>
      <c r="E444" s="2"/>
      <c r="F444" s="2"/>
      <c r="G444" s="2"/>
    </row>
    <row r="445" spans="2:7">
      <c r="B445" s="2"/>
      <c r="C445" s="2"/>
      <c r="D445" s="2"/>
      <c r="E445" s="2"/>
      <c r="F445" s="2"/>
      <c r="G445" s="2"/>
    </row>
    <row r="446" spans="2:7">
      <c r="B446" s="2"/>
      <c r="C446" s="2"/>
      <c r="D446" s="2"/>
      <c r="E446" s="2"/>
      <c r="F446" s="2"/>
      <c r="G446" s="2"/>
    </row>
    <row r="447" spans="2:7">
      <c r="B447" s="2"/>
      <c r="C447" s="2"/>
      <c r="D447" s="2"/>
      <c r="E447" s="2"/>
      <c r="F447" s="2"/>
      <c r="G447" s="2"/>
    </row>
    <row r="448" spans="2:7">
      <c r="B448" s="2"/>
      <c r="C448" s="2"/>
      <c r="D448" s="2"/>
      <c r="E448" s="2"/>
      <c r="F448" s="2"/>
      <c r="G448" s="2"/>
    </row>
    <row r="449" spans="2:7">
      <c r="B449" s="2"/>
      <c r="C449" s="2"/>
      <c r="D449" s="2"/>
      <c r="E449" s="2"/>
      <c r="F449" s="2"/>
      <c r="G449" s="2"/>
    </row>
    <row r="450" spans="2:7">
      <c r="B450" s="2"/>
      <c r="C450" s="2"/>
      <c r="D450" s="2"/>
      <c r="E450" s="2"/>
      <c r="F450" s="2"/>
      <c r="G450" s="2"/>
    </row>
    <row r="451" spans="2:7">
      <c r="B451" s="2"/>
      <c r="C451" s="2"/>
      <c r="D451" s="2"/>
      <c r="E451" s="2"/>
      <c r="F451" s="2"/>
      <c r="G451" s="2"/>
    </row>
    <row r="452" spans="2:7">
      <c r="B452" s="2"/>
      <c r="C452" s="2"/>
      <c r="D452" s="2"/>
      <c r="E452" s="2"/>
      <c r="F452" s="2"/>
      <c r="G452" s="2"/>
    </row>
    <row r="453" spans="2:7">
      <c r="B453" s="2"/>
      <c r="C453" s="2"/>
      <c r="D453" s="2"/>
      <c r="E453" s="2"/>
      <c r="F453" s="2"/>
      <c r="G453" s="2"/>
    </row>
    <row r="454" spans="2:7">
      <c r="B454" s="2"/>
      <c r="C454" s="2"/>
      <c r="D454" s="2"/>
      <c r="E454" s="2"/>
      <c r="F454" s="2"/>
      <c r="G454" s="2"/>
    </row>
    <row r="455" spans="2:7">
      <c r="B455" s="2"/>
      <c r="C455" s="2"/>
      <c r="D455" s="2"/>
      <c r="E455" s="2"/>
      <c r="F455" s="2"/>
      <c r="G455" s="2"/>
    </row>
    <row r="456" spans="2:7">
      <c r="B456" s="2"/>
      <c r="C456" s="2"/>
      <c r="D456" s="2"/>
      <c r="E456" s="2"/>
      <c r="F456" s="2"/>
      <c r="G456" s="2"/>
    </row>
    <row r="457" spans="2:7">
      <c r="B457" s="2"/>
      <c r="C457" s="2"/>
      <c r="D457" s="2"/>
      <c r="E457" s="2"/>
      <c r="F457" s="2"/>
      <c r="G457" s="2"/>
    </row>
    <row r="458" spans="2:7">
      <c r="B458" s="2"/>
      <c r="C458" s="2"/>
      <c r="D458" s="2"/>
      <c r="E458" s="2"/>
      <c r="F458" s="2"/>
      <c r="G458" s="2"/>
    </row>
    <row r="459" spans="2:7">
      <c r="B459" s="2"/>
      <c r="C459" s="2"/>
      <c r="D459" s="2"/>
      <c r="E459" s="2"/>
      <c r="F459" s="2"/>
      <c r="G459" s="2"/>
    </row>
    <row r="460" spans="2:7">
      <c r="B460" s="2"/>
      <c r="C460" s="2"/>
      <c r="D460" s="2"/>
      <c r="E460" s="2"/>
      <c r="F460" s="2"/>
      <c r="G460" s="2"/>
    </row>
    <row r="461" spans="2:7">
      <c r="B461" s="2"/>
      <c r="C461" s="2"/>
      <c r="D461" s="2"/>
      <c r="E461" s="2"/>
      <c r="F461" s="2"/>
      <c r="G461" s="2"/>
    </row>
    <row r="462" spans="2:7">
      <c r="B462" s="2"/>
      <c r="C462" s="2"/>
      <c r="D462" s="2"/>
      <c r="E462" s="2"/>
      <c r="F462" s="2"/>
      <c r="G462" s="2"/>
    </row>
    <row r="463" spans="2:7">
      <c r="B463" s="2"/>
      <c r="C463" s="2"/>
      <c r="D463" s="2"/>
      <c r="E463" s="2"/>
      <c r="F463" s="2"/>
      <c r="G463" s="2"/>
    </row>
    <row r="464" spans="2:7">
      <c r="B464" s="2"/>
      <c r="C464" s="2"/>
      <c r="D464" s="2"/>
      <c r="E464" s="2"/>
      <c r="F464" s="2"/>
      <c r="G464" s="2"/>
    </row>
    <row r="465" spans="2:7">
      <c r="B465" s="2"/>
      <c r="C465" s="2"/>
      <c r="D465" s="2"/>
      <c r="E465" s="2"/>
      <c r="F465" s="2"/>
      <c r="G465" s="2"/>
    </row>
    <row r="466" spans="2:7">
      <c r="B466" s="2"/>
      <c r="C466" s="2"/>
      <c r="D466" s="2"/>
      <c r="E466" s="2"/>
      <c r="F466" s="2"/>
      <c r="G466" s="2"/>
    </row>
    <row r="467" spans="2:7">
      <c r="B467" s="2"/>
      <c r="C467" s="2"/>
      <c r="D467" s="2"/>
      <c r="E467" s="2"/>
      <c r="F467" s="2"/>
      <c r="G467" s="2"/>
    </row>
    <row r="468" spans="2:7">
      <c r="B468" s="2"/>
      <c r="C468" s="2"/>
      <c r="D468" s="2"/>
      <c r="E468" s="2"/>
      <c r="F468" s="2"/>
      <c r="G468" s="2"/>
    </row>
    <row r="469" spans="2:7">
      <c r="B469" s="2"/>
      <c r="C469" s="2"/>
      <c r="D469" s="2"/>
      <c r="E469" s="2"/>
      <c r="F469" s="2"/>
      <c r="G469" s="2"/>
    </row>
    <row r="470" spans="2:7">
      <c r="B470" s="2"/>
      <c r="C470" s="2"/>
      <c r="D470" s="2"/>
      <c r="E470" s="2"/>
      <c r="F470" s="2"/>
      <c r="G470" s="2"/>
    </row>
    <row r="471" spans="2:7">
      <c r="B471" s="2"/>
      <c r="C471" s="2"/>
      <c r="D471" s="2"/>
      <c r="E471" s="2"/>
      <c r="F471" s="2"/>
      <c r="G471" s="2"/>
    </row>
    <row r="472" spans="2:7">
      <c r="B472" s="2"/>
      <c r="C472" s="2"/>
      <c r="D472" s="2"/>
      <c r="E472" s="2"/>
      <c r="F472" s="2"/>
      <c r="G472" s="2"/>
    </row>
    <row r="473" spans="2:7">
      <c r="B473" s="2"/>
      <c r="C473" s="2"/>
      <c r="D473" s="2"/>
      <c r="E473" s="2"/>
      <c r="F473" s="2"/>
      <c r="G473" s="2"/>
    </row>
    <row r="474" spans="2:7">
      <c r="B474" s="2"/>
      <c r="C474" s="2"/>
      <c r="D474" s="2"/>
      <c r="E474" s="2"/>
      <c r="F474" s="2"/>
      <c r="G474" s="2"/>
    </row>
    <row r="475" spans="2:7">
      <c r="B475" s="2"/>
      <c r="C475" s="2"/>
      <c r="D475" s="2"/>
      <c r="E475" s="2"/>
      <c r="F475" s="2"/>
      <c r="G475" s="2"/>
    </row>
    <row r="476" spans="2:7">
      <c r="B476" s="2"/>
      <c r="C476" s="2"/>
      <c r="D476" s="2"/>
      <c r="E476" s="2"/>
      <c r="F476" s="2"/>
      <c r="G476" s="2"/>
    </row>
    <row r="477" spans="2:7">
      <c r="B477" s="2"/>
      <c r="C477" s="2"/>
      <c r="D477" s="2"/>
      <c r="E477" s="2"/>
      <c r="F477" s="2"/>
      <c r="G477" s="2"/>
    </row>
    <row r="478" spans="2:7">
      <c r="B478" s="2"/>
      <c r="C478" s="2"/>
      <c r="D478" s="2"/>
      <c r="E478" s="2"/>
      <c r="F478" s="2"/>
      <c r="G478" s="2"/>
    </row>
    <row r="479" spans="2:7">
      <c r="B479" s="2"/>
      <c r="C479" s="2"/>
      <c r="D479" s="2"/>
      <c r="E479" s="2"/>
      <c r="F479" s="2"/>
      <c r="G479" s="2"/>
    </row>
    <row r="480" spans="2:7">
      <c r="B480" s="2"/>
      <c r="C480" s="2"/>
      <c r="D480" s="2"/>
      <c r="E480" s="2"/>
      <c r="F480" s="2"/>
      <c r="G480" s="2"/>
    </row>
    <row r="481" spans="2:7">
      <c r="B481" s="2"/>
      <c r="C481" s="2"/>
      <c r="D481" s="2"/>
      <c r="E481" s="2"/>
      <c r="F481" s="2"/>
      <c r="G481" s="2"/>
    </row>
    <row r="482" spans="2:7">
      <c r="B482" s="2"/>
      <c r="C482" s="2"/>
      <c r="D482" s="2"/>
      <c r="E482" s="2"/>
      <c r="F482" s="2"/>
      <c r="G482" s="2"/>
    </row>
    <row r="483" spans="2:7">
      <c r="B483" s="2"/>
      <c r="C483" s="2"/>
      <c r="D483" s="2"/>
      <c r="E483" s="2"/>
      <c r="F483" s="2"/>
      <c r="G483" s="2"/>
    </row>
    <row r="484" spans="2:7">
      <c r="B484" s="2"/>
      <c r="C484" s="2"/>
      <c r="D484" s="2"/>
      <c r="E484" s="2"/>
      <c r="F484" s="2"/>
      <c r="G484" s="2"/>
    </row>
    <row r="485" spans="2:7">
      <c r="B485" s="2"/>
      <c r="C485" s="2"/>
      <c r="D485" s="2"/>
      <c r="E485" s="2"/>
      <c r="F485" s="2"/>
      <c r="G485" s="2"/>
    </row>
    <row r="486" spans="2:7">
      <c r="B486" s="2"/>
      <c r="C486" s="2"/>
      <c r="D486" s="2"/>
      <c r="E486" s="2"/>
      <c r="F486" s="2"/>
      <c r="G486" s="2"/>
    </row>
    <row r="487" spans="2:7">
      <c r="B487" s="2"/>
      <c r="C487" s="2"/>
      <c r="D487" s="2"/>
      <c r="E487" s="2"/>
      <c r="F487" s="2"/>
      <c r="G487" s="2"/>
    </row>
    <row r="488" spans="2:7">
      <c r="B488" s="2"/>
      <c r="C488" s="2"/>
      <c r="D488" s="2"/>
      <c r="E488" s="2"/>
      <c r="F488" s="2"/>
      <c r="G488" s="2"/>
    </row>
    <row r="489" spans="2:7">
      <c r="B489" s="2"/>
      <c r="C489" s="2"/>
      <c r="D489" s="2"/>
      <c r="E489" s="2"/>
      <c r="F489" s="2"/>
      <c r="G489" s="2"/>
    </row>
    <row r="490" spans="2:7">
      <c r="B490" s="2"/>
      <c r="C490" s="2"/>
      <c r="D490" s="2"/>
      <c r="E490" s="2"/>
      <c r="F490" s="2"/>
      <c r="G490" s="2"/>
    </row>
    <row r="491" spans="2:7">
      <c r="B491" s="2"/>
      <c r="C491" s="2"/>
      <c r="D491" s="2"/>
      <c r="E491" s="2"/>
      <c r="F491" s="2"/>
      <c r="G491" s="2"/>
    </row>
    <row r="492" spans="2:7">
      <c r="B492" s="2"/>
      <c r="C492" s="2"/>
      <c r="D492" s="2"/>
      <c r="E492" s="2"/>
      <c r="F492" s="2"/>
      <c r="G492" s="2"/>
    </row>
    <row r="493" spans="2:7">
      <c r="B493" s="2"/>
      <c r="C493" s="2"/>
      <c r="D493" s="2"/>
      <c r="E493" s="2"/>
      <c r="F493" s="2"/>
      <c r="G493" s="2"/>
    </row>
    <row r="494" spans="2:7">
      <c r="B494" s="2"/>
      <c r="C494" s="2"/>
      <c r="D494" s="2"/>
      <c r="E494" s="2"/>
      <c r="F494" s="2"/>
      <c r="G494" s="2"/>
    </row>
    <row r="495" spans="2:7">
      <c r="B495" s="2"/>
      <c r="C495" s="2"/>
      <c r="D495" s="2"/>
      <c r="E495" s="2"/>
      <c r="F495" s="2"/>
      <c r="G495" s="2"/>
    </row>
    <row r="496" spans="2:7">
      <c r="B496" s="2"/>
      <c r="C496" s="2"/>
      <c r="D496" s="2"/>
      <c r="E496" s="2"/>
      <c r="F496" s="2"/>
      <c r="G496" s="2"/>
    </row>
    <row r="497" spans="2:7">
      <c r="B497" s="2"/>
      <c r="C497" s="2"/>
      <c r="D497" s="2"/>
      <c r="E497" s="2"/>
      <c r="F497" s="2"/>
      <c r="G497" s="2"/>
    </row>
    <row r="498" spans="2:7">
      <c r="B498" s="2"/>
      <c r="C498" s="2"/>
      <c r="D498" s="2"/>
      <c r="E498" s="2"/>
      <c r="F498" s="2"/>
      <c r="G498" s="2"/>
    </row>
    <row r="499" spans="2:7">
      <c r="B499" s="2"/>
      <c r="C499" s="2"/>
      <c r="D499" s="2"/>
      <c r="E499" s="2"/>
      <c r="F499" s="2"/>
      <c r="G499" s="2"/>
    </row>
    <row r="500" spans="2:7">
      <c r="B500" s="2"/>
      <c r="C500" s="2"/>
      <c r="D500" s="2"/>
      <c r="E500" s="2"/>
      <c r="F500" s="2"/>
      <c r="G500" s="2"/>
    </row>
    <row r="501" spans="2:7">
      <c r="B501" s="2"/>
      <c r="C501" s="2"/>
      <c r="D501" s="2"/>
      <c r="E501" s="2"/>
      <c r="F501" s="2"/>
      <c r="G501" s="2"/>
    </row>
    <row r="502" spans="2:7">
      <c r="B502" s="2"/>
      <c r="C502" s="2"/>
      <c r="D502" s="2"/>
      <c r="E502" s="2"/>
      <c r="F502" s="2"/>
      <c r="G502" s="2"/>
    </row>
    <row r="503" spans="2:7">
      <c r="B503" s="2"/>
      <c r="C503" s="2"/>
      <c r="D503" s="2"/>
      <c r="E503" s="2"/>
      <c r="F503" s="2"/>
      <c r="G503" s="2"/>
    </row>
    <row r="504" spans="2:7">
      <c r="B504" s="2"/>
      <c r="C504" s="2"/>
      <c r="D504" s="2"/>
      <c r="E504" s="2"/>
      <c r="F504" s="2"/>
      <c r="G504" s="2"/>
    </row>
    <row r="505" spans="2:7">
      <c r="B505" s="2"/>
      <c r="C505" s="2"/>
      <c r="D505" s="2"/>
      <c r="E505" s="2"/>
      <c r="F505" s="2"/>
      <c r="G505" s="2"/>
    </row>
    <row r="506" spans="2:7">
      <c r="B506" s="2"/>
      <c r="C506" s="2"/>
      <c r="D506" s="2"/>
      <c r="E506" s="2"/>
      <c r="F506" s="2"/>
      <c r="G506" s="2"/>
    </row>
    <row r="507" spans="2:7">
      <c r="B507" s="2"/>
      <c r="C507" s="2"/>
      <c r="D507" s="2"/>
      <c r="E507" s="2"/>
      <c r="F507" s="2"/>
      <c r="G507" s="2"/>
    </row>
    <row r="508" spans="2:7">
      <c r="B508" s="2"/>
      <c r="C508" s="2"/>
      <c r="D508" s="2"/>
      <c r="E508" s="2"/>
      <c r="F508" s="2"/>
      <c r="G508" s="2"/>
    </row>
    <row r="509" spans="2:7">
      <c r="B509" s="2"/>
      <c r="C509" s="2"/>
      <c r="D509" s="2"/>
      <c r="E509" s="2"/>
      <c r="F509" s="2"/>
      <c r="G509" s="2"/>
    </row>
    <row r="510" spans="2:7">
      <c r="B510" s="2"/>
      <c r="C510" s="2"/>
      <c r="D510" s="2"/>
      <c r="E510" s="2"/>
      <c r="F510" s="2"/>
      <c r="G510" s="2"/>
    </row>
    <row r="511" spans="2:7">
      <c r="B511" s="2"/>
      <c r="C511" s="2"/>
      <c r="D511" s="2"/>
      <c r="E511" s="2"/>
      <c r="F511" s="2"/>
      <c r="G511" s="2"/>
    </row>
    <row r="512" spans="2:7">
      <c r="B512" s="2"/>
      <c r="C512" s="2"/>
      <c r="D512" s="2"/>
      <c r="E512" s="2"/>
      <c r="F512" s="2"/>
      <c r="G512" s="2"/>
    </row>
    <row r="513" spans="2:7">
      <c r="B513" s="2"/>
      <c r="C513" s="2"/>
      <c r="D513" s="2"/>
      <c r="E513" s="2"/>
      <c r="F513" s="2"/>
      <c r="G513" s="2"/>
    </row>
    <row r="514" spans="2:7">
      <c r="B514" s="2"/>
      <c r="C514" s="2"/>
      <c r="D514" s="2"/>
      <c r="E514" s="2"/>
      <c r="F514" s="2"/>
      <c r="G514" s="2"/>
    </row>
    <row r="515" spans="2:7">
      <c r="B515" s="2"/>
      <c r="C515" s="2"/>
      <c r="D515" s="2"/>
      <c r="E515" s="2"/>
      <c r="F515" s="2"/>
      <c r="G515" s="2"/>
    </row>
    <row r="516" spans="2:7">
      <c r="B516" s="2"/>
      <c r="C516" s="2"/>
      <c r="D516" s="2"/>
      <c r="E516" s="2"/>
      <c r="F516" s="2"/>
      <c r="G516" s="2"/>
    </row>
    <row r="517" spans="2:7">
      <c r="B517" s="2"/>
      <c r="C517" s="2"/>
      <c r="D517" s="2"/>
      <c r="E517" s="2"/>
      <c r="F517" s="2"/>
      <c r="G517" s="2"/>
    </row>
    <row r="518" spans="2:7">
      <c r="B518" s="2"/>
      <c r="C518" s="2"/>
      <c r="D518" s="2"/>
      <c r="E518" s="2"/>
      <c r="F518" s="2"/>
      <c r="G518" s="2"/>
    </row>
    <row r="519" spans="2:7">
      <c r="B519" s="2"/>
      <c r="C519" s="2"/>
      <c r="D519" s="2"/>
      <c r="E519" s="2"/>
      <c r="F519" s="2"/>
      <c r="G519" s="2"/>
    </row>
    <row r="520" spans="2:7">
      <c r="B520" s="2"/>
      <c r="C520" s="2"/>
      <c r="D520" s="2"/>
      <c r="E520" s="2"/>
      <c r="F520" s="2"/>
      <c r="G520" s="2"/>
    </row>
    <row r="521" spans="2:7">
      <c r="B521" s="2"/>
      <c r="C521" s="2"/>
      <c r="D521" s="2"/>
      <c r="E521" s="2"/>
      <c r="F521" s="2"/>
      <c r="G521" s="2"/>
    </row>
    <row r="522" spans="2:7">
      <c r="B522" s="2"/>
      <c r="C522" s="2"/>
      <c r="D522" s="2"/>
      <c r="E522" s="2"/>
      <c r="F522" s="2"/>
      <c r="G522" s="2"/>
    </row>
    <row r="523" spans="2:7">
      <c r="B523" s="2"/>
      <c r="C523" s="2"/>
      <c r="D523" s="2"/>
      <c r="E523" s="2"/>
      <c r="F523" s="2"/>
      <c r="G523" s="2"/>
    </row>
    <row r="524" spans="2:7">
      <c r="B524" s="2"/>
      <c r="C524" s="2"/>
      <c r="D524" s="2"/>
      <c r="E524" s="2"/>
      <c r="F524" s="2"/>
      <c r="G524" s="2"/>
    </row>
    <row r="525" spans="2:7">
      <c r="B525" s="2"/>
      <c r="C525" s="2"/>
      <c r="D525" s="2"/>
      <c r="E525" s="2"/>
      <c r="F525" s="2"/>
      <c r="G525" s="2"/>
    </row>
    <row r="526" spans="2:7">
      <c r="B526" s="2"/>
      <c r="C526" s="2"/>
      <c r="D526" s="2"/>
      <c r="E526" s="2"/>
      <c r="F526" s="2"/>
      <c r="G526" s="2"/>
    </row>
    <row r="527" spans="2:7">
      <c r="B527" s="2"/>
      <c r="C527" s="2"/>
      <c r="D527" s="2"/>
      <c r="E527" s="2"/>
      <c r="F527" s="2"/>
      <c r="G527" s="2"/>
    </row>
    <row r="528" spans="2:7">
      <c r="B528" s="2"/>
      <c r="C528" s="2"/>
      <c r="D528" s="2"/>
      <c r="E528" s="2"/>
      <c r="F528" s="2"/>
      <c r="G528" s="2"/>
    </row>
    <row r="529" spans="2:7">
      <c r="B529" s="2"/>
      <c r="C529" s="2"/>
      <c r="D529" s="2"/>
      <c r="E529" s="2"/>
      <c r="F529" s="2"/>
      <c r="G529" s="2"/>
    </row>
    <row r="530" spans="2:7">
      <c r="B530" s="2"/>
      <c r="C530" s="2"/>
      <c r="D530" s="2"/>
      <c r="E530" s="2"/>
      <c r="F530" s="2"/>
      <c r="G530" s="2"/>
    </row>
    <row r="531" spans="2:7">
      <c r="B531" s="2"/>
      <c r="C531" s="2"/>
      <c r="D531" s="2"/>
      <c r="E531" s="2"/>
      <c r="F531" s="2"/>
      <c r="G531" s="2"/>
    </row>
    <row r="532" spans="2:7">
      <c r="B532" s="2"/>
      <c r="C532" s="2"/>
      <c r="D532" s="2"/>
      <c r="E532" s="2"/>
      <c r="F532" s="2"/>
      <c r="G532" s="2"/>
    </row>
    <row r="533" spans="2:7">
      <c r="B533" s="2"/>
      <c r="C533" s="2"/>
      <c r="D533" s="2"/>
      <c r="E533" s="2"/>
      <c r="F533" s="2"/>
      <c r="G533" s="2"/>
    </row>
    <row r="534" spans="2:7">
      <c r="B534" s="2"/>
      <c r="C534" s="2"/>
      <c r="D534" s="2"/>
      <c r="E534" s="2"/>
      <c r="F534" s="2"/>
      <c r="G534" s="2"/>
    </row>
    <row r="535" spans="2:7">
      <c r="B535" s="2"/>
      <c r="C535" s="2"/>
      <c r="D535" s="2"/>
      <c r="E535" s="2"/>
      <c r="F535" s="2"/>
      <c r="G535" s="2"/>
    </row>
    <row r="536" spans="2:7">
      <c r="B536" s="2"/>
      <c r="C536" s="2"/>
      <c r="D536" s="2"/>
      <c r="E536" s="2"/>
      <c r="F536" s="2"/>
      <c r="G536" s="2"/>
    </row>
    <row r="537" spans="2:7">
      <c r="B537" s="2"/>
      <c r="C537" s="2"/>
      <c r="D537" s="2"/>
      <c r="E537" s="2"/>
      <c r="F537" s="2"/>
      <c r="G537" s="2"/>
    </row>
    <row r="538" spans="2:7">
      <c r="B538" s="2"/>
      <c r="C538" s="2"/>
      <c r="D538" s="2"/>
      <c r="E538" s="2"/>
      <c r="F538" s="2"/>
      <c r="G538" s="2"/>
    </row>
    <row r="539" spans="2:7">
      <c r="B539" s="2"/>
      <c r="C539" s="2"/>
      <c r="D539" s="2"/>
      <c r="E539" s="2"/>
      <c r="F539" s="2"/>
      <c r="G539" s="2"/>
    </row>
    <row r="540" spans="2:7">
      <c r="B540" s="2"/>
      <c r="C540" s="2"/>
      <c r="D540" s="2"/>
      <c r="E540" s="2"/>
      <c r="F540" s="2"/>
      <c r="G540" s="2"/>
    </row>
    <row r="541" spans="2:7">
      <c r="B541" s="2"/>
      <c r="C541" s="2"/>
      <c r="D541" s="2"/>
      <c r="E541" s="2"/>
      <c r="F541" s="2"/>
      <c r="G541" s="2"/>
    </row>
    <row r="542" spans="2:7">
      <c r="B542" s="2"/>
      <c r="C542" s="2"/>
      <c r="D542" s="2"/>
      <c r="E542" s="2"/>
      <c r="F542" s="2"/>
      <c r="G542" s="2"/>
    </row>
    <row r="543" spans="2:7">
      <c r="B543" s="2"/>
      <c r="C543" s="2"/>
      <c r="D543" s="2"/>
      <c r="E543" s="2"/>
      <c r="F543" s="2"/>
      <c r="G543" s="2"/>
    </row>
    <row r="544" spans="2:7">
      <c r="B544" s="2"/>
      <c r="C544" s="2"/>
      <c r="D544" s="2"/>
      <c r="E544" s="2"/>
      <c r="F544" s="2"/>
      <c r="G544" s="2"/>
    </row>
    <row r="545" spans="2:7">
      <c r="B545" s="2"/>
      <c r="C545" s="2"/>
      <c r="D545" s="2"/>
      <c r="E545" s="2"/>
      <c r="F545" s="2"/>
      <c r="G545" s="2"/>
    </row>
    <row r="546" spans="2:7">
      <c r="B546" s="2"/>
      <c r="C546" s="2"/>
      <c r="D546" s="2"/>
      <c r="E546" s="2"/>
      <c r="F546" s="2"/>
      <c r="G546" s="2"/>
    </row>
    <row r="547" spans="2:7">
      <c r="B547" s="2"/>
      <c r="C547" s="2"/>
      <c r="D547" s="2"/>
      <c r="E547" s="2"/>
      <c r="F547" s="2"/>
      <c r="G547" s="2"/>
    </row>
    <row r="548" spans="2:7">
      <c r="B548" s="2"/>
      <c r="C548" s="2"/>
      <c r="D548" s="2"/>
      <c r="E548" s="2"/>
      <c r="F548" s="2"/>
      <c r="G548" s="2"/>
    </row>
    <row r="549" spans="2:7">
      <c r="B549" s="2"/>
      <c r="C549" s="2"/>
      <c r="D549" s="2"/>
      <c r="E549" s="2"/>
      <c r="F549" s="2"/>
      <c r="G549" s="2"/>
    </row>
    <row r="550" spans="2:7">
      <c r="B550" s="2"/>
      <c r="C550" s="2"/>
      <c r="D550" s="2"/>
      <c r="E550" s="2"/>
      <c r="F550" s="2"/>
      <c r="G550" s="2"/>
    </row>
    <row r="551" spans="2:7">
      <c r="B551" s="2"/>
      <c r="C551" s="2"/>
      <c r="D551" s="2"/>
      <c r="E551" s="2"/>
      <c r="F551" s="2"/>
      <c r="G551" s="2"/>
    </row>
    <row r="552" spans="2:7">
      <c r="B552" s="2"/>
      <c r="C552" s="2"/>
      <c r="D552" s="2"/>
      <c r="E552" s="2"/>
      <c r="F552" s="2"/>
      <c r="G552" s="2"/>
    </row>
    <row r="553" spans="2:7">
      <c r="B553" s="2"/>
      <c r="C553" s="2"/>
      <c r="D553" s="2"/>
      <c r="E553" s="2"/>
      <c r="F553" s="2"/>
      <c r="G553" s="2"/>
    </row>
    <row r="554" spans="2:7">
      <c r="B554" s="2"/>
      <c r="C554" s="2"/>
      <c r="D554" s="2"/>
      <c r="E554" s="2"/>
      <c r="F554" s="2"/>
      <c r="G554" s="2"/>
    </row>
    <row r="555" spans="2:7">
      <c r="B555" s="2"/>
      <c r="C555" s="2"/>
      <c r="D555" s="2"/>
      <c r="E555" s="2"/>
      <c r="F555" s="2"/>
      <c r="G555" s="2"/>
    </row>
    <row r="556" spans="2:7">
      <c r="B556" s="2"/>
      <c r="C556" s="2"/>
      <c r="D556" s="2"/>
      <c r="E556" s="2"/>
      <c r="F556" s="2"/>
      <c r="G556" s="2"/>
    </row>
    <row r="557" spans="2:7">
      <c r="B557" s="2"/>
      <c r="C557" s="2"/>
      <c r="D557" s="2"/>
      <c r="E557" s="2"/>
      <c r="F557" s="2"/>
      <c r="G557" s="2"/>
    </row>
    <row r="558" spans="2:7">
      <c r="B558" s="2"/>
      <c r="C558" s="2"/>
      <c r="D558" s="2"/>
      <c r="E558" s="2"/>
      <c r="F558" s="2"/>
      <c r="G558" s="2"/>
    </row>
    <row r="559" spans="2:7">
      <c r="B559" s="2"/>
      <c r="C559" s="2"/>
      <c r="D559" s="2"/>
      <c r="E559" s="2"/>
      <c r="F559" s="2"/>
      <c r="G559" s="2"/>
    </row>
    <row r="560" spans="2:7">
      <c r="B560" s="2"/>
      <c r="C560" s="2"/>
      <c r="D560" s="2"/>
      <c r="E560" s="2"/>
      <c r="F560" s="2"/>
      <c r="G560" s="2"/>
    </row>
    <row r="561" spans="2:7">
      <c r="B561" s="2"/>
      <c r="C561" s="2"/>
      <c r="D561" s="2"/>
      <c r="E561" s="2"/>
      <c r="F561" s="2"/>
      <c r="G561" s="2"/>
    </row>
    <row r="562" spans="2:7">
      <c r="B562" s="2"/>
      <c r="C562" s="2"/>
      <c r="D562" s="2"/>
      <c r="E562" s="2"/>
      <c r="F562" s="2"/>
      <c r="G562" s="2"/>
    </row>
    <row r="563" spans="2:7">
      <c r="B563" s="2"/>
      <c r="C563" s="2"/>
      <c r="D563" s="2"/>
      <c r="E563" s="2"/>
      <c r="F563" s="2"/>
      <c r="G563" s="2"/>
    </row>
    <row r="564" spans="2:7">
      <c r="B564" s="2"/>
      <c r="C564" s="2"/>
      <c r="D564" s="2"/>
      <c r="E564" s="2"/>
      <c r="F564" s="2"/>
      <c r="G564" s="2"/>
    </row>
    <row r="565" spans="2:7">
      <c r="B565" s="2"/>
      <c r="C565" s="2"/>
      <c r="D565" s="2"/>
      <c r="E565" s="2"/>
      <c r="F565" s="2"/>
      <c r="G565" s="2"/>
    </row>
    <row r="566" spans="2:7">
      <c r="B566" s="2"/>
      <c r="C566" s="2"/>
      <c r="D566" s="2"/>
      <c r="E566" s="2"/>
      <c r="F566" s="2"/>
      <c r="G566" s="2"/>
    </row>
    <row r="567" spans="2:7">
      <c r="B567" s="2"/>
      <c r="C567" s="2"/>
      <c r="D567" s="2"/>
      <c r="E567" s="2"/>
      <c r="F567" s="2"/>
      <c r="G567" s="2"/>
    </row>
    <row r="568" spans="2:7">
      <c r="B568" s="2"/>
      <c r="C568" s="2"/>
      <c r="D568" s="2"/>
      <c r="E568" s="2"/>
      <c r="F568" s="2"/>
      <c r="G568" s="2"/>
    </row>
    <row r="569" spans="2:7">
      <c r="B569" s="2"/>
      <c r="C569" s="2"/>
      <c r="D569" s="2"/>
      <c r="E569" s="2"/>
      <c r="F569" s="2"/>
      <c r="G569" s="2"/>
    </row>
    <row r="570" spans="2:7">
      <c r="B570" s="2"/>
      <c r="C570" s="2"/>
      <c r="D570" s="2"/>
      <c r="E570" s="2"/>
      <c r="F570" s="2"/>
      <c r="G570" s="2"/>
    </row>
    <row r="571" spans="2:7">
      <c r="B571" s="2"/>
      <c r="C571" s="2"/>
      <c r="D571" s="2"/>
      <c r="E571" s="2"/>
      <c r="F571" s="2"/>
      <c r="G571" s="2"/>
    </row>
    <row r="572" spans="2:7">
      <c r="B572" s="2"/>
      <c r="C572" s="2"/>
      <c r="D572" s="2"/>
      <c r="E572" s="2"/>
      <c r="F572" s="2"/>
      <c r="G572" s="2"/>
    </row>
    <row r="573" spans="2:7">
      <c r="B573" s="2"/>
      <c r="C573" s="2"/>
      <c r="D573" s="2"/>
      <c r="E573" s="2"/>
      <c r="F573" s="2"/>
      <c r="G573" s="2"/>
    </row>
    <row r="574" spans="2:7">
      <c r="B574" s="2"/>
      <c r="C574" s="2"/>
      <c r="D574" s="2"/>
      <c r="E574" s="2"/>
      <c r="F574" s="2"/>
      <c r="G574" s="2"/>
    </row>
    <row r="575" spans="2:7">
      <c r="B575" s="2"/>
      <c r="C575" s="2"/>
      <c r="D575" s="2"/>
      <c r="E575" s="2"/>
      <c r="F575" s="2"/>
      <c r="G575" s="2"/>
    </row>
    <row r="576" spans="2:7">
      <c r="B576" s="2"/>
      <c r="C576" s="2"/>
      <c r="D576" s="2"/>
      <c r="E576" s="2"/>
      <c r="F576" s="2"/>
      <c r="G576" s="2"/>
    </row>
    <row r="577" spans="2:7">
      <c r="B577" s="2"/>
      <c r="C577" s="2"/>
      <c r="D577" s="2"/>
      <c r="E577" s="2"/>
      <c r="F577" s="2"/>
      <c r="G577" s="2"/>
    </row>
    <row r="578" spans="2:7">
      <c r="B578" s="2"/>
      <c r="C578" s="2"/>
      <c r="D578" s="2"/>
      <c r="E578" s="2"/>
      <c r="F578" s="2"/>
      <c r="G578" s="2"/>
    </row>
    <row r="579" spans="2:7">
      <c r="B579" s="2"/>
      <c r="C579" s="2"/>
      <c r="D579" s="2"/>
      <c r="E579" s="2"/>
      <c r="F579" s="2"/>
      <c r="G579" s="2"/>
    </row>
    <row r="580" spans="2:7">
      <c r="B580" s="2"/>
      <c r="C580" s="2"/>
      <c r="D580" s="2"/>
      <c r="E580" s="2"/>
      <c r="F580" s="2"/>
      <c r="G580" s="2"/>
    </row>
    <row r="581" spans="2:7">
      <c r="B581" s="2"/>
      <c r="C581" s="2"/>
      <c r="D581" s="2"/>
      <c r="E581" s="2"/>
      <c r="F581" s="2"/>
      <c r="G581" s="2"/>
    </row>
    <row r="582" spans="2:7">
      <c r="B582" s="2"/>
      <c r="C582" s="2"/>
      <c r="D582" s="2"/>
      <c r="E582" s="2"/>
      <c r="F582" s="2"/>
      <c r="G582" s="2"/>
    </row>
    <row r="583" spans="2:7">
      <c r="B583" s="2"/>
      <c r="C583" s="2"/>
      <c r="D583" s="2"/>
      <c r="E583" s="2"/>
      <c r="F583" s="2"/>
      <c r="G583" s="2"/>
    </row>
    <row r="584" spans="2:7">
      <c r="B584" s="2"/>
      <c r="C584" s="2"/>
      <c r="D584" s="2"/>
      <c r="E584" s="2"/>
      <c r="F584" s="2"/>
      <c r="G584" s="2"/>
    </row>
    <row r="585" spans="2:7">
      <c r="B585" s="2"/>
      <c r="C585" s="2"/>
      <c r="D585" s="2"/>
      <c r="E585" s="2"/>
      <c r="F585" s="2"/>
      <c r="G585" s="2"/>
    </row>
    <row r="586" spans="2:7">
      <c r="B586" s="2"/>
      <c r="C586" s="2"/>
      <c r="D586" s="2"/>
      <c r="E586" s="2"/>
      <c r="F586" s="2"/>
      <c r="G586" s="2"/>
    </row>
    <row r="587" spans="2:7">
      <c r="B587" s="2"/>
      <c r="C587" s="2"/>
      <c r="D587" s="2"/>
      <c r="E587" s="2"/>
      <c r="F587" s="2"/>
      <c r="G587" s="2"/>
    </row>
    <row r="588" spans="2:7">
      <c r="B588" s="2"/>
      <c r="C588" s="2"/>
      <c r="D588" s="2"/>
      <c r="E588" s="2"/>
      <c r="F588" s="2"/>
      <c r="G588" s="2"/>
    </row>
    <row r="589" spans="2:7">
      <c r="B589" s="2"/>
      <c r="C589" s="2"/>
      <c r="D589" s="2"/>
      <c r="E589" s="2"/>
      <c r="F589" s="2"/>
      <c r="G589" s="2"/>
    </row>
    <row r="590" spans="2:7">
      <c r="B590" s="2"/>
      <c r="C590" s="2"/>
      <c r="D590" s="2"/>
      <c r="E590" s="2"/>
      <c r="F590" s="2"/>
      <c r="G590" s="2"/>
    </row>
    <row r="591" spans="2:7">
      <c r="B591" s="2"/>
      <c r="C591" s="2"/>
      <c r="D591" s="2"/>
      <c r="E591" s="2"/>
      <c r="F591" s="2"/>
      <c r="G591" s="2"/>
    </row>
    <row r="592" spans="2:7">
      <c r="B592" s="2"/>
      <c r="C592" s="2"/>
      <c r="D592" s="2"/>
      <c r="E592" s="2"/>
      <c r="F592" s="2"/>
      <c r="G592" s="2"/>
    </row>
    <row r="593" spans="2:7">
      <c r="B593" s="2"/>
      <c r="C593" s="2"/>
      <c r="D593" s="2"/>
      <c r="E593" s="2"/>
      <c r="F593" s="2"/>
      <c r="G593" s="2"/>
    </row>
    <row r="594" spans="2:7">
      <c r="B594" s="2"/>
      <c r="C594" s="2"/>
      <c r="D594" s="2"/>
      <c r="E594" s="2"/>
      <c r="F594" s="2"/>
      <c r="G594" s="2"/>
    </row>
    <row r="595" spans="2:7">
      <c r="B595" s="2"/>
      <c r="C595" s="2"/>
      <c r="D595" s="2"/>
      <c r="E595" s="2"/>
      <c r="F595" s="2"/>
      <c r="G595" s="2"/>
    </row>
    <row r="596" spans="2:7">
      <c r="B596" s="2"/>
      <c r="C596" s="2"/>
      <c r="D596" s="2"/>
      <c r="E596" s="2"/>
      <c r="F596" s="2"/>
      <c r="G596" s="2"/>
    </row>
    <row r="597" spans="2:7">
      <c r="B597" s="2"/>
      <c r="C597" s="2"/>
      <c r="D597" s="2"/>
      <c r="E597" s="2"/>
      <c r="F597" s="2"/>
      <c r="G597" s="2"/>
    </row>
    <row r="598" spans="2:7">
      <c r="B598" s="2"/>
      <c r="C598" s="2"/>
      <c r="D598" s="2"/>
      <c r="E598" s="2"/>
      <c r="F598" s="2"/>
      <c r="G598" s="2"/>
    </row>
    <row r="599" spans="2:7">
      <c r="B599" s="2"/>
      <c r="C599" s="2"/>
      <c r="D599" s="2"/>
      <c r="E599" s="2"/>
      <c r="F599" s="2"/>
      <c r="G599" s="2"/>
    </row>
    <row r="600" spans="2:7">
      <c r="B600" s="2"/>
      <c r="C600" s="2"/>
      <c r="D600" s="2"/>
      <c r="E600" s="2"/>
      <c r="F600" s="2"/>
      <c r="G600" s="2"/>
    </row>
    <row r="601" spans="2:7">
      <c r="B601" s="2"/>
      <c r="C601" s="2"/>
      <c r="D601" s="2"/>
      <c r="E601" s="2"/>
      <c r="F601" s="2"/>
      <c r="G601" s="2"/>
    </row>
    <row r="602" spans="2:7">
      <c r="B602" s="2"/>
      <c r="C602" s="2"/>
      <c r="D602" s="2"/>
      <c r="E602" s="2"/>
      <c r="F602" s="2"/>
      <c r="G602" s="2"/>
    </row>
    <row r="603" spans="2:7">
      <c r="B603" s="2"/>
      <c r="C603" s="2"/>
      <c r="D603" s="2"/>
      <c r="E603" s="2"/>
      <c r="F603" s="2"/>
      <c r="G603" s="2"/>
    </row>
    <row r="604" spans="2:7">
      <c r="B604" s="2"/>
      <c r="C604" s="2"/>
      <c r="D604" s="2"/>
      <c r="E604" s="2"/>
      <c r="F604" s="2"/>
      <c r="G604" s="2"/>
    </row>
    <row r="605" spans="2:7">
      <c r="B605" s="2"/>
      <c r="C605" s="2"/>
      <c r="D605" s="2"/>
      <c r="E605" s="2"/>
      <c r="F605" s="2"/>
      <c r="G605" s="2"/>
    </row>
    <row r="606" spans="2:7">
      <c r="B606" s="2"/>
      <c r="C606" s="2"/>
      <c r="D606" s="2"/>
      <c r="E606" s="2"/>
      <c r="F606" s="2"/>
      <c r="G606" s="2"/>
    </row>
    <row r="607" spans="2:7">
      <c r="B607" s="2"/>
      <c r="C607" s="2"/>
      <c r="D607" s="2"/>
      <c r="E607" s="2"/>
      <c r="F607" s="2"/>
      <c r="G607" s="2"/>
    </row>
    <row r="608" spans="2:7">
      <c r="B608" s="2"/>
      <c r="C608" s="2"/>
      <c r="D608" s="2"/>
      <c r="E608" s="2"/>
      <c r="F608" s="2"/>
      <c r="G608" s="2"/>
    </row>
    <row r="609" spans="2:7">
      <c r="B609" s="2"/>
      <c r="C609" s="2"/>
      <c r="D609" s="2"/>
      <c r="E609" s="2"/>
      <c r="F609" s="2"/>
      <c r="G609" s="2"/>
    </row>
    <row r="610" spans="2:7">
      <c r="B610" s="2"/>
      <c r="C610" s="2"/>
      <c r="D610" s="2"/>
      <c r="E610" s="2"/>
      <c r="F610" s="2"/>
      <c r="G610" s="2"/>
    </row>
    <row r="611" spans="2:7">
      <c r="B611" s="2"/>
      <c r="C611" s="2"/>
      <c r="D611" s="2"/>
      <c r="E611" s="2"/>
      <c r="F611" s="2"/>
      <c r="G611" s="2"/>
    </row>
    <row r="612" spans="2:7">
      <c r="B612" s="2"/>
      <c r="C612" s="2"/>
      <c r="D612" s="2"/>
      <c r="E612" s="2"/>
      <c r="F612" s="2"/>
      <c r="G612" s="2"/>
    </row>
    <row r="613" spans="2:7">
      <c r="B613" s="2"/>
      <c r="C613" s="2"/>
      <c r="D613" s="2"/>
      <c r="E613" s="2"/>
      <c r="F613" s="2"/>
      <c r="G613" s="2"/>
    </row>
    <row r="614" spans="2:7">
      <c r="B614" s="2"/>
      <c r="C614" s="2"/>
      <c r="D614" s="2"/>
      <c r="E614" s="2"/>
      <c r="F614" s="2"/>
      <c r="G614" s="2"/>
    </row>
    <row r="615" spans="2:7">
      <c r="B615" s="2"/>
      <c r="C615" s="2"/>
      <c r="D615" s="2"/>
      <c r="E615" s="2"/>
      <c r="F615" s="2"/>
      <c r="G615" s="2"/>
    </row>
    <row r="616" spans="2:7">
      <c r="B616" s="2"/>
      <c r="C616" s="2"/>
      <c r="D616" s="2"/>
      <c r="E616" s="2"/>
      <c r="F616" s="2"/>
      <c r="G616" s="2"/>
    </row>
    <row r="617" spans="2:7">
      <c r="B617" s="2"/>
      <c r="C617" s="2"/>
      <c r="D617" s="2"/>
      <c r="E617" s="2"/>
      <c r="F617" s="2"/>
      <c r="G617" s="2"/>
    </row>
    <row r="618" spans="2:7">
      <c r="B618" s="2"/>
      <c r="C618" s="2"/>
      <c r="D618" s="2"/>
      <c r="E618" s="2"/>
      <c r="F618" s="2"/>
      <c r="G618" s="2"/>
    </row>
    <row r="619" spans="2:7">
      <c r="B619" s="2"/>
      <c r="C619" s="2"/>
      <c r="D619" s="2"/>
      <c r="E619" s="2"/>
      <c r="F619" s="2"/>
      <c r="G619" s="2"/>
    </row>
    <row r="620" spans="2:7">
      <c r="B620" s="2"/>
      <c r="C620" s="2"/>
      <c r="D620" s="2"/>
      <c r="E620" s="2"/>
      <c r="F620" s="2"/>
      <c r="G620" s="2"/>
    </row>
    <row r="621" spans="2:7">
      <c r="B621" s="2"/>
      <c r="C621" s="2"/>
      <c r="D621" s="2"/>
      <c r="E621" s="2"/>
      <c r="F621" s="2"/>
      <c r="G621" s="2"/>
    </row>
    <row r="622" spans="2:7">
      <c r="B622" s="2"/>
      <c r="C622" s="2"/>
      <c r="D622" s="2"/>
      <c r="E622" s="2"/>
      <c r="F622" s="2"/>
      <c r="G622" s="2"/>
    </row>
    <row r="623" spans="2:7">
      <c r="B623" s="2"/>
      <c r="C623" s="2"/>
      <c r="D623" s="2"/>
      <c r="E623" s="2"/>
      <c r="F623" s="2"/>
      <c r="G623" s="2"/>
    </row>
    <row r="624" spans="2:7">
      <c r="B624" s="2"/>
      <c r="C624" s="2"/>
      <c r="D624" s="2"/>
      <c r="E624" s="2"/>
      <c r="F624" s="2"/>
      <c r="G624" s="2"/>
    </row>
    <row r="625" spans="2:7">
      <c r="B625" s="2"/>
      <c r="C625" s="2"/>
      <c r="D625" s="2"/>
      <c r="E625" s="2"/>
      <c r="F625" s="2"/>
      <c r="G625" s="2"/>
    </row>
    <row r="626" spans="2:7">
      <c r="B626" s="2"/>
      <c r="C626" s="2"/>
      <c r="D626" s="2"/>
      <c r="E626" s="2"/>
      <c r="F626" s="2"/>
      <c r="G626" s="2"/>
    </row>
    <row r="627" spans="2:7">
      <c r="B627" s="2"/>
      <c r="C627" s="2"/>
      <c r="D627" s="2"/>
      <c r="E627" s="2"/>
      <c r="F627" s="2"/>
      <c r="G627" s="2"/>
    </row>
    <row r="628" spans="2:7">
      <c r="B628" s="2"/>
      <c r="C628" s="2"/>
      <c r="D628" s="2"/>
      <c r="E628" s="2"/>
      <c r="F628" s="2"/>
      <c r="G628" s="2"/>
    </row>
    <row r="629" spans="2:7">
      <c r="B629" s="2"/>
      <c r="C629" s="2"/>
      <c r="D629" s="2"/>
      <c r="E629" s="2"/>
      <c r="F629" s="2"/>
      <c r="G629" s="2"/>
    </row>
    <row r="630" spans="2:7">
      <c r="B630" s="2"/>
      <c r="C630" s="2"/>
      <c r="D630" s="2"/>
      <c r="E630" s="2"/>
      <c r="F630" s="2"/>
      <c r="G630" s="2"/>
    </row>
    <row r="631" spans="2:7">
      <c r="B631" s="2"/>
      <c r="C631" s="2"/>
      <c r="D631" s="2"/>
      <c r="E631" s="2"/>
      <c r="F631" s="2"/>
      <c r="G631" s="2"/>
    </row>
    <row r="632" spans="2:7">
      <c r="B632" s="2"/>
      <c r="C632" s="2"/>
      <c r="D632" s="2"/>
      <c r="E632" s="2"/>
      <c r="F632" s="2"/>
      <c r="G632" s="2"/>
    </row>
    <row r="633" spans="2:7">
      <c r="B633" s="2"/>
      <c r="C633" s="2"/>
      <c r="D633" s="2"/>
      <c r="E633" s="2"/>
      <c r="F633" s="2"/>
      <c r="G633" s="2"/>
    </row>
    <row r="634" spans="2:7">
      <c r="B634" s="2"/>
      <c r="C634" s="2"/>
      <c r="D634" s="2"/>
      <c r="E634" s="2"/>
      <c r="F634" s="2"/>
      <c r="G634" s="2"/>
    </row>
    <row r="635" spans="2:7">
      <c r="B635" s="2"/>
      <c r="C635" s="2"/>
      <c r="D635" s="2"/>
      <c r="E635" s="2"/>
      <c r="F635" s="2"/>
      <c r="G635" s="2"/>
    </row>
    <row r="636" spans="2:7">
      <c r="B636" s="2"/>
      <c r="C636" s="2"/>
      <c r="D636" s="2"/>
      <c r="E636" s="2"/>
      <c r="F636" s="2"/>
      <c r="G636" s="2"/>
    </row>
    <row r="637" spans="2:7">
      <c r="B637" s="2"/>
      <c r="C637" s="2"/>
      <c r="D637" s="2"/>
      <c r="E637" s="2"/>
      <c r="F637" s="2"/>
      <c r="G637" s="2"/>
    </row>
    <row r="638" spans="2:7">
      <c r="B638" s="2"/>
      <c r="C638" s="2"/>
      <c r="D638" s="2"/>
      <c r="E638" s="2"/>
      <c r="F638" s="2"/>
      <c r="G638" s="2"/>
    </row>
    <row r="639" spans="2:7">
      <c r="B639" s="2"/>
      <c r="C639" s="2"/>
      <c r="D639" s="2"/>
      <c r="E639" s="2"/>
      <c r="F639" s="2"/>
      <c r="G639" s="2"/>
    </row>
    <row r="640" spans="2:7">
      <c r="B640" s="2"/>
      <c r="C640" s="2"/>
      <c r="D640" s="2"/>
      <c r="E640" s="2"/>
      <c r="F640" s="2"/>
      <c r="G640" s="2"/>
    </row>
    <row r="641" spans="2:7">
      <c r="B641" s="2"/>
      <c r="C641" s="2"/>
      <c r="D641" s="2"/>
      <c r="E641" s="2"/>
      <c r="F641" s="2"/>
      <c r="G641" s="2"/>
    </row>
    <row r="642" spans="2:7">
      <c r="B642" s="2"/>
      <c r="C642" s="2"/>
      <c r="D642" s="2"/>
      <c r="E642" s="2"/>
      <c r="F642" s="2"/>
      <c r="G642" s="2"/>
    </row>
    <row r="643" spans="2:7">
      <c r="B643" s="2"/>
      <c r="C643" s="2"/>
      <c r="D643" s="2"/>
      <c r="E643" s="2"/>
      <c r="F643" s="2"/>
      <c r="G643" s="2"/>
    </row>
    <row r="644" spans="2:7">
      <c r="B644" s="2"/>
      <c r="C644" s="2"/>
      <c r="D644" s="2"/>
      <c r="E644" s="2"/>
      <c r="F644" s="2"/>
      <c r="G644" s="2"/>
    </row>
    <row r="645" spans="2:7">
      <c r="B645" s="2"/>
      <c r="C645" s="2"/>
      <c r="D645" s="2"/>
      <c r="E645" s="2"/>
      <c r="F645" s="2"/>
      <c r="G645" s="2"/>
    </row>
    <row r="646" spans="2:7">
      <c r="B646" s="2"/>
      <c r="C646" s="2"/>
      <c r="D646" s="2"/>
      <c r="E646" s="2"/>
      <c r="F646" s="2"/>
      <c r="G646" s="2"/>
    </row>
    <row r="647" spans="2:7">
      <c r="B647" s="2"/>
      <c r="C647" s="2"/>
      <c r="D647" s="2"/>
      <c r="E647" s="2"/>
      <c r="F647" s="2"/>
      <c r="G647" s="2"/>
    </row>
    <row r="648" spans="2:7">
      <c r="B648" s="2"/>
      <c r="C648" s="2"/>
      <c r="D648" s="2"/>
      <c r="E648" s="2"/>
      <c r="F648" s="2"/>
      <c r="G648" s="2"/>
    </row>
    <row r="649" spans="2:7">
      <c r="B649" s="2"/>
      <c r="C649" s="2"/>
      <c r="D649" s="2"/>
      <c r="E649" s="2"/>
      <c r="F649" s="2"/>
      <c r="G649" s="2"/>
    </row>
    <row r="650" spans="2:7">
      <c r="B650" s="2"/>
      <c r="C650" s="2"/>
      <c r="D650" s="2"/>
      <c r="E650" s="2"/>
      <c r="F650" s="2"/>
      <c r="G650" s="2"/>
    </row>
    <row r="651" spans="2:7">
      <c r="B651" s="2"/>
      <c r="C651" s="2"/>
      <c r="D651" s="2"/>
      <c r="E651" s="2"/>
      <c r="F651" s="2"/>
      <c r="G651" s="2"/>
    </row>
    <row r="652" spans="2:7">
      <c r="B652" s="2"/>
      <c r="C652" s="2"/>
      <c r="D652" s="2"/>
      <c r="E652" s="2"/>
      <c r="F652" s="2"/>
      <c r="G652" s="2"/>
    </row>
    <row r="653" spans="2:7">
      <c r="B653" s="2"/>
      <c r="C653" s="2"/>
      <c r="D653" s="2"/>
      <c r="E653" s="2"/>
      <c r="F653" s="2"/>
      <c r="G653" s="2"/>
    </row>
    <row r="654" spans="2:7">
      <c r="B654" s="2"/>
      <c r="C654" s="2"/>
      <c r="D654" s="2"/>
      <c r="E654" s="2"/>
      <c r="F654" s="2"/>
      <c r="G654" s="2"/>
    </row>
    <row r="655" spans="2:7">
      <c r="B655" s="2"/>
      <c r="C655" s="2"/>
      <c r="D655" s="2"/>
      <c r="E655" s="2"/>
      <c r="F655" s="2"/>
      <c r="G655" s="2"/>
    </row>
    <row r="656" spans="2:7">
      <c r="B656" s="2"/>
      <c r="C656" s="2"/>
      <c r="D656" s="2"/>
      <c r="E656" s="2"/>
      <c r="F656" s="2"/>
      <c r="G656" s="2"/>
    </row>
    <row r="657" spans="2:7">
      <c r="B657" s="2"/>
      <c r="C657" s="2"/>
      <c r="D657" s="2"/>
      <c r="E657" s="2"/>
      <c r="F657" s="2"/>
      <c r="G657" s="2"/>
    </row>
    <row r="658" spans="2:7">
      <c r="B658" s="2"/>
      <c r="C658" s="2"/>
      <c r="D658" s="2"/>
      <c r="E658" s="2"/>
      <c r="F658" s="2"/>
      <c r="G658" s="2"/>
    </row>
    <row r="659" spans="2:7">
      <c r="B659" s="2"/>
      <c r="C659" s="2"/>
      <c r="D659" s="2"/>
      <c r="E659" s="2"/>
      <c r="F659" s="2"/>
      <c r="G659" s="2"/>
    </row>
    <row r="660" spans="2:7">
      <c r="B660" s="2"/>
      <c r="C660" s="2"/>
      <c r="D660" s="2"/>
      <c r="E660" s="2"/>
      <c r="F660" s="2"/>
      <c r="G660" s="2"/>
    </row>
    <row r="661" spans="2:7">
      <c r="B661" s="2"/>
      <c r="C661" s="2"/>
      <c r="D661" s="2"/>
      <c r="E661" s="2"/>
      <c r="F661" s="2"/>
      <c r="G661" s="2"/>
    </row>
    <row r="662" spans="2:7">
      <c r="B662" s="2"/>
      <c r="C662" s="2"/>
      <c r="D662" s="2"/>
      <c r="E662" s="2"/>
      <c r="F662" s="2"/>
      <c r="G662" s="2"/>
    </row>
    <row r="663" spans="2:7">
      <c r="B663" s="2"/>
      <c r="C663" s="2"/>
      <c r="D663" s="2"/>
      <c r="E663" s="2"/>
      <c r="F663" s="2"/>
      <c r="G663" s="2"/>
    </row>
    <row r="664" spans="2:7">
      <c r="B664" s="2"/>
      <c r="C664" s="2"/>
      <c r="D664" s="2"/>
      <c r="E664" s="2"/>
      <c r="F664" s="2"/>
      <c r="G664" s="2"/>
    </row>
    <row r="665" spans="2:7">
      <c r="B665" s="2"/>
      <c r="C665" s="2"/>
      <c r="D665" s="2"/>
      <c r="E665" s="2"/>
      <c r="F665" s="2"/>
      <c r="G665" s="2"/>
    </row>
    <row r="666" spans="2:7">
      <c r="B666" s="2"/>
      <c r="C666" s="2"/>
      <c r="D666" s="2"/>
      <c r="E666" s="2"/>
      <c r="F666" s="2"/>
      <c r="G666" s="2"/>
    </row>
    <row r="667" spans="2:7">
      <c r="B667" s="2"/>
      <c r="C667" s="2"/>
      <c r="D667" s="2"/>
      <c r="E667" s="2"/>
      <c r="F667" s="2"/>
      <c r="G667" s="2"/>
    </row>
    <row r="668" spans="2:7">
      <c r="B668" s="2"/>
      <c r="C668" s="2"/>
      <c r="D668" s="2"/>
      <c r="E668" s="2"/>
      <c r="F668" s="2"/>
      <c r="G668" s="2"/>
    </row>
    <row r="669" spans="2:7">
      <c r="B669" s="2"/>
      <c r="C669" s="2"/>
      <c r="D669" s="2"/>
      <c r="E669" s="2"/>
      <c r="F669" s="2"/>
      <c r="G669" s="2"/>
    </row>
    <row r="670" spans="2:7">
      <c r="B670" s="2"/>
      <c r="C670" s="2"/>
      <c r="D670" s="2"/>
      <c r="E670" s="2"/>
      <c r="F670" s="2"/>
      <c r="G670" s="2"/>
    </row>
    <row r="671" spans="2:7">
      <c r="B671" s="2"/>
      <c r="C671" s="2"/>
      <c r="D671" s="2"/>
      <c r="E671" s="2"/>
      <c r="F671" s="2"/>
      <c r="G671" s="2"/>
    </row>
    <row r="672" spans="2:7">
      <c r="B672" s="2"/>
      <c r="C672" s="2"/>
      <c r="D672" s="2"/>
      <c r="E672" s="2"/>
      <c r="F672" s="2"/>
      <c r="G672" s="2"/>
    </row>
    <row r="673" spans="2:7">
      <c r="B673" s="2"/>
      <c r="C673" s="2"/>
      <c r="D673" s="2"/>
      <c r="E673" s="2"/>
      <c r="F673" s="2"/>
      <c r="G673" s="2"/>
    </row>
    <row r="674" spans="2:7">
      <c r="B674" s="2"/>
      <c r="C674" s="2"/>
      <c r="D674" s="2"/>
      <c r="E674" s="2"/>
      <c r="F674" s="2"/>
      <c r="G674" s="2"/>
    </row>
    <row r="675" spans="2:7">
      <c r="B675" s="2"/>
      <c r="C675" s="2"/>
      <c r="D675" s="2"/>
      <c r="E675" s="2"/>
      <c r="F675" s="2"/>
      <c r="G675" s="2"/>
    </row>
    <row r="676" spans="2:7">
      <c r="B676" s="2"/>
      <c r="C676" s="2"/>
      <c r="D676" s="2"/>
      <c r="E676" s="2"/>
      <c r="F676" s="2"/>
      <c r="G676" s="2"/>
    </row>
    <row r="677" spans="2:7">
      <c r="B677" s="2"/>
      <c r="C677" s="2"/>
      <c r="D677" s="2"/>
      <c r="E677" s="2"/>
      <c r="F677" s="2"/>
      <c r="G677" s="2"/>
    </row>
    <row r="678" spans="2:7">
      <c r="B678" s="2"/>
      <c r="C678" s="2"/>
      <c r="D678" s="2"/>
      <c r="E678" s="2"/>
      <c r="F678" s="2"/>
      <c r="G678" s="2"/>
    </row>
    <row r="679" spans="2:7">
      <c r="B679" s="2"/>
      <c r="C679" s="2"/>
      <c r="D679" s="2"/>
      <c r="E679" s="2"/>
      <c r="F679" s="2"/>
      <c r="G679" s="2"/>
    </row>
    <row r="680" spans="2:7">
      <c r="B680" s="2"/>
      <c r="C680" s="2"/>
      <c r="D680" s="2"/>
      <c r="E680" s="2"/>
      <c r="F680" s="2"/>
      <c r="G680" s="2"/>
    </row>
    <row r="681" spans="2:7">
      <c r="B681" s="2"/>
      <c r="C681" s="2"/>
      <c r="D681" s="2"/>
      <c r="E681" s="2"/>
      <c r="F681" s="2"/>
      <c r="G681" s="2"/>
    </row>
    <row r="682" spans="2:7">
      <c r="B682" s="2"/>
      <c r="C682" s="2"/>
      <c r="D682" s="2"/>
      <c r="E682" s="2"/>
      <c r="F682" s="2"/>
      <c r="G682" s="2"/>
    </row>
    <row r="683" spans="2:7">
      <c r="B683" s="2"/>
      <c r="C683" s="2"/>
      <c r="D683" s="2"/>
      <c r="E683" s="2"/>
      <c r="F683" s="2"/>
      <c r="G683" s="2"/>
    </row>
    <row r="684" spans="2:7">
      <c r="B684" s="2"/>
      <c r="C684" s="2"/>
      <c r="D684" s="2"/>
      <c r="E684" s="2"/>
      <c r="F684" s="2"/>
      <c r="G684" s="2"/>
    </row>
    <row r="685" spans="2:7">
      <c r="B685" s="2"/>
      <c r="C685" s="2"/>
      <c r="D685" s="2"/>
      <c r="E685" s="2"/>
      <c r="F685" s="2"/>
      <c r="G685" s="2"/>
    </row>
    <row r="686" spans="2:7">
      <c r="B686" s="2"/>
      <c r="C686" s="2"/>
      <c r="D686" s="2"/>
      <c r="E686" s="2"/>
      <c r="F686" s="2"/>
      <c r="G686" s="2"/>
    </row>
    <row r="687" spans="2:7">
      <c r="B687" s="2"/>
      <c r="C687" s="2"/>
      <c r="D687" s="2"/>
      <c r="E687" s="2"/>
      <c r="F687" s="2"/>
      <c r="G687" s="2"/>
    </row>
    <row r="688" spans="2:7">
      <c r="B688" s="2"/>
      <c r="C688" s="2"/>
      <c r="D688" s="2"/>
      <c r="E688" s="2"/>
      <c r="F688" s="2"/>
      <c r="G688" s="2"/>
    </row>
    <row r="689" spans="2:7">
      <c r="B689" s="2"/>
      <c r="C689" s="2"/>
      <c r="D689" s="2"/>
      <c r="E689" s="2"/>
      <c r="F689" s="2"/>
      <c r="G689" s="2"/>
    </row>
    <row r="690" spans="2:7">
      <c r="B690" s="2"/>
      <c r="C690" s="2"/>
      <c r="D690" s="2"/>
      <c r="E690" s="2"/>
      <c r="F690" s="2"/>
      <c r="G690" s="2"/>
    </row>
    <row r="691" spans="2:7">
      <c r="B691" s="2"/>
      <c r="C691" s="2"/>
      <c r="D691" s="2"/>
      <c r="E691" s="2"/>
      <c r="F691" s="2"/>
      <c r="G691" s="2"/>
    </row>
    <row r="692" spans="2:7">
      <c r="B692" s="2"/>
      <c r="C692" s="2"/>
      <c r="D692" s="2"/>
      <c r="E692" s="2"/>
      <c r="F692" s="2"/>
      <c r="G692" s="2"/>
    </row>
    <row r="693" spans="2:7">
      <c r="B693" s="2"/>
      <c r="C693" s="2"/>
      <c r="D693" s="2"/>
      <c r="E693" s="2"/>
      <c r="F693" s="2"/>
      <c r="G693" s="2"/>
    </row>
    <row r="694" spans="2:7">
      <c r="B694" s="2"/>
      <c r="C694" s="2"/>
      <c r="D694" s="2"/>
      <c r="E694" s="2"/>
      <c r="F694" s="2"/>
      <c r="G694" s="2"/>
    </row>
    <row r="695" spans="2:7">
      <c r="B695" s="2"/>
      <c r="C695" s="2"/>
      <c r="D695" s="2"/>
      <c r="E695" s="2"/>
      <c r="F695" s="2"/>
      <c r="G695" s="2"/>
    </row>
    <row r="696" spans="2:7">
      <c r="B696" s="2"/>
      <c r="C696" s="2"/>
      <c r="D696" s="2"/>
      <c r="E696" s="2"/>
      <c r="F696" s="2"/>
      <c r="G696" s="2"/>
    </row>
    <row r="697" spans="2:7">
      <c r="B697" s="2"/>
      <c r="C697" s="2"/>
      <c r="D697" s="2"/>
      <c r="E697" s="2"/>
      <c r="F697" s="2"/>
      <c r="G697" s="2"/>
    </row>
    <row r="698" spans="2:7">
      <c r="B698" s="2"/>
      <c r="C698" s="2"/>
      <c r="D698" s="2"/>
      <c r="E698" s="2"/>
      <c r="F698" s="2"/>
      <c r="G698" s="2"/>
    </row>
    <row r="699" spans="2:7">
      <c r="B699" s="2"/>
      <c r="C699" s="2"/>
      <c r="D699" s="2"/>
      <c r="E699" s="2"/>
      <c r="F699" s="2"/>
      <c r="G699" s="2"/>
    </row>
    <row r="700" spans="2:7">
      <c r="B700" s="2"/>
      <c r="C700" s="2"/>
      <c r="D700" s="2"/>
      <c r="E700" s="2"/>
      <c r="F700" s="2"/>
      <c r="G700" s="2"/>
    </row>
    <row r="701" spans="2:7">
      <c r="B701" s="2"/>
      <c r="C701" s="2"/>
      <c r="D701" s="2"/>
      <c r="E701" s="2"/>
      <c r="F701" s="2"/>
      <c r="G701" s="2"/>
    </row>
    <row r="702" spans="2:7">
      <c r="B702" s="2"/>
      <c r="C702" s="2"/>
      <c r="D702" s="2"/>
      <c r="E702" s="2"/>
      <c r="F702" s="2"/>
      <c r="G702" s="2"/>
    </row>
    <row r="703" spans="2:7">
      <c r="B703" s="2"/>
      <c r="C703" s="2"/>
      <c r="D703" s="2"/>
      <c r="E703" s="2"/>
      <c r="F703" s="2"/>
      <c r="G703" s="2"/>
    </row>
    <row r="704" spans="2:7">
      <c r="B704" s="2"/>
      <c r="C704" s="2"/>
      <c r="D704" s="2"/>
      <c r="E704" s="2"/>
      <c r="F704" s="2"/>
      <c r="G704" s="2"/>
    </row>
    <row r="705" spans="2:7">
      <c r="B705" s="2"/>
      <c r="C705" s="2"/>
      <c r="D705" s="2"/>
      <c r="E705" s="2"/>
      <c r="F705" s="2"/>
      <c r="G705" s="2"/>
    </row>
    <row r="706" spans="2:7">
      <c r="B706" s="2"/>
      <c r="C706" s="2"/>
      <c r="D706" s="2"/>
      <c r="E706" s="2"/>
      <c r="F706" s="2"/>
      <c r="G706" s="2"/>
    </row>
    <row r="707" spans="2:7">
      <c r="B707" s="2"/>
      <c r="C707" s="2"/>
      <c r="D707" s="2"/>
      <c r="E707" s="2"/>
      <c r="F707" s="2"/>
      <c r="G707" s="2"/>
    </row>
    <row r="708" spans="2:7">
      <c r="B708" s="2"/>
      <c r="C708" s="2"/>
      <c r="D708" s="2"/>
      <c r="E708" s="2"/>
      <c r="F708" s="2"/>
      <c r="G708" s="2"/>
    </row>
    <row r="709" spans="2:7">
      <c r="B709" s="2"/>
      <c r="C709" s="2"/>
      <c r="D709" s="2"/>
      <c r="E709" s="2"/>
      <c r="F709" s="2"/>
      <c r="G709" s="2"/>
    </row>
    <row r="710" spans="2:7">
      <c r="B710" s="2"/>
      <c r="C710" s="2"/>
      <c r="D710" s="2"/>
      <c r="E710" s="2"/>
      <c r="F710" s="2"/>
      <c r="G710" s="2"/>
    </row>
    <row r="711" spans="2:7">
      <c r="B711" s="2"/>
      <c r="C711" s="2"/>
      <c r="D711" s="2"/>
      <c r="E711" s="2"/>
      <c r="F711" s="2"/>
      <c r="G711" s="2"/>
    </row>
    <row r="712" spans="2:7">
      <c r="B712" s="2"/>
      <c r="C712" s="2"/>
      <c r="D712" s="2"/>
      <c r="E712" s="2"/>
      <c r="F712" s="2"/>
      <c r="G712" s="2"/>
    </row>
    <row r="713" spans="2:7">
      <c r="B713" s="2"/>
      <c r="C713" s="2"/>
      <c r="D713" s="2"/>
      <c r="E713" s="2"/>
      <c r="F713" s="2"/>
      <c r="G713" s="2"/>
    </row>
    <row r="714" spans="2:7">
      <c r="B714" s="2"/>
      <c r="C714" s="2"/>
      <c r="D714" s="2"/>
      <c r="E714" s="2"/>
      <c r="F714" s="2"/>
      <c r="G714" s="2"/>
    </row>
    <row r="715" spans="2:7">
      <c r="B715" s="2"/>
      <c r="C715" s="2"/>
      <c r="D715" s="2"/>
      <c r="E715" s="2"/>
      <c r="F715" s="2"/>
      <c r="G715" s="2"/>
    </row>
    <row r="716" spans="2:7">
      <c r="B716" s="2"/>
      <c r="C716" s="2"/>
      <c r="D716" s="2"/>
      <c r="E716" s="2"/>
      <c r="F716" s="2"/>
      <c r="G716" s="2"/>
    </row>
    <row r="717" spans="2:7">
      <c r="B717" s="2"/>
      <c r="C717" s="2"/>
      <c r="D717" s="2"/>
      <c r="E717" s="2"/>
      <c r="F717" s="2"/>
      <c r="G717" s="2"/>
    </row>
    <row r="718" spans="2:7">
      <c r="B718" s="2"/>
      <c r="C718" s="2"/>
      <c r="D718" s="2"/>
      <c r="E718" s="2"/>
      <c r="F718" s="2"/>
      <c r="G718" s="2"/>
    </row>
    <row r="719" spans="2:7">
      <c r="B719" s="2"/>
      <c r="C719" s="2"/>
      <c r="D719" s="2"/>
      <c r="E719" s="2"/>
      <c r="F719" s="2"/>
      <c r="G719" s="2"/>
    </row>
    <row r="720" spans="2:7">
      <c r="B720" s="2"/>
      <c r="C720" s="2"/>
      <c r="D720" s="2"/>
      <c r="E720" s="2"/>
      <c r="F720" s="2"/>
      <c r="G720" s="2"/>
    </row>
    <row r="721" spans="2:7">
      <c r="B721" s="2"/>
      <c r="C721" s="2"/>
      <c r="D721" s="2"/>
      <c r="E721" s="2"/>
      <c r="F721" s="2"/>
      <c r="G721" s="2"/>
    </row>
    <row r="722" spans="2:7">
      <c r="B722" s="2"/>
      <c r="C722" s="2"/>
      <c r="D722" s="2"/>
      <c r="E722" s="2"/>
      <c r="F722" s="2"/>
      <c r="G722" s="2"/>
    </row>
    <row r="723" spans="2:7">
      <c r="B723" s="2"/>
      <c r="C723" s="2"/>
      <c r="D723" s="2"/>
      <c r="E723" s="2"/>
      <c r="F723" s="2"/>
      <c r="G723" s="2"/>
    </row>
    <row r="724" spans="2:7">
      <c r="B724" s="2"/>
      <c r="C724" s="2"/>
      <c r="D724" s="2"/>
      <c r="E724" s="2"/>
      <c r="F724" s="2"/>
      <c r="G724" s="2"/>
    </row>
    <row r="725" spans="2:7">
      <c r="B725" s="2"/>
      <c r="C725" s="2"/>
      <c r="D725" s="2"/>
      <c r="E725" s="2"/>
      <c r="F725" s="2"/>
      <c r="G725" s="2"/>
    </row>
    <row r="726" spans="2:7">
      <c r="B726" s="2"/>
      <c r="C726" s="2"/>
      <c r="D726" s="2"/>
      <c r="E726" s="2"/>
      <c r="F726" s="2"/>
      <c r="G726" s="2"/>
    </row>
    <row r="727" spans="2:7">
      <c r="B727" s="2"/>
      <c r="C727" s="2"/>
      <c r="D727" s="2"/>
      <c r="E727" s="2"/>
      <c r="F727" s="2"/>
      <c r="G727" s="2"/>
    </row>
    <row r="728" spans="2:7">
      <c r="B728" s="2"/>
      <c r="C728" s="2"/>
      <c r="D728" s="2"/>
      <c r="E728" s="2"/>
      <c r="F728" s="2"/>
      <c r="G728" s="2"/>
    </row>
    <row r="729" spans="2:7">
      <c r="B729" s="2"/>
      <c r="C729" s="2"/>
      <c r="D729" s="2"/>
      <c r="E729" s="2"/>
      <c r="F729" s="2"/>
      <c r="G729" s="2"/>
    </row>
    <row r="730" spans="2:7">
      <c r="B730" s="2"/>
      <c r="C730" s="2"/>
      <c r="D730" s="2"/>
      <c r="E730" s="2"/>
      <c r="F730" s="2"/>
      <c r="G730" s="2"/>
    </row>
    <row r="731" spans="2:7">
      <c r="B731" s="2"/>
      <c r="C731" s="2"/>
      <c r="D731" s="2"/>
      <c r="E731" s="2"/>
      <c r="F731" s="2"/>
      <c r="G731" s="2"/>
    </row>
    <row r="732" spans="2:7">
      <c r="B732" s="2"/>
      <c r="C732" s="2"/>
      <c r="D732" s="2"/>
      <c r="E732" s="2"/>
      <c r="F732" s="2"/>
      <c r="G732" s="2"/>
    </row>
    <row r="733" spans="2:7">
      <c r="B733" s="2"/>
      <c r="C733" s="2"/>
      <c r="D733" s="2"/>
      <c r="E733" s="2"/>
      <c r="F733" s="2"/>
      <c r="G733" s="2"/>
    </row>
    <row r="734" spans="2:7">
      <c r="B734" s="2"/>
      <c r="C734" s="2"/>
      <c r="D734" s="2"/>
      <c r="E734" s="2"/>
      <c r="F734" s="2"/>
      <c r="G734" s="2"/>
    </row>
    <row r="735" spans="2:7">
      <c r="B735" s="2"/>
      <c r="C735" s="2"/>
      <c r="D735" s="2"/>
      <c r="E735" s="2"/>
      <c r="F735" s="2"/>
      <c r="G735" s="2"/>
    </row>
    <row r="736" spans="2:7">
      <c r="B736" s="2"/>
      <c r="C736" s="2"/>
      <c r="D736" s="2"/>
      <c r="E736" s="2"/>
      <c r="F736" s="2"/>
      <c r="G736" s="2"/>
    </row>
    <row r="737" spans="2:7">
      <c r="B737" s="2"/>
      <c r="C737" s="2"/>
      <c r="D737" s="2"/>
      <c r="E737" s="2"/>
      <c r="F737" s="2"/>
      <c r="G737" s="2"/>
    </row>
    <row r="738" spans="2:7">
      <c r="B738" s="2"/>
      <c r="C738" s="2"/>
      <c r="D738" s="2"/>
      <c r="E738" s="2"/>
      <c r="F738" s="2"/>
      <c r="G738" s="2"/>
    </row>
    <row r="739" spans="2:7">
      <c r="B739" s="2"/>
      <c r="C739" s="2"/>
      <c r="D739" s="2"/>
      <c r="E739" s="2"/>
      <c r="F739" s="2"/>
      <c r="G739" s="2"/>
    </row>
    <row r="740" spans="2:7">
      <c r="B740" s="2"/>
      <c r="C740" s="2"/>
      <c r="D740" s="2"/>
      <c r="E740" s="2"/>
      <c r="F740" s="2"/>
      <c r="G740" s="2"/>
    </row>
    <row r="741" spans="2:7">
      <c r="B741" s="2"/>
      <c r="C741" s="2"/>
      <c r="D741" s="2"/>
      <c r="E741" s="2"/>
      <c r="F741" s="2"/>
      <c r="G741" s="2"/>
    </row>
    <row r="742" spans="2:7">
      <c r="B742" s="2"/>
      <c r="C742" s="2"/>
      <c r="D742" s="2"/>
      <c r="E742" s="2"/>
      <c r="F742" s="2"/>
      <c r="G742" s="2"/>
    </row>
    <row r="743" spans="2:7">
      <c r="B743" s="2"/>
      <c r="C743" s="2"/>
      <c r="D743" s="2"/>
      <c r="E743" s="2"/>
      <c r="F743" s="2"/>
      <c r="G743" s="2"/>
    </row>
    <row r="744" spans="2:7">
      <c r="B744" s="2"/>
      <c r="C744" s="2"/>
      <c r="D744" s="2"/>
      <c r="E744" s="2"/>
      <c r="F744" s="2"/>
      <c r="G744" s="2"/>
    </row>
    <row r="745" spans="2:7">
      <c r="B745" s="2"/>
      <c r="C745" s="2"/>
      <c r="D745" s="2"/>
      <c r="E745" s="2"/>
      <c r="F745" s="2"/>
      <c r="G745" s="2"/>
    </row>
    <row r="746" spans="2:7">
      <c r="B746" s="2"/>
      <c r="C746" s="2"/>
      <c r="D746" s="2"/>
      <c r="E746" s="2"/>
      <c r="F746" s="2"/>
      <c r="G746" s="2"/>
    </row>
    <row r="747" spans="2:7">
      <c r="B747" s="2"/>
      <c r="C747" s="2"/>
      <c r="D747" s="2"/>
      <c r="E747" s="2"/>
      <c r="F747" s="2"/>
      <c r="G747" s="2"/>
    </row>
    <row r="748" spans="2:7">
      <c r="B748" s="2"/>
      <c r="C748" s="2"/>
      <c r="D748" s="2"/>
      <c r="E748" s="2"/>
      <c r="F748" s="2"/>
      <c r="G748" s="2"/>
    </row>
    <row r="749" spans="2:7">
      <c r="B749" s="2"/>
      <c r="C749" s="2"/>
      <c r="D749" s="2"/>
      <c r="E749" s="2"/>
      <c r="F749" s="2"/>
      <c r="G749" s="2"/>
    </row>
    <row r="750" spans="2:7">
      <c r="B750" s="2"/>
      <c r="C750" s="2"/>
      <c r="D750" s="2"/>
      <c r="E750" s="2"/>
      <c r="F750" s="2"/>
      <c r="G750" s="2"/>
    </row>
    <row r="751" spans="2:7">
      <c r="B751" s="2"/>
      <c r="C751" s="2"/>
      <c r="D751" s="2"/>
      <c r="E751" s="2"/>
      <c r="F751" s="2"/>
      <c r="G751" s="2"/>
    </row>
    <row r="752" spans="2:7">
      <c r="B752" s="2"/>
      <c r="C752" s="2"/>
      <c r="D752" s="2"/>
      <c r="E752" s="2"/>
      <c r="F752" s="2"/>
      <c r="G752" s="2"/>
    </row>
    <row r="753" spans="2:7">
      <c r="B753" s="2"/>
      <c r="C753" s="2"/>
      <c r="D753" s="2"/>
      <c r="E753" s="2"/>
      <c r="F753" s="2"/>
      <c r="G753" s="2"/>
    </row>
    <row r="754" spans="2:7">
      <c r="B754" s="2"/>
      <c r="C754" s="2"/>
      <c r="D754" s="2"/>
      <c r="E754" s="2"/>
      <c r="F754" s="2"/>
      <c r="G754" s="2"/>
    </row>
    <row r="755" spans="2:7">
      <c r="B755" s="2"/>
      <c r="C755" s="2"/>
      <c r="D755" s="2"/>
      <c r="E755" s="2"/>
      <c r="F755" s="2"/>
      <c r="G755" s="2"/>
    </row>
    <row r="756" spans="2:7">
      <c r="B756" s="2"/>
      <c r="C756" s="2"/>
      <c r="D756" s="2"/>
      <c r="E756" s="2"/>
      <c r="F756" s="2"/>
      <c r="G756" s="2"/>
    </row>
    <row r="757" spans="2:7">
      <c r="B757" s="2"/>
      <c r="C757" s="2"/>
      <c r="D757" s="2"/>
      <c r="E757" s="2"/>
      <c r="F757" s="2"/>
      <c r="G757" s="2"/>
    </row>
    <row r="758" spans="2:7">
      <c r="B758" s="2"/>
      <c r="C758" s="2"/>
      <c r="D758" s="2"/>
      <c r="E758" s="2"/>
      <c r="F758" s="2"/>
      <c r="G758" s="2"/>
    </row>
    <row r="759" spans="2:7">
      <c r="B759" s="2"/>
      <c r="C759" s="2"/>
      <c r="D759" s="2"/>
      <c r="E759" s="2"/>
      <c r="F759" s="2"/>
      <c r="G759" s="2"/>
    </row>
    <row r="760" spans="2:7">
      <c r="B760" s="2"/>
      <c r="C760" s="2"/>
      <c r="D760" s="2"/>
      <c r="E760" s="2"/>
      <c r="F760" s="2"/>
      <c r="G760" s="2"/>
    </row>
    <row r="761" spans="2:7">
      <c r="B761" s="2"/>
      <c r="C761" s="2"/>
      <c r="D761" s="2"/>
      <c r="E761" s="2"/>
      <c r="F761" s="2"/>
      <c r="G761" s="2"/>
    </row>
    <row r="762" spans="2:7">
      <c r="B762" s="2"/>
      <c r="C762" s="2"/>
      <c r="D762" s="2"/>
      <c r="E762" s="2"/>
      <c r="F762" s="2"/>
      <c r="G762" s="2"/>
    </row>
    <row r="763" spans="2:7">
      <c r="B763" s="2"/>
      <c r="C763" s="2"/>
      <c r="D763" s="2"/>
      <c r="E763" s="2"/>
      <c r="F763" s="2"/>
      <c r="G763" s="2"/>
    </row>
    <row r="764" spans="2:7">
      <c r="B764" s="2"/>
      <c r="C764" s="2"/>
      <c r="D764" s="2"/>
      <c r="E764" s="2"/>
      <c r="F764" s="2"/>
      <c r="G764" s="2"/>
    </row>
    <row r="765" spans="2:7">
      <c r="B765" s="2"/>
      <c r="C765" s="2"/>
      <c r="D765" s="2"/>
      <c r="E765" s="2"/>
      <c r="F765" s="2"/>
      <c r="G765" s="2"/>
    </row>
    <row r="766" spans="2:7">
      <c r="B766" s="2"/>
      <c r="C766" s="2"/>
      <c r="D766" s="2"/>
      <c r="E766" s="2"/>
      <c r="F766" s="2"/>
      <c r="G766" s="2"/>
    </row>
    <row r="767" spans="2:7">
      <c r="B767" s="2"/>
      <c r="C767" s="2"/>
      <c r="D767" s="2"/>
      <c r="E767" s="2"/>
      <c r="F767" s="2"/>
      <c r="G767" s="2"/>
    </row>
    <row r="768" spans="2:7">
      <c r="B768" s="2"/>
      <c r="C768" s="2"/>
      <c r="D768" s="2"/>
      <c r="E768" s="2"/>
      <c r="F768" s="2"/>
      <c r="G768" s="2"/>
    </row>
    <row r="769" spans="2:7">
      <c r="B769" s="2"/>
      <c r="C769" s="2"/>
      <c r="D769" s="2"/>
      <c r="E769" s="2"/>
      <c r="F769" s="2"/>
      <c r="G769" s="2"/>
    </row>
    <row r="770" spans="2:7">
      <c r="B770" s="2"/>
      <c r="C770" s="2"/>
      <c r="D770" s="2"/>
      <c r="E770" s="2"/>
      <c r="F770" s="2"/>
      <c r="G770" s="2"/>
    </row>
    <row r="771" spans="2:7">
      <c r="B771" s="2"/>
      <c r="C771" s="2"/>
      <c r="D771" s="2"/>
      <c r="E771" s="2"/>
      <c r="F771" s="2"/>
      <c r="G771" s="2"/>
    </row>
    <row r="772" spans="2:7">
      <c r="B772" s="2"/>
      <c r="C772" s="2"/>
      <c r="D772" s="2"/>
      <c r="E772" s="2"/>
      <c r="F772" s="2"/>
      <c r="G772" s="2"/>
    </row>
    <row r="773" spans="2:7">
      <c r="B773" s="2"/>
      <c r="C773" s="2"/>
      <c r="D773" s="2"/>
      <c r="E773" s="2"/>
      <c r="F773" s="2"/>
      <c r="G773" s="2"/>
    </row>
    <row r="774" spans="2:7">
      <c r="B774" s="2"/>
      <c r="C774" s="2"/>
      <c r="D774" s="2"/>
      <c r="E774" s="2"/>
      <c r="F774" s="2"/>
      <c r="G774" s="2"/>
    </row>
    <row r="775" spans="2:7">
      <c r="B775" s="2"/>
      <c r="C775" s="2"/>
      <c r="D775" s="2"/>
      <c r="E775" s="2"/>
      <c r="F775" s="2"/>
      <c r="G775" s="2"/>
    </row>
    <row r="776" spans="2:7">
      <c r="B776" s="2"/>
      <c r="C776" s="2"/>
      <c r="D776" s="2"/>
      <c r="E776" s="2"/>
      <c r="F776" s="2"/>
      <c r="G776" s="2"/>
    </row>
    <row r="777" spans="2:7">
      <c r="B777" s="2"/>
      <c r="C777" s="2"/>
      <c r="D777" s="2"/>
      <c r="E777" s="2"/>
      <c r="F777" s="2"/>
      <c r="G777" s="2"/>
    </row>
    <row r="778" spans="2:7">
      <c r="B778" s="2"/>
      <c r="C778" s="2"/>
      <c r="D778" s="2"/>
      <c r="E778" s="2"/>
      <c r="F778" s="2"/>
      <c r="G778" s="2"/>
    </row>
    <row r="779" spans="2:7">
      <c r="B779" s="2"/>
      <c r="C779" s="2"/>
      <c r="D779" s="2"/>
      <c r="E779" s="2"/>
      <c r="F779" s="2"/>
      <c r="G779" s="2"/>
    </row>
    <row r="780" spans="2:7">
      <c r="B780" s="2"/>
      <c r="C780" s="2"/>
      <c r="D780" s="2"/>
      <c r="E780" s="2"/>
      <c r="F780" s="2"/>
      <c r="G780" s="2"/>
    </row>
    <row r="781" spans="2:7">
      <c r="B781" s="2"/>
      <c r="C781" s="2"/>
      <c r="D781" s="2"/>
      <c r="E781" s="2"/>
      <c r="F781" s="2"/>
      <c r="G781" s="2"/>
    </row>
    <row r="782" spans="2:7">
      <c r="B782" s="2"/>
      <c r="C782" s="2"/>
      <c r="D782" s="2"/>
      <c r="E782" s="2"/>
      <c r="F782" s="2"/>
      <c r="G782" s="2"/>
    </row>
    <row r="783" spans="2:7">
      <c r="B783" s="2"/>
      <c r="C783" s="2"/>
      <c r="D783" s="2"/>
      <c r="E783" s="2"/>
      <c r="F783" s="2"/>
      <c r="G783" s="2"/>
    </row>
    <row r="784" spans="2:7">
      <c r="B784" s="2"/>
      <c r="C784" s="2"/>
      <c r="D784" s="2"/>
      <c r="E784" s="2"/>
      <c r="F784" s="2"/>
      <c r="G784" s="2"/>
    </row>
    <row r="785" spans="2:7">
      <c r="B785" s="2"/>
      <c r="C785" s="2"/>
      <c r="D785" s="2"/>
      <c r="E785" s="2"/>
      <c r="F785" s="2"/>
      <c r="G785" s="2"/>
    </row>
    <row r="786" spans="2:7">
      <c r="B786" s="2"/>
      <c r="C786" s="2"/>
      <c r="D786" s="2"/>
      <c r="E786" s="2"/>
      <c r="F786" s="2"/>
      <c r="G786" s="2"/>
    </row>
    <row r="787" spans="2:7">
      <c r="B787" s="2"/>
      <c r="C787" s="2"/>
      <c r="D787" s="2"/>
      <c r="E787" s="2"/>
      <c r="F787" s="2"/>
      <c r="G787" s="2"/>
    </row>
    <row r="788" spans="2:7">
      <c r="B788" s="2"/>
      <c r="C788" s="2"/>
      <c r="D788" s="2"/>
      <c r="E788" s="2"/>
      <c r="F788" s="2"/>
      <c r="G788" s="2"/>
    </row>
    <row r="789" spans="2:7">
      <c r="B789" s="2"/>
      <c r="C789" s="2"/>
      <c r="D789" s="2"/>
      <c r="E789" s="2"/>
      <c r="F789" s="2"/>
      <c r="G789" s="2"/>
    </row>
    <row r="790" spans="2:7">
      <c r="B790" s="2"/>
      <c r="C790" s="2"/>
      <c r="D790" s="2"/>
      <c r="E790" s="2"/>
      <c r="F790" s="2"/>
      <c r="G790" s="2"/>
    </row>
    <row r="791" spans="2:7">
      <c r="B791" s="2"/>
      <c r="C791" s="2"/>
      <c r="D791" s="2"/>
      <c r="E791" s="2"/>
      <c r="F791" s="2"/>
      <c r="G791" s="2"/>
    </row>
    <row r="792" spans="2:7">
      <c r="B792" s="2"/>
      <c r="C792" s="2"/>
      <c r="D792" s="2"/>
      <c r="E792" s="2"/>
      <c r="F792" s="2"/>
      <c r="G792" s="2"/>
    </row>
    <row r="793" spans="2:7">
      <c r="B793" s="2"/>
      <c r="C793" s="2"/>
      <c r="D793" s="2"/>
      <c r="E793" s="2"/>
      <c r="F793" s="2"/>
      <c r="G793" s="2"/>
    </row>
    <row r="794" spans="2:7">
      <c r="B794" s="2"/>
      <c r="C794" s="2"/>
      <c r="D794" s="2"/>
      <c r="E794" s="2"/>
      <c r="F794" s="2"/>
      <c r="G794" s="2"/>
    </row>
    <row r="795" spans="2:7">
      <c r="B795" s="2"/>
      <c r="C795" s="2"/>
      <c r="D795" s="2"/>
      <c r="E795" s="2"/>
      <c r="F795" s="2"/>
      <c r="G795" s="2"/>
    </row>
    <row r="796" spans="2:7">
      <c r="B796" s="2"/>
      <c r="C796" s="2"/>
      <c r="D796" s="2"/>
      <c r="E796" s="2"/>
      <c r="F796" s="2"/>
      <c r="G796" s="2"/>
    </row>
    <row r="797" spans="2:7">
      <c r="B797" s="2"/>
      <c r="C797" s="2"/>
      <c r="D797" s="2"/>
      <c r="E797" s="2"/>
      <c r="F797" s="2"/>
      <c r="G797" s="2"/>
    </row>
    <row r="798" spans="2:7">
      <c r="B798" s="2"/>
      <c r="C798" s="2"/>
      <c r="D798" s="2"/>
      <c r="E798" s="2"/>
      <c r="F798" s="2"/>
      <c r="G798" s="2"/>
    </row>
    <row r="799" spans="2:7">
      <c r="B799" s="2"/>
      <c r="C799" s="2"/>
      <c r="D799" s="2"/>
      <c r="E799" s="2"/>
      <c r="F799" s="2"/>
      <c r="G799" s="2"/>
    </row>
    <row r="800" spans="2:7">
      <c r="B800" s="2"/>
      <c r="C800" s="2"/>
      <c r="D800" s="2"/>
      <c r="E800" s="2"/>
      <c r="F800" s="2"/>
      <c r="G800" s="2"/>
    </row>
    <row r="801" spans="2:7">
      <c r="B801" s="2"/>
      <c r="C801" s="2"/>
      <c r="D801" s="2"/>
      <c r="E801" s="2"/>
      <c r="F801" s="2"/>
      <c r="G801" s="2"/>
    </row>
    <row r="802" spans="2:7">
      <c r="B802" s="2"/>
      <c r="C802" s="2"/>
      <c r="D802" s="2"/>
      <c r="E802" s="2"/>
      <c r="F802" s="2"/>
      <c r="G802" s="2"/>
    </row>
    <row r="803" spans="2:7">
      <c r="B803" s="2"/>
      <c r="C803" s="2"/>
      <c r="D803" s="2"/>
      <c r="E803" s="2"/>
      <c r="F803" s="2"/>
      <c r="G803" s="2"/>
    </row>
    <row r="804" spans="2:7">
      <c r="B804" s="2"/>
      <c r="C804" s="2"/>
      <c r="D804" s="2"/>
      <c r="E804" s="2"/>
      <c r="F804" s="2"/>
      <c r="G804" s="2"/>
    </row>
    <row r="805" spans="2:7">
      <c r="B805" s="2"/>
      <c r="C805" s="2"/>
      <c r="D805" s="2"/>
      <c r="E805" s="2"/>
      <c r="F805" s="2"/>
      <c r="G805" s="2"/>
    </row>
    <row r="806" spans="2:7">
      <c r="B806" s="2"/>
      <c r="C806" s="2"/>
      <c r="D806" s="2"/>
      <c r="E806" s="2"/>
      <c r="F806" s="2"/>
      <c r="G806" s="2"/>
    </row>
    <row r="807" spans="2:7">
      <c r="B807" s="2"/>
      <c r="C807" s="2"/>
      <c r="D807" s="2"/>
      <c r="E807" s="2"/>
      <c r="F807" s="2"/>
      <c r="G807" s="2"/>
    </row>
    <row r="808" spans="2:7">
      <c r="B808" s="2"/>
      <c r="C808" s="2"/>
      <c r="D808" s="2"/>
      <c r="E808" s="2"/>
      <c r="F808" s="2"/>
      <c r="G808" s="2"/>
    </row>
    <row r="809" spans="2:7">
      <c r="B809" s="2"/>
      <c r="C809" s="2"/>
      <c r="D809" s="2"/>
      <c r="E809" s="2"/>
      <c r="F809" s="2"/>
      <c r="G809" s="2"/>
    </row>
    <row r="810" spans="2:7">
      <c r="B810" s="2"/>
      <c r="C810" s="2"/>
      <c r="D810" s="2"/>
      <c r="E810" s="2"/>
      <c r="F810" s="2"/>
      <c r="G810" s="2"/>
    </row>
    <row r="811" spans="2:7">
      <c r="B811" s="2"/>
      <c r="C811" s="2"/>
      <c r="D811" s="2"/>
      <c r="E811" s="2"/>
      <c r="F811" s="2"/>
      <c r="G811" s="2"/>
    </row>
    <row r="812" spans="2:7">
      <c r="B812" s="2"/>
      <c r="C812" s="2"/>
      <c r="D812" s="2"/>
      <c r="E812" s="2"/>
      <c r="F812" s="2"/>
      <c r="G812" s="2"/>
    </row>
    <row r="813" spans="2:7">
      <c r="B813" s="2"/>
      <c r="C813" s="2"/>
      <c r="D813" s="2"/>
      <c r="E813" s="2"/>
      <c r="F813" s="2"/>
      <c r="G813" s="2"/>
    </row>
    <row r="814" spans="2:7">
      <c r="B814" s="2"/>
      <c r="C814" s="2"/>
      <c r="D814" s="2"/>
      <c r="E814" s="2"/>
      <c r="F814" s="2"/>
      <c r="G814" s="2"/>
    </row>
    <row r="815" spans="2:7">
      <c r="B815" s="2"/>
      <c r="C815" s="2"/>
      <c r="D815" s="2"/>
      <c r="E815" s="2"/>
      <c r="F815" s="2"/>
      <c r="G815" s="2"/>
    </row>
    <row r="816" spans="2:7">
      <c r="B816" s="2"/>
      <c r="C816" s="2"/>
      <c r="D816" s="2"/>
      <c r="E816" s="2"/>
      <c r="F816" s="2"/>
      <c r="G816" s="2"/>
    </row>
    <row r="817" spans="2:7">
      <c r="B817" s="2"/>
      <c r="C817" s="2"/>
      <c r="D817" s="2"/>
      <c r="E817" s="2"/>
      <c r="F817" s="2"/>
      <c r="G817" s="2"/>
    </row>
    <row r="818" spans="2:7">
      <c r="B818" s="2"/>
      <c r="C818" s="2"/>
      <c r="D818" s="2"/>
      <c r="E818" s="2"/>
      <c r="F818" s="2"/>
      <c r="G818" s="2"/>
    </row>
    <row r="819" spans="2:7">
      <c r="B819" s="2"/>
      <c r="C819" s="2"/>
      <c r="D819" s="2"/>
      <c r="E819" s="2"/>
      <c r="F819" s="2"/>
      <c r="G819" s="2"/>
    </row>
    <row r="820" spans="2:7">
      <c r="B820" s="2"/>
      <c r="C820" s="2"/>
      <c r="D820" s="2"/>
      <c r="E820" s="2"/>
      <c r="F820" s="2"/>
      <c r="G820" s="2"/>
    </row>
    <row r="821" spans="2:7">
      <c r="B821" s="2"/>
      <c r="C821" s="2"/>
      <c r="D821" s="2"/>
      <c r="E821" s="2"/>
      <c r="F821" s="2"/>
      <c r="G821" s="2"/>
    </row>
    <row r="822" spans="2:7">
      <c r="B822" s="2"/>
      <c r="C822" s="2"/>
      <c r="D822" s="2"/>
      <c r="E822" s="2"/>
      <c r="F822" s="2"/>
      <c r="G822" s="2"/>
    </row>
    <row r="823" spans="2:7">
      <c r="B823" s="2"/>
      <c r="C823" s="2"/>
      <c r="D823" s="2"/>
      <c r="E823" s="2"/>
      <c r="F823" s="2"/>
      <c r="G823" s="2"/>
    </row>
    <row r="824" spans="2:7">
      <c r="B824" s="2"/>
      <c r="C824" s="2"/>
      <c r="D824" s="2"/>
      <c r="E824" s="2"/>
      <c r="F824" s="2"/>
      <c r="G824" s="2"/>
    </row>
    <row r="825" spans="2:7">
      <c r="B825" s="2"/>
      <c r="C825" s="2"/>
      <c r="D825" s="2"/>
      <c r="E825" s="2"/>
      <c r="F825" s="2"/>
      <c r="G825" s="2"/>
    </row>
    <row r="826" spans="2:7">
      <c r="B826" s="2"/>
      <c r="C826" s="2"/>
      <c r="D826" s="2"/>
      <c r="E826" s="2"/>
      <c r="F826" s="2"/>
      <c r="G826" s="2"/>
    </row>
    <row r="827" spans="2:7">
      <c r="B827" s="2"/>
      <c r="C827" s="2"/>
      <c r="D827" s="2"/>
      <c r="E827" s="2"/>
      <c r="F827" s="2"/>
      <c r="G827" s="2"/>
    </row>
    <row r="828" spans="2:7">
      <c r="B828" s="2"/>
      <c r="C828" s="2"/>
      <c r="D828" s="2"/>
      <c r="E828" s="2"/>
      <c r="F828" s="2"/>
      <c r="G828" s="2"/>
    </row>
    <row r="829" spans="2:7">
      <c r="B829" s="2"/>
      <c r="C829" s="2"/>
      <c r="D829" s="2"/>
      <c r="E829" s="2"/>
      <c r="F829" s="2"/>
      <c r="G829" s="2"/>
    </row>
    <row r="830" spans="2:7">
      <c r="B830" s="2"/>
      <c r="C830" s="2"/>
      <c r="D830" s="2"/>
      <c r="E830" s="2"/>
      <c r="F830" s="2"/>
      <c r="G830" s="2"/>
    </row>
    <row r="831" spans="2:7">
      <c r="B831" s="2"/>
      <c r="C831" s="2"/>
      <c r="D831" s="2"/>
      <c r="E831" s="2"/>
      <c r="F831" s="2"/>
      <c r="G831" s="2"/>
    </row>
    <row r="832" spans="2:7">
      <c r="B832" s="2"/>
      <c r="C832" s="2"/>
      <c r="D832" s="2"/>
      <c r="E832" s="2"/>
      <c r="F832" s="2"/>
      <c r="G832" s="2"/>
    </row>
    <row r="833" spans="2:7">
      <c r="B833" s="2"/>
      <c r="C833" s="2"/>
      <c r="D833" s="2"/>
      <c r="E833" s="2"/>
      <c r="F833" s="2"/>
      <c r="G833" s="2"/>
    </row>
    <row r="834" spans="2:7">
      <c r="B834" s="2"/>
      <c r="C834" s="2"/>
      <c r="D834" s="2"/>
      <c r="E834" s="2"/>
      <c r="F834" s="2"/>
      <c r="G834" s="2"/>
    </row>
    <row r="835" spans="2:7">
      <c r="B835" s="2"/>
      <c r="C835" s="2"/>
      <c r="D835" s="2"/>
      <c r="E835" s="2"/>
      <c r="F835" s="2"/>
      <c r="G835" s="2"/>
    </row>
    <row r="836" spans="2:7">
      <c r="B836" s="2"/>
      <c r="C836" s="2"/>
      <c r="D836" s="2"/>
      <c r="E836" s="2"/>
      <c r="F836" s="2"/>
      <c r="G836" s="2"/>
    </row>
    <row r="837" spans="2:7">
      <c r="B837" s="2"/>
      <c r="C837" s="2"/>
      <c r="D837" s="2"/>
      <c r="E837" s="2"/>
      <c r="F837" s="2"/>
      <c r="G837" s="2"/>
    </row>
    <row r="838" spans="2:7">
      <c r="B838" s="2"/>
      <c r="C838" s="2"/>
      <c r="D838" s="2"/>
      <c r="E838" s="2"/>
      <c r="F838" s="2"/>
      <c r="G838" s="2"/>
    </row>
    <row r="839" spans="2:7">
      <c r="B839" s="2"/>
      <c r="C839" s="2"/>
      <c r="D839" s="2"/>
      <c r="E839" s="2"/>
      <c r="F839" s="2"/>
      <c r="G839" s="2"/>
    </row>
    <row r="840" spans="2:7">
      <c r="B840" s="2"/>
      <c r="C840" s="2"/>
      <c r="D840" s="2"/>
      <c r="E840" s="2"/>
      <c r="F840" s="2"/>
      <c r="G840" s="2"/>
    </row>
    <row r="841" spans="2:7">
      <c r="B841" s="2"/>
      <c r="C841" s="2"/>
      <c r="D841" s="2"/>
      <c r="E841" s="2"/>
      <c r="F841" s="2"/>
      <c r="G841" s="2"/>
    </row>
    <row r="842" spans="2:7">
      <c r="B842" s="2"/>
      <c r="C842" s="2"/>
      <c r="D842" s="2"/>
      <c r="E842" s="2"/>
      <c r="F842" s="2"/>
      <c r="G842" s="2"/>
    </row>
    <row r="843" spans="2:7">
      <c r="B843" s="2"/>
      <c r="C843" s="2"/>
      <c r="D843" s="2"/>
      <c r="E843" s="2"/>
      <c r="F843" s="2"/>
      <c r="G843" s="2"/>
    </row>
    <row r="844" spans="2:7">
      <c r="B844" s="2"/>
      <c r="C844" s="2"/>
      <c r="D844" s="2"/>
      <c r="E844" s="2"/>
      <c r="F844" s="2"/>
      <c r="G844" s="2"/>
    </row>
    <row r="845" spans="2:7">
      <c r="B845" s="2"/>
      <c r="C845" s="2"/>
      <c r="D845" s="2"/>
      <c r="E845" s="2"/>
      <c r="F845" s="2"/>
      <c r="G845" s="2"/>
    </row>
    <row r="846" spans="2:7">
      <c r="B846" s="2"/>
      <c r="C846" s="2"/>
      <c r="D846" s="2"/>
      <c r="E846" s="2"/>
      <c r="F846" s="2"/>
      <c r="G846" s="2"/>
    </row>
    <row r="847" spans="2:7">
      <c r="B847" s="2"/>
      <c r="C847" s="2"/>
      <c r="D847" s="2"/>
      <c r="E847" s="2"/>
      <c r="F847" s="2"/>
      <c r="G847" s="2"/>
    </row>
    <row r="848" spans="2:7">
      <c r="B848" s="2"/>
      <c r="C848" s="2"/>
      <c r="D848" s="2"/>
      <c r="E848" s="2"/>
      <c r="F848" s="2"/>
      <c r="G848" s="2"/>
    </row>
    <row r="849" spans="2:7">
      <c r="B849" s="2"/>
      <c r="C849" s="2"/>
      <c r="D849" s="2"/>
      <c r="E849" s="2"/>
      <c r="F849" s="2"/>
      <c r="G849" s="2"/>
    </row>
    <row r="850" spans="2:7">
      <c r="B850" s="2"/>
      <c r="C850" s="2"/>
      <c r="D850" s="2"/>
      <c r="E850" s="2"/>
      <c r="F850" s="2"/>
      <c r="G850" s="2"/>
    </row>
    <row r="851" spans="2:7">
      <c r="B851" s="2"/>
      <c r="C851" s="2"/>
      <c r="D851" s="2"/>
      <c r="E851" s="2"/>
      <c r="F851" s="2"/>
      <c r="G851" s="2"/>
    </row>
    <row r="852" spans="2:7">
      <c r="B852" s="2"/>
      <c r="C852" s="2"/>
      <c r="D852" s="2"/>
      <c r="E852" s="2"/>
      <c r="F852" s="2"/>
      <c r="G852" s="2"/>
    </row>
    <row r="853" spans="2:7">
      <c r="B853" s="2"/>
      <c r="C853" s="2"/>
      <c r="D853" s="2"/>
      <c r="E853" s="2"/>
      <c r="F853" s="2"/>
      <c r="G853" s="2"/>
    </row>
    <row r="854" spans="2:7">
      <c r="B854" s="2"/>
      <c r="C854" s="2"/>
      <c r="D854" s="2"/>
      <c r="E854" s="2"/>
      <c r="F854" s="2"/>
      <c r="G854" s="2"/>
    </row>
    <row r="855" spans="2:7">
      <c r="B855" s="2"/>
      <c r="C855" s="2"/>
      <c r="D855" s="2"/>
      <c r="E855" s="2"/>
      <c r="F855" s="2"/>
      <c r="G855" s="2"/>
    </row>
    <row r="856" spans="2:7">
      <c r="B856" s="2"/>
      <c r="C856" s="2"/>
      <c r="D856" s="2"/>
      <c r="E856" s="2"/>
      <c r="F856" s="2"/>
      <c r="G856" s="2"/>
    </row>
    <row r="857" spans="2:7">
      <c r="B857" s="2"/>
      <c r="C857" s="2"/>
      <c r="D857" s="2"/>
      <c r="E857" s="2"/>
      <c r="F857" s="2"/>
      <c r="G857" s="2"/>
    </row>
    <row r="858" spans="2:7">
      <c r="B858" s="2"/>
      <c r="C858" s="2"/>
      <c r="D858" s="2"/>
      <c r="E858" s="2"/>
      <c r="F858" s="2"/>
      <c r="G858" s="2"/>
    </row>
    <row r="859" spans="2:7">
      <c r="B859" s="2"/>
      <c r="C859" s="2"/>
      <c r="D859" s="2"/>
      <c r="E859" s="2"/>
      <c r="F859" s="2"/>
      <c r="G859" s="2"/>
    </row>
    <row r="860" spans="2:7">
      <c r="B860" s="2"/>
      <c r="C860" s="2"/>
      <c r="D860" s="2"/>
      <c r="E860" s="2"/>
      <c r="F860" s="2"/>
      <c r="G860" s="2"/>
    </row>
    <row r="861" spans="2:7">
      <c r="B861" s="2"/>
      <c r="C861" s="2"/>
      <c r="D861" s="2"/>
      <c r="E861" s="2"/>
      <c r="F861" s="2"/>
      <c r="G861" s="2"/>
    </row>
    <row r="862" spans="2:7">
      <c r="B862" s="2"/>
      <c r="C862" s="2"/>
      <c r="D862" s="2"/>
      <c r="E862" s="2"/>
      <c r="F862" s="2"/>
      <c r="G862" s="2"/>
    </row>
    <row r="863" spans="2:7">
      <c r="B863" s="2"/>
      <c r="C863" s="2"/>
      <c r="D863" s="2"/>
      <c r="E863" s="2"/>
      <c r="F863" s="2"/>
      <c r="G863" s="2"/>
    </row>
    <row r="864" spans="2:7">
      <c r="B864" s="2"/>
      <c r="C864" s="2"/>
      <c r="D864" s="2"/>
      <c r="E864" s="2"/>
      <c r="F864" s="2"/>
      <c r="G864" s="2"/>
    </row>
    <row r="865" spans="2:7">
      <c r="B865" s="2"/>
      <c r="C865" s="2"/>
      <c r="D865" s="2"/>
      <c r="E865" s="2"/>
      <c r="F865" s="2"/>
      <c r="G865" s="2"/>
    </row>
    <row r="866" spans="2:7">
      <c r="B866" s="2"/>
      <c r="C866" s="2"/>
      <c r="D866" s="2"/>
      <c r="E866" s="2"/>
      <c r="F866" s="2"/>
      <c r="G866" s="2"/>
    </row>
    <row r="867" spans="2:7">
      <c r="B867" s="2"/>
      <c r="C867" s="2"/>
      <c r="D867" s="2"/>
      <c r="E867" s="2"/>
      <c r="F867" s="2"/>
      <c r="G867" s="2"/>
    </row>
    <row r="868" spans="2:7">
      <c r="B868" s="2"/>
      <c r="C868" s="2"/>
      <c r="D868" s="2"/>
      <c r="E868" s="2"/>
      <c r="F868" s="2"/>
      <c r="G868" s="2"/>
    </row>
    <row r="869" spans="2:7">
      <c r="B869" s="2"/>
      <c r="C869" s="2"/>
      <c r="D869" s="2"/>
      <c r="E869" s="2"/>
      <c r="F869" s="2"/>
      <c r="G869" s="2"/>
    </row>
    <row r="870" spans="2:7">
      <c r="B870" s="2"/>
      <c r="C870" s="2"/>
      <c r="D870" s="2"/>
      <c r="E870" s="2"/>
      <c r="F870" s="2"/>
      <c r="G870" s="2"/>
    </row>
    <row r="871" spans="2:7">
      <c r="B871" s="2"/>
      <c r="C871" s="2"/>
      <c r="D871" s="2"/>
      <c r="E871" s="2"/>
      <c r="F871" s="2"/>
      <c r="G871" s="2"/>
    </row>
    <row r="872" spans="2:7">
      <c r="B872" s="2"/>
      <c r="C872" s="2"/>
      <c r="D872" s="2"/>
      <c r="E872" s="2"/>
      <c r="F872" s="2"/>
      <c r="G872" s="2"/>
    </row>
  </sheetData>
  <mergeCells count="1">
    <mergeCell ref="B1:G1"/>
  </mergeCells>
  <dataValidations count="1">
    <dataValidation type="list" allowBlank="1" showInputMessage="1" showErrorMessage="1" sqref="F4:F11" xr:uid="{7B0B846F-7644-43DC-925C-118E1C91AAF0}">
      <formula1>"CLT,PJ,Estágio,Jovem Aprendiz"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ECD8-DA4A-4FCD-8E26-0031035549B5}">
  <dimension ref="B1:L880"/>
  <sheetViews>
    <sheetView showGridLines="0" zoomScaleNormal="100" workbookViewId="0">
      <selection activeCell="C99" sqref="C87:C99"/>
    </sheetView>
  </sheetViews>
  <sheetFormatPr defaultRowHeight="14.45"/>
  <cols>
    <col min="1" max="1" width="1.7109375" customWidth="1"/>
    <col min="2" max="2" width="28.28515625" customWidth="1"/>
    <col min="3" max="3" width="16.7109375" customWidth="1"/>
    <col min="4" max="4" width="16.42578125" customWidth="1"/>
    <col min="5" max="5" width="16" customWidth="1"/>
    <col min="6" max="6" width="21" bestFit="1" customWidth="1"/>
    <col min="7" max="7" width="19.85546875" customWidth="1"/>
    <col min="8" max="8" width="12.7109375" customWidth="1"/>
    <col min="9" max="9" width="15.140625" customWidth="1"/>
    <col min="10" max="10" width="17.42578125" customWidth="1"/>
    <col min="11" max="11" width="16.140625" customWidth="1"/>
    <col min="12" max="12" width="15.7109375" bestFit="1" customWidth="1"/>
  </cols>
  <sheetData>
    <row r="1" spans="2:12" ht="40.15" customHeight="1">
      <c r="B1" s="15" t="s">
        <v>30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2:12" ht="10.15" customHeight="1"/>
    <row r="3" spans="2:12" s="2" customFormat="1" ht="34.9" customHeight="1">
      <c r="B3" s="6" t="s">
        <v>1</v>
      </c>
      <c r="C3" s="6" t="s">
        <v>31</v>
      </c>
      <c r="D3" s="6" t="s">
        <v>32</v>
      </c>
      <c r="E3" s="6" t="s">
        <v>33</v>
      </c>
      <c r="F3" s="6" t="s">
        <v>4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6</v>
      </c>
      <c r="L3" s="6" t="s">
        <v>38</v>
      </c>
    </row>
    <row r="4" spans="2:12" ht="16.899999999999999">
      <c r="B4" s="4" t="s">
        <v>7</v>
      </c>
      <c r="C4" s="8">
        <v>45292</v>
      </c>
      <c r="D4" s="9">
        <v>45323</v>
      </c>
      <c r="E4" s="4">
        <v>0</v>
      </c>
      <c r="F4" s="5">
        <f>VLOOKUP(Tabela2[[#This Row],[Funcionário]],Funcionários!B:G,4,0)</f>
        <v>20000</v>
      </c>
      <c r="G4" s="5">
        <v>300</v>
      </c>
      <c r="H4" s="5">
        <v>2400</v>
      </c>
      <c r="I4" s="5">
        <v>1800</v>
      </c>
      <c r="J4" s="5">
        <v>113</v>
      </c>
      <c r="K4" s="5">
        <f>Tabela2[[#This Row],[Quantidade HE]]*VLOOKUP(Tabela2[[#This Row],[Funcionário]],Funcionários!B:G,6,0)</f>
        <v>0</v>
      </c>
      <c r="L4" s="5">
        <f>Tabela2[[#This Row],[Salário Bruto]]-SUM(Tabela2[[#This Row],[Desconto Transporte]:[Outros Descontos]])+Tabela2[[#This Row],[Valor Hora Extra]]</f>
        <v>15387</v>
      </c>
    </row>
    <row r="5" spans="2:12" ht="16.899999999999999">
      <c r="B5" s="4" t="s">
        <v>11</v>
      </c>
      <c r="C5" s="8">
        <v>45292</v>
      </c>
      <c r="D5" s="9">
        <v>45323</v>
      </c>
      <c r="E5" s="4">
        <v>0</v>
      </c>
      <c r="F5" s="5">
        <f>VLOOKUP(Tabela2[[#This Row],[Funcionário]],Funcionários!B:G,4,0)</f>
        <v>8000</v>
      </c>
      <c r="G5" s="5">
        <v>480</v>
      </c>
      <c r="H5" s="5">
        <v>880</v>
      </c>
      <c r="I5" s="5">
        <v>800</v>
      </c>
      <c r="J5" s="5">
        <v>162</v>
      </c>
      <c r="K5" s="5">
        <f>Tabela2[[#This Row],[Quantidade HE]]*VLOOKUP(Tabela2[[#This Row],[Funcionário]],Funcionários!B:G,6,0)</f>
        <v>0</v>
      </c>
      <c r="L5" s="5">
        <f>Tabela2[[#This Row],[Salário Bruto]]-SUM(Tabela2[[#This Row],[Desconto Transporte]:[Outros Descontos]])+Tabela2[[#This Row],[Valor Hora Extra]]</f>
        <v>5678</v>
      </c>
    </row>
    <row r="6" spans="2:12" ht="16.899999999999999">
      <c r="B6" s="4" t="s">
        <v>15</v>
      </c>
      <c r="C6" s="8">
        <v>45292</v>
      </c>
      <c r="D6" s="9">
        <v>45323</v>
      </c>
      <c r="E6" s="4">
        <v>3</v>
      </c>
      <c r="F6" s="5">
        <f>VLOOKUP(Tabela2[[#This Row],[Funcionário]],Funcionários!B:G,4,0)</f>
        <v>6500</v>
      </c>
      <c r="G6" s="5">
        <v>325</v>
      </c>
      <c r="H6" s="5">
        <v>650</v>
      </c>
      <c r="I6" s="5">
        <v>650</v>
      </c>
      <c r="J6" s="5">
        <v>111</v>
      </c>
      <c r="K6" s="5">
        <f>Tabela2[[#This Row],[Quantidade HE]]*VLOOKUP(Tabela2[[#This Row],[Funcionário]],Funcionários!B:G,6,0)</f>
        <v>132.95454545454547</v>
      </c>
      <c r="L6" s="5">
        <f>Tabela2[[#This Row],[Salário Bruto]]-SUM(Tabela2[[#This Row],[Desconto Transporte]:[Outros Descontos]])+Tabela2[[#This Row],[Valor Hora Extra]]</f>
        <v>4896.954545454545</v>
      </c>
    </row>
    <row r="7" spans="2:12" ht="16.899999999999999">
      <c r="B7" s="4" t="s">
        <v>18</v>
      </c>
      <c r="C7" s="8">
        <v>45292</v>
      </c>
      <c r="D7" s="9">
        <v>45323</v>
      </c>
      <c r="E7" s="4">
        <v>3</v>
      </c>
      <c r="F7" s="5">
        <f>VLOOKUP(Tabela2[[#This Row],[Funcionário]],Funcionários!B:G,4,0)</f>
        <v>4000</v>
      </c>
      <c r="G7" s="5">
        <v>280</v>
      </c>
      <c r="H7" s="5">
        <v>400</v>
      </c>
      <c r="I7" s="5">
        <v>280</v>
      </c>
      <c r="J7" s="5">
        <v>138</v>
      </c>
      <c r="K7" s="5">
        <f>Tabela2[[#This Row],[Quantidade HE]]*VLOOKUP(Tabela2[[#This Row],[Funcionário]],Funcionários!B:G,6,0)</f>
        <v>81.818181818181813</v>
      </c>
      <c r="L7" s="5">
        <f>Tabela2[[#This Row],[Salário Bruto]]-SUM(Tabela2[[#This Row],[Desconto Transporte]:[Outros Descontos]])+Tabela2[[#This Row],[Valor Hora Extra]]</f>
        <v>2983.818181818182</v>
      </c>
    </row>
    <row r="8" spans="2:12" ht="16.899999999999999">
      <c r="B8" s="4" t="s">
        <v>21</v>
      </c>
      <c r="C8" s="8">
        <v>45292</v>
      </c>
      <c r="D8" s="9">
        <v>45323</v>
      </c>
      <c r="E8" s="4">
        <v>5</v>
      </c>
      <c r="F8" s="5">
        <f>VLOOKUP(Tabela2[[#This Row],[Funcionário]],Funcionários!B:G,4,0)</f>
        <v>3000</v>
      </c>
      <c r="G8" s="5">
        <v>180</v>
      </c>
      <c r="H8" s="5">
        <v>330</v>
      </c>
      <c r="I8" s="5">
        <v>270</v>
      </c>
      <c r="J8" s="5">
        <v>127</v>
      </c>
      <c r="K8" s="5">
        <f>Tabela2[[#This Row],[Quantidade HE]]*VLOOKUP(Tabela2[[#This Row],[Funcionário]],Funcionários!B:G,6,0)</f>
        <v>102.27272727272727</v>
      </c>
      <c r="L8" s="5">
        <f>Tabela2[[#This Row],[Salário Bruto]]-SUM(Tabela2[[#This Row],[Desconto Transporte]:[Outros Descontos]])+Tabela2[[#This Row],[Valor Hora Extra]]</f>
        <v>2195.2727272727275</v>
      </c>
    </row>
    <row r="9" spans="2:12" ht="16.899999999999999">
      <c r="B9" s="4" t="s">
        <v>24</v>
      </c>
      <c r="C9" s="8">
        <v>45292</v>
      </c>
      <c r="D9" s="9">
        <v>45323</v>
      </c>
      <c r="E9" s="4">
        <v>5</v>
      </c>
      <c r="F9" s="5">
        <f>VLOOKUP(Tabela2[[#This Row],[Funcionário]],Funcionários!B:G,4,0)</f>
        <v>2000</v>
      </c>
      <c r="G9" s="5">
        <v>120</v>
      </c>
      <c r="H9" s="5">
        <v>200</v>
      </c>
      <c r="I9" s="5">
        <v>140</v>
      </c>
      <c r="J9" s="5">
        <v>141</v>
      </c>
      <c r="K9" s="5">
        <f>Tabela2[[#This Row],[Quantidade HE]]*VLOOKUP(Tabela2[[#This Row],[Funcionário]],Funcionários!B:G,6,0)</f>
        <v>0</v>
      </c>
      <c r="L9" s="5">
        <f>Tabela2[[#This Row],[Salário Bruto]]-SUM(Tabela2[[#This Row],[Desconto Transporte]:[Outros Descontos]])+Tabela2[[#This Row],[Valor Hora Extra]]</f>
        <v>1399</v>
      </c>
    </row>
    <row r="10" spans="2:12" ht="16.899999999999999">
      <c r="B10" s="4" t="s">
        <v>27</v>
      </c>
      <c r="C10" s="8">
        <v>45292</v>
      </c>
      <c r="D10" s="9">
        <v>45323</v>
      </c>
      <c r="E10" s="4">
        <v>6</v>
      </c>
      <c r="F10" s="5">
        <f>VLOOKUP(Tabela2[[#This Row],[Funcionário]],Funcionários!B:G,4,0)</f>
        <v>1000</v>
      </c>
      <c r="G10" s="5">
        <v>70</v>
      </c>
      <c r="H10" s="5">
        <v>100</v>
      </c>
      <c r="I10" s="5">
        <v>60</v>
      </c>
      <c r="J10" s="5">
        <v>115</v>
      </c>
      <c r="K10" s="5">
        <f>Tabela2[[#This Row],[Quantidade HE]]*VLOOKUP(Tabela2[[#This Row],[Funcionário]],Funcionários!B:G,6,0)</f>
        <v>0</v>
      </c>
      <c r="L10" s="5">
        <f>Tabela2[[#This Row],[Salário Bruto]]-SUM(Tabela2[[#This Row],[Desconto Transporte]:[Outros Descontos]])+Tabela2[[#This Row],[Valor Hora Extra]]</f>
        <v>655</v>
      </c>
    </row>
    <row r="11" spans="2:12" ht="16.899999999999999">
      <c r="B11" s="4" t="s">
        <v>29</v>
      </c>
      <c r="C11" s="8">
        <v>45292</v>
      </c>
      <c r="D11" s="9">
        <v>45323</v>
      </c>
      <c r="E11" s="4">
        <v>3</v>
      </c>
      <c r="F11" s="5">
        <f>VLOOKUP(Tabela2[[#This Row],[Funcionário]],Funcionários!B:G,4,0)</f>
        <v>2000</v>
      </c>
      <c r="G11" s="5">
        <v>120</v>
      </c>
      <c r="H11" s="5">
        <v>240</v>
      </c>
      <c r="I11" s="5">
        <v>120</v>
      </c>
      <c r="J11" s="5">
        <v>120</v>
      </c>
      <c r="K11" s="5">
        <f>Tabela2[[#This Row],[Quantidade HE]]*VLOOKUP(Tabela2[[#This Row],[Funcionário]],Funcionários!B:G,6,0)</f>
        <v>40.909090909090907</v>
      </c>
      <c r="L11" s="5">
        <f>Tabela2[[#This Row],[Salário Bruto]]-SUM(Tabela2[[#This Row],[Desconto Transporte]:[Outros Descontos]])+Tabela2[[#This Row],[Valor Hora Extra]]</f>
        <v>1440.909090909091</v>
      </c>
    </row>
    <row r="12" spans="2:12" ht="16.899999999999999">
      <c r="B12" s="4" t="s">
        <v>7</v>
      </c>
      <c r="C12" s="8">
        <v>45323</v>
      </c>
      <c r="D12" s="9">
        <v>45352</v>
      </c>
      <c r="E12" s="4">
        <v>7</v>
      </c>
      <c r="F12" s="5">
        <f>VLOOKUP(Tabela2[[#This Row],[Funcionário]],Funcionários!B:G,4,0)</f>
        <v>20000</v>
      </c>
      <c r="G12" s="5">
        <v>400</v>
      </c>
      <c r="H12" s="5">
        <v>2400</v>
      </c>
      <c r="I12" s="5">
        <v>1400</v>
      </c>
      <c r="J12" s="5">
        <v>192</v>
      </c>
      <c r="K12" s="5">
        <f>Tabela2[[#This Row],[Quantidade HE]]*VLOOKUP(Tabela2[[#This Row],[Funcionário]],Funcionários!B:G,6,0)</f>
        <v>0</v>
      </c>
      <c r="L12" s="5">
        <f>Tabela2[[#This Row],[Salário Bruto]]-SUM(Tabela2[[#This Row],[Desconto Transporte]:[Outros Descontos]])+Tabela2[[#This Row],[Valor Hora Extra]]</f>
        <v>15608</v>
      </c>
    </row>
    <row r="13" spans="2:12" ht="16.899999999999999">
      <c r="B13" s="4" t="s">
        <v>11</v>
      </c>
      <c r="C13" s="8">
        <v>45323</v>
      </c>
      <c r="D13" s="9">
        <v>45352</v>
      </c>
      <c r="E13" s="4">
        <v>1</v>
      </c>
      <c r="F13" s="5">
        <f>VLOOKUP(Tabela2[[#This Row],[Funcionário]],Funcionários!B:G,4,0)</f>
        <v>8000</v>
      </c>
      <c r="G13" s="5">
        <v>480</v>
      </c>
      <c r="H13" s="5">
        <v>960</v>
      </c>
      <c r="I13" s="5">
        <v>560</v>
      </c>
      <c r="J13" s="5">
        <v>168</v>
      </c>
      <c r="K13" s="5">
        <f>Tabela2[[#This Row],[Quantidade HE]]*VLOOKUP(Tabela2[[#This Row],[Funcionário]],Funcionários!B:G,6,0)</f>
        <v>54.545454545454547</v>
      </c>
      <c r="L13" s="5">
        <f>Tabela2[[#This Row],[Salário Bruto]]-SUM(Tabela2[[#This Row],[Desconto Transporte]:[Outros Descontos]])+Tabela2[[#This Row],[Valor Hora Extra]]</f>
        <v>5886.545454545455</v>
      </c>
    </row>
    <row r="14" spans="2:12" ht="16.899999999999999">
      <c r="B14" s="4" t="s">
        <v>15</v>
      </c>
      <c r="C14" s="8">
        <v>45323</v>
      </c>
      <c r="D14" s="9">
        <v>45352</v>
      </c>
      <c r="E14" s="4">
        <v>6</v>
      </c>
      <c r="F14" s="5">
        <f>VLOOKUP(Tabela2[[#This Row],[Funcionário]],Funcionários!B:G,4,0)</f>
        <v>6500</v>
      </c>
      <c r="G14" s="5">
        <v>390</v>
      </c>
      <c r="H14" s="5">
        <v>650</v>
      </c>
      <c r="I14" s="5">
        <v>455</v>
      </c>
      <c r="J14" s="5">
        <v>164</v>
      </c>
      <c r="K14" s="5">
        <f>Tabela2[[#This Row],[Quantidade HE]]*VLOOKUP(Tabela2[[#This Row],[Funcionário]],Funcionários!B:G,6,0)</f>
        <v>265.90909090909093</v>
      </c>
      <c r="L14" s="5">
        <f>Tabela2[[#This Row],[Salário Bruto]]-SUM(Tabela2[[#This Row],[Desconto Transporte]:[Outros Descontos]])+Tabela2[[#This Row],[Valor Hora Extra]]</f>
        <v>5106.909090909091</v>
      </c>
    </row>
    <row r="15" spans="2:12" ht="16.899999999999999">
      <c r="B15" s="4" t="s">
        <v>18</v>
      </c>
      <c r="C15" s="8">
        <v>45323</v>
      </c>
      <c r="D15" s="9">
        <v>45352</v>
      </c>
      <c r="E15" s="4">
        <v>2</v>
      </c>
      <c r="F15" s="5">
        <f>VLOOKUP(Tabela2[[#This Row],[Funcionário]],Funcionários!B:G,4,0)</f>
        <v>4000</v>
      </c>
      <c r="G15" s="5">
        <v>240</v>
      </c>
      <c r="H15" s="5">
        <v>480</v>
      </c>
      <c r="I15" s="5">
        <v>400</v>
      </c>
      <c r="J15" s="5">
        <v>131</v>
      </c>
      <c r="K15" s="5">
        <f>Tabela2[[#This Row],[Quantidade HE]]*VLOOKUP(Tabela2[[#This Row],[Funcionário]],Funcionários!B:G,6,0)</f>
        <v>54.545454545454547</v>
      </c>
      <c r="L15" s="5">
        <f>Tabela2[[#This Row],[Salário Bruto]]-SUM(Tabela2[[#This Row],[Desconto Transporte]:[Outros Descontos]])+Tabela2[[#This Row],[Valor Hora Extra]]</f>
        <v>2803.5454545454545</v>
      </c>
    </row>
    <row r="16" spans="2:12" ht="16.899999999999999">
      <c r="B16" s="4" t="s">
        <v>21</v>
      </c>
      <c r="C16" s="8">
        <v>45323</v>
      </c>
      <c r="D16" s="9">
        <v>45352</v>
      </c>
      <c r="E16" s="4">
        <v>5</v>
      </c>
      <c r="F16" s="5">
        <f>VLOOKUP(Tabela2[[#This Row],[Funcionário]],Funcionários!B:G,4,0)</f>
        <v>3000</v>
      </c>
      <c r="G16" s="5">
        <v>150</v>
      </c>
      <c r="H16" s="5">
        <v>330</v>
      </c>
      <c r="I16" s="5">
        <v>210</v>
      </c>
      <c r="J16" s="5">
        <v>124</v>
      </c>
      <c r="K16" s="5">
        <f>Tabela2[[#This Row],[Quantidade HE]]*VLOOKUP(Tabela2[[#This Row],[Funcionário]],Funcionários!B:G,6,0)</f>
        <v>102.27272727272727</v>
      </c>
      <c r="L16" s="5">
        <f>Tabela2[[#This Row],[Salário Bruto]]-SUM(Tabela2[[#This Row],[Desconto Transporte]:[Outros Descontos]])+Tabela2[[#This Row],[Valor Hora Extra]]</f>
        <v>2288.2727272727275</v>
      </c>
    </row>
    <row r="17" spans="2:12" ht="16.899999999999999">
      <c r="B17" s="4" t="s">
        <v>24</v>
      </c>
      <c r="C17" s="8">
        <v>45323</v>
      </c>
      <c r="D17" s="9">
        <v>45352</v>
      </c>
      <c r="E17" s="4">
        <v>5</v>
      </c>
      <c r="F17" s="5">
        <f>VLOOKUP(Tabela2[[#This Row],[Funcionário]],Funcionários!B:G,4,0)</f>
        <v>2000</v>
      </c>
      <c r="G17" s="5">
        <v>100</v>
      </c>
      <c r="H17" s="5">
        <v>240</v>
      </c>
      <c r="I17" s="5">
        <v>160</v>
      </c>
      <c r="J17" s="5">
        <v>148</v>
      </c>
      <c r="K17" s="5">
        <f>Tabela2[[#This Row],[Quantidade HE]]*VLOOKUP(Tabela2[[#This Row],[Funcionário]],Funcionários!B:G,6,0)</f>
        <v>0</v>
      </c>
      <c r="L17" s="5">
        <f>Tabela2[[#This Row],[Salário Bruto]]-SUM(Tabela2[[#This Row],[Desconto Transporte]:[Outros Descontos]])+Tabela2[[#This Row],[Valor Hora Extra]]</f>
        <v>1352</v>
      </c>
    </row>
    <row r="18" spans="2:12" ht="16.899999999999999">
      <c r="B18" s="4" t="s">
        <v>27</v>
      </c>
      <c r="C18" s="8">
        <v>45323</v>
      </c>
      <c r="D18" s="9">
        <v>45352</v>
      </c>
      <c r="E18" s="4">
        <v>7</v>
      </c>
      <c r="F18" s="5">
        <f>VLOOKUP(Tabela2[[#This Row],[Funcionário]],Funcionários!B:G,4,0)</f>
        <v>1000</v>
      </c>
      <c r="G18" s="5">
        <v>50</v>
      </c>
      <c r="H18" s="5">
        <v>100</v>
      </c>
      <c r="I18" s="5">
        <v>100</v>
      </c>
      <c r="J18" s="5">
        <v>143</v>
      </c>
      <c r="K18" s="5">
        <f>Tabela2[[#This Row],[Quantidade HE]]*VLOOKUP(Tabela2[[#This Row],[Funcionário]],Funcionários!B:G,6,0)</f>
        <v>0</v>
      </c>
      <c r="L18" s="5">
        <f>Tabela2[[#This Row],[Salário Bruto]]-SUM(Tabela2[[#This Row],[Desconto Transporte]:[Outros Descontos]])+Tabela2[[#This Row],[Valor Hora Extra]]</f>
        <v>607</v>
      </c>
    </row>
    <row r="19" spans="2:12" ht="16.899999999999999">
      <c r="B19" s="4" t="s">
        <v>29</v>
      </c>
      <c r="C19" s="8">
        <v>45323</v>
      </c>
      <c r="D19" s="9">
        <v>45352</v>
      </c>
      <c r="E19" s="4">
        <v>7</v>
      </c>
      <c r="F19" s="5">
        <f>VLOOKUP(Tabela2[[#This Row],[Funcionário]],Funcionários!B:G,4,0)</f>
        <v>2000</v>
      </c>
      <c r="G19" s="5">
        <v>140</v>
      </c>
      <c r="H19" s="5">
        <v>0</v>
      </c>
      <c r="I19" s="5">
        <v>0</v>
      </c>
      <c r="J19" s="5">
        <v>141</v>
      </c>
      <c r="K19" s="5">
        <f>Tabela2[[#This Row],[Quantidade HE]]*VLOOKUP(Tabela2[[#This Row],[Funcionário]],Funcionários!B:G,6,0)</f>
        <v>95.454545454545453</v>
      </c>
      <c r="L19" s="5">
        <f>Tabela2[[#This Row],[Salário Bruto]]-SUM(Tabela2[[#This Row],[Desconto Transporte]:[Outros Descontos]])+Tabela2[[#This Row],[Valor Hora Extra]]</f>
        <v>1814.4545454545455</v>
      </c>
    </row>
    <row r="20" spans="2:12" ht="16.899999999999999">
      <c r="B20" s="4" t="s">
        <v>7</v>
      </c>
      <c r="C20" s="8">
        <v>45352</v>
      </c>
      <c r="D20" s="9">
        <v>45383</v>
      </c>
      <c r="E20" s="4">
        <v>1</v>
      </c>
      <c r="F20" s="5">
        <f>VLOOKUP(Tabela2[[#This Row],[Funcionário]],Funcionários!B:G,4,0)</f>
        <v>20000</v>
      </c>
      <c r="G20" s="5">
        <v>1000</v>
      </c>
      <c r="H20" s="5">
        <v>2400</v>
      </c>
      <c r="I20" s="5">
        <v>1800</v>
      </c>
      <c r="J20" s="5">
        <v>109</v>
      </c>
      <c r="K20" s="5">
        <f>Tabela2[[#This Row],[Quantidade HE]]*VLOOKUP(Tabela2[[#This Row],[Funcionário]],Funcionários!B:G,6,0)</f>
        <v>0</v>
      </c>
      <c r="L20" s="5">
        <f>Tabela2[[#This Row],[Salário Bruto]]-SUM(Tabela2[[#This Row],[Desconto Transporte]:[Outros Descontos]])+Tabela2[[#This Row],[Valor Hora Extra]]</f>
        <v>14691</v>
      </c>
    </row>
    <row r="21" spans="2:12" ht="16.899999999999999">
      <c r="B21" s="4" t="s">
        <v>11</v>
      </c>
      <c r="C21" s="8">
        <v>45352</v>
      </c>
      <c r="D21" s="9">
        <v>45383</v>
      </c>
      <c r="E21" s="4">
        <v>2</v>
      </c>
      <c r="F21" s="5">
        <f>VLOOKUP(Tabela2[[#This Row],[Funcionário]],Funcionários!B:G,4,0)</f>
        <v>8000</v>
      </c>
      <c r="G21" s="5">
        <v>560</v>
      </c>
      <c r="H21" s="5">
        <v>960</v>
      </c>
      <c r="I21" s="5">
        <v>640</v>
      </c>
      <c r="J21" s="5">
        <v>138</v>
      </c>
      <c r="K21" s="5">
        <f>Tabela2[[#This Row],[Quantidade HE]]*VLOOKUP(Tabela2[[#This Row],[Funcionário]],Funcionários!B:G,6,0)</f>
        <v>109.09090909090909</v>
      </c>
      <c r="L21" s="5">
        <f>Tabela2[[#This Row],[Salário Bruto]]-SUM(Tabela2[[#This Row],[Desconto Transporte]:[Outros Descontos]])+Tabela2[[#This Row],[Valor Hora Extra]]</f>
        <v>5811.090909090909</v>
      </c>
    </row>
    <row r="22" spans="2:12" ht="16.899999999999999">
      <c r="B22" s="4" t="s">
        <v>15</v>
      </c>
      <c r="C22" s="8">
        <v>45352</v>
      </c>
      <c r="D22" s="9">
        <v>45383</v>
      </c>
      <c r="E22" s="4">
        <v>7</v>
      </c>
      <c r="F22" s="5">
        <f>VLOOKUP(Tabela2[[#This Row],[Funcionário]],Funcionários!B:G,4,0)</f>
        <v>6500</v>
      </c>
      <c r="G22" s="5">
        <v>390</v>
      </c>
      <c r="H22" s="5">
        <v>715</v>
      </c>
      <c r="I22" s="5">
        <v>650</v>
      </c>
      <c r="J22" s="5">
        <v>158</v>
      </c>
      <c r="K22" s="5">
        <f>Tabela2[[#This Row],[Quantidade HE]]*VLOOKUP(Tabela2[[#This Row],[Funcionário]],Funcionários!B:G,6,0)</f>
        <v>310.22727272727275</v>
      </c>
      <c r="L22" s="5">
        <f>Tabela2[[#This Row],[Salário Bruto]]-SUM(Tabela2[[#This Row],[Desconto Transporte]:[Outros Descontos]])+Tabela2[[#This Row],[Valor Hora Extra]]</f>
        <v>4897.227272727273</v>
      </c>
    </row>
    <row r="23" spans="2:12" ht="16.899999999999999">
      <c r="B23" s="4" t="s">
        <v>18</v>
      </c>
      <c r="C23" s="8">
        <v>45352</v>
      </c>
      <c r="D23" s="9">
        <v>45383</v>
      </c>
      <c r="E23" s="4">
        <v>7</v>
      </c>
      <c r="F23" s="5">
        <f>VLOOKUP(Tabela2[[#This Row],[Funcionário]],Funcionários!B:G,4,0)</f>
        <v>4000</v>
      </c>
      <c r="G23" s="5">
        <v>240</v>
      </c>
      <c r="H23" s="5">
        <v>480</v>
      </c>
      <c r="I23" s="5">
        <v>280</v>
      </c>
      <c r="J23" s="5">
        <v>186</v>
      </c>
      <c r="K23" s="5">
        <f>Tabela2[[#This Row],[Quantidade HE]]*VLOOKUP(Tabela2[[#This Row],[Funcionário]],Funcionários!B:G,6,0)</f>
        <v>190.90909090909091</v>
      </c>
      <c r="L23" s="5">
        <f>Tabela2[[#This Row],[Salário Bruto]]-SUM(Tabela2[[#This Row],[Desconto Transporte]:[Outros Descontos]])+Tabela2[[#This Row],[Valor Hora Extra]]</f>
        <v>3004.909090909091</v>
      </c>
    </row>
    <row r="24" spans="2:12" ht="16.899999999999999">
      <c r="B24" s="4" t="s">
        <v>21</v>
      </c>
      <c r="C24" s="8">
        <v>45352</v>
      </c>
      <c r="D24" s="9">
        <v>45383</v>
      </c>
      <c r="E24" s="4">
        <v>2</v>
      </c>
      <c r="F24" s="5">
        <f>VLOOKUP(Tabela2[[#This Row],[Funcionário]],Funcionários!B:G,4,0)</f>
        <v>3000</v>
      </c>
      <c r="G24" s="5">
        <v>180</v>
      </c>
      <c r="H24" s="5">
        <v>300</v>
      </c>
      <c r="I24" s="5">
        <v>210</v>
      </c>
      <c r="J24" s="5">
        <v>190</v>
      </c>
      <c r="K24" s="5">
        <f>Tabela2[[#This Row],[Quantidade HE]]*VLOOKUP(Tabela2[[#This Row],[Funcionário]],Funcionários!B:G,6,0)</f>
        <v>40.909090909090907</v>
      </c>
      <c r="L24" s="5">
        <f>Tabela2[[#This Row],[Salário Bruto]]-SUM(Tabela2[[#This Row],[Desconto Transporte]:[Outros Descontos]])+Tabela2[[#This Row],[Valor Hora Extra]]</f>
        <v>2160.909090909091</v>
      </c>
    </row>
    <row r="25" spans="2:12" ht="16.899999999999999">
      <c r="B25" s="4" t="s">
        <v>24</v>
      </c>
      <c r="C25" s="8">
        <v>45352</v>
      </c>
      <c r="D25" s="9">
        <v>45383</v>
      </c>
      <c r="E25" s="4">
        <v>0</v>
      </c>
      <c r="F25" s="5">
        <f>VLOOKUP(Tabela2[[#This Row],[Funcionário]],Funcionários!B:G,4,0)</f>
        <v>2000</v>
      </c>
      <c r="G25" s="5">
        <v>120</v>
      </c>
      <c r="H25" s="5">
        <v>220</v>
      </c>
      <c r="I25" s="5">
        <v>200</v>
      </c>
      <c r="J25" s="5">
        <v>137</v>
      </c>
      <c r="K25" s="5">
        <f>Tabela2[[#This Row],[Quantidade HE]]*VLOOKUP(Tabela2[[#This Row],[Funcionário]],Funcionários!B:G,6,0)</f>
        <v>0</v>
      </c>
      <c r="L25" s="5">
        <f>Tabela2[[#This Row],[Salário Bruto]]-SUM(Tabela2[[#This Row],[Desconto Transporte]:[Outros Descontos]])+Tabela2[[#This Row],[Valor Hora Extra]]</f>
        <v>1323</v>
      </c>
    </row>
    <row r="26" spans="2:12" ht="16.899999999999999">
      <c r="B26" s="4" t="s">
        <v>27</v>
      </c>
      <c r="C26" s="8">
        <v>45352</v>
      </c>
      <c r="D26" s="9">
        <v>45383</v>
      </c>
      <c r="E26" s="4">
        <v>3</v>
      </c>
      <c r="F26" s="5">
        <f>VLOOKUP(Tabela2[[#This Row],[Funcionário]],Funcionários!B:G,4,0)</f>
        <v>1000</v>
      </c>
      <c r="G26" s="5">
        <v>70</v>
      </c>
      <c r="H26" s="5">
        <v>120</v>
      </c>
      <c r="I26" s="5">
        <v>90</v>
      </c>
      <c r="J26" s="5">
        <v>127</v>
      </c>
      <c r="K26" s="5">
        <f>Tabela2[[#This Row],[Quantidade HE]]*VLOOKUP(Tabela2[[#This Row],[Funcionário]],Funcionários!B:G,6,0)</f>
        <v>0</v>
      </c>
      <c r="L26" s="5">
        <f>Tabela2[[#This Row],[Salário Bruto]]-SUM(Tabela2[[#This Row],[Desconto Transporte]:[Outros Descontos]])+Tabela2[[#This Row],[Valor Hora Extra]]</f>
        <v>593</v>
      </c>
    </row>
    <row r="27" spans="2:12" ht="16.899999999999999">
      <c r="B27" s="4" t="s">
        <v>29</v>
      </c>
      <c r="C27" s="8">
        <v>45352</v>
      </c>
      <c r="D27" s="9">
        <v>45383</v>
      </c>
      <c r="E27" s="4">
        <v>1</v>
      </c>
      <c r="F27" s="5">
        <f>VLOOKUP(Tabela2[[#This Row],[Funcionário]],Funcionários!B:G,4,0)</f>
        <v>2000</v>
      </c>
      <c r="G27" s="5">
        <v>100</v>
      </c>
      <c r="H27" s="5">
        <v>220</v>
      </c>
      <c r="I27" s="5">
        <v>200</v>
      </c>
      <c r="J27" s="5">
        <v>174</v>
      </c>
      <c r="K27" s="5">
        <f>Tabela2[[#This Row],[Quantidade HE]]*VLOOKUP(Tabela2[[#This Row],[Funcionário]],Funcionários!B:G,6,0)</f>
        <v>13.636363636363637</v>
      </c>
      <c r="L27" s="5">
        <f>Tabela2[[#This Row],[Salário Bruto]]-SUM(Tabela2[[#This Row],[Desconto Transporte]:[Outros Descontos]])+Tabela2[[#This Row],[Valor Hora Extra]]</f>
        <v>1319.6363636363637</v>
      </c>
    </row>
    <row r="28" spans="2:12" ht="16.899999999999999">
      <c r="B28" s="4" t="s">
        <v>7</v>
      </c>
      <c r="C28" s="8">
        <v>45383</v>
      </c>
      <c r="D28" s="9">
        <v>45414</v>
      </c>
      <c r="E28" s="4">
        <v>1</v>
      </c>
      <c r="F28" s="5">
        <f>VLOOKUP(Tabela2[[#This Row],[Funcionário]],Funcionários!B:G,4,0)</f>
        <v>20000</v>
      </c>
      <c r="G28" s="5">
        <v>300</v>
      </c>
      <c r="H28" s="5">
        <v>2400</v>
      </c>
      <c r="I28" s="5">
        <v>1800</v>
      </c>
      <c r="J28" s="5">
        <v>174</v>
      </c>
      <c r="K28" s="5">
        <f>Tabela2[[#This Row],[Quantidade HE]]*VLOOKUP(Tabela2[[#This Row],[Funcionário]],Funcionários!B:G,6,0)</f>
        <v>0</v>
      </c>
      <c r="L28" s="5">
        <f>Tabela2[[#This Row],[Salário Bruto]]-SUM(Tabela2[[#This Row],[Desconto Transporte]:[Outros Descontos]])+Tabela2[[#This Row],[Valor Hora Extra]]</f>
        <v>15326</v>
      </c>
    </row>
    <row r="29" spans="2:12" ht="16.899999999999999">
      <c r="B29" s="4" t="s">
        <v>11</v>
      </c>
      <c r="C29" s="8">
        <v>45383</v>
      </c>
      <c r="D29" s="9">
        <v>45414</v>
      </c>
      <c r="E29" s="4">
        <v>5</v>
      </c>
      <c r="F29" s="5">
        <f>VLOOKUP(Tabela2[[#This Row],[Funcionário]],Funcionários!B:G,4,0)</f>
        <v>8000</v>
      </c>
      <c r="G29" s="5">
        <v>480</v>
      </c>
      <c r="H29" s="5">
        <v>880</v>
      </c>
      <c r="I29" s="5">
        <v>800</v>
      </c>
      <c r="J29" s="5">
        <v>162</v>
      </c>
      <c r="K29" s="5">
        <f>Tabela2[[#This Row],[Quantidade HE]]*VLOOKUP(Tabela2[[#This Row],[Funcionário]],Funcionários!B:G,6,0)</f>
        <v>272.72727272727275</v>
      </c>
      <c r="L29" s="5">
        <f>Tabela2[[#This Row],[Salário Bruto]]-SUM(Tabela2[[#This Row],[Desconto Transporte]:[Outros Descontos]])+Tabela2[[#This Row],[Valor Hora Extra]]</f>
        <v>5950.727272727273</v>
      </c>
    </row>
    <row r="30" spans="2:12" ht="16.899999999999999">
      <c r="B30" s="4" t="s">
        <v>15</v>
      </c>
      <c r="C30" s="8">
        <v>45383</v>
      </c>
      <c r="D30" s="9">
        <v>45414</v>
      </c>
      <c r="E30" s="4">
        <v>5</v>
      </c>
      <c r="F30" s="5">
        <f>VLOOKUP(Tabela2[[#This Row],[Funcionário]],Funcionários!B:G,4,0)</f>
        <v>6500</v>
      </c>
      <c r="G30" s="5">
        <v>325</v>
      </c>
      <c r="H30" s="5">
        <v>650</v>
      </c>
      <c r="I30" s="5">
        <v>650</v>
      </c>
      <c r="J30" s="5">
        <v>108</v>
      </c>
      <c r="K30" s="5">
        <f>Tabela2[[#This Row],[Quantidade HE]]*VLOOKUP(Tabela2[[#This Row],[Funcionário]],Funcionários!B:G,6,0)</f>
        <v>221.59090909090909</v>
      </c>
      <c r="L30" s="5">
        <f>Tabela2[[#This Row],[Salário Bruto]]-SUM(Tabela2[[#This Row],[Desconto Transporte]:[Outros Descontos]])+Tabela2[[#This Row],[Valor Hora Extra]]</f>
        <v>4988.590909090909</v>
      </c>
    </row>
    <row r="31" spans="2:12" ht="16.899999999999999">
      <c r="B31" s="4" t="s">
        <v>18</v>
      </c>
      <c r="C31" s="8">
        <v>45383</v>
      </c>
      <c r="D31" s="9">
        <v>45414</v>
      </c>
      <c r="E31" s="4">
        <v>2</v>
      </c>
      <c r="F31" s="5">
        <f>VLOOKUP(Tabela2[[#This Row],[Funcionário]],Funcionários!B:G,4,0)</f>
        <v>4000</v>
      </c>
      <c r="G31" s="5">
        <v>280</v>
      </c>
      <c r="H31" s="5">
        <v>400</v>
      </c>
      <c r="I31" s="5">
        <v>280</v>
      </c>
      <c r="J31" s="5">
        <v>198</v>
      </c>
      <c r="K31" s="5">
        <f>Tabela2[[#This Row],[Quantidade HE]]*VLOOKUP(Tabela2[[#This Row],[Funcionário]],Funcionários!B:G,6,0)</f>
        <v>54.545454545454547</v>
      </c>
      <c r="L31" s="5">
        <f>Tabela2[[#This Row],[Salário Bruto]]-SUM(Tabela2[[#This Row],[Desconto Transporte]:[Outros Descontos]])+Tabela2[[#This Row],[Valor Hora Extra]]</f>
        <v>2896.5454545454545</v>
      </c>
    </row>
    <row r="32" spans="2:12" ht="16.899999999999999">
      <c r="B32" s="4" t="s">
        <v>21</v>
      </c>
      <c r="C32" s="8">
        <v>45383</v>
      </c>
      <c r="D32" s="9">
        <v>45414</v>
      </c>
      <c r="E32" s="4">
        <v>5</v>
      </c>
      <c r="F32" s="5">
        <f>VLOOKUP(Tabela2[[#This Row],[Funcionário]],Funcionários!B:G,4,0)</f>
        <v>3000</v>
      </c>
      <c r="G32" s="5">
        <v>180</v>
      </c>
      <c r="H32" s="5">
        <v>330</v>
      </c>
      <c r="I32" s="5">
        <v>270</v>
      </c>
      <c r="J32" s="5">
        <v>178</v>
      </c>
      <c r="K32" s="5">
        <f>Tabela2[[#This Row],[Quantidade HE]]*VLOOKUP(Tabela2[[#This Row],[Funcionário]],Funcionários!B:G,6,0)</f>
        <v>102.27272727272727</v>
      </c>
      <c r="L32" s="5">
        <f>Tabela2[[#This Row],[Salário Bruto]]-SUM(Tabela2[[#This Row],[Desconto Transporte]:[Outros Descontos]])+Tabela2[[#This Row],[Valor Hora Extra]]</f>
        <v>2144.2727272727275</v>
      </c>
    </row>
    <row r="33" spans="2:12" ht="16.899999999999999">
      <c r="B33" s="4" t="s">
        <v>24</v>
      </c>
      <c r="C33" s="8">
        <v>45383</v>
      </c>
      <c r="D33" s="9">
        <v>45414</v>
      </c>
      <c r="E33" s="4">
        <v>2</v>
      </c>
      <c r="F33" s="5">
        <f>VLOOKUP(Tabela2[[#This Row],[Funcionário]],Funcionários!B:G,4,0)</f>
        <v>2000</v>
      </c>
      <c r="G33" s="5">
        <v>120</v>
      </c>
      <c r="H33" s="5">
        <v>200</v>
      </c>
      <c r="I33" s="5">
        <v>140</v>
      </c>
      <c r="J33" s="5">
        <v>141</v>
      </c>
      <c r="K33" s="5">
        <f>Tabela2[[#This Row],[Quantidade HE]]*VLOOKUP(Tabela2[[#This Row],[Funcionário]],Funcionários!B:G,6,0)</f>
        <v>0</v>
      </c>
      <c r="L33" s="5">
        <f>Tabela2[[#This Row],[Salário Bruto]]-SUM(Tabela2[[#This Row],[Desconto Transporte]:[Outros Descontos]])+Tabela2[[#This Row],[Valor Hora Extra]]</f>
        <v>1399</v>
      </c>
    </row>
    <row r="34" spans="2:12" ht="16.899999999999999">
      <c r="B34" s="4" t="s">
        <v>27</v>
      </c>
      <c r="C34" s="8">
        <v>45383</v>
      </c>
      <c r="D34" s="9">
        <v>45414</v>
      </c>
      <c r="E34" s="4">
        <v>3</v>
      </c>
      <c r="F34" s="5">
        <f>VLOOKUP(Tabela2[[#This Row],[Funcionário]],Funcionários!B:G,4,0)</f>
        <v>1000</v>
      </c>
      <c r="G34" s="5">
        <v>70</v>
      </c>
      <c r="H34" s="5">
        <v>100</v>
      </c>
      <c r="I34" s="5">
        <v>60</v>
      </c>
      <c r="J34" s="5">
        <v>117</v>
      </c>
      <c r="K34" s="5">
        <f>Tabela2[[#This Row],[Quantidade HE]]*VLOOKUP(Tabela2[[#This Row],[Funcionário]],Funcionários!B:G,6,0)</f>
        <v>0</v>
      </c>
      <c r="L34" s="5">
        <f>Tabela2[[#This Row],[Salário Bruto]]-SUM(Tabela2[[#This Row],[Desconto Transporte]:[Outros Descontos]])+Tabela2[[#This Row],[Valor Hora Extra]]</f>
        <v>653</v>
      </c>
    </row>
    <row r="35" spans="2:12" ht="16.899999999999999">
      <c r="B35" s="4" t="s">
        <v>29</v>
      </c>
      <c r="C35" s="8">
        <v>45383</v>
      </c>
      <c r="D35" s="9">
        <v>45414</v>
      </c>
      <c r="E35" s="4">
        <v>6</v>
      </c>
      <c r="F35" s="5">
        <f>VLOOKUP(Tabela2[[#This Row],[Funcionário]],Funcionários!B:G,4,0)</f>
        <v>2000</v>
      </c>
      <c r="G35" s="5">
        <v>120</v>
      </c>
      <c r="H35" s="5">
        <v>240</v>
      </c>
      <c r="I35" s="5">
        <v>120</v>
      </c>
      <c r="J35" s="5">
        <v>179</v>
      </c>
      <c r="K35" s="5">
        <f>Tabela2[[#This Row],[Quantidade HE]]*VLOOKUP(Tabela2[[#This Row],[Funcionário]],Funcionários!B:G,6,0)</f>
        <v>81.818181818181813</v>
      </c>
      <c r="L35" s="5">
        <f>Tabela2[[#This Row],[Salário Bruto]]-SUM(Tabela2[[#This Row],[Desconto Transporte]:[Outros Descontos]])+Tabela2[[#This Row],[Valor Hora Extra]]</f>
        <v>1422.8181818181818</v>
      </c>
    </row>
    <row r="36" spans="2:12" ht="16.899999999999999">
      <c r="B36" s="4" t="s">
        <v>7</v>
      </c>
      <c r="C36" s="8">
        <v>45413</v>
      </c>
      <c r="D36" s="9">
        <v>45444</v>
      </c>
      <c r="E36" s="4">
        <v>6</v>
      </c>
      <c r="F36" s="5">
        <f>VLOOKUP(Tabela2[[#This Row],[Funcionário]],Funcionários!B:G,4,0)</f>
        <v>20000</v>
      </c>
      <c r="G36" s="5">
        <v>400</v>
      </c>
      <c r="H36" s="5">
        <v>2400</v>
      </c>
      <c r="I36" s="5">
        <v>1400</v>
      </c>
      <c r="J36" s="5">
        <v>127</v>
      </c>
      <c r="K36" s="5">
        <f>Tabela2[[#This Row],[Quantidade HE]]*VLOOKUP(Tabela2[[#This Row],[Funcionário]],Funcionários!B:G,6,0)</f>
        <v>0</v>
      </c>
      <c r="L36" s="5">
        <f>Tabela2[[#This Row],[Salário Bruto]]-SUM(Tabela2[[#This Row],[Desconto Transporte]:[Outros Descontos]])+Tabela2[[#This Row],[Valor Hora Extra]]</f>
        <v>15673</v>
      </c>
    </row>
    <row r="37" spans="2:12" ht="16.899999999999999">
      <c r="B37" s="4" t="s">
        <v>11</v>
      </c>
      <c r="C37" s="8">
        <v>45413</v>
      </c>
      <c r="D37" s="9">
        <v>45444</v>
      </c>
      <c r="E37" s="4">
        <v>7</v>
      </c>
      <c r="F37" s="5">
        <f>VLOOKUP(Tabela2[[#This Row],[Funcionário]],Funcionários!B:G,4,0)</f>
        <v>8000</v>
      </c>
      <c r="G37" s="5">
        <v>480</v>
      </c>
      <c r="H37" s="5">
        <v>960</v>
      </c>
      <c r="I37" s="5">
        <v>560</v>
      </c>
      <c r="J37" s="5">
        <v>107</v>
      </c>
      <c r="K37" s="5">
        <f>Tabela2[[#This Row],[Quantidade HE]]*VLOOKUP(Tabela2[[#This Row],[Funcionário]],Funcionários!B:G,6,0)</f>
        <v>381.81818181818181</v>
      </c>
      <c r="L37" s="5">
        <f>Tabela2[[#This Row],[Salário Bruto]]-SUM(Tabela2[[#This Row],[Desconto Transporte]:[Outros Descontos]])+Tabela2[[#This Row],[Valor Hora Extra]]</f>
        <v>6274.818181818182</v>
      </c>
    </row>
    <row r="38" spans="2:12" ht="16.899999999999999">
      <c r="B38" s="4" t="s">
        <v>15</v>
      </c>
      <c r="C38" s="8">
        <v>45413</v>
      </c>
      <c r="D38" s="9">
        <v>45444</v>
      </c>
      <c r="E38" s="4">
        <v>2</v>
      </c>
      <c r="F38" s="5">
        <f>VLOOKUP(Tabela2[[#This Row],[Funcionário]],Funcionários!B:G,4,0)</f>
        <v>6500</v>
      </c>
      <c r="G38" s="5">
        <v>390</v>
      </c>
      <c r="H38" s="5">
        <v>650</v>
      </c>
      <c r="I38" s="5">
        <v>455</v>
      </c>
      <c r="J38" s="5">
        <v>104</v>
      </c>
      <c r="K38" s="5">
        <f>Tabela2[[#This Row],[Quantidade HE]]*VLOOKUP(Tabela2[[#This Row],[Funcionário]],Funcionários!B:G,6,0)</f>
        <v>88.63636363636364</v>
      </c>
      <c r="L38" s="5">
        <f>Tabela2[[#This Row],[Salário Bruto]]-SUM(Tabela2[[#This Row],[Desconto Transporte]:[Outros Descontos]])+Tabela2[[#This Row],[Valor Hora Extra]]</f>
        <v>4989.636363636364</v>
      </c>
    </row>
    <row r="39" spans="2:12" ht="16.899999999999999">
      <c r="B39" s="4" t="s">
        <v>18</v>
      </c>
      <c r="C39" s="8">
        <v>45413</v>
      </c>
      <c r="D39" s="9">
        <v>45444</v>
      </c>
      <c r="E39" s="4">
        <v>5</v>
      </c>
      <c r="F39" s="5">
        <f>VLOOKUP(Tabela2[[#This Row],[Funcionário]],Funcionários!B:G,4,0)</f>
        <v>4000</v>
      </c>
      <c r="G39" s="5">
        <v>240</v>
      </c>
      <c r="H39" s="5">
        <v>480</v>
      </c>
      <c r="I39" s="5">
        <v>400</v>
      </c>
      <c r="J39" s="5">
        <v>178</v>
      </c>
      <c r="K39" s="5">
        <f>Tabela2[[#This Row],[Quantidade HE]]*VLOOKUP(Tabela2[[#This Row],[Funcionário]],Funcionários!B:G,6,0)</f>
        <v>136.36363636363637</v>
      </c>
      <c r="L39" s="5">
        <f>Tabela2[[#This Row],[Salário Bruto]]-SUM(Tabela2[[#This Row],[Desconto Transporte]:[Outros Descontos]])+Tabela2[[#This Row],[Valor Hora Extra]]</f>
        <v>2838.3636363636365</v>
      </c>
    </row>
    <row r="40" spans="2:12" ht="16.899999999999999">
      <c r="B40" s="4" t="s">
        <v>21</v>
      </c>
      <c r="C40" s="8">
        <v>45413</v>
      </c>
      <c r="D40" s="9">
        <v>45444</v>
      </c>
      <c r="E40" s="4">
        <v>6</v>
      </c>
      <c r="F40" s="5">
        <f>VLOOKUP(Tabela2[[#This Row],[Funcionário]],Funcionários!B:G,4,0)</f>
        <v>3000</v>
      </c>
      <c r="G40" s="5">
        <v>150</v>
      </c>
      <c r="H40" s="5">
        <v>330</v>
      </c>
      <c r="I40" s="5">
        <v>210</v>
      </c>
      <c r="J40" s="5">
        <v>115</v>
      </c>
      <c r="K40" s="5">
        <f>Tabela2[[#This Row],[Quantidade HE]]*VLOOKUP(Tabela2[[#This Row],[Funcionário]],Funcionários!B:G,6,0)</f>
        <v>122.72727272727272</v>
      </c>
      <c r="L40" s="5">
        <f>Tabela2[[#This Row],[Salário Bruto]]-SUM(Tabela2[[#This Row],[Desconto Transporte]:[Outros Descontos]])+Tabela2[[#This Row],[Valor Hora Extra]]</f>
        <v>2317.7272727272725</v>
      </c>
    </row>
    <row r="41" spans="2:12" ht="16.899999999999999">
      <c r="B41" s="4" t="s">
        <v>24</v>
      </c>
      <c r="C41" s="8">
        <v>45413</v>
      </c>
      <c r="D41" s="9">
        <v>45444</v>
      </c>
      <c r="E41" s="4">
        <v>5</v>
      </c>
      <c r="F41" s="5">
        <f>VLOOKUP(Tabela2[[#This Row],[Funcionário]],Funcionários!B:G,4,0)</f>
        <v>2000</v>
      </c>
      <c r="G41" s="5">
        <v>100</v>
      </c>
      <c r="H41" s="5">
        <v>240</v>
      </c>
      <c r="I41" s="5">
        <v>160</v>
      </c>
      <c r="J41" s="5">
        <v>142</v>
      </c>
      <c r="K41" s="5">
        <f>Tabela2[[#This Row],[Quantidade HE]]*VLOOKUP(Tabela2[[#This Row],[Funcionário]],Funcionários!B:G,6,0)</f>
        <v>0</v>
      </c>
      <c r="L41" s="5">
        <f>Tabela2[[#This Row],[Salário Bruto]]-SUM(Tabela2[[#This Row],[Desconto Transporte]:[Outros Descontos]])+Tabela2[[#This Row],[Valor Hora Extra]]</f>
        <v>1358</v>
      </c>
    </row>
    <row r="42" spans="2:12" ht="16.899999999999999">
      <c r="B42" s="4" t="s">
        <v>27</v>
      </c>
      <c r="C42" s="8">
        <v>45413</v>
      </c>
      <c r="D42" s="9">
        <v>45444</v>
      </c>
      <c r="E42" s="4">
        <v>1</v>
      </c>
      <c r="F42" s="5">
        <f>VLOOKUP(Tabela2[[#This Row],[Funcionário]],Funcionários!B:G,4,0)</f>
        <v>1000</v>
      </c>
      <c r="G42" s="5">
        <v>50</v>
      </c>
      <c r="H42" s="5">
        <v>100</v>
      </c>
      <c r="I42" s="5">
        <v>100</v>
      </c>
      <c r="J42" s="5">
        <v>188</v>
      </c>
      <c r="K42" s="5">
        <f>Tabela2[[#This Row],[Quantidade HE]]*VLOOKUP(Tabela2[[#This Row],[Funcionário]],Funcionários!B:G,6,0)</f>
        <v>0</v>
      </c>
      <c r="L42" s="5">
        <f>Tabela2[[#This Row],[Salário Bruto]]-SUM(Tabela2[[#This Row],[Desconto Transporte]:[Outros Descontos]])+Tabela2[[#This Row],[Valor Hora Extra]]</f>
        <v>562</v>
      </c>
    </row>
    <row r="43" spans="2:12" ht="16.899999999999999">
      <c r="B43" s="4" t="s">
        <v>29</v>
      </c>
      <c r="C43" s="8">
        <v>45413</v>
      </c>
      <c r="D43" s="9">
        <v>45444</v>
      </c>
      <c r="E43" s="4">
        <v>2</v>
      </c>
      <c r="F43" s="5">
        <f>VLOOKUP(Tabela2[[#This Row],[Funcionário]],Funcionários!B:G,4,0)</f>
        <v>2000</v>
      </c>
      <c r="G43" s="5">
        <v>140</v>
      </c>
      <c r="H43" s="5">
        <v>0</v>
      </c>
      <c r="I43" s="5">
        <v>0</v>
      </c>
      <c r="J43" s="5">
        <v>175</v>
      </c>
      <c r="K43" s="5">
        <f>Tabela2[[#This Row],[Quantidade HE]]*VLOOKUP(Tabela2[[#This Row],[Funcionário]],Funcionários!B:G,6,0)</f>
        <v>27.272727272727273</v>
      </c>
      <c r="L43" s="5">
        <f>Tabela2[[#This Row],[Salário Bruto]]-SUM(Tabela2[[#This Row],[Desconto Transporte]:[Outros Descontos]])+Tabela2[[#This Row],[Valor Hora Extra]]</f>
        <v>1712.2727272727273</v>
      </c>
    </row>
    <row r="44" spans="2:12" ht="16.899999999999999">
      <c r="B44" s="4" t="s">
        <v>7</v>
      </c>
      <c r="C44" s="8">
        <v>45444</v>
      </c>
      <c r="D44" s="9">
        <v>45475</v>
      </c>
      <c r="E44" s="4">
        <v>3</v>
      </c>
      <c r="F44" s="5">
        <f>VLOOKUP(Tabela2[[#This Row],[Funcionário]],Funcionários!B:G,4,0)</f>
        <v>20000</v>
      </c>
      <c r="G44" s="5">
        <v>1000</v>
      </c>
      <c r="H44" s="5">
        <v>2400</v>
      </c>
      <c r="I44" s="5">
        <v>1800</v>
      </c>
      <c r="J44" s="5">
        <v>197</v>
      </c>
      <c r="K44" s="5">
        <f>Tabela2[[#This Row],[Quantidade HE]]*VLOOKUP(Tabela2[[#This Row],[Funcionário]],Funcionários!B:G,6,0)</f>
        <v>0</v>
      </c>
      <c r="L44" s="5">
        <f>Tabela2[[#This Row],[Salário Bruto]]-SUM(Tabela2[[#This Row],[Desconto Transporte]:[Outros Descontos]])+Tabela2[[#This Row],[Valor Hora Extra]]</f>
        <v>14603</v>
      </c>
    </row>
    <row r="45" spans="2:12" ht="16.899999999999999">
      <c r="B45" s="4" t="s">
        <v>11</v>
      </c>
      <c r="C45" s="8">
        <v>45444</v>
      </c>
      <c r="D45" s="9">
        <v>45475</v>
      </c>
      <c r="E45" s="4">
        <v>1</v>
      </c>
      <c r="F45" s="5">
        <f>VLOOKUP(Tabela2[[#This Row],[Funcionário]],Funcionários!B:G,4,0)</f>
        <v>8000</v>
      </c>
      <c r="G45" s="5">
        <v>560</v>
      </c>
      <c r="H45" s="5">
        <v>960</v>
      </c>
      <c r="I45" s="5">
        <v>640</v>
      </c>
      <c r="J45" s="5">
        <v>174</v>
      </c>
      <c r="K45" s="5">
        <f>Tabela2[[#This Row],[Quantidade HE]]*VLOOKUP(Tabela2[[#This Row],[Funcionário]],Funcionários!B:G,6,0)</f>
        <v>54.545454545454547</v>
      </c>
      <c r="L45" s="5">
        <f>Tabela2[[#This Row],[Salário Bruto]]-SUM(Tabela2[[#This Row],[Desconto Transporte]:[Outros Descontos]])+Tabela2[[#This Row],[Valor Hora Extra]]</f>
        <v>5720.545454545455</v>
      </c>
    </row>
    <row r="46" spans="2:12" ht="16.899999999999999">
      <c r="B46" s="4" t="s">
        <v>15</v>
      </c>
      <c r="C46" s="8">
        <v>45444</v>
      </c>
      <c r="D46" s="9">
        <v>45475</v>
      </c>
      <c r="E46" s="4">
        <v>3</v>
      </c>
      <c r="F46" s="5">
        <f>VLOOKUP(Tabela2[[#This Row],[Funcionário]],Funcionários!B:G,4,0)</f>
        <v>6500</v>
      </c>
      <c r="G46" s="5">
        <v>390</v>
      </c>
      <c r="H46" s="5">
        <v>715</v>
      </c>
      <c r="I46" s="5">
        <v>650</v>
      </c>
      <c r="J46" s="5">
        <v>136</v>
      </c>
      <c r="K46" s="5">
        <f>Tabela2[[#This Row],[Quantidade HE]]*VLOOKUP(Tabela2[[#This Row],[Funcionário]],Funcionários!B:G,6,0)</f>
        <v>132.95454545454547</v>
      </c>
      <c r="L46" s="5">
        <f>Tabela2[[#This Row],[Salário Bruto]]-SUM(Tabela2[[#This Row],[Desconto Transporte]:[Outros Descontos]])+Tabela2[[#This Row],[Valor Hora Extra]]</f>
        <v>4741.954545454545</v>
      </c>
    </row>
    <row r="47" spans="2:12" ht="16.899999999999999">
      <c r="B47" s="4" t="s">
        <v>18</v>
      </c>
      <c r="C47" s="8">
        <v>45444</v>
      </c>
      <c r="D47" s="9">
        <v>45475</v>
      </c>
      <c r="E47" s="4">
        <v>1</v>
      </c>
      <c r="F47" s="5">
        <f>VLOOKUP(Tabela2[[#This Row],[Funcionário]],Funcionários!B:G,4,0)</f>
        <v>4000</v>
      </c>
      <c r="G47" s="5">
        <v>240</v>
      </c>
      <c r="H47" s="5">
        <v>480</v>
      </c>
      <c r="I47" s="5">
        <v>280</v>
      </c>
      <c r="J47" s="5">
        <v>126</v>
      </c>
      <c r="K47" s="5">
        <f>Tabela2[[#This Row],[Quantidade HE]]*VLOOKUP(Tabela2[[#This Row],[Funcionário]],Funcionários!B:G,6,0)</f>
        <v>27.272727272727273</v>
      </c>
      <c r="L47" s="5">
        <f>Tabela2[[#This Row],[Salário Bruto]]-SUM(Tabela2[[#This Row],[Desconto Transporte]:[Outros Descontos]])+Tabela2[[#This Row],[Valor Hora Extra]]</f>
        <v>2901.2727272727275</v>
      </c>
    </row>
    <row r="48" spans="2:12" ht="16.899999999999999">
      <c r="B48" s="4" t="s">
        <v>21</v>
      </c>
      <c r="C48" s="8">
        <v>45444</v>
      </c>
      <c r="D48" s="9">
        <v>45475</v>
      </c>
      <c r="E48" s="4">
        <v>2</v>
      </c>
      <c r="F48" s="5">
        <f>VLOOKUP(Tabela2[[#This Row],[Funcionário]],Funcionários!B:G,4,0)</f>
        <v>3000</v>
      </c>
      <c r="G48" s="5">
        <v>180</v>
      </c>
      <c r="H48" s="5">
        <v>300</v>
      </c>
      <c r="I48" s="5">
        <v>210</v>
      </c>
      <c r="J48" s="5">
        <v>153</v>
      </c>
      <c r="K48" s="5">
        <f>Tabela2[[#This Row],[Quantidade HE]]*VLOOKUP(Tabela2[[#This Row],[Funcionário]],Funcionários!B:G,6,0)</f>
        <v>40.909090909090907</v>
      </c>
      <c r="L48" s="5">
        <f>Tabela2[[#This Row],[Salário Bruto]]-SUM(Tabela2[[#This Row],[Desconto Transporte]:[Outros Descontos]])+Tabela2[[#This Row],[Valor Hora Extra]]</f>
        <v>2197.909090909091</v>
      </c>
    </row>
    <row r="49" spans="2:12" ht="16.899999999999999">
      <c r="B49" s="4" t="s">
        <v>24</v>
      </c>
      <c r="C49" s="8">
        <v>45444</v>
      </c>
      <c r="D49" s="9">
        <v>45475</v>
      </c>
      <c r="E49" s="4">
        <v>6</v>
      </c>
      <c r="F49" s="5">
        <f>VLOOKUP(Tabela2[[#This Row],[Funcionário]],Funcionários!B:G,4,0)</f>
        <v>2000</v>
      </c>
      <c r="G49" s="5">
        <v>120</v>
      </c>
      <c r="H49" s="5">
        <v>220</v>
      </c>
      <c r="I49" s="5">
        <v>200</v>
      </c>
      <c r="J49" s="5">
        <v>169</v>
      </c>
      <c r="K49" s="5">
        <f>Tabela2[[#This Row],[Quantidade HE]]*VLOOKUP(Tabela2[[#This Row],[Funcionário]],Funcionários!B:G,6,0)</f>
        <v>0</v>
      </c>
      <c r="L49" s="5">
        <f>Tabela2[[#This Row],[Salário Bruto]]-SUM(Tabela2[[#This Row],[Desconto Transporte]:[Outros Descontos]])+Tabela2[[#This Row],[Valor Hora Extra]]</f>
        <v>1291</v>
      </c>
    </row>
    <row r="50" spans="2:12" ht="16.899999999999999">
      <c r="B50" s="4" t="s">
        <v>27</v>
      </c>
      <c r="C50" s="8">
        <v>45444</v>
      </c>
      <c r="D50" s="9">
        <v>45475</v>
      </c>
      <c r="E50" s="4">
        <v>2</v>
      </c>
      <c r="F50" s="5">
        <f>VLOOKUP(Tabela2[[#This Row],[Funcionário]],Funcionários!B:G,4,0)</f>
        <v>1000</v>
      </c>
      <c r="G50" s="5">
        <v>70</v>
      </c>
      <c r="H50" s="5">
        <v>120</v>
      </c>
      <c r="I50" s="5">
        <v>90</v>
      </c>
      <c r="J50" s="5">
        <v>193</v>
      </c>
      <c r="K50" s="5">
        <f>Tabela2[[#This Row],[Quantidade HE]]*VLOOKUP(Tabela2[[#This Row],[Funcionário]],Funcionários!B:G,6,0)</f>
        <v>0</v>
      </c>
      <c r="L50" s="5">
        <f>Tabela2[[#This Row],[Salário Bruto]]-SUM(Tabela2[[#This Row],[Desconto Transporte]:[Outros Descontos]])+Tabela2[[#This Row],[Valor Hora Extra]]</f>
        <v>527</v>
      </c>
    </row>
    <row r="51" spans="2:12" ht="16.899999999999999">
      <c r="B51" s="4" t="s">
        <v>29</v>
      </c>
      <c r="C51" s="8">
        <v>45444</v>
      </c>
      <c r="D51" s="9">
        <v>45475</v>
      </c>
      <c r="E51" s="4">
        <v>3</v>
      </c>
      <c r="F51" s="5">
        <f>VLOOKUP(Tabela2[[#This Row],[Funcionário]],Funcionários!B:G,4,0)</f>
        <v>2000</v>
      </c>
      <c r="G51" s="5">
        <v>100</v>
      </c>
      <c r="H51" s="5">
        <v>220</v>
      </c>
      <c r="I51" s="5">
        <v>200</v>
      </c>
      <c r="J51" s="5">
        <v>115</v>
      </c>
      <c r="K51" s="5">
        <f>Tabela2[[#This Row],[Quantidade HE]]*VLOOKUP(Tabela2[[#This Row],[Funcionário]],Funcionários!B:G,6,0)</f>
        <v>40.909090909090907</v>
      </c>
      <c r="L51" s="5">
        <f>Tabela2[[#This Row],[Salário Bruto]]-SUM(Tabela2[[#This Row],[Desconto Transporte]:[Outros Descontos]])+Tabela2[[#This Row],[Valor Hora Extra]]</f>
        <v>1405.909090909091</v>
      </c>
    </row>
    <row r="52" spans="2:12" ht="16.899999999999999">
      <c r="B52" s="4" t="s">
        <v>7</v>
      </c>
      <c r="C52" s="8">
        <v>45474</v>
      </c>
      <c r="D52" s="9">
        <v>45505</v>
      </c>
      <c r="E52" s="4">
        <v>6</v>
      </c>
      <c r="F52" s="5">
        <f>VLOOKUP(Tabela2[[#This Row],[Funcionário]],Funcionários!B:G,4,0)</f>
        <v>20000</v>
      </c>
      <c r="G52" s="5">
        <v>300</v>
      </c>
      <c r="H52" s="5">
        <v>2400</v>
      </c>
      <c r="I52" s="5">
        <v>1800</v>
      </c>
      <c r="J52" s="5">
        <v>135</v>
      </c>
      <c r="K52" s="5">
        <f>Tabela2[[#This Row],[Quantidade HE]]*VLOOKUP(Tabela2[[#This Row],[Funcionário]],Funcionários!B:G,6,0)</f>
        <v>0</v>
      </c>
      <c r="L52" s="5">
        <f>Tabela2[[#This Row],[Salário Bruto]]-SUM(Tabela2[[#This Row],[Desconto Transporte]:[Outros Descontos]])+Tabela2[[#This Row],[Valor Hora Extra]]</f>
        <v>15365</v>
      </c>
    </row>
    <row r="53" spans="2:12" ht="16.899999999999999">
      <c r="B53" s="4" t="s">
        <v>11</v>
      </c>
      <c r="C53" s="8">
        <v>45474</v>
      </c>
      <c r="D53" s="9">
        <v>45505</v>
      </c>
      <c r="E53" s="4">
        <v>5</v>
      </c>
      <c r="F53" s="5">
        <f>VLOOKUP(Tabela2[[#This Row],[Funcionário]],Funcionários!B:G,4,0)</f>
        <v>8000</v>
      </c>
      <c r="G53" s="5">
        <v>480</v>
      </c>
      <c r="H53" s="5">
        <v>880</v>
      </c>
      <c r="I53" s="5">
        <v>800</v>
      </c>
      <c r="J53" s="5">
        <v>127</v>
      </c>
      <c r="K53" s="5">
        <f>Tabela2[[#This Row],[Quantidade HE]]*VLOOKUP(Tabela2[[#This Row],[Funcionário]],Funcionários!B:G,6,0)</f>
        <v>272.72727272727275</v>
      </c>
      <c r="L53" s="5">
        <f>Tabela2[[#This Row],[Salário Bruto]]-SUM(Tabela2[[#This Row],[Desconto Transporte]:[Outros Descontos]])+Tabela2[[#This Row],[Valor Hora Extra]]</f>
        <v>5985.727272727273</v>
      </c>
    </row>
    <row r="54" spans="2:12" ht="16.899999999999999">
      <c r="B54" s="4" t="s">
        <v>15</v>
      </c>
      <c r="C54" s="8">
        <v>45474</v>
      </c>
      <c r="D54" s="9">
        <v>45505</v>
      </c>
      <c r="E54" s="4">
        <v>6</v>
      </c>
      <c r="F54" s="5">
        <f>VLOOKUP(Tabela2[[#This Row],[Funcionário]],Funcionários!B:G,4,0)</f>
        <v>6500</v>
      </c>
      <c r="G54" s="5">
        <v>325</v>
      </c>
      <c r="H54" s="5">
        <v>650</v>
      </c>
      <c r="I54" s="5">
        <v>650</v>
      </c>
      <c r="J54" s="5">
        <v>144</v>
      </c>
      <c r="K54" s="5">
        <f>Tabela2[[#This Row],[Quantidade HE]]*VLOOKUP(Tabela2[[#This Row],[Funcionário]],Funcionários!B:G,6,0)</f>
        <v>265.90909090909093</v>
      </c>
      <c r="L54" s="5">
        <f>Tabela2[[#This Row],[Salário Bruto]]-SUM(Tabela2[[#This Row],[Desconto Transporte]:[Outros Descontos]])+Tabela2[[#This Row],[Valor Hora Extra]]</f>
        <v>4996.909090909091</v>
      </c>
    </row>
    <row r="55" spans="2:12" ht="16.899999999999999">
      <c r="B55" s="4" t="s">
        <v>18</v>
      </c>
      <c r="C55" s="8">
        <v>45474</v>
      </c>
      <c r="D55" s="9">
        <v>45505</v>
      </c>
      <c r="E55" s="4">
        <v>2</v>
      </c>
      <c r="F55" s="5">
        <f>VLOOKUP(Tabela2[[#This Row],[Funcionário]],Funcionários!B:G,4,0)</f>
        <v>4000</v>
      </c>
      <c r="G55" s="5">
        <v>280</v>
      </c>
      <c r="H55" s="5">
        <v>400</v>
      </c>
      <c r="I55" s="5">
        <v>280</v>
      </c>
      <c r="J55" s="5">
        <v>155</v>
      </c>
      <c r="K55" s="5">
        <f>Tabela2[[#This Row],[Quantidade HE]]*VLOOKUP(Tabela2[[#This Row],[Funcionário]],Funcionários!B:G,6,0)</f>
        <v>54.545454545454547</v>
      </c>
      <c r="L55" s="5">
        <f>Tabela2[[#This Row],[Salário Bruto]]-SUM(Tabela2[[#This Row],[Desconto Transporte]:[Outros Descontos]])+Tabela2[[#This Row],[Valor Hora Extra]]</f>
        <v>2939.5454545454545</v>
      </c>
    </row>
    <row r="56" spans="2:12" ht="16.899999999999999">
      <c r="B56" s="4" t="s">
        <v>21</v>
      </c>
      <c r="C56" s="8">
        <v>45474</v>
      </c>
      <c r="D56" s="9">
        <v>45505</v>
      </c>
      <c r="E56" s="4">
        <v>1</v>
      </c>
      <c r="F56" s="5">
        <f>VLOOKUP(Tabela2[[#This Row],[Funcionário]],Funcionários!B:G,4,0)</f>
        <v>3000</v>
      </c>
      <c r="G56" s="5">
        <v>180</v>
      </c>
      <c r="H56" s="5">
        <v>330</v>
      </c>
      <c r="I56" s="5">
        <v>270</v>
      </c>
      <c r="J56" s="5">
        <v>118</v>
      </c>
      <c r="K56" s="5">
        <f>Tabela2[[#This Row],[Quantidade HE]]*VLOOKUP(Tabela2[[#This Row],[Funcionário]],Funcionários!B:G,6,0)</f>
        <v>20.454545454545453</v>
      </c>
      <c r="L56" s="5">
        <f>Tabela2[[#This Row],[Salário Bruto]]-SUM(Tabela2[[#This Row],[Desconto Transporte]:[Outros Descontos]])+Tabela2[[#This Row],[Valor Hora Extra]]</f>
        <v>2122.4545454545455</v>
      </c>
    </row>
    <row r="57" spans="2:12" ht="16.899999999999999">
      <c r="B57" s="4" t="s">
        <v>24</v>
      </c>
      <c r="C57" s="8">
        <v>45474</v>
      </c>
      <c r="D57" s="9">
        <v>45505</v>
      </c>
      <c r="E57" s="4">
        <v>1</v>
      </c>
      <c r="F57" s="5">
        <f>VLOOKUP(Tabela2[[#This Row],[Funcionário]],Funcionários!B:G,4,0)</f>
        <v>2000</v>
      </c>
      <c r="G57" s="5">
        <v>120</v>
      </c>
      <c r="H57" s="5">
        <v>200</v>
      </c>
      <c r="I57" s="5">
        <v>140</v>
      </c>
      <c r="J57" s="5">
        <v>117</v>
      </c>
      <c r="K57" s="5">
        <f>Tabela2[[#This Row],[Quantidade HE]]*VLOOKUP(Tabela2[[#This Row],[Funcionário]],Funcionários!B:G,6,0)</f>
        <v>0</v>
      </c>
      <c r="L57" s="5">
        <f>Tabela2[[#This Row],[Salário Bruto]]-SUM(Tabela2[[#This Row],[Desconto Transporte]:[Outros Descontos]])+Tabela2[[#This Row],[Valor Hora Extra]]</f>
        <v>1423</v>
      </c>
    </row>
    <row r="58" spans="2:12" ht="16.899999999999999">
      <c r="B58" s="4" t="s">
        <v>27</v>
      </c>
      <c r="C58" s="8">
        <v>45474</v>
      </c>
      <c r="D58" s="9">
        <v>45505</v>
      </c>
      <c r="E58" s="4">
        <v>4</v>
      </c>
      <c r="F58" s="5">
        <f>VLOOKUP(Tabela2[[#This Row],[Funcionário]],Funcionários!B:G,4,0)</f>
        <v>1000</v>
      </c>
      <c r="G58" s="5">
        <v>70</v>
      </c>
      <c r="H58" s="5">
        <v>100</v>
      </c>
      <c r="I58" s="5">
        <v>60</v>
      </c>
      <c r="J58" s="5">
        <v>182</v>
      </c>
      <c r="K58" s="5">
        <f>Tabela2[[#This Row],[Quantidade HE]]*VLOOKUP(Tabela2[[#This Row],[Funcionário]],Funcionários!B:G,6,0)</f>
        <v>0</v>
      </c>
      <c r="L58" s="5">
        <f>Tabela2[[#This Row],[Salário Bruto]]-SUM(Tabela2[[#This Row],[Desconto Transporte]:[Outros Descontos]])+Tabela2[[#This Row],[Valor Hora Extra]]</f>
        <v>588</v>
      </c>
    </row>
    <row r="59" spans="2:12" ht="16.899999999999999">
      <c r="B59" s="4" t="s">
        <v>29</v>
      </c>
      <c r="C59" s="8">
        <v>45474</v>
      </c>
      <c r="D59" s="9">
        <v>45505</v>
      </c>
      <c r="E59" s="4">
        <v>2</v>
      </c>
      <c r="F59" s="5">
        <f>VLOOKUP(Tabela2[[#This Row],[Funcionário]],Funcionários!B:G,4,0)</f>
        <v>2000</v>
      </c>
      <c r="G59" s="5">
        <v>120</v>
      </c>
      <c r="H59" s="5">
        <v>240</v>
      </c>
      <c r="I59" s="5">
        <v>120</v>
      </c>
      <c r="J59" s="5">
        <v>130</v>
      </c>
      <c r="K59" s="5">
        <f>Tabela2[[#This Row],[Quantidade HE]]*VLOOKUP(Tabela2[[#This Row],[Funcionário]],Funcionários!B:G,6,0)</f>
        <v>27.272727272727273</v>
      </c>
      <c r="L59" s="5">
        <f>Tabela2[[#This Row],[Salário Bruto]]-SUM(Tabela2[[#This Row],[Desconto Transporte]:[Outros Descontos]])+Tabela2[[#This Row],[Valor Hora Extra]]</f>
        <v>1417.2727272727273</v>
      </c>
    </row>
    <row r="60" spans="2:12" ht="16.899999999999999">
      <c r="B60" s="4" t="s">
        <v>7</v>
      </c>
      <c r="C60" s="8">
        <v>45505</v>
      </c>
      <c r="D60" s="9">
        <v>45536</v>
      </c>
      <c r="E60" s="4">
        <v>3</v>
      </c>
      <c r="F60" s="5">
        <f>VLOOKUP(Tabela2[[#This Row],[Funcionário]],Funcionários!B:G,4,0)</f>
        <v>20000</v>
      </c>
      <c r="G60" s="5">
        <v>400</v>
      </c>
      <c r="H60" s="5">
        <v>2400</v>
      </c>
      <c r="I60" s="5">
        <v>1400</v>
      </c>
      <c r="J60" s="5">
        <v>194</v>
      </c>
      <c r="K60" s="5">
        <f>Tabela2[[#This Row],[Quantidade HE]]*VLOOKUP(Tabela2[[#This Row],[Funcionário]],Funcionários!B:G,6,0)</f>
        <v>0</v>
      </c>
      <c r="L60" s="5">
        <f>Tabela2[[#This Row],[Salário Bruto]]-SUM(Tabela2[[#This Row],[Desconto Transporte]:[Outros Descontos]])+Tabela2[[#This Row],[Valor Hora Extra]]</f>
        <v>15606</v>
      </c>
    </row>
    <row r="61" spans="2:12" ht="16.899999999999999">
      <c r="B61" s="4" t="s">
        <v>11</v>
      </c>
      <c r="C61" s="8">
        <v>45505</v>
      </c>
      <c r="D61" s="9">
        <v>45536</v>
      </c>
      <c r="E61" s="4">
        <v>4</v>
      </c>
      <c r="F61" s="5">
        <f>VLOOKUP(Tabela2[[#This Row],[Funcionário]],Funcionários!B:G,4,0)</f>
        <v>8000</v>
      </c>
      <c r="G61" s="5">
        <v>480</v>
      </c>
      <c r="H61" s="5">
        <v>960</v>
      </c>
      <c r="I61" s="5">
        <v>560</v>
      </c>
      <c r="J61" s="5">
        <v>197</v>
      </c>
      <c r="K61" s="5">
        <f>Tabela2[[#This Row],[Quantidade HE]]*VLOOKUP(Tabela2[[#This Row],[Funcionário]],Funcionários!B:G,6,0)</f>
        <v>218.18181818181819</v>
      </c>
      <c r="L61" s="5">
        <f>Tabela2[[#This Row],[Salário Bruto]]-SUM(Tabela2[[#This Row],[Desconto Transporte]:[Outros Descontos]])+Tabela2[[#This Row],[Valor Hora Extra]]</f>
        <v>6021.181818181818</v>
      </c>
    </row>
    <row r="62" spans="2:12" ht="16.899999999999999">
      <c r="B62" s="4" t="s">
        <v>15</v>
      </c>
      <c r="C62" s="8">
        <v>45505</v>
      </c>
      <c r="D62" s="9">
        <v>45536</v>
      </c>
      <c r="E62" s="4">
        <v>7</v>
      </c>
      <c r="F62" s="5">
        <f>VLOOKUP(Tabela2[[#This Row],[Funcionário]],Funcionários!B:G,4,0)</f>
        <v>6500</v>
      </c>
      <c r="G62" s="5">
        <v>390</v>
      </c>
      <c r="H62" s="5">
        <v>650</v>
      </c>
      <c r="I62" s="5">
        <v>455</v>
      </c>
      <c r="J62" s="5">
        <v>155</v>
      </c>
      <c r="K62" s="5">
        <f>Tabela2[[#This Row],[Quantidade HE]]*VLOOKUP(Tabela2[[#This Row],[Funcionário]],Funcionários!B:G,6,0)</f>
        <v>310.22727272727275</v>
      </c>
      <c r="L62" s="5">
        <f>Tabela2[[#This Row],[Salário Bruto]]-SUM(Tabela2[[#This Row],[Desconto Transporte]:[Outros Descontos]])+Tabela2[[#This Row],[Valor Hora Extra]]</f>
        <v>5160.227272727273</v>
      </c>
    </row>
    <row r="63" spans="2:12" ht="16.899999999999999">
      <c r="B63" s="4" t="s">
        <v>18</v>
      </c>
      <c r="C63" s="8">
        <v>45505</v>
      </c>
      <c r="D63" s="9">
        <v>45536</v>
      </c>
      <c r="E63" s="4">
        <v>6</v>
      </c>
      <c r="F63" s="5">
        <f>VLOOKUP(Tabela2[[#This Row],[Funcionário]],Funcionários!B:G,4,0)</f>
        <v>4000</v>
      </c>
      <c r="G63" s="5">
        <v>240</v>
      </c>
      <c r="H63" s="5">
        <v>480</v>
      </c>
      <c r="I63" s="5">
        <v>400</v>
      </c>
      <c r="J63" s="5">
        <v>110</v>
      </c>
      <c r="K63" s="5">
        <f>Tabela2[[#This Row],[Quantidade HE]]*VLOOKUP(Tabela2[[#This Row],[Funcionário]],Funcionários!B:G,6,0)</f>
        <v>163.63636363636363</v>
      </c>
      <c r="L63" s="5">
        <f>Tabela2[[#This Row],[Salário Bruto]]-SUM(Tabela2[[#This Row],[Desconto Transporte]:[Outros Descontos]])+Tabela2[[#This Row],[Valor Hora Extra]]</f>
        <v>2933.6363636363635</v>
      </c>
    </row>
    <row r="64" spans="2:12" ht="16.899999999999999">
      <c r="B64" s="4" t="s">
        <v>21</v>
      </c>
      <c r="C64" s="8">
        <v>45505</v>
      </c>
      <c r="D64" s="9">
        <v>45536</v>
      </c>
      <c r="E64" s="4">
        <v>2</v>
      </c>
      <c r="F64" s="5">
        <f>VLOOKUP(Tabela2[[#This Row],[Funcionário]],Funcionários!B:G,4,0)</f>
        <v>3000</v>
      </c>
      <c r="G64" s="5">
        <v>150</v>
      </c>
      <c r="H64" s="5">
        <v>330</v>
      </c>
      <c r="I64" s="5">
        <v>210</v>
      </c>
      <c r="J64" s="5">
        <v>102</v>
      </c>
      <c r="K64" s="5">
        <f>Tabela2[[#This Row],[Quantidade HE]]*VLOOKUP(Tabela2[[#This Row],[Funcionário]],Funcionários!B:G,6,0)</f>
        <v>40.909090909090907</v>
      </c>
      <c r="L64" s="5">
        <f>Tabela2[[#This Row],[Salário Bruto]]-SUM(Tabela2[[#This Row],[Desconto Transporte]:[Outros Descontos]])+Tabela2[[#This Row],[Valor Hora Extra]]</f>
        <v>2248.909090909091</v>
      </c>
    </row>
    <row r="65" spans="2:12" ht="16.899999999999999">
      <c r="B65" s="4" t="s">
        <v>24</v>
      </c>
      <c r="C65" s="8">
        <v>45505</v>
      </c>
      <c r="D65" s="9">
        <v>45536</v>
      </c>
      <c r="E65" s="4">
        <v>5</v>
      </c>
      <c r="F65" s="5">
        <f>VLOOKUP(Tabela2[[#This Row],[Funcionário]],Funcionários!B:G,4,0)</f>
        <v>2000</v>
      </c>
      <c r="G65" s="5">
        <v>100</v>
      </c>
      <c r="H65" s="5">
        <v>240</v>
      </c>
      <c r="I65" s="5">
        <v>160</v>
      </c>
      <c r="J65" s="5">
        <v>139</v>
      </c>
      <c r="K65" s="5">
        <f>Tabela2[[#This Row],[Quantidade HE]]*VLOOKUP(Tabela2[[#This Row],[Funcionário]],Funcionários!B:G,6,0)</f>
        <v>0</v>
      </c>
      <c r="L65" s="5">
        <f>Tabela2[[#This Row],[Salário Bruto]]-SUM(Tabela2[[#This Row],[Desconto Transporte]:[Outros Descontos]])+Tabela2[[#This Row],[Valor Hora Extra]]</f>
        <v>1361</v>
      </c>
    </row>
    <row r="66" spans="2:12" ht="16.899999999999999">
      <c r="B66" s="4" t="s">
        <v>27</v>
      </c>
      <c r="C66" s="8">
        <v>45505</v>
      </c>
      <c r="D66" s="9">
        <v>45536</v>
      </c>
      <c r="E66" s="4">
        <v>5</v>
      </c>
      <c r="F66" s="5">
        <f>VLOOKUP(Tabela2[[#This Row],[Funcionário]],Funcionários!B:G,4,0)</f>
        <v>1000</v>
      </c>
      <c r="G66" s="5">
        <v>50</v>
      </c>
      <c r="H66" s="5">
        <v>100</v>
      </c>
      <c r="I66" s="5">
        <v>100</v>
      </c>
      <c r="J66" s="5">
        <v>131</v>
      </c>
      <c r="K66" s="5">
        <f>Tabela2[[#This Row],[Quantidade HE]]*VLOOKUP(Tabela2[[#This Row],[Funcionário]],Funcionários!B:G,6,0)</f>
        <v>0</v>
      </c>
      <c r="L66" s="5">
        <f>Tabela2[[#This Row],[Salário Bruto]]-SUM(Tabela2[[#This Row],[Desconto Transporte]:[Outros Descontos]])+Tabela2[[#This Row],[Valor Hora Extra]]</f>
        <v>619</v>
      </c>
    </row>
    <row r="67" spans="2:12" ht="16.899999999999999">
      <c r="B67" s="4" t="s">
        <v>29</v>
      </c>
      <c r="C67" s="8">
        <v>45505</v>
      </c>
      <c r="D67" s="9">
        <v>45536</v>
      </c>
      <c r="E67" s="4">
        <v>2</v>
      </c>
      <c r="F67" s="5">
        <f>VLOOKUP(Tabela2[[#This Row],[Funcionário]],Funcionários!B:G,4,0)</f>
        <v>2000</v>
      </c>
      <c r="G67" s="5">
        <v>140</v>
      </c>
      <c r="H67" s="5">
        <v>0</v>
      </c>
      <c r="I67" s="5">
        <v>0</v>
      </c>
      <c r="J67" s="5">
        <v>101</v>
      </c>
      <c r="K67" s="5">
        <f>Tabela2[[#This Row],[Quantidade HE]]*VLOOKUP(Tabela2[[#This Row],[Funcionário]],Funcionários!B:G,6,0)</f>
        <v>27.272727272727273</v>
      </c>
      <c r="L67" s="5">
        <f>Tabela2[[#This Row],[Salário Bruto]]-SUM(Tabela2[[#This Row],[Desconto Transporte]:[Outros Descontos]])+Tabela2[[#This Row],[Valor Hora Extra]]</f>
        <v>1786.2727272727273</v>
      </c>
    </row>
    <row r="68" spans="2:12" ht="16.899999999999999">
      <c r="B68" s="4" t="s">
        <v>7</v>
      </c>
      <c r="C68" s="8">
        <v>45536</v>
      </c>
      <c r="D68" s="9">
        <v>45567</v>
      </c>
      <c r="E68" s="4">
        <v>3</v>
      </c>
      <c r="F68" s="5">
        <f>VLOOKUP(Tabela2[[#This Row],[Funcionário]],Funcionários!B:G,4,0)</f>
        <v>20000</v>
      </c>
      <c r="G68" s="5">
        <v>1000</v>
      </c>
      <c r="H68" s="5">
        <v>2400</v>
      </c>
      <c r="I68" s="5">
        <v>1800</v>
      </c>
      <c r="J68" s="5">
        <v>146</v>
      </c>
      <c r="K68" s="5">
        <f>Tabela2[[#This Row],[Quantidade HE]]*VLOOKUP(Tabela2[[#This Row],[Funcionário]],Funcionários!B:G,6,0)</f>
        <v>0</v>
      </c>
      <c r="L68" s="5">
        <f>Tabela2[[#This Row],[Salário Bruto]]-SUM(Tabela2[[#This Row],[Desconto Transporte]:[Outros Descontos]])+Tabela2[[#This Row],[Valor Hora Extra]]</f>
        <v>14654</v>
      </c>
    </row>
    <row r="69" spans="2:12" ht="16.899999999999999">
      <c r="B69" s="4" t="s">
        <v>11</v>
      </c>
      <c r="C69" s="8">
        <v>45536</v>
      </c>
      <c r="D69" s="9">
        <v>45567</v>
      </c>
      <c r="E69" s="4">
        <v>3</v>
      </c>
      <c r="F69" s="5">
        <f>VLOOKUP(Tabela2[[#This Row],[Funcionário]],Funcionários!B:G,4,0)</f>
        <v>8000</v>
      </c>
      <c r="G69" s="5">
        <v>560</v>
      </c>
      <c r="H69" s="5">
        <v>960</v>
      </c>
      <c r="I69" s="5">
        <v>640</v>
      </c>
      <c r="J69" s="5">
        <v>152</v>
      </c>
      <c r="K69" s="5">
        <f>Tabela2[[#This Row],[Quantidade HE]]*VLOOKUP(Tabela2[[#This Row],[Funcionário]],Funcionários!B:G,6,0)</f>
        <v>163.63636363636363</v>
      </c>
      <c r="L69" s="5">
        <f>Tabela2[[#This Row],[Salário Bruto]]-SUM(Tabela2[[#This Row],[Desconto Transporte]:[Outros Descontos]])+Tabela2[[#This Row],[Valor Hora Extra]]</f>
        <v>5851.636363636364</v>
      </c>
    </row>
    <row r="70" spans="2:12" ht="16.899999999999999">
      <c r="B70" s="4" t="s">
        <v>15</v>
      </c>
      <c r="C70" s="8">
        <v>45536</v>
      </c>
      <c r="D70" s="9">
        <v>45567</v>
      </c>
      <c r="E70" s="4">
        <v>3</v>
      </c>
      <c r="F70" s="5">
        <f>VLOOKUP(Tabela2[[#This Row],[Funcionário]],Funcionários!B:G,4,0)</f>
        <v>6500</v>
      </c>
      <c r="G70" s="5">
        <v>390</v>
      </c>
      <c r="H70" s="5">
        <v>715</v>
      </c>
      <c r="I70" s="5">
        <v>650</v>
      </c>
      <c r="J70" s="5">
        <v>132</v>
      </c>
      <c r="K70" s="5">
        <f>Tabela2[[#This Row],[Quantidade HE]]*VLOOKUP(Tabela2[[#This Row],[Funcionário]],Funcionários!B:G,6,0)</f>
        <v>132.95454545454547</v>
      </c>
      <c r="L70" s="5">
        <f>Tabela2[[#This Row],[Salário Bruto]]-SUM(Tabela2[[#This Row],[Desconto Transporte]:[Outros Descontos]])+Tabela2[[#This Row],[Valor Hora Extra]]</f>
        <v>4745.954545454545</v>
      </c>
    </row>
    <row r="71" spans="2:12" ht="16.899999999999999">
      <c r="B71" s="4" t="s">
        <v>18</v>
      </c>
      <c r="C71" s="8">
        <v>45536</v>
      </c>
      <c r="D71" s="9">
        <v>45567</v>
      </c>
      <c r="E71" s="4">
        <v>4</v>
      </c>
      <c r="F71" s="5">
        <f>VLOOKUP(Tabela2[[#This Row],[Funcionário]],Funcionários!B:G,4,0)</f>
        <v>4000</v>
      </c>
      <c r="G71" s="5">
        <v>240</v>
      </c>
      <c r="H71" s="5">
        <v>480</v>
      </c>
      <c r="I71" s="5">
        <v>280</v>
      </c>
      <c r="J71" s="5">
        <v>166</v>
      </c>
      <c r="K71" s="5">
        <f>Tabela2[[#This Row],[Quantidade HE]]*VLOOKUP(Tabela2[[#This Row],[Funcionário]],Funcionários!B:G,6,0)</f>
        <v>109.09090909090909</v>
      </c>
      <c r="L71" s="5">
        <f>Tabela2[[#This Row],[Salário Bruto]]-SUM(Tabela2[[#This Row],[Desconto Transporte]:[Outros Descontos]])+Tabela2[[#This Row],[Valor Hora Extra]]</f>
        <v>2943.090909090909</v>
      </c>
    </row>
    <row r="72" spans="2:12" ht="16.899999999999999">
      <c r="B72" s="4" t="s">
        <v>21</v>
      </c>
      <c r="C72" s="8">
        <v>45536</v>
      </c>
      <c r="D72" s="9">
        <v>45567</v>
      </c>
      <c r="E72" s="4">
        <v>1</v>
      </c>
      <c r="F72" s="5">
        <f>VLOOKUP(Tabela2[[#This Row],[Funcionário]],Funcionários!B:G,4,0)</f>
        <v>3000</v>
      </c>
      <c r="G72" s="5">
        <v>180</v>
      </c>
      <c r="H72" s="5">
        <v>300</v>
      </c>
      <c r="I72" s="5">
        <v>210</v>
      </c>
      <c r="J72" s="5">
        <v>184</v>
      </c>
      <c r="K72" s="5">
        <f>Tabela2[[#This Row],[Quantidade HE]]*VLOOKUP(Tabela2[[#This Row],[Funcionário]],Funcionários!B:G,6,0)</f>
        <v>20.454545454545453</v>
      </c>
      <c r="L72" s="5">
        <f>Tabela2[[#This Row],[Salário Bruto]]-SUM(Tabela2[[#This Row],[Desconto Transporte]:[Outros Descontos]])+Tabela2[[#This Row],[Valor Hora Extra]]</f>
        <v>2146.4545454545455</v>
      </c>
    </row>
    <row r="73" spans="2:12" ht="16.899999999999999">
      <c r="B73" s="4" t="s">
        <v>24</v>
      </c>
      <c r="C73" s="8">
        <v>45536</v>
      </c>
      <c r="D73" s="9">
        <v>45567</v>
      </c>
      <c r="E73" s="4">
        <v>5</v>
      </c>
      <c r="F73" s="5">
        <f>VLOOKUP(Tabela2[[#This Row],[Funcionário]],Funcionários!B:G,4,0)</f>
        <v>2000</v>
      </c>
      <c r="G73" s="5">
        <v>120</v>
      </c>
      <c r="H73" s="5">
        <v>220</v>
      </c>
      <c r="I73" s="5">
        <v>200</v>
      </c>
      <c r="J73" s="5">
        <v>166</v>
      </c>
      <c r="K73" s="5">
        <f>Tabela2[[#This Row],[Quantidade HE]]*VLOOKUP(Tabela2[[#This Row],[Funcionário]],Funcionários!B:G,6,0)</f>
        <v>0</v>
      </c>
      <c r="L73" s="5">
        <f>Tabela2[[#This Row],[Salário Bruto]]-SUM(Tabela2[[#This Row],[Desconto Transporte]:[Outros Descontos]])+Tabela2[[#This Row],[Valor Hora Extra]]</f>
        <v>1294</v>
      </c>
    </row>
    <row r="74" spans="2:12" ht="16.899999999999999">
      <c r="B74" s="4" t="s">
        <v>27</v>
      </c>
      <c r="C74" s="8">
        <v>45536</v>
      </c>
      <c r="D74" s="9">
        <v>45567</v>
      </c>
      <c r="E74" s="4">
        <v>6</v>
      </c>
      <c r="F74" s="5">
        <f>VLOOKUP(Tabela2[[#This Row],[Funcionário]],Funcionários!B:G,4,0)</f>
        <v>1000</v>
      </c>
      <c r="G74" s="5">
        <v>70</v>
      </c>
      <c r="H74" s="5">
        <v>120</v>
      </c>
      <c r="I74" s="5">
        <v>90</v>
      </c>
      <c r="J74" s="5">
        <v>132</v>
      </c>
      <c r="K74" s="5">
        <f>Tabela2[[#This Row],[Quantidade HE]]*VLOOKUP(Tabela2[[#This Row],[Funcionário]],Funcionários!B:G,6,0)</f>
        <v>0</v>
      </c>
      <c r="L74" s="5">
        <f>Tabela2[[#This Row],[Salário Bruto]]-SUM(Tabela2[[#This Row],[Desconto Transporte]:[Outros Descontos]])+Tabela2[[#This Row],[Valor Hora Extra]]</f>
        <v>588</v>
      </c>
    </row>
    <row r="75" spans="2:12" ht="16.899999999999999">
      <c r="B75" s="4" t="s">
        <v>29</v>
      </c>
      <c r="C75" s="8">
        <v>45536</v>
      </c>
      <c r="D75" s="9">
        <v>45567</v>
      </c>
      <c r="E75" s="4">
        <v>3</v>
      </c>
      <c r="F75" s="5">
        <f>VLOOKUP(Tabela2[[#This Row],[Funcionário]],Funcionários!B:G,4,0)</f>
        <v>2000</v>
      </c>
      <c r="G75" s="5">
        <v>100</v>
      </c>
      <c r="H75" s="5">
        <v>220</v>
      </c>
      <c r="I75" s="5">
        <v>200</v>
      </c>
      <c r="J75" s="5">
        <v>174</v>
      </c>
      <c r="K75" s="5">
        <f>Tabela2[[#This Row],[Quantidade HE]]*VLOOKUP(Tabela2[[#This Row],[Funcionário]],Funcionários!B:G,6,0)</f>
        <v>40.909090909090907</v>
      </c>
      <c r="L75" s="5">
        <f>Tabela2[[#This Row],[Salário Bruto]]-SUM(Tabela2[[#This Row],[Desconto Transporte]:[Outros Descontos]])+Tabela2[[#This Row],[Valor Hora Extra]]</f>
        <v>1346.909090909091</v>
      </c>
    </row>
    <row r="76" spans="2:12" ht="16.899999999999999">
      <c r="B76" s="4" t="s">
        <v>7</v>
      </c>
      <c r="C76" s="8">
        <v>45566</v>
      </c>
      <c r="D76" s="9">
        <v>45597</v>
      </c>
      <c r="E76" s="4">
        <v>2</v>
      </c>
      <c r="F76" s="5">
        <f>VLOOKUP(Tabela2[[#This Row],[Funcionário]],Funcionários!B:G,4,0)</f>
        <v>20000</v>
      </c>
      <c r="G76" s="5">
        <v>300</v>
      </c>
      <c r="H76" s="5">
        <v>2400</v>
      </c>
      <c r="I76" s="5">
        <v>1800</v>
      </c>
      <c r="J76" s="5">
        <v>187</v>
      </c>
      <c r="K76" s="5">
        <f>Tabela2[[#This Row],[Quantidade HE]]*VLOOKUP(Tabela2[[#This Row],[Funcionário]],Funcionários!B:G,6,0)</f>
        <v>0</v>
      </c>
      <c r="L76" s="5">
        <f>Tabela2[[#This Row],[Salário Bruto]]-SUM(Tabela2[[#This Row],[Desconto Transporte]:[Outros Descontos]])+Tabela2[[#This Row],[Valor Hora Extra]]</f>
        <v>15313</v>
      </c>
    </row>
    <row r="77" spans="2:12" ht="16.899999999999999">
      <c r="B77" s="4" t="s">
        <v>11</v>
      </c>
      <c r="C77" s="8">
        <v>45566</v>
      </c>
      <c r="D77" s="9">
        <v>45597</v>
      </c>
      <c r="E77" s="4">
        <v>6</v>
      </c>
      <c r="F77" s="5">
        <f>VLOOKUP(Tabela2[[#This Row],[Funcionário]],Funcionários!B:G,4,0)</f>
        <v>8000</v>
      </c>
      <c r="G77" s="5">
        <v>480</v>
      </c>
      <c r="H77" s="5">
        <v>880</v>
      </c>
      <c r="I77" s="5">
        <v>800</v>
      </c>
      <c r="J77" s="5">
        <v>191</v>
      </c>
      <c r="K77" s="5">
        <f>Tabela2[[#This Row],[Quantidade HE]]*VLOOKUP(Tabela2[[#This Row],[Funcionário]],Funcionários!B:G,6,0)</f>
        <v>327.27272727272725</v>
      </c>
      <c r="L77" s="5">
        <f>Tabela2[[#This Row],[Salário Bruto]]-SUM(Tabela2[[#This Row],[Desconto Transporte]:[Outros Descontos]])+Tabela2[[#This Row],[Valor Hora Extra]]</f>
        <v>5976.272727272727</v>
      </c>
    </row>
    <row r="78" spans="2:12" ht="16.899999999999999">
      <c r="B78" s="4" t="s">
        <v>15</v>
      </c>
      <c r="C78" s="8">
        <v>45566</v>
      </c>
      <c r="D78" s="9">
        <v>45597</v>
      </c>
      <c r="E78" s="4">
        <v>3</v>
      </c>
      <c r="F78" s="5">
        <f>VLOOKUP(Tabela2[[#This Row],[Funcionário]],Funcionários!B:G,4,0)</f>
        <v>6500</v>
      </c>
      <c r="G78" s="5">
        <v>325</v>
      </c>
      <c r="H78" s="5">
        <v>650</v>
      </c>
      <c r="I78" s="5">
        <v>650</v>
      </c>
      <c r="J78" s="5">
        <v>162</v>
      </c>
      <c r="K78" s="5">
        <f>Tabela2[[#This Row],[Quantidade HE]]*VLOOKUP(Tabela2[[#This Row],[Funcionário]],Funcionários!B:G,6,0)</f>
        <v>132.95454545454547</v>
      </c>
      <c r="L78" s="5">
        <f>Tabela2[[#This Row],[Salário Bruto]]-SUM(Tabela2[[#This Row],[Desconto Transporte]:[Outros Descontos]])+Tabela2[[#This Row],[Valor Hora Extra]]</f>
        <v>4845.954545454545</v>
      </c>
    </row>
    <row r="79" spans="2:12" ht="16.899999999999999">
      <c r="B79" s="4" t="s">
        <v>18</v>
      </c>
      <c r="C79" s="8">
        <v>45566</v>
      </c>
      <c r="D79" s="9">
        <v>45597</v>
      </c>
      <c r="E79" s="4">
        <v>1</v>
      </c>
      <c r="F79" s="5">
        <f>VLOOKUP(Tabela2[[#This Row],[Funcionário]],Funcionários!B:G,4,0)</f>
        <v>4000</v>
      </c>
      <c r="G79" s="5">
        <v>280</v>
      </c>
      <c r="H79" s="5">
        <v>400</v>
      </c>
      <c r="I79" s="5">
        <v>280</v>
      </c>
      <c r="J79" s="5">
        <v>187</v>
      </c>
      <c r="K79" s="5">
        <f>Tabela2[[#This Row],[Quantidade HE]]*VLOOKUP(Tabela2[[#This Row],[Funcionário]],Funcionários!B:G,6,0)</f>
        <v>27.272727272727273</v>
      </c>
      <c r="L79" s="5">
        <f>Tabela2[[#This Row],[Salário Bruto]]-SUM(Tabela2[[#This Row],[Desconto Transporte]:[Outros Descontos]])+Tabela2[[#This Row],[Valor Hora Extra]]</f>
        <v>2880.2727272727275</v>
      </c>
    </row>
    <row r="80" spans="2:12" ht="16.899999999999999">
      <c r="B80" s="4" t="s">
        <v>21</v>
      </c>
      <c r="C80" s="8">
        <v>45566</v>
      </c>
      <c r="D80" s="9">
        <v>45597</v>
      </c>
      <c r="E80" s="4">
        <v>2</v>
      </c>
      <c r="F80" s="5">
        <f>VLOOKUP(Tabela2[[#This Row],[Funcionário]],Funcionários!B:G,4,0)</f>
        <v>3000</v>
      </c>
      <c r="G80" s="5">
        <v>180</v>
      </c>
      <c r="H80" s="5">
        <v>330</v>
      </c>
      <c r="I80" s="5">
        <v>270</v>
      </c>
      <c r="J80" s="5">
        <v>134</v>
      </c>
      <c r="K80" s="5">
        <f>Tabela2[[#This Row],[Quantidade HE]]*VLOOKUP(Tabela2[[#This Row],[Funcionário]],Funcionários!B:G,6,0)</f>
        <v>40.909090909090907</v>
      </c>
      <c r="L80" s="5">
        <f>Tabela2[[#This Row],[Salário Bruto]]-SUM(Tabela2[[#This Row],[Desconto Transporte]:[Outros Descontos]])+Tabela2[[#This Row],[Valor Hora Extra]]</f>
        <v>2126.909090909091</v>
      </c>
    </row>
    <row r="81" spans="2:12" ht="16.899999999999999">
      <c r="B81" s="4" t="s">
        <v>24</v>
      </c>
      <c r="C81" s="8">
        <v>45566</v>
      </c>
      <c r="D81" s="9">
        <v>45597</v>
      </c>
      <c r="E81" s="4">
        <v>7</v>
      </c>
      <c r="F81" s="5">
        <f>VLOOKUP(Tabela2[[#This Row],[Funcionário]],Funcionários!B:G,4,0)</f>
        <v>2000</v>
      </c>
      <c r="G81" s="5">
        <v>120</v>
      </c>
      <c r="H81" s="5">
        <v>200</v>
      </c>
      <c r="I81" s="5">
        <v>140</v>
      </c>
      <c r="J81" s="5">
        <v>145</v>
      </c>
      <c r="K81" s="5">
        <f>Tabela2[[#This Row],[Quantidade HE]]*VLOOKUP(Tabela2[[#This Row],[Funcionário]],Funcionários!B:G,6,0)</f>
        <v>0</v>
      </c>
      <c r="L81" s="5">
        <f>Tabela2[[#This Row],[Salário Bruto]]-SUM(Tabela2[[#This Row],[Desconto Transporte]:[Outros Descontos]])+Tabela2[[#This Row],[Valor Hora Extra]]</f>
        <v>1395</v>
      </c>
    </row>
    <row r="82" spans="2:12" ht="16.899999999999999">
      <c r="B82" s="4" t="s">
        <v>27</v>
      </c>
      <c r="C82" s="8">
        <v>45566</v>
      </c>
      <c r="D82" s="9">
        <v>45597</v>
      </c>
      <c r="E82" s="4">
        <v>3</v>
      </c>
      <c r="F82" s="5">
        <f>VLOOKUP(Tabela2[[#This Row],[Funcionário]],Funcionários!B:G,4,0)</f>
        <v>1000</v>
      </c>
      <c r="G82" s="5">
        <v>70</v>
      </c>
      <c r="H82" s="5">
        <v>100</v>
      </c>
      <c r="I82" s="5">
        <v>60</v>
      </c>
      <c r="J82" s="5">
        <v>157</v>
      </c>
      <c r="K82" s="5">
        <f>Tabela2[[#This Row],[Quantidade HE]]*VLOOKUP(Tabela2[[#This Row],[Funcionário]],Funcionários!B:G,6,0)</f>
        <v>0</v>
      </c>
      <c r="L82" s="5">
        <f>Tabela2[[#This Row],[Salário Bruto]]-SUM(Tabela2[[#This Row],[Desconto Transporte]:[Outros Descontos]])+Tabela2[[#This Row],[Valor Hora Extra]]</f>
        <v>613</v>
      </c>
    </row>
    <row r="83" spans="2:12" ht="16.899999999999999">
      <c r="B83" s="4" t="s">
        <v>29</v>
      </c>
      <c r="C83" s="8">
        <v>45566</v>
      </c>
      <c r="D83" s="9">
        <v>45597</v>
      </c>
      <c r="E83" s="4">
        <v>4</v>
      </c>
      <c r="F83" s="5">
        <f>VLOOKUP(Tabela2[[#This Row],[Funcionário]],Funcionários!B:G,4,0)</f>
        <v>2000</v>
      </c>
      <c r="G83" s="5">
        <v>120</v>
      </c>
      <c r="H83" s="5">
        <v>240</v>
      </c>
      <c r="I83" s="5">
        <v>120</v>
      </c>
      <c r="J83" s="5">
        <v>103</v>
      </c>
      <c r="K83" s="5">
        <f>Tabela2[[#This Row],[Quantidade HE]]*VLOOKUP(Tabela2[[#This Row],[Funcionário]],Funcionários!B:G,6,0)</f>
        <v>54.545454545454547</v>
      </c>
      <c r="L83" s="5">
        <f>Tabela2[[#This Row],[Salário Bruto]]-SUM(Tabela2[[#This Row],[Desconto Transporte]:[Outros Descontos]])+Tabela2[[#This Row],[Valor Hora Extra]]</f>
        <v>1471.5454545454545</v>
      </c>
    </row>
    <row r="84" spans="2:12" ht="16.899999999999999">
      <c r="B84" s="4" t="s">
        <v>7</v>
      </c>
      <c r="C84" s="8">
        <v>45597</v>
      </c>
      <c r="D84" s="9">
        <v>45628</v>
      </c>
      <c r="E84" s="4">
        <v>2</v>
      </c>
      <c r="F84" s="5">
        <f>VLOOKUP(Tabela2[[#This Row],[Funcionário]],Funcionários!B:G,4,0)</f>
        <v>20000</v>
      </c>
      <c r="G84" s="5">
        <v>400</v>
      </c>
      <c r="H84" s="5">
        <v>2400</v>
      </c>
      <c r="I84" s="5">
        <v>1400</v>
      </c>
      <c r="J84" s="5">
        <v>162</v>
      </c>
      <c r="K84" s="5">
        <f>Tabela2[[#This Row],[Quantidade HE]]*VLOOKUP(Tabela2[[#This Row],[Funcionário]],Funcionários!B:G,6,0)</f>
        <v>0</v>
      </c>
      <c r="L84" s="5">
        <f>Tabela2[[#This Row],[Salário Bruto]]-SUM(Tabela2[[#This Row],[Desconto Transporte]:[Outros Descontos]])+Tabela2[[#This Row],[Valor Hora Extra]]</f>
        <v>15638</v>
      </c>
    </row>
    <row r="85" spans="2:12" ht="16.899999999999999">
      <c r="B85" s="4" t="s">
        <v>11</v>
      </c>
      <c r="C85" s="8">
        <v>45597</v>
      </c>
      <c r="D85" s="9">
        <v>45628</v>
      </c>
      <c r="E85" s="4">
        <v>1</v>
      </c>
      <c r="F85" s="5">
        <f>VLOOKUP(Tabela2[[#This Row],[Funcionário]],Funcionários!B:G,4,0)</f>
        <v>8000</v>
      </c>
      <c r="G85" s="5">
        <v>480</v>
      </c>
      <c r="H85" s="5">
        <v>960</v>
      </c>
      <c r="I85" s="5">
        <v>560</v>
      </c>
      <c r="J85" s="5">
        <v>134</v>
      </c>
      <c r="K85" s="5">
        <f>Tabela2[[#This Row],[Quantidade HE]]*VLOOKUP(Tabela2[[#This Row],[Funcionário]],Funcionários!B:G,6,0)</f>
        <v>54.545454545454547</v>
      </c>
      <c r="L85" s="5">
        <f>Tabela2[[#This Row],[Salário Bruto]]-SUM(Tabela2[[#This Row],[Desconto Transporte]:[Outros Descontos]])+Tabela2[[#This Row],[Valor Hora Extra]]</f>
        <v>5920.545454545455</v>
      </c>
    </row>
    <row r="86" spans="2:12" ht="16.899999999999999">
      <c r="B86" s="4" t="s">
        <v>15</v>
      </c>
      <c r="C86" s="8">
        <v>45597</v>
      </c>
      <c r="D86" s="9">
        <v>45628</v>
      </c>
      <c r="E86" s="4">
        <v>3</v>
      </c>
      <c r="F86" s="5">
        <f>VLOOKUP(Tabela2[[#This Row],[Funcionário]],Funcionários!B:G,4,0)</f>
        <v>6500</v>
      </c>
      <c r="G86" s="5">
        <v>390</v>
      </c>
      <c r="H86" s="5">
        <v>650</v>
      </c>
      <c r="I86" s="5">
        <v>455</v>
      </c>
      <c r="J86" s="5">
        <v>142</v>
      </c>
      <c r="K86" s="5">
        <f>Tabela2[[#This Row],[Quantidade HE]]*VLOOKUP(Tabela2[[#This Row],[Funcionário]],Funcionários!B:G,6,0)</f>
        <v>132.95454545454547</v>
      </c>
      <c r="L86" s="5">
        <f>Tabela2[[#This Row],[Salário Bruto]]-SUM(Tabela2[[#This Row],[Desconto Transporte]:[Outros Descontos]])+Tabela2[[#This Row],[Valor Hora Extra]]</f>
        <v>4995.954545454545</v>
      </c>
    </row>
    <row r="87" spans="2:12" ht="16.899999999999999">
      <c r="B87" s="4" t="s">
        <v>18</v>
      </c>
      <c r="C87" s="8">
        <v>45597</v>
      </c>
      <c r="D87" s="9">
        <v>45628</v>
      </c>
      <c r="E87" s="4">
        <v>5</v>
      </c>
      <c r="F87" s="5">
        <f>VLOOKUP(Tabela2[[#This Row],[Funcionário]],Funcionários!B:G,4,0)</f>
        <v>4000</v>
      </c>
      <c r="G87" s="5">
        <v>240</v>
      </c>
      <c r="H87" s="5">
        <v>480</v>
      </c>
      <c r="I87" s="5">
        <v>400</v>
      </c>
      <c r="J87" s="5">
        <v>171</v>
      </c>
      <c r="K87" s="5">
        <f>Tabela2[[#This Row],[Quantidade HE]]*VLOOKUP(Tabela2[[#This Row],[Funcionário]],Funcionários!B:G,6,0)</f>
        <v>136.36363636363637</v>
      </c>
      <c r="L87" s="5">
        <f>Tabela2[[#This Row],[Salário Bruto]]-SUM(Tabela2[[#This Row],[Desconto Transporte]:[Outros Descontos]])+Tabela2[[#This Row],[Valor Hora Extra]]</f>
        <v>2845.3636363636365</v>
      </c>
    </row>
    <row r="88" spans="2:12" ht="16.899999999999999">
      <c r="B88" s="4" t="s">
        <v>21</v>
      </c>
      <c r="C88" s="8">
        <v>45597</v>
      </c>
      <c r="D88" s="9">
        <v>45628</v>
      </c>
      <c r="E88" s="4">
        <v>3</v>
      </c>
      <c r="F88" s="5">
        <f>VLOOKUP(Tabela2[[#This Row],[Funcionário]],Funcionários!B:G,4,0)</f>
        <v>3000</v>
      </c>
      <c r="G88" s="5">
        <v>150</v>
      </c>
      <c r="H88" s="5">
        <v>330</v>
      </c>
      <c r="I88" s="5">
        <v>210</v>
      </c>
      <c r="J88" s="5">
        <v>178</v>
      </c>
      <c r="K88" s="5">
        <f>Tabela2[[#This Row],[Quantidade HE]]*VLOOKUP(Tabela2[[#This Row],[Funcionário]],Funcionários!B:G,6,0)</f>
        <v>61.36363636363636</v>
      </c>
      <c r="L88" s="5">
        <f>Tabela2[[#This Row],[Salário Bruto]]-SUM(Tabela2[[#This Row],[Desconto Transporte]:[Outros Descontos]])+Tabela2[[#This Row],[Valor Hora Extra]]</f>
        <v>2193.3636363636365</v>
      </c>
    </row>
    <row r="89" spans="2:12" ht="16.899999999999999">
      <c r="B89" s="4" t="s">
        <v>24</v>
      </c>
      <c r="C89" s="8">
        <v>45597</v>
      </c>
      <c r="D89" s="9">
        <v>45628</v>
      </c>
      <c r="E89" s="4">
        <v>1</v>
      </c>
      <c r="F89" s="5">
        <f>VLOOKUP(Tabela2[[#This Row],[Funcionário]],Funcionários!B:G,4,0)</f>
        <v>2000</v>
      </c>
      <c r="G89" s="5">
        <v>100</v>
      </c>
      <c r="H89" s="5">
        <v>240</v>
      </c>
      <c r="I89" s="5">
        <v>160</v>
      </c>
      <c r="J89" s="5">
        <v>151</v>
      </c>
      <c r="K89" s="5">
        <f>Tabela2[[#This Row],[Quantidade HE]]*VLOOKUP(Tabela2[[#This Row],[Funcionário]],Funcionários!B:G,6,0)</f>
        <v>0</v>
      </c>
      <c r="L89" s="5">
        <f>Tabela2[[#This Row],[Salário Bruto]]-SUM(Tabela2[[#This Row],[Desconto Transporte]:[Outros Descontos]])+Tabela2[[#This Row],[Valor Hora Extra]]</f>
        <v>1349</v>
      </c>
    </row>
    <row r="90" spans="2:12" ht="16.899999999999999">
      <c r="B90" s="4" t="s">
        <v>27</v>
      </c>
      <c r="C90" s="8">
        <v>45597</v>
      </c>
      <c r="D90" s="9">
        <v>45628</v>
      </c>
      <c r="E90" s="4">
        <v>4</v>
      </c>
      <c r="F90" s="5">
        <f>VLOOKUP(Tabela2[[#This Row],[Funcionário]],Funcionários!B:G,4,0)</f>
        <v>1000</v>
      </c>
      <c r="G90" s="5">
        <v>50</v>
      </c>
      <c r="H90" s="5">
        <v>100</v>
      </c>
      <c r="I90" s="5">
        <v>100</v>
      </c>
      <c r="J90" s="5">
        <v>196</v>
      </c>
      <c r="K90" s="5">
        <f>Tabela2[[#This Row],[Quantidade HE]]*VLOOKUP(Tabela2[[#This Row],[Funcionário]],Funcionários!B:G,6,0)</f>
        <v>0</v>
      </c>
      <c r="L90" s="5">
        <f>Tabela2[[#This Row],[Salário Bruto]]-SUM(Tabela2[[#This Row],[Desconto Transporte]:[Outros Descontos]])+Tabela2[[#This Row],[Valor Hora Extra]]</f>
        <v>554</v>
      </c>
    </row>
    <row r="91" spans="2:12" ht="16.899999999999999">
      <c r="B91" s="4" t="s">
        <v>29</v>
      </c>
      <c r="C91" s="8">
        <v>45597</v>
      </c>
      <c r="D91" s="9">
        <v>45628</v>
      </c>
      <c r="E91" s="4">
        <v>7</v>
      </c>
      <c r="F91" s="5">
        <f>VLOOKUP(Tabela2[[#This Row],[Funcionário]],Funcionários!B:G,4,0)</f>
        <v>2000</v>
      </c>
      <c r="G91" s="5">
        <v>140</v>
      </c>
      <c r="H91" s="5">
        <v>0</v>
      </c>
      <c r="I91" s="5">
        <v>0</v>
      </c>
      <c r="J91" s="5">
        <v>143</v>
      </c>
      <c r="K91" s="5">
        <f>Tabela2[[#This Row],[Quantidade HE]]*VLOOKUP(Tabela2[[#This Row],[Funcionário]],Funcionários!B:G,6,0)</f>
        <v>95.454545454545453</v>
      </c>
      <c r="L91" s="5">
        <f>Tabela2[[#This Row],[Salário Bruto]]-SUM(Tabela2[[#This Row],[Desconto Transporte]:[Outros Descontos]])+Tabela2[[#This Row],[Valor Hora Extra]]</f>
        <v>1812.4545454545455</v>
      </c>
    </row>
    <row r="92" spans="2:12" ht="16.899999999999999">
      <c r="B92" s="4" t="s">
        <v>7</v>
      </c>
      <c r="C92" s="8">
        <v>45627</v>
      </c>
      <c r="D92" s="9">
        <v>45658</v>
      </c>
      <c r="E92" s="4">
        <v>3</v>
      </c>
      <c r="F92" s="5">
        <f>VLOOKUP(Tabela2[[#This Row],[Funcionário]],Funcionários!B:G,4,0)</f>
        <v>20000</v>
      </c>
      <c r="G92" s="5">
        <v>1000</v>
      </c>
      <c r="H92" s="5">
        <v>2400</v>
      </c>
      <c r="I92" s="5">
        <v>1800</v>
      </c>
      <c r="J92" s="5">
        <v>150</v>
      </c>
      <c r="K92" s="5">
        <f>Tabela2[[#This Row],[Quantidade HE]]*VLOOKUP(Tabela2[[#This Row],[Funcionário]],Funcionários!B:G,6,0)</f>
        <v>0</v>
      </c>
      <c r="L92" s="5">
        <f>Tabela2[[#This Row],[Salário Bruto]]-SUM(Tabela2[[#This Row],[Desconto Transporte]:[Outros Descontos]])+Tabela2[[#This Row],[Valor Hora Extra]]</f>
        <v>14650</v>
      </c>
    </row>
    <row r="93" spans="2:12" ht="16.899999999999999">
      <c r="B93" s="4" t="s">
        <v>11</v>
      </c>
      <c r="C93" s="8">
        <v>45627</v>
      </c>
      <c r="D93" s="9">
        <v>45658</v>
      </c>
      <c r="E93" s="4">
        <v>2</v>
      </c>
      <c r="F93" s="5">
        <f>VLOOKUP(Tabela2[[#This Row],[Funcionário]],Funcionários!B:G,4,0)</f>
        <v>8000</v>
      </c>
      <c r="G93" s="5">
        <v>560</v>
      </c>
      <c r="H93" s="5">
        <v>960</v>
      </c>
      <c r="I93" s="5">
        <v>640</v>
      </c>
      <c r="J93" s="5">
        <v>179</v>
      </c>
      <c r="K93" s="5">
        <f>Tabela2[[#This Row],[Quantidade HE]]*VLOOKUP(Tabela2[[#This Row],[Funcionário]],Funcionários!B:G,6,0)</f>
        <v>109.09090909090909</v>
      </c>
      <c r="L93" s="5">
        <f>Tabela2[[#This Row],[Salário Bruto]]-SUM(Tabela2[[#This Row],[Desconto Transporte]:[Outros Descontos]])+Tabela2[[#This Row],[Valor Hora Extra]]</f>
        <v>5770.090909090909</v>
      </c>
    </row>
    <row r="94" spans="2:12" ht="16.899999999999999">
      <c r="B94" s="4" t="s">
        <v>15</v>
      </c>
      <c r="C94" s="8">
        <v>45627</v>
      </c>
      <c r="D94" s="9">
        <v>45658</v>
      </c>
      <c r="E94" s="4">
        <v>7</v>
      </c>
      <c r="F94" s="5">
        <f>VLOOKUP(Tabela2[[#This Row],[Funcionário]],Funcionários!B:G,4,0)</f>
        <v>6500</v>
      </c>
      <c r="G94" s="5">
        <v>390</v>
      </c>
      <c r="H94" s="5">
        <v>715</v>
      </c>
      <c r="I94" s="5">
        <v>650</v>
      </c>
      <c r="J94" s="5">
        <v>183</v>
      </c>
      <c r="K94" s="5">
        <f>Tabela2[[#This Row],[Quantidade HE]]*VLOOKUP(Tabela2[[#This Row],[Funcionário]],Funcionários!B:G,6,0)</f>
        <v>310.22727272727275</v>
      </c>
      <c r="L94" s="5">
        <f>Tabela2[[#This Row],[Salário Bruto]]-SUM(Tabela2[[#This Row],[Desconto Transporte]:[Outros Descontos]])+Tabela2[[#This Row],[Valor Hora Extra]]</f>
        <v>4872.227272727273</v>
      </c>
    </row>
    <row r="95" spans="2:12" ht="16.899999999999999">
      <c r="B95" s="4" t="s">
        <v>18</v>
      </c>
      <c r="C95" s="8">
        <v>45627</v>
      </c>
      <c r="D95" s="9">
        <v>45658</v>
      </c>
      <c r="E95" s="4">
        <v>7</v>
      </c>
      <c r="F95" s="5">
        <f>VLOOKUP(Tabela2[[#This Row],[Funcionário]],Funcionários!B:G,4,0)</f>
        <v>4000</v>
      </c>
      <c r="G95" s="5">
        <v>240</v>
      </c>
      <c r="H95" s="5">
        <v>480</v>
      </c>
      <c r="I95" s="5">
        <v>280</v>
      </c>
      <c r="J95" s="5">
        <v>133</v>
      </c>
      <c r="K95" s="5">
        <f>Tabela2[[#This Row],[Quantidade HE]]*VLOOKUP(Tabela2[[#This Row],[Funcionário]],Funcionários!B:G,6,0)</f>
        <v>190.90909090909091</v>
      </c>
      <c r="L95" s="5">
        <f>Tabela2[[#This Row],[Salário Bruto]]-SUM(Tabela2[[#This Row],[Desconto Transporte]:[Outros Descontos]])+Tabela2[[#This Row],[Valor Hora Extra]]</f>
        <v>3057.909090909091</v>
      </c>
    </row>
    <row r="96" spans="2:12" ht="16.899999999999999">
      <c r="B96" s="4" t="s">
        <v>21</v>
      </c>
      <c r="C96" s="8">
        <v>45627</v>
      </c>
      <c r="D96" s="9">
        <v>45658</v>
      </c>
      <c r="E96" s="4">
        <v>3</v>
      </c>
      <c r="F96" s="5">
        <f>VLOOKUP(Tabela2[[#This Row],[Funcionário]],Funcionários!B:G,4,0)</f>
        <v>3000</v>
      </c>
      <c r="G96" s="5">
        <v>180</v>
      </c>
      <c r="H96" s="5">
        <v>300</v>
      </c>
      <c r="I96" s="5">
        <v>210</v>
      </c>
      <c r="J96" s="5">
        <v>126</v>
      </c>
      <c r="K96" s="5">
        <f>Tabela2[[#This Row],[Quantidade HE]]*VLOOKUP(Tabela2[[#This Row],[Funcionário]],Funcionários!B:G,6,0)</f>
        <v>61.36363636363636</v>
      </c>
      <c r="L96" s="5">
        <f>Tabela2[[#This Row],[Salário Bruto]]-SUM(Tabela2[[#This Row],[Desconto Transporte]:[Outros Descontos]])+Tabela2[[#This Row],[Valor Hora Extra]]</f>
        <v>2245.3636363636365</v>
      </c>
    </row>
    <row r="97" spans="2:12" ht="16.899999999999999">
      <c r="B97" s="4" t="s">
        <v>24</v>
      </c>
      <c r="C97" s="8">
        <v>45627</v>
      </c>
      <c r="D97" s="9">
        <v>45658</v>
      </c>
      <c r="E97" s="4">
        <v>5</v>
      </c>
      <c r="F97" s="5">
        <f>VLOOKUP(Tabela2[[#This Row],[Funcionário]],Funcionários!B:G,4,0)</f>
        <v>2000</v>
      </c>
      <c r="G97" s="5">
        <v>120</v>
      </c>
      <c r="H97" s="5">
        <v>220</v>
      </c>
      <c r="I97" s="5">
        <v>200</v>
      </c>
      <c r="J97" s="5">
        <v>164</v>
      </c>
      <c r="K97" s="5">
        <f>Tabela2[[#This Row],[Quantidade HE]]*VLOOKUP(Tabela2[[#This Row],[Funcionário]],Funcionários!B:G,6,0)</f>
        <v>0</v>
      </c>
      <c r="L97" s="5">
        <f>Tabela2[[#This Row],[Salário Bruto]]-SUM(Tabela2[[#This Row],[Desconto Transporte]:[Outros Descontos]])+Tabela2[[#This Row],[Valor Hora Extra]]</f>
        <v>1296</v>
      </c>
    </row>
    <row r="98" spans="2:12" ht="16.899999999999999">
      <c r="B98" s="4" t="s">
        <v>27</v>
      </c>
      <c r="C98" s="8">
        <v>45627</v>
      </c>
      <c r="D98" s="9">
        <v>45658</v>
      </c>
      <c r="E98" s="4">
        <v>2</v>
      </c>
      <c r="F98" s="5">
        <f>VLOOKUP(Tabela2[[#This Row],[Funcionário]],Funcionários!B:G,4,0)</f>
        <v>1000</v>
      </c>
      <c r="G98" s="5">
        <v>70</v>
      </c>
      <c r="H98" s="5">
        <v>120</v>
      </c>
      <c r="I98" s="5">
        <v>90</v>
      </c>
      <c r="J98" s="5">
        <v>108</v>
      </c>
      <c r="K98" s="5">
        <f>Tabela2[[#This Row],[Quantidade HE]]*VLOOKUP(Tabela2[[#This Row],[Funcionário]],Funcionários!B:G,6,0)</f>
        <v>0</v>
      </c>
      <c r="L98" s="5">
        <f>Tabela2[[#This Row],[Salário Bruto]]-SUM(Tabela2[[#This Row],[Desconto Transporte]:[Outros Descontos]])+Tabela2[[#This Row],[Valor Hora Extra]]</f>
        <v>612</v>
      </c>
    </row>
    <row r="99" spans="2:12" ht="16.899999999999999">
      <c r="B99" s="4" t="s">
        <v>29</v>
      </c>
      <c r="C99" s="8">
        <v>45627</v>
      </c>
      <c r="D99" s="9">
        <v>45658</v>
      </c>
      <c r="E99" s="4">
        <v>3</v>
      </c>
      <c r="F99" s="5">
        <f>VLOOKUP(Tabela2[[#This Row],[Funcionário]],Funcionários!B:G,4,0)</f>
        <v>2000</v>
      </c>
      <c r="G99" s="5">
        <v>100</v>
      </c>
      <c r="H99" s="5">
        <v>220</v>
      </c>
      <c r="I99" s="5">
        <v>200</v>
      </c>
      <c r="J99" s="5">
        <v>101</v>
      </c>
      <c r="K99" s="5">
        <f>Tabela2[[#This Row],[Quantidade HE]]*VLOOKUP(Tabela2[[#This Row],[Funcionário]],Funcionários!B:G,6,0)</f>
        <v>40.909090909090907</v>
      </c>
      <c r="L99" s="5">
        <f>Tabela2[[#This Row],[Salário Bruto]]-SUM(Tabela2[[#This Row],[Desconto Transporte]:[Outros Descontos]])+Tabela2[[#This Row],[Valor Hora Extra]]</f>
        <v>1419.909090909091</v>
      </c>
    </row>
    <row r="100" spans="2:1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2:1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2:1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2:1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2:1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2:1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2:1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2:1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2:1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2: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2:1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2:1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2:1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2:1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2:1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2:1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2:1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2:1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2:1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2:1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2:1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2:1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2:1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2:1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2:1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2:1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2:1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2:1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2:1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2:1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2:1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2:1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2:1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2:1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2:1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2:1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2:1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2:1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2:1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2:1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2:1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2:1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2:1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2:1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2:1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2:1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2:1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2:1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2:1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2:1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2:1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2:1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2:1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2:1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2:1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2:1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2:1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2:1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2:1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2:1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2:1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2:1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2:1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2:1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2:1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2:1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2:1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2:1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2:1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2:1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2:1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2:1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2:1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2:1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2:1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2:1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2:1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2:1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2:1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2:1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2:1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2:1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2:1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2:1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2:1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2:1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2:1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2:1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2:1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2:1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2:1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2:1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2:1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2:1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1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1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1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1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2:1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2:1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2:1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2:1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2:1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2:1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2:1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2:1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2:1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2:1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2:1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2:1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2:1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2:1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2:1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2:1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2:1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2:1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2:1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2:1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2:1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2:1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2:1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2:1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2:1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2:1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2:1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2:1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2:1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2:1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2:1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2:1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2:1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2:1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2:1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2:1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2:1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2:1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2:1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2:1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2:1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2:1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2:1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2:1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2:1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2:1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2:1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2:1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2:1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2:1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2:1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2:1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2:1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2:1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2:1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2:1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2:1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2:1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2:1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2:1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2:1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2:1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2:1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2:1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2:1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2:1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2:1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2:1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2:1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2:1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2:1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2:1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2:1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2:1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2:1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2:1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2:1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2:1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2:1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2:1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2:1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2:1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2:1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2: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2:1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2:1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2:1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2:1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2:1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2:1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2:1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2:1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2:1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2:1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2:1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2:1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2:1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2:1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2:1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2:1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2:1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2:1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2:1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2:1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2:1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2:1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2:1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2:1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2:1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2:1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2:1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2:1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2:1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2:1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2:1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2:1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2:1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2:1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2:1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2:1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2:1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2:1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2:1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2:1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2:1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2:1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2:1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2:1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2:1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2:1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2:1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2:1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2:1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2:1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2:1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2:1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2:1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2:1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2:1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2:1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2:1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2:1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2:1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2:1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2:1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2:1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2:1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2:1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2:1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2:1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2:1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2:1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2:1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2:1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2:1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2:1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2:1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2:1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2:1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2:1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2:1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2:1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2:1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2:1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2:1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2:1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2:1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2:1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2:1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2:1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2:1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2:1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2:1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2:1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2:1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2:1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2:1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2:1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2:1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2:1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2:1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2:1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2:1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2: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2:1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2:1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2:1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2:1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2:1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2:1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2:1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2:1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2:1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2:1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2:1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2:1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2:1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2:1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2:1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2:1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2:1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2:1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2:1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2:1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2:1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2:1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2:1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2:1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2:1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2:1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2:1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2:1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2:1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2:1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2:1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2:1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2:1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2:1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2:1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2:1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2:1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2:1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2:1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2:1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2:1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2:1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2:1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2:1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2:1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2:1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2:1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2:1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2:1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2:1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2:1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2:1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2:1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2:1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2:1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2:1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2:1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2:1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2:1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2:1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2:1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2:1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2:1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2:1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2:1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2:1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2:1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2:1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2:1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2:1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2:1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2:1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2:1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2:1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2:1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2:1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2:1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2:1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2:1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2:1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2:1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2:1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2:1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2:1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2:1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2:1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2:1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2:1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2:1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2:1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2:1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2:1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2:1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2:1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2:1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2:1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2:1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2:1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2:1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2: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2:1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2:1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2:1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2:1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2:1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2:1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2:1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2:1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2:1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2:1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2:1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2:1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2:1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2:1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2:1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2:1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2:1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2:1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2:1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2:1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2:1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2:1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2:1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2:1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2:1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2:1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2:1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2:1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2:1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2:1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2:1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2:1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2:1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2:1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2:1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2:1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2:1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2:1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2:1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2:1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2:1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2:1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2:1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2:1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2:1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2:1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2:1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2:1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2:1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2:1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2:1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2:1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2:1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2:1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2:1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2:1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2:1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2:1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2:1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2:1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2:1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2:1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2:1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2:1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2:1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2:1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2:1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2:1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2:1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2:1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2:1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2:1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2:1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2:1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2:1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2:1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2:1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2:1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2:1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2:1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2:1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2:1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2:1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2:1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2:1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2:1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2:1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2:1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2:1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2:1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2:1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2:1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2:1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2:1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2:1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2:1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2:1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2:1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2:1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2: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2:1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2:1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2:1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2:1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2:1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2:1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2:1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2:1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2:1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2:1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2:1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2:1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2:1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2:1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2:1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2:1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2:1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2:1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2:1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2:1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2:1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2:1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2:1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2:1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2:1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2:1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2:1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2:1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2:1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2:1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2:1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2:1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2:1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2:1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2:1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2:1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2:1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2:1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2:1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2:1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2:1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2:1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2:1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2:1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2:1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2:1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2:1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2:1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2:1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2:1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2:1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2:1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2:1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2:1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2:1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2:1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2:1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2:1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2:1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2:1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2:1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2:1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2:1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2:1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2:1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2:1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2:1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2:1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2:1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2:1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2:1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2:1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2:1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2:1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2:1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2:1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2:1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2:1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2:1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2:1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2:1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2:1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2:1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2:1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2:1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2:1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2:1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2:1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2:1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2:1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2:1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2:1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2:1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2:1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2:1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2:1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2:1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2:1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2:1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2: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2:1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2:1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2:1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2:1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2:1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2:1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2:1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2:1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2:1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2:1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2:1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2:1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2:1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2:1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2:1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2:1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2:1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2:1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2:1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2:1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2:1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2:1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2:1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2:1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2:1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2:1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2:1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2:1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2:1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2:1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2:1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2:1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2:1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2:1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2:1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2:1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2:1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2:1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2:1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2:1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2:1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2:1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2:1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2:1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2:1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2:1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2:1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2:1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2:1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2:1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2:1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2:1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2:1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2:1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2:1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2:1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2:1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2:1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2:1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2:1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2:1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2:1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2:1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2:1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2:1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2:1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2:1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2:1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2:1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2:1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2:1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2:1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2:1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2:1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2:1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2:1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2:1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2:1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2:1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2:1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2:1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2:1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2:1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2:1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2:1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2:1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2:1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2:1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2:1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2:1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2:1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2:1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2:1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2:1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2:1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2:1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2:1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2:1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2:1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2: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2:1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2:1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2:1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2:1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2:1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2:1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2:1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2:1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2:1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2:1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2:1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2:1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2:1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2:1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2:1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2:1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2:1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2:1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2:1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2:1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2:1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2:1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2:1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2:1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2:1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2:1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2:1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2:1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2:1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2:1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2:1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2:1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2:1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2:1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2:1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2:1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2:1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2:1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2:1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2:1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2:1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2:1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2:1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2:1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2:1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2:1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2:1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2:1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2:1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2:1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2:1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2:1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2:1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2:1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2:1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2:1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2:1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2:1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2:1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2:1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2:1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2:1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2:1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2:1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2:1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2:1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2:1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2:1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</sheetData>
  <mergeCells count="1">
    <mergeCell ref="B1:L1"/>
  </mergeCell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982131-2CDE-43C2-87D0-12EE5B42295E}">
          <x14:formula1>
            <xm:f>Funcionários!$B$4:$B$1001</xm:f>
          </x14:formula1>
          <xm:sqref>B4:B99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FF73-7DAF-42DB-A166-C5EEEEB7BBEA}">
  <dimension ref="A3:K38"/>
  <sheetViews>
    <sheetView workbookViewId="0">
      <selection activeCell="J29" sqref="J29:K30"/>
    </sheetView>
  </sheetViews>
  <sheetFormatPr defaultRowHeight="14.45"/>
  <cols>
    <col min="1" max="1" width="16.7109375" bestFit="1" customWidth="1"/>
    <col min="2" max="2" width="21.28515625" bestFit="1" customWidth="1"/>
    <col min="4" max="4" width="17.85546875" bestFit="1" customWidth="1"/>
    <col min="5" max="5" width="21.28515625" bestFit="1" customWidth="1"/>
    <col min="7" max="7" width="17.85546875" bestFit="1" customWidth="1"/>
    <col min="8" max="8" width="21.28515625" bestFit="1" customWidth="1"/>
    <col min="10" max="10" width="16.7109375" bestFit="1" customWidth="1"/>
    <col min="11" max="12" width="22" bestFit="1" customWidth="1"/>
  </cols>
  <sheetData>
    <row r="3" spans="1:8">
      <c r="A3" s="11" t="s">
        <v>39</v>
      </c>
      <c r="B3" t="s">
        <v>40</v>
      </c>
      <c r="D3" s="11" t="s">
        <v>39</v>
      </c>
      <c r="E3" t="s">
        <v>40</v>
      </c>
      <c r="G3" s="11" t="s">
        <v>39</v>
      </c>
      <c r="H3" t="s">
        <v>41</v>
      </c>
    </row>
    <row r="4" spans="1:8">
      <c r="A4" s="12" t="s">
        <v>42</v>
      </c>
      <c r="B4" s="1">
        <v>34635.954545454544</v>
      </c>
      <c r="D4" s="12" t="s">
        <v>27</v>
      </c>
      <c r="E4" s="1">
        <v>7171</v>
      </c>
      <c r="G4" s="12" t="s">
        <v>21</v>
      </c>
      <c r="H4" s="13">
        <v>37</v>
      </c>
    </row>
    <row r="5" spans="1:8">
      <c r="A5" s="12" t="s">
        <v>43</v>
      </c>
      <c r="B5" s="1">
        <v>35466.727272727279</v>
      </c>
      <c r="D5" s="12" t="s">
        <v>21</v>
      </c>
      <c r="E5" s="1">
        <v>26387.81818181818</v>
      </c>
      <c r="G5" s="12" t="s">
        <v>11</v>
      </c>
      <c r="H5" s="13">
        <v>37</v>
      </c>
    </row>
    <row r="6" spans="1:8">
      <c r="A6" s="12" t="s">
        <v>44</v>
      </c>
      <c r="B6" s="1">
        <v>33800.772727272728</v>
      </c>
      <c r="D6" s="12" t="s">
        <v>29</v>
      </c>
      <c r="E6" s="1">
        <v>18370.36363636364</v>
      </c>
      <c r="G6" s="12" t="s">
        <v>7</v>
      </c>
      <c r="H6" s="13">
        <v>37</v>
      </c>
    </row>
    <row r="7" spans="1:8">
      <c r="A7" s="12" t="s">
        <v>45</v>
      </c>
      <c r="B7" s="1">
        <v>34780.954545454551</v>
      </c>
      <c r="D7" s="12" t="s">
        <v>18</v>
      </c>
      <c r="E7" s="1">
        <v>35028.272727272728</v>
      </c>
      <c r="G7" s="12" t="s">
        <v>29</v>
      </c>
      <c r="H7" s="13">
        <v>43</v>
      </c>
    </row>
    <row r="8" spans="1:8">
      <c r="A8" s="12" t="s">
        <v>46</v>
      </c>
      <c r="B8" s="1">
        <v>35725.818181818184</v>
      </c>
      <c r="D8" s="12" t="s">
        <v>15</v>
      </c>
      <c r="E8" s="1">
        <v>59238.499999999993</v>
      </c>
      <c r="G8" s="12" t="s">
        <v>18</v>
      </c>
      <c r="H8" s="13">
        <v>45</v>
      </c>
    </row>
    <row r="9" spans="1:8">
      <c r="A9" s="12" t="s">
        <v>47</v>
      </c>
      <c r="B9" s="1">
        <v>33388.590909090912</v>
      </c>
      <c r="D9" s="12" t="s">
        <v>11</v>
      </c>
      <c r="E9" s="1">
        <v>70847.181818181809</v>
      </c>
      <c r="G9" s="12" t="s">
        <v>27</v>
      </c>
      <c r="H9" s="13">
        <v>46</v>
      </c>
    </row>
    <row r="10" spans="1:8">
      <c r="A10" s="12" t="s">
        <v>48</v>
      </c>
      <c r="B10" s="1">
        <v>34837.909090909096</v>
      </c>
      <c r="D10" s="12" t="s">
        <v>24</v>
      </c>
      <c r="E10" s="1">
        <v>16240</v>
      </c>
      <c r="G10" s="12" t="s">
        <v>24</v>
      </c>
      <c r="H10" s="13">
        <v>47</v>
      </c>
    </row>
    <row r="11" spans="1:8">
      <c r="A11" s="12" t="s">
        <v>49</v>
      </c>
      <c r="B11" s="1">
        <v>35736.227272727272</v>
      </c>
      <c r="D11" s="12" t="s">
        <v>7</v>
      </c>
      <c r="E11" s="1">
        <v>182514</v>
      </c>
      <c r="G11" s="12" t="s">
        <v>15</v>
      </c>
      <c r="H11" s="13">
        <v>55</v>
      </c>
    </row>
    <row r="12" spans="1:8">
      <c r="A12" s="12" t="s">
        <v>50</v>
      </c>
      <c r="B12" s="1">
        <v>33570.045454545449</v>
      </c>
      <c r="D12" s="12" t="s">
        <v>51</v>
      </c>
      <c r="E12" s="1">
        <v>415797.13636363635</v>
      </c>
      <c r="G12" s="12" t="s">
        <v>51</v>
      </c>
      <c r="H12" s="13">
        <v>347</v>
      </c>
    </row>
    <row r="13" spans="1:8">
      <c r="A13" s="12" t="s">
        <v>52</v>
      </c>
      <c r="B13" s="1">
        <v>34621.954545454544</v>
      </c>
    </row>
    <row r="14" spans="1:8">
      <c r="A14" s="12" t="s">
        <v>53</v>
      </c>
      <c r="B14" s="1">
        <v>35308.681818181816</v>
      </c>
    </row>
    <row r="15" spans="1:8">
      <c r="A15" s="12" t="s">
        <v>54</v>
      </c>
      <c r="B15" s="1">
        <v>33923.5</v>
      </c>
    </row>
    <row r="16" spans="1:8">
      <c r="A16" s="12" t="s">
        <v>51</v>
      </c>
      <c r="B16" s="1">
        <v>415797.13636363641</v>
      </c>
    </row>
    <row r="25" spans="1:11">
      <c r="A25" s="11" t="s">
        <v>39</v>
      </c>
      <c r="B25" t="s">
        <v>55</v>
      </c>
      <c r="D25" s="11" t="s">
        <v>39</v>
      </c>
      <c r="E25" t="s">
        <v>56</v>
      </c>
      <c r="G25" s="11" t="s">
        <v>39</v>
      </c>
      <c r="H25" t="s">
        <v>57</v>
      </c>
      <c r="J25" s="11" t="s">
        <v>39</v>
      </c>
      <c r="K25" t="s">
        <v>58</v>
      </c>
    </row>
    <row r="26" spans="1:11">
      <c r="A26" s="12" t="s">
        <v>42</v>
      </c>
      <c r="B26" s="14">
        <v>4120</v>
      </c>
      <c r="D26" s="12" t="s">
        <v>42</v>
      </c>
      <c r="E26" s="14">
        <v>5200</v>
      </c>
      <c r="G26" s="12" t="s">
        <v>42</v>
      </c>
      <c r="H26" s="14">
        <v>1875</v>
      </c>
      <c r="J26" s="12" t="s">
        <v>42</v>
      </c>
      <c r="K26" s="14">
        <v>12222</v>
      </c>
    </row>
    <row r="27" spans="1:11">
      <c r="A27" s="12" t="s">
        <v>43</v>
      </c>
      <c r="B27" s="14">
        <v>3285</v>
      </c>
      <c r="D27" s="12" t="s">
        <v>43</v>
      </c>
      <c r="E27" s="14">
        <v>5160</v>
      </c>
      <c r="G27" s="12" t="s">
        <v>43</v>
      </c>
      <c r="H27" s="14">
        <v>1950</v>
      </c>
      <c r="J27" s="12" t="s">
        <v>43</v>
      </c>
      <c r="K27" s="14">
        <v>11606</v>
      </c>
    </row>
    <row r="28" spans="1:11">
      <c r="A28" s="12" t="s">
        <v>44</v>
      </c>
      <c r="B28" s="14">
        <v>4070</v>
      </c>
      <c r="D28" s="12" t="s">
        <v>44</v>
      </c>
      <c r="E28" s="14">
        <v>5415</v>
      </c>
      <c r="G28" s="12" t="s">
        <v>44</v>
      </c>
      <c r="H28" s="14">
        <v>2660</v>
      </c>
      <c r="J28" s="12" t="s">
        <v>44</v>
      </c>
      <c r="K28" s="14">
        <v>13364</v>
      </c>
    </row>
    <row r="29" spans="1:11">
      <c r="A29" s="12" t="s">
        <v>45</v>
      </c>
      <c r="B29" s="14">
        <v>4120</v>
      </c>
      <c r="D29" s="12" t="s">
        <v>45</v>
      </c>
      <c r="E29" s="14">
        <v>5200</v>
      </c>
      <c r="G29" s="12" t="s">
        <v>45</v>
      </c>
      <c r="H29" s="14">
        <v>1875</v>
      </c>
      <c r="J29" s="12" t="s">
        <v>45</v>
      </c>
      <c r="K29" s="14">
        <v>12452</v>
      </c>
    </row>
    <row r="30" spans="1:11">
      <c r="A30" s="12" t="s">
        <v>46</v>
      </c>
      <c r="B30" s="14">
        <v>3285</v>
      </c>
      <c r="D30" s="12" t="s">
        <v>46</v>
      </c>
      <c r="E30" s="14">
        <v>5160</v>
      </c>
      <c r="G30" s="12" t="s">
        <v>46</v>
      </c>
      <c r="H30" s="14">
        <v>1950</v>
      </c>
      <c r="J30" s="12" t="s">
        <v>46</v>
      </c>
      <c r="K30" s="14">
        <v>11531</v>
      </c>
    </row>
    <row r="31" spans="1:11">
      <c r="A31" s="12" t="s">
        <v>47</v>
      </c>
      <c r="B31" s="14">
        <v>4070</v>
      </c>
      <c r="D31" s="12" t="s">
        <v>47</v>
      </c>
      <c r="E31" s="14">
        <v>5415</v>
      </c>
      <c r="G31" s="12" t="s">
        <v>47</v>
      </c>
      <c r="H31" s="14">
        <v>2660</v>
      </c>
      <c r="J31" s="12" t="s">
        <v>47</v>
      </c>
      <c r="K31" s="14">
        <v>13408</v>
      </c>
    </row>
    <row r="32" spans="1:11">
      <c r="A32" s="12" t="s">
        <v>48</v>
      </c>
      <c r="B32" s="14">
        <v>4120</v>
      </c>
      <c r="D32" s="12" t="s">
        <v>48</v>
      </c>
      <c r="E32" s="14">
        <v>5200</v>
      </c>
      <c r="G32" s="12" t="s">
        <v>48</v>
      </c>
      <c r="H32" s="14">
        <v>1875</v>
      </c>
      <c r="J32" s="12" t="s">
        <v>48</v>
      </c>
      <c r="K32" s="14">
        <v>12303</v>
      </c>
    </row>
    <row r="33" spans="1:11">
      <c r="A33" s="12" t="s">
        <v>49</v>
      </c>
      <c r="B33" s="14">
        <v>3285</v>
      </c>
      <c r="D33" s="12" t="s">
        <v>49</v>
      </c>
      <c r="E33" s="14">
        <v>5160</v>
      </c>
      <c r="G33" s="12" t="s">
        <v>49</v>
      </c>
      <c r="H33" s="14">
        <v>1950</v>
      </c>
      <c r="J33" s="12" t="s">
        <v>49</v>
      </c>
      <c r="K33" s="14">
        <v>11524</v>
      </c>
    </row>
    <row r="34" spans="1:11">
      <c r="A34" s="12" t="s">
        <v>50</v>
      </c>
      <c r="B34" s="14">
        <v>4070</v>
      </c>
      <c r="D34" s="12" t="s">
        <v>50</v>
      </c>
      <c r="E34" s="14">
        <v>5415</v>
      </c>
      <c r="G34" s="12" t="s">
        <v>50</v>
      </c>
      <c r="H34" s="14">
        <v>2660</v>
      </c>
      <c r="J34" s="12" t="s">
        <v>50</v>
      </c>
      <c r="K34" s="14">
        <v>13397</v>
      </c>
    </row>
    <row r="35" spans="1:11">
      <c r="A35" s="12" t="s">
        <v>52</v>
      </c>
      <c r="B35" s="14">
        <v>4120</v>
      </c>
      <c r="D35" s="12" t="s">
        <v>52</v>
      </c>
      <c r="E35" s="14">
        <v>5200</v>
      </c>
      <c r="G35" s="12" t="s">
        <v>52</v>
      </c>
      <c r="H35" s="14">
        <v>1875</v>
      </c>
      <c r="J35" s="12" t="s">
        <v>52</v>
      </c>
      <c r="K35" s="14">
        <v>12461</v>
      </c>
    </row>
    <row r="36" spans="1:11">
      <c r="A36" s="12" t="s">
        <v>53</v>
      </c>
      <c r="B36" s="14">
        <v>3285</v>
      </c>
      <c r="D36" s="12" t="s">
        <v>53</v>
      </c>
      <c r="E36" s="14">
        <v>5160</v>
      </c>
      <c r="G36" s="12" t="s">
        <v>53</v>
      </c>
      <c r="H36" s="14">
        <v>1950</v>
      </c>
      <c r="J36" s="12" t="s">
        <v>53</v>
      </c>
      <c r="K36" s="14">
        <v>11672</v>
      </c>
    </row>
    <row r="37" spans="1:11">
      <c r="A37" s="12" t="s">
        <v>54</v>
      </c>
      <c r="B37" s="14">
        <v>4070</v>
      </c>
      <c r="D37" s="12" t="s">
        <v>54</v>
      </c>
      <c r="E37" s="14">
        <v>5415</v>
      </c>
      <c r="G37" s="12" t="s">
        <v>54</v>
      </c>
      <c r="H37" s="14">
        <v>2660</v>
      </c>
      <c r="J37" s="12" t="s">
        <v>54</v>
      </c>
      <c r="K37" s="14">
        <v>13289</v>
      </c>
    </row>
    <row r="38" spans="1:11">
      <c r="A38" s="12" t="s">
        <v>51</v>
      </c>
      <c r="B38" s="14">
        <v>45900</v>
      </c>
      <c r="D38" s="12" t="s">
        <v>51</v>
      </c>
      <c r="E38" s="14">
        <v>63100</v>
      </c>
      <c r="G38" s="12" t="s">
        <v>51</v>
      </c>
      <c r="H38" s="14">
        <v>25940</v>
      </c>
      <c r="J38" s="12" t="s">
        <v>51</v>
      </c>
      <c r="K38" s="14">
        <v>149229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0C8B-5AFB-4477-B80A-680334223F54}">
  <dimension ref="A1"/>
  <sheetViews>
    <sheetView showGridLines="0" showRowColHeaders="0" tabSelected="1" zoomScale="80" zoomScaleNormal="80" workbookViewId="0">
      <selection activeCell="Y58" sqref="Y58"/>
    </sheetView>
  </sheetViews>
  <sheetFormatPr defaultRowHeight="14.45"/>
  <sheetData>
    <row r="1" customFormat="1"/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2024-01-30T12:48:44Z</dcterms:created>
  <dcterms:modified xsi:type="dcterms:W3CDTF">2024-02-01T08:56:20Z</dcterms:modified>
  <cp:category/>
  <cp:contentStatus/>
</cp:coreProperties>
</file>