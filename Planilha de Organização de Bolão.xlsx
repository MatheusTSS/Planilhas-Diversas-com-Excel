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ef611a7aa12e5d/Área de Trabalho/"/>
    </mc:Choice>
  </mc:AlternateContent>
  <xr:revisionPtr revIDLastSave="1834" documentId="8_{8B6A13BD-F3A5-4775-82FA-1E0D53670CEE}" xr6:coauthVersionLast="46" xr6:coauthVersionMax="46" xr10:uidLastSave="{8FFAAB60-C8EC-4F20-986B-D0085495AECF}"/>
  <bookViews>
    <workbookView xWindow="-120" yWindow="-120" windowWidth="20730" windowHeight="11760" xr2:uid="{62575F81-38D5-4EDF-A360-0AC03894A913}"/>
  </bookViews>
  <sheets>
    <sheet name="BOLÃO" sheetId="1" r:id="rId1"/>
    <sheet name="Auxiliar" sheetId="2" r:id="rId2"/>
    <sheet name="Imagens" sheetId="5" r:id="rId3"/>
  </sheets>
  <definedNames>
    <definedName name="primeiro">INDIRECT("Imagens!B" &amp; MATCH(Auxiliar!$T$10,Imagens!$A:$A,0))</definedName>
    <definedName name="segundo">INDIRECT("Imagens!B" &amp; MATCH(Auxiliar!$T$11,Imagens!$A:$A,0))</definedName>
    <definedName name="terceiro">INDIRECT("Imagens!B" &amp; MATCH(Auxiliar!$T$12,Imagens!$A:$A,0))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2" i="2" l="1"/>
  <c r="X11" i="2"/>
  <c r="X10" i="2"/>
  <c r="AH23" i="1"/>
  <c r="AH31" i="1"/>
  <c r="AH63" i="1"/>
  <c r="AH64" i="1"/>
  <c r="AH79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L12" i="2"/>
  <c r="L13" i="2"/>
  <c r="L11" i="2"/>
  <c r="C30" i="1"/>
  <c r="C40" i="1" s="1"/>
  <c r="C50" i="1" s="1"/>
  <c r="C60" i="1" s="1"/>
  <c r="C70" i="1" s="1"/>
  <c r="C80" i="1" s="1"/>
  <c r="C90" i="1" s="1"/>
  <c r="C100" i="1" s="1"/>
  <c r="C110" i="1" s="1"/>
  <c r="C120" i="1" s="1"/>
  <c r="C130" i="1" s="1"/>
  <c r="C140" i="1" s="1"/>
  <c r="C150" i="1" s="1"/>
  <c r="C160" i="1" s="1"/>
  <c r="C170" i="1" s="1"/>
  <c r="C180" i="1" s="1"/>
  <c r="C190" i="1" s="1"/>
  <c r="C200" i="1" s="1"/>
  <c r="C210" i="1" s="1"/>
  <c r="C220" i="1" s="1"/>
  <c r="C230" i="1" s="1"/>
  <c r="C240" i="1" s="1"/>
  <c r="C250" i="1" s="1"/>
  <c r="C260" i="1" s="1"/>
  <c r="C270" i="1" s="1"/>
  <c r="C280" i="1" s="1"/>
  <c r="C290" i="1" s="1"/>
  <c r="C300" i="1" s="1"/>
  <c r="C310" i="1" s="1"/>
  <c r="C320" i="1" s="1"/>
  <c r="C330" i="1" s="1"/>
  <c r="C340" i="1" s="1"/>
  <c r="C350" i="1" s="1"/>
  <c r="C360" i="1" s="1"/>
  <c r="C370" i="1" s="1"/>
  <c r="C380" i="1" s="1"/>
  <c r="C390" i="1" s="1"/>
  <c r="C31" i="1"/>
  <c r="C41" i="1" s="1"/>
  <c r="C51" i="1" s="1"/>
  <c r="C61" i="1" s="1"/>
  <c r="C71" i="1" s="1"/>
  <c r="C81" i="1" s="1"/>
  <c r="C91" i="1" s="1"/>
  <c r="C101" i="1" s="1"/>
  <c r="C111" i="1" s="1"/>
  <c r="C121" i="1" s="1"/>
  <c r="C131" i="1" s="1"/>
  <c r="C141" i="1" s="1"/>
  <c r="C151" i="1" s="1"/>
  <c r="C161" i="1" s="1"/>
  <c r="C171" i="1" s="1"/>
  <c r="C181" i="1" s="1"/>
  <c r="C191" i="1" s="1"/>
  <c r="C201" i="1" s="1"/>
  <c r="C211" i="1" s="1"/>
  <c r="C221" i="1" s="1"/>
  <c r="C231" i="1" s="1"/>
  <c r="C241" i="1" s="1"/>
  <c r="C251" i="1" s="1"/>
  <c r="C261" i="1" s="1"/>
  <c r="C271" i="1" s="1"/>
  <c r="C281" i="1" s="1"/>
  <c r="C291" i="1" s="1"/>
  <c r="C301" i="1" s="1"/>
  <c r="C311" i="1" s="1"/>
  <c r="C321" i="1" s="1"/>
  <c r="C331" i="1" s="1"/>
  <c r="C341" i="1" s="1"/>
  <c r="C351" i="1" s="1"/>
  <c r="C361" i="1" s="1"/>
  <c r="C371" i="1" s="1"/>
  <c r="C381" i="1" s="1"/>
  <c r="C391" i="1" s="1"/>
  <c r="C32" i="1"/>
  <c r="C42" i="1" s="1"/>
  <c r="C52" i="1" s="1"/>
  <c r="C62" i="1" s="1"/>
  <c r="C72" i="1" s="1"/>
  <c r="C82" i="1" s="1"/>
  <c r="C92" i="1" s="1"/>
  <c r="C102" i="1" s="1"/>
  <c r="C112" i="1" s="1"/>
  <c r="C122" i="1" s="1"/>
  <c r="C132" i="1" s="1"/>
  <c r="C142" i="1" s="1"/>
  <c r="C152" i="1" s="1"/>
  <c r="C162" i="1" s="1"/>
  <c r="C172" i="1" s="1"/>
  <c r="C182" i="1" s="1"/>
  <c r="C192" i="1" s="1"/>
  <c r="C202" i="1" s="1"/>
  <c r="C212" i="1" s="1"/>
  <c r="C222" i="1" s="1"/>
  <c r="C232" i="1" s="1"/>
  <c r="C242" i="1" s="1"/>
  <c r="C252" i="1" s="1"/>
  <c r="C262" i="1" s="1"/>
  <c r="C272" i="1" s="1"/>
  <c r="C282" i="1" s="1"/>
  <c r="C292" i="1" s="1"/>
  <c r="C302" i="1" s="1"/>
  <c r="C312" i="1" s="1"/>
  <c r="C322" i="1" s="1"/>
  <c r="C332" i="1" s="1"/>
  <c r="C342" i="1" s="1"/>
  <c r="C352" i="1" s="1"/>
  <c r="C362" i="1" s="1"/>
  <c r="C372" i="1" s="1"/>
  <c r="C382" i="1" s="1"/>
  <c r="C392" i="1" s="1"/>
  <c r="C33" i="1"/>
  <c r="C43" i="1" s="1"/>
  <c r="C53" i="1" s="1"/>
  <c r="C63" i="1" s="1"/>
  <c r="C73" i="1" s="1"/>
  <c r="C83" i="1" s="1"/>
  <c r="C93" i="1" s="1"/>
  <c r="C103" i="1" s="1"/>
  <c r="C113" i="1" s="1"/>
  <c r="C123" i="1" s="1"/>
  <c r="C133" i="1" s="1"/>
  <c r="C143" i="1" s="1"/>
  <c r="C153" i="1" s="1"/>
  <c r="C163" i="1" s="1"/>
  <c r="C173" i="1" s="1"/>
  <c r="C183" i="1" s="1"/>
  <c r="C193" i="1" s="1"/>
  <c r="C203" i="1" s="1"/>
  <c r="C213" i="1" s="1"/>
  <c r="C223" i="1" s="1"/>
  <c r="C233" i="1" s="1"/>
  <c r="C243" i="1" s="1"/>
  <c r="C253" i="1" s="1"/>
  <c r="C263" i="1" s="1"/>
  <c r="C273" i="1" s="1"/>
  <c r="C283" i="1" s="1"/>
  <c r="C293" i="1" s="1"/>
  <c r="C303" i="1" s="1"/>
  <c r="C313" i="1" s="1"/>
  <c r="C323" i="1" s="1"/>
  <c r="C333" i="1" s="1"/>
  <c r="C343" i="1" s="1"/>
  <c r="C353" i="1" s="1"/>
  <c r="C363" i="1" s="1"/>
  <c r="C373" i="1" s="1"/>
  <c r="C383" i="1" s="1"/>
  <c r="C393" i="1" s="1"/>
  <c r="C34" i="1"/>
  <c r="C44" i="1" s="1"/>
  <c r="C54" i="1" s="1"/>
  <c r="C64" i="1" s="1"/>
  <c r="C74" i="1" s="1"/>
  <c r="C84" i="1" s="1"/>
  <c r="C94" i="1" s="1"/>
  <c r="C104" i="1" s="1"/>
  <c r="C114" i="1" s="1"/>
  <c r="C124" i="1" s="1"/>
  <c r="C134" i="1" s="1"/>
  <c r="C144" i="1" s="1"/>
  <c r="C154" i="1" s="1"/>
  <c r="C164" i="1" s="1"/>
  <c r="C174" i="1" s="1"/>
  <c r="C184" i="1" s="1"/>
  <c r="C194" i="1" s="1"/>
  <c r="C204" i="1" s="1"/>
  <c r="C214" i="1" s="1"/>
  <c r="C224" i="1" s="1"/>
  <c r="C234" i="1" s="1"/>
  <c r="C244" i="1" s="1"/>
  <c r="C254" i="1" s="1"/>
  <c r="C264" i="1" s="1"/>
  <c r="C274" i="1" s="1"/>
  <c r="C284" i="1" s="1"/>
  <c r="C294" i="1" s="1"/>
  <c r="C304" i="1" s="1"/>
  <c r="C314" i="1" s="1"/>
  <c r="C324" i="1" s="1"/>
  <c r="C334" i="1" s="1"/>
  <c r="C344" i="1" s="1"/>
  <c r="C354" i="1" s="1"/>
  <c r="C364" i="1" s="1"/>
  <c r="C374" i="1" s="1"/>
  <c r="C384" i="1" s="1"/>
  <c r="C394" i="1" s="1"/>
  <c r="C35" i="1"/>
  <c r="C45" i="1" s="1"/>
  <c r="C55" i="1" s="1"/>
  <c r="C65" i="1" s="1"/>
  <c r="C75" i="1" s="1"/>
  <c r="C85" i="1" s="1"/>
  <c r="C95" i="1" s="1"/>
  <c r="C105" i="1" s="1"/>
  <c r="C115" i="1" s="1"/>
  <c r="C125" i="1" s="1"/>
  <c r="C135" i="1" s="1"/>
  <c r="C145" i="1" s="1"/>
  <c r="C155" i="1" s="1"/>
  <c r="C165" i="1" s="1"/>
  <c r="C175" i="1" s="1"/>
  <c r="C185" i="1" s="1"/>
  <c r="C195" i="1" s="1"/>
  <c r="C205" i="1" s="1"/>
  <c r="C215" i="1" s="1"/>
  <c r="C225" i="1" s="1"/>
  <c r="C235" i="1" s="1"/>
  <c r="C245" i="1" s="1"/>
  <c r="C255" i="1" s="1"/>
  <c r="C265" i="1" s="1"/>
  <c r="C275" i="1" s="1"/>
  <c r="C285" i="1" s="1"/>
  <c r="C295" i="1" s="1"/>
  <c r="C305" i="1" s="1"/>
  <c r="C315" i="1" s="1"/>
  <c r="C325" i="1" s="1"/>
  <c r="C335" i="1" s="1"/>
  <c r="C345" i="1" s="1"/>
  <c r="C355" i="1" s="1"/>
  <c r="C365" i="1" s="1"/>
  <c r="C375" i="1" s="1"/>
  <c r="C385" i="1" s="1"/>
  <c r="C395" i="1" s="1"/>
  <c r="C36" i="1"/>
  <c r="C46" i="1" s="1"/>
  <c r="C56" i="1" s="1"/>
  <c r="C66" i="1" s="1"/>
  <c r="C76" i="1" s="1"/>
  <c r="C86" i="1" s="1"/>
  <c r="C96" i="1" s="1"/>
  <c r="C106" i="1" s="1"/>
  <c r="C116" i="1" s="1"/>
  <c r="C126" i="1" s="1"/>
  <c r="C136" i="1" s="1"/>
  <c r="C146" i="1" s="1"/>
  <c r="C156" i="1" s="1"/>
  <c r="C166" i="1" s="1"/>
  <c r="C176" i="1" s="1"/>
  <c r="C186" i="1" s="1"/>
  <c r="C196" i="1" s="1"/>
  <c r="C206" i="1" s="1"/>
  <c r="C216" i="1" s="1"/>
  <c r="C226" i="1" s="1"/>
  <c r="C236" i="1" s="1"/>
  <c r="C246" i="1" s="1"/>
  <c r="C256" i="1" s="1"/>
  <c r="C266" i="1" s="1"/>
  <c r="C276" i="1" s="1"/>
  <c r="C286" i="1" s="1"/>
  <c r="C296" i="1" s="1"/>
  <c r="C306" i="1" s="1"/>
  <c r="C316" i="1" s="1"/>
  <c r="C326" i="1" s="1"/>
  <c r="C336" i="1" s="1"/>
  <c r="C346" i="1" s="1"/>
  <c r="C356" i="1" s="1"/>
  <c r="C366" i="1" s="1"/>
  <c r="C376" i="1" s="1"/>
  <c r="C386" i="1" s="1"/>
  <c r="C396" i="1" s="1"/>
  <c r="C37" i="1"/>
  <c r="C47" i="1" s="1"/>
  <c r="C57" i="1" s="1"/>
  <c r="C67" i="1" s="1"/>
  <c r="C77" i="1" s="1"/>
  <c r="C87" i="1" s="1"/>
  <c r="C97" i="1" s="1"/>
  <c r="C107" i="1" s="1"/>
  <c r="C117" i="1" s="1"/>
  <c r="C127" i="1" s="1"/>
  <c r="C137" i="1" s="1"/>
  <c r="C147" i="1" s="1"/>
  <c r="C157" i="1" s="1"/>
  <c r="C167" i="1" s="1"/>
  <c r="C177" i="1" s="1"/>
  <c r="C187" i="1" s="1"/>
  <c r="C197" i="1" s="1"/>
  <c r="C207" i="1" s="1"/>
  <c r="C217" i="1" s="1"/>
  <c r="C227" i="1" s="1"/>
  <c r="C237" i="1" s="1"/>
  <c r="C247" i="1" s="1"/>
  <c r="C257" i="1" s="1"/>
  <c r="C267" i="1" s="1"/>
  <c r="C277" i="1" s="1"/>
  <c r="C287" i="1" s="1"/>
  <c r="C297" i="1" s="1"/>
  <c r="C307" i="1" s="1"/>
  <c r="C317" i="1" s="1"/>
  <c r="C327" i="1" s="1"/>
  <c r="C337" i="1" s="1"/>
  <c r="C347" i="1" s="1"/>
  <c r="C357" i="1" s="1"/>
  <c r="C367" i="1" s="1"/>
  <c r="C377" i="1" s="1"/>
  <c r="C387" i="1" s="1"/>
  <c r="C397" i="1" s="1"/>
  <c r="C38" i="1"/>
  <c r="C48" i="1" s="1"/>
  <c r="C58" i="1" s="1"/>
  <c r="C68" i="1" s="1"/>
  <c r="C78" i="1" s="1"/>
  <c r="C88" i="1" s="1"/>
  <c r="C98" i="1" s="1"/>
  <c r="C108" i="1" s="1"/>
  <c r="C118" i="1" s="1"/>
  <c r="C128" i="1" s="1"/>
  <c r="C138" i="1" s="1"/>
  <c r="C148" i="1" s="1"/>
  <c r="C158" i="1" s="1"/>
  <c r="C168" i="1" s="1"/>
  <c r="C178" i="1" s="1"/>
  <c r="C188" i="1" s="1"/>
  <c r="C198" i="1" s="1"/>
  <c r="C208" i="1" s="1"/>
  <c r="C218" i="1" s="1"/>
  <c r="C228" i="1" s="1"/>
  <c r="C238" i="1" s="1"/>
  <c r="C248" i="1" s="1"/>
  <c r="C258" i="1" s="1"/>
  <c r="C268" i="1" s="1"/>
  <c r="C278" i="1" s="1"/>
  <c r="C288" i="1" s="1"/>
  <c r="C298" i="1" s="1"/>
  <c r="C308" i="1" s="1"/>
  <c r="C318" i="1" s="1"/>
  <c r="C328" i="1" s="1"/>
  <c r="C338" i="1" s="1"/>
  <c r="C348" i="1" s="1"/>
  <c r="C358" i="1" s="1"/>
  <c r="C368" i="1" s="1"/>
  <c r="C378" i="1" s="1"/>
  <c r="C388" i="1" s="1"/>
  <c r="C398" i="1" s="1"/>
  <c r="C29" i="1"/>
  <c r="C39" i="1" s="1"/>
  <c r="C49" i="1" s="1"/>
  <c r="C59" i="1" s="1"/>
  <c r="C69" i="1" s="1"/>
  <c r="C79" i="1" s="1"/>
  <c r="C89" i="1" s="1"/>
  <c r="C99" i="1" s="1"/>
  <c r="C109" i="1" s="1"/>
  <c r="C119" i="1" s="1"/>
  <c r="C129" i="1" s="1"/>
  <c r="C139" i="1" s="1"/>
  <c r="C149" i="1" s="1"/>
  <c r="C159" i="1" s="1"/>
  <c r="C169" i="1" s="1"/>
  <c r="C179" i="1" s="1"/>
  <c r="C189" i="1" s="1"/>
  <c r="C199" i="1" s="1"/>
  <c r="C209" i="1" s="1"/>
  <c r="C219" i="1" s="1"/>
  <c r="C229" i="1" s="1"/>
  <c r="C239" i="1" s="1"/>
  <c r="C249" i="1" s="1"/>
  <c r="C259" i="1" s="1"/>
  <c r="C269" i="1" s="1"/>
  <c r="C279" i="1" s="1"/>
  <c r="C289" i="1" s="1"/>
  <c r="C299" i="1" s="1"/>
  <c r="C309" i="1" s="1"/>
  <c r="C319" i="1" s="1"/>
  <c r="C329" i="1" s="1"/>
  <c r="C339" i="1" s="1"/>
  <c r="C349" i="1" s="1"/>
  <c r="C359" i="1" s="1"/>
  <c r="C369" i="1" s="1"/>
  <c r="C379" i="1" s="1"/>
  <c r="C389" i="1" s="1"/>
  <c r="AH62" i="1" l="1"/>
  <c r="AH54" i="1"/>
  <c r="AH46" i="1"/>
  <c r="AH42" i="1"/>
  <c r="AH30" i="1"/>
  <c r="AH22" i="1"/>
  <c r="AH92" i="1"/>
  <c r="AH84" i="1"/>
  <c r="AH52" i="1"/>
  <c r="AH48" i="1"/>
  <c r="AH20" i="1"/>
  <c r="AH96" i="1"/>
  <c r="AH80" i="1"/>
  <c r="AH76" i="1"/>
  <c r="AH68" i="1"/>
  <c r="AH29" i="1"/>
  <c r="AH21" i="1"/>
  <c r="AH40" i="1"/>
  <c r="AH103" i="1"/>
  <c r="AH99" i="1"/>
  <c r="AH95" i="1"/>
  <c r="AH67" i="1"/>
  <c r="AH81" i="1"/>
  <c r="AH69" i="1"/>
  <c r="AH83" i="1"/>
  <c r="AH86" i="1"/>
  <c r="AH60" i="1"/>
  <c r="AH36" i="1"/>
  <c r="AH28" i="1"/>
  <c r="AH97" i="1"/>
  <c r="AH55" i="1"/>
  <c r="AH93" i="1"/>
  <c r="AH70" i="1"/>
  <c r="AH38" i="1"/>
  <c r="AH106" i="1"/>
  <c r="AH88" i="1"/>
  <c r="AH77" i="1"/>
  <c r="AH65" i="1"/>
  <c r="AH51" i="1"/>
  <c r="AH47" i="1"/>
  <c r="AH43" i="1"/>
  <c r="AH39" i="1"/>
  <c r="AH105" i="1"/>
  <c r="AH87" i="1"/>
  <c r="AH101" i="1"/>
  <c r="AH94" i="1"/>
  <c r="AH72" i="1"/>
  <c r="AH61" i="1"/>
  <c r="AH34" i="1"/>
  <c r="AH108" i="1"/>
  <c r="AH104" i="1"/>
  <c r="AH100" i="1"/>
  <c r="AH71" i="1"/>
  <c r="AH53" i="1"/>
  <c r="AH33" i="1"/>
  <c r="AH107" i="1"/>
  <c r="AH85" i="1"/>
  <c r="AH78" i="1"/>
  <c r="AH56" i="1"/>
  <c r="AH44" i="1"/>
  <c r="AH26" i="1"/>
  <c r="AH19" i="1"/>
  <c r="AH90" i="1"/>
  <c r="AH74" i="1"/>
  <c r="AH58" i="1"/>
  <c r="AH45" i="1"/>
  <c r="AH41" i="1"/>
  <c r="AH35" i="1"/>
  <c r="AH24" i="1"/>
  <c r="AH89" i="1"/>
  <c r="AH73" i="1"/>
  <c r="AH57" i="1"/>
  <c r="AH102" i="1"/>
  <c r="AH37" i="1"/>
  <c r="AH27" i="1"/>
  <c r="AH98" i="1"/>
  <c r="AH82" i="1"/>
  <c r="AH66" i="1"/>
  <c r="AH50" i="1"/>
  <c r="AH49" i="1"/>
  <c r="AH32" i="1"/>
  <c r="AH91" i="1"/>
  <c r="AH75" i="1"/>
  <c r="AH59" i="1"/>
  <c r="AH25" i="1"/>
  <c r="AC29" i="1"/>
  <c r="AC37" i="1"/>
  <c r="AC45" i="1"/>
  <c r="AC53" i="1"/>
  <c r="AC61" i="1"/>
  <c r="AC69" i="1"/>
  <c r="AC77" i="1"/>
  <c r="AC85" i="1"/>
  <c r="AC93" i="1"/>
  <c r="AC101" i="1"/>
  <c r="AC109" i="1"/>
  <c r="AC117" i="1"/>
  <c r="AC125" i="1"/>
  <c r="AC133" i="1"/>
  <c r="AC141" i="1"/>
  <c r="AC149" i="1"/>
  <c r="AC157" i="1"/>
  <c r="AC165" i="1"/>
  <c r="AC173" i="1"/>
  <c r="AC181" i="1"/>
  <c r="AC189" i="1"/>
  <c r="AC197" i="1"/>
  <c r="AC205" i="1"/>
  <c r="AC213" i="1"/>
  <c r="AC221" i="1"/>
  <c r="AC229" i="1"/>
  <c r="AC237" i="1"/>
  <c r="AC245" i="1"/>
  <c r="AC253" i="1"/>
  <c r="AC261" i="1"/>
  <c r="AC269" i="1"/>
  <c r="AC277" i="1"/>
  <c r="AC285" i="1"/>
  <c r="AC293" i="1"/>
  <c r="AC301" i="1"/>
  <c r="AC309" i="1"/>
  <c r="AC317" i="1"/>
  <c r="AC325" i="1"/>
  <c r="AC333" i="1"/>
  <c r="AC341" i="1"/>
  <c r="AC349" i="1"/>
  <c r="AC357" i="1"/>
  <c r="AC365" i="1"/>
  <c r="AC373" i="1"/>
  <c r="AC381" i="1"/>
  <c r="AC389" i="1"/>
  <c r="AC397" i="1"/>
  <c r="AC26" i="1"/>
  <c r="AC34" i="1"/>
  <c r="AC42" i="1"/>
  <c r="AC50" i="1"/>
  <c r="AC58" i="1"/>
  <c r="AC66" i="1"/>
  <c r="AC74" i="1"/>
  <c r="AC82" i="1"/>
  <c r="AC90" i="1"/>
  <c r="AC98" i="1"/>
  <c r="AC106" i="1"/>
  <c r="AC114" i="1"/>
  <c r="AC122" i="1"/>
  <c r="AC130" i="1"/>
  <c r="AC138" i="1"/>
  <c r="AC146" i="1"/>
  <c r="AC154" i="1"/>
  <c r="AC38" i="1"/>
  <c r="AC54" i="1"/>
  <c r="AC86" i="1"/>
  <c r="AC110" i="1"/>
  <c r="AC134" i="1"/>
  <c r="AC166" i="1"/>
  <c r="AC182" i="1"/>
  <c r="AC222" i="1"/>
  <c r="AC270" i="1"/>
  <c r="AC302" i="1"/>
  <c r="AC366" i="1"/>
  <c r="AC70" i="1"/>
  <c r="AC126" i="1"/>
  <c r="AC174" i="1"/>
  <c r="AC254" i="1"/>
  <c r="AC350" i="1"/>
  <c r="AC46" i="1"/>
  <c r="AC78" i="1"/>
  <c r="AC118" i="1"/>
  <c r="AC150" i="1"/>
  <c r="AC190" i="1"/>
  <c r="AC230" i="1"/>
  <c r="AC278" i="1"/>
  <c r="AC342" i="1"/>
  <c r="AC22" i="1"/>
  <c r="AC62" i="1"/>
  <c r="AC102" i="1"/>
  <c r="AC142" i="1"/>
  <c r="AC214" i="1"/>
  <c r="AC246" i="1"/>
  <c r="AC318" i="1"/>
  <c r="AC374" i="1"/>
  <c r="N26" i="1"/>
  <c r="N42" i="1"/>
  <c r="N66" i="1"/>
  <c r="N90" i="1"/>
  <c r="N98" i="1"/>
  <c r="N122" i="1"/>
  <c r="N146" i="1"/>
  <c r="N154" i="1"/>
  <c r="N178" i="1"/>
  <c r="N194" i="1"/>
  <c r="N210" i="1"/>
  <c r="N234" i="1"/>
  <c r="N250" i="1"/>
  <c r="N266" i="1"/>
  <c r="N290" i="1"/>
  <c r="N306" i="1"/>
  <c r="N314" i="1"/>
  <c r="N338" i="1"/>
  <c r="N34" i="1"/>
  <c r="N58" i="1"/>
  <c r="N82" i="1"/>
  <c r="N114" i="1"/>
  <c r="N138" i="1"/>
  <c r="N170" i="1"/>
  <c r="N202" i="1"/>
  <c r="N226" i="1"/>
  <c r="N258" i="1"/>
  <c r="N282" i="1"/>
  <c r="N322" i="1"/>
  <c r="N50" i="1"/>
  <c r="N74" i="1"/>
  <c r="N106" i="1"/>
  <c r="N130" i="1"/>
  <c r="N162" i="1"/>
  <c r="N186" i="1"/>
  <c r="N218" i="1"/>
  <c r="N242" i="1"/>
  <c r="N274" i="1"/>
  <c r="N298" i="1"/>
  <c r="N330" i="1"/>
  <c r="N354" i="1"/>
  <c r="N386" i="1"/>
  <c r="S26" i="1"/>
  <c r="S50" i="1"/>
  <c r="S82" i="1"/>
  <c r="S106" i="1"/>
  <c r="N362" i="1"/>
  <c r="N394" i="1"/>
  <c r="S34" i="1"/>
  <c r="S66" i="1"/>
  <c r="S90" i="1"/>
  <c r="S122" i="1"/>
  <c r="N35" i="1"/>
  <c r="N51" i="1"/>
  <c r="N67" i="1"/>
  <c r="N83" i="1"/>
  <c r="N107" i="1"/>
  <c r="N123" i="1"/>
  <c r="N139" i="1"/>
  <c r="N163" i="1"/>
  <c r="N179" i="1"/>
  <c r="N195" i="1"/>
  <c r="N211" i="1"/>
  <c r="N227" i="1"/>
  <c r="N243" i="1"/>
  <c r="N259" i="1"/>
  <c r="N283" i="1"/>
  <c r="N299" i="1"/>
  <c r="N315" i="1"/>
  <c r="N339" i="1"/>
  <c r="S19" i="1"/>
  <c r="S27" i="1"/>
  <c r="S35" i="1"/>
  <c r="S43" i="1"/>
  <c r="S51" i="1"/>
  <c r="S59" i="1"/>
  <c r="S67" i="1"/>
  <c r="S75" i="1"/>
  <c r="N346" i="1"/>
  <c r="N370" i="1"/>
  <c r="N378" i="1"/>
  <c r="S42" i="1"/>
  <c r="S58" i="1"/>
  <c r="S74" i="1"/>
  <c r="S98" i="1"/>
  <c r="S114" i="1"/>
  <c r="N27" i="1"/>
  <c r="N43" i="1"/>
  <c r="N59" i="1"/>
  <c r="N75" i="1"/>
  <c r="N91" i="1"/>
  <c r="N99" i="1"/>
  <c r="N115" i="1"/>
  <c r="N131" i="1"/>
  <c r="N147" i="1"/>
  <c r="N155" i="1"/>
  <c r="N171" i="1"/>
  <c r="N187" i="1"/>
  <c r="N203" i="1"/>
  <c r="N219" i="1"/>
  <c r="N235" i="1"/>
  <c r="N251" i="1"/>
  <c r="N267" i="1"/>
  <c r="N275" i="1"/>
  <c r="N291" i="1"/>
  <c r="N307" i="1"/>
  <c r="N323" i="1"/>
  <c r="N331" i="1"/>
  <c r="N347" i="1"/>
  <c r="N355" i="1"/>
  <c r="N363" i="1"/>
  <c r="N371" i="1"/>
  <c r="N379" i="1"/>
  <c r="N387" i="1"/>
  <c r="N395" i="1"/>
  <c r="AC382" i="1"/>
  <c r="AC398" i="1"/>
  <c r="AC25" i="1"/>
  <c r="AC33" i="1"/>
  <c r="AC41" i="1"/>
  <c r="AC49" i="1"/>
  <c r="AC57" i="1"/>
  <c r="AC65" i="1"/>
  <c r="AC73" i="1"/>
  <c r="AC81" i="1"/>
  <c r="AC89" i="1"/>
  <c r="AC97" i="1"/>
  <c r="AC105" i="1"/>
  <c r="AC113" i="1"/>
  <c r="AC121" i="1"/>
  <c r="AC129" i="1"/>
  <c r="AC137" i="1"/>
  <c r="AC145" i="1"/>
  <c r="AC153" i="1"/>
  <c r="AC161" i="1"/>
  <c r="AC169" i="1"/>
  <c r="AC177" i="1"/>
  <c r="AC185" i="1"/>
  <c r="AC193" i="1"/>
  <c r="AC201" i="1"/>
  <c r="AC209" i="1"/>
  <c r="AC217" i="1"/>
  <c r="AC225" i="1"/>
  <c r="AC233" i="1"/>
  <c r="AC241" i="1"/>
  <c r="AC249" i="1"/>
  <c r="AC257" i="1"/>
  <c r="AC265" i="1"/>
  <c r="AC273" i="1"/>
  <c r="AC281" i="1"/>
  <c r="AC289" i="1"/>
  <c r="AC297" i="1"/>
  <c r="AC305" i="1"/>
  <c r="AC313" i="1"/>
  <c r="S130" i="1"/>
  <c r="S138" i="1"/>
  <c r="S146" i="1"/>
  <c r="S154" i="1"/>
  <c r="S162" i="1"/>
  <c r="S170" i="1"/>
  <c r="S178" i="1"/>
  <c r="S186" i="1"/>
  <c r="S194" i="1"/>
  <c r="S202" i="1"/>
  <c r="S210" i="1"/>
  <c r="S218" i="1"/>
  <c r="S226" i="1"/>
  <c r="S234" i="1"/>
  <c r="S242" i="1"/>
  <c r="S250" i="1"/>
  <c r="S258" i="1"/>
  <c r="AC321" i="1"/>
  <c r="AC329" i="1"/>
  <c r="AC337" i="1"/>
  <c r="AC345" i="1"/>
  <c r="AC353" i="1"/>
  <c r="AC361" i="1"/>
  <c r="AC369" i="1"/>
  <c r="AC377" i="1"/>
  <c r="AC385" i="1"/>
  <c r="S266" i="1"/>
  <c r="S274" i="1"/>
  <c r="S282" i="1"/>
  <c r="S290" i="1"/>
  <c r="S298" i="1"/>
  <c r="S306" i="1"/>
  <c r="S314" i="1"/>
  <c r="S322" i="1"/>
  <c r="S330" i="1"/>
  <c r="S338" i="1"/>
  <c r="S346" i="1"/>
  <c r="S354" i="1"/>
  <c r="S362" i="1"/>
  <c r="S370" i="1"/>
  <c r="S378" i="1"/>
  <c r="S386" i="1"/>
  <c r="S394" i="1"/>
  <c r="X26" i="1"/>
  <c r="X34" i="1"/>
  <c r="X42" i="1"/>
  <c r="X50" i="1"/>
  <c r="X58" i="1"/>
  <c r="X66" i="1"/>
  <c r="X74" i="1"/>
  <c r="X82" i="1"/>
  <c r="X90" i="1"/>
  <c r="X98" i="1"/>
  <c r="X106" i="1"/>
  <c r="X114" i="1"/>
  <c r="X122" i="1"/>
  <c r="X130" i="1"/>
  <c r="X138" i="1"/>
  <c r="X146" i="1"/>
  <c r="X154" i="1"/>
  <c r="X162" i="1"/>
  <c r="X170" i="1"/>
  <c r="X178" i="1"/>
  <c r="X186" i="1"/>
  <c r="X194" i="1"/>
  <c r="X202" i="1"/>
  <c r="X210" i="1"/>
  <c r="X218" i="1"/>
  <c r="X226" i="1"/>
  <c r="X234" i="1"/>
  <c r="X242" i="1"/>
  <c r="X250" i="1"/>
  <c r="X258" i="1"/>
  <c r="X266" i="1"/>
  <c r="X274" i="1"/>
  <c r="X282" i="1"/>
  <c r="X290" i="1"/>
  <c r="X298" i="1"/>
  <c r="X306" i="1"/>
  <c r="X314" i="1"/>
  <c r="X322" i="1"/>
  <c r="X330" i="1"/>
  <c r="X338" i="1"/>
  <c r="X346" i="1"/>
  <c r="X354" i="1"/>
  <c r="X362" i="1"/>
  <c r="X370" i="1"/>
  <c r="X378" i="1"/>
  <c r="X386" i="1"/>
  <c r="X394" i="1"/>
  <c r="AC162" i="1"/>
  <c r="AC170" i="1"/>
  <c r="AC178" i="1"/>
  <c r="AC186" i="1"/>
  <c r="AC194" i="1"/>
  <c r="AC202" i="1"/>
  <c r="AC210" i="1"/>
  <c r="AC218" i="1"/>
  <c r="AC226" i="1"/>
  <c r="AC234" i="1"/>
  <c r="AC242" i="1"/>
  <c r="AC250" i="1"/>
  <c r="AC258" i="1"/>
  <c r="AC266" i="1"/>
  <c r="AC274" i="1"/>
  <c r="AC282" i="1"/>
  <c r="AC290" i="1"/>
  <c r="AC298" i="1"/>
  <c r="AC306" i="1"/>
  <c r="AC314" i="1"/>
  <c r="AC322" i="1"/>
  <c r="AC330" i="1"/>
  <c r="AC338" i="1"/>
  <c r="AC346" i="1"/>
  <c r="AC354" i="1"/>
  <c r="AC362" i="1"/>
  <c r="AC370" i="1"/>
  <c r="X24" i="1"/>
  <c r="X40" i="1"/>
  <c r="X48" i="1"/>
  <c r="X56" i="1"/>
  <c r="X72" i="1"/>
  <c r="X80" i="1"/>
  <c r="X104" i="1"/>
  <c r="X112" i="1"/>
  <c r="X120" i="1"/>
  <c r="X136" i="1"/>
  <c r="X168" i="1"/>
  <c r="X176" i="1"/>
  <c r="X184" i="1"/>
  <c r="X200" i="1"/>
  <c r="X240" i="1"/>
  <c r="X248" i="1"/>
  <c r="X264" i="1"/>
  <c r="X304" i="1"/>
  <c r="X312" i="1"/>
  <c r="X328" i="1"/>
  <c r="X376" i="1"/>
  <c r="X384" i="1"/>
  <c r="AC24" i="1"/>
  <c r="AC32" i="1"/>
  <c r="AC40" i="1"/>
  <c r="AC48" i="1"/>
  <c r="AC56" i="1"/>
  <c r="AC64" i="1"/>
  <c r="AC72" i="1"/>
  <c r="AC80" i="1"/>
  <c r="AC88" i="1"/>
  <c r="AC96" i="1"/>
  <c r="AC104" i="1"/>
  <c r="AC112" i="1"/>
  <c r="AC120" i="1"/>
  <c r="AC128" i="1"/>
  <c r="AC136" i="1"/>
  <c r="AC144" i="1"/>
  <c r="AC152" i="1"/>
  <c r="AC160" i="1"/>
  <c r="AC168" i="1"/>
  <c r="AC176" i="1"/>
  <c r="AC184" i="1"/>
  <c r="AC192" i="1"/>
  <c r="AC200" i="1"/>
  <c r="AC208" i="1"/>
  <c r="AC216" i="1"/>
  <c r="AC224" i="1"/>
  <c r="AC232" i="1"/>
  <c r="AC240" i="1"/>
  <c r="AC248" i="1"/>
  <c r="AC256" i="1"/>
  <c r="AC264" i="1"/>
  <c r="AC272" i="1"/>
  <c r="AC280" i="1"/>
  <c r="AC288" i="1"/>
  <c r="AC296" i="1"/>
  <c r="AC304" i="1"/>
  <c r="AC312" i="1"/>
  <c r="AC320" i="1"/>
  <c r="AC328" i="1"/>
  <c r="AC336" i="1"/>
  <c r="AC344" i="1"/>
  <c r="AC352" i="1"/>
  <c r="AC360" i="1"/>
  <c r="AC368" i="1"/>
  <c r="AC376" i="1"/>
  <c r="AC384" i="1"/>
  <c r="AC392" i="1"/>
  <c r="AC393" i="1"/>
  <c r="AC378" i="1"/>
  <c r="AC386" i="1"/>
  <c r="AC394" i="1"/>
  <c r="AC76" i="1"/>
  <c r="AC323" i="1"/>
  <c r="N37" i="1"/>
  <c r="N77" i="1"/>
  <c r="N109" i="1"/>
  <c r="N133" i="1"/>
  <c r="N165" i="1"/>
  <c r="N205" i="1"/>
  <c r="N237" i="1"/>
  <c r="N277" i="1"/>
  <c r="N317" i="1"/>
  <c r="N357" i="1"/>
  <c r="N397" i="1"/>
  <c r="S45" i="1"/>
  <c r="S93" i="1"/>
  <c r="S133" i="1"/>
  <c r="S165" i="1"/>
  <c r="S197" i="1"/>
  <c r="S229" i="1"/>
  <c r="S245" i="1"/>
  <c r="S269" i="1"/>
  <c r="S285" i="1"/>
  <c r="S309" i="1"/>
  <c r="S349" i="1"/>
  <c r="S389" i="1"/>
  <c r="X53" i="1"/>
  <c r="X85" i="1"/>
  <c r="X125" i="1"/>
  <c r="X165" i="1"/>
  <c r="X205" i="1"/>
  <c r="X229" i="1"/>
  <c r="X269" i="1"/>
  <c r="X309" i="1"/>
  <c r="X341" i="1"/>
  <c r="X381" i="1"/>
  <c r="AC347" i="1"/>
  <c r="N29" i="1"/>
  <c r="N53" i="1"/>
  <c r="N69" i="1"/>
  <c r="N93" i="1"/>
  <c r="N117" i="1"/>
  <c r="N125" i="1"/>
  <c r="N141" i="1"/>
  <c r="N157" i="1"/>
  <c r="N181" i="1"/>
  <c r="N197" i="1"/>
  <c r="N221" i="1"/>
  <c r="N245" i="1"/>
  <c r="N261" i="1"/>
  <c r="N285" i="1"/>
  <c r="N301" i="1"/>
  <c r="N325" i="1"/>
  <c r="N341" i="1"/>
  <c r="N373" i="1"/>
  <c r="N389" i="1"/>
  <c r="S29" i="1"/>
  <c r="S53" i="1"/>
  <c r="S77" i="1"/>
  <c r="S101" i="1"/>
  <c r="S117" i="1"/>
  <c r="S141" i="1"/>
  <c r="S157" i="1"/>
  <c r="S181" i="1"/>
  <c r="S205" i="1"/>
  <c r="S221" i="1"/>
  <c r="S237" i="1"/>
  <c r="S253" i="1"/>
  <c r="S261" i="1"/>
  <c r="S277" i="1"/>
  <c r="S293" i="1"/>
  <c r="S301" i="1"/>
  <c r="S325" i="1"/>
  <c r="S341" i="1"/>
  <c r="S365" i="1"/>
  <c r="S381" i="1"/>
  <c r="X29" i="1"/>
  <c r="X45" i="1"/>
  <c r="X69" i="1"/>
  <c r="X93" i="1"/>
  <c r="X109" i="1"/>
  <c r="X133" i="1"/>
  <c r="X149" i="1"/>
  <c r="X173" i="1"/>
  <c r="X189" i="1"/>
  <c r="X213" i="1"/>
  <c r="X245" i="1"/>
  <c r="X253" i="1"/>
  <c r="X285" i="1"/>
  <c r="X301" i="1"/>
  <c r="X325" i="1"/>
  <c r="X349" i="1"/>
  <c r="X365" i="1"/>
  <c r="X397" i="1"/>
  <c r="AC67" i="1"/>
  <c r="AC131" i="1"/>
  <c r="AC371" i="1"/>
  <c r="N20" i="1"/>
  <c r="N45" i="1"/>
  <c r="N61" i="1"/>
  <c r="N85" i="1"/>
  <c r="N101" i="1"/>
  <c r="N149" i="1"/>
  <c r="N173" i="1"/>
  <c r="N189" i="1"/>
  <c r="N213" i="1"/>
  <c r="N229" i="1"/>
  <c r="N253" i="1"/>
  <c r="N269" i="1"/>
  <c r="N293" i="1"/>
  <c r="N309" i="1"/>
  <c r="N333" i="1"/>
  <c r="N349" i="1"/>
  <c r="N365" i="1"/>
  <c r="N381" i="1"/>
  <c r="S37" i="1"/>
  <c r="S61" i="1"/>
  <c r="S69" i="1"/>
  <c r="S85" i="1"/>
  <c r="S109" i="1"/>
  <c r="S125" i="1"/>
  <c r="S149" i="1"/>
  <c r="S173" i="1"/>
  <c r="S189" i="1"/>
  <c r="S213" i="1"/>
  <c r="S317" i="1"/>
  <c r="S333" i="1"/>
  <c r="S357" i="1"/>
  <c r="S373" i="1"/>
  <c r="S397" i="1"/>
  <c r="X37" i="1"/>
  <c r="X61" i="1"/>
  <c r="X77" i="1"/>
  <c r="X101" i="1"/>
  <c r="X117" i="1"/>
  <c r="X141" i="1"/>
  <c r="X157" i="1"/>
  <c r="X181" i="1"/>
  <c r="X197" i="1"/>
  <c r="X221" i="1"/>
  <c r="X237" i="1"/>
  <c r="X261" i="1"/>
  <c r="X277" i="1"/>
  <c r="X293" i="1"/>
  <c r="X317" i="1"/>
  <c r="X333" i="1"/>
  <c r="X357" i="1"/>
  <c r="X373" i="1"/>
  <c r="X389" i="1"/>
  <c r="AC140" i="1"/>
  <c r="AC396" i="1"/>
  <c r="N19" i="1"/>
  <c r="N28" i="1"/>
  <c r="N36" i="1"/>
  <c r="N44" i="1"/>
  <c r="N52" i="1"/>
  <c r="N60" i="1"/>
  <c r="N68" i="1"/>
  <c r="N76" i="1"/>
  <c r="N84" i="1"/>
  <c r="N92" i="1"/>
  <c r="N100" i="1"/>
  <c r="N108" i="1"/>
  <c r="N116" i="1"/>
  <c r="N124" i="1"/>
  <c r="N132" i="1"/>
  <c r="N140" i="1"/>
  <c r="N148" i="1"/>
  <c r="N156" i="1"/>
  <c r="N164" i="1"/>
  <c r="N172" i="1"/>
  <c r="N180" i="1"/>
  <c r="N188" i="1"/>
  <c r="N196" i="1"/>
  <c r="N204" i="1"/>
  <c r="N212" i="1"/>
  <c r="N220" i="1"/>
  <c r="N228" i="1"/>
  <c r="N236" i="1"/>
  <c r="N244" i="1"/>
  <c r="N252" i="1"/>
  <c r="N260" i="1"/>
  <c r="N268" i="1"/>
  <c r="N276" i="1"/>
  <c r="N284" i="1"/>
  <c r="N292" i="1"/>
  <c r="N300" i="1"/>
  <c r="N308" i="1"/>
  <c r="N316" i="1"/>
  <c r="N324" i="1"/>
  <c r="N332" i="1"/>
  <c r="N340" i="1"/>
  <c r="N348" i="1"/>
  <c r="N356" i="1"/>
  <c r="N364" i="1"/>
  <c r="N372" i="1"/>
  <c r="N380" i="1"/>
  <c r="N388" i="1"/>
  <c r="N396" i="1"/>
  <c r="S20" i="1"/>
  <c r="S28" i="1"/>
  <c r="S36" i="1"/>
  <c r="S44" i="1"/>
  <c r="S52" i="1"/>
  <c r="S60" i="1"/>
  <c r="S68" i="1"/>
  <c r="S76" i="1"/>
  <c r="S84" i="1"/>
  <c r="S92" i="1"/>
  <c r="S100" i="1"/>
  <c r="S108" i="1"/>
  <c r="S116" i="1"/>
  <c r="S124" i="1"/>
  <c r="S132" i="1"/>
  <c r="S140" i="1"/>
  <c r="S148" i="1"/>
  <c r="S156" i="1"/>
  <c r="S164" i="1"/>
  <c r="S172" i="1"/>
  <c r="S180" i="1"/>
  <c r="S188" i="1"/>
  <c r="S196" i="1"/>
  <c r="S204" i="1"/>
  <c r="S212" i="1"/>
  <c r="S220" i="1"/>
  <c r="S228" i="1"/>
  <c r="S236" i="1"/>
  <c r="S244" i="1"/>
  <c r="S252" i="1"/>
  <c r="S260" i="1"/>
  <c r="S268" i="1"/>
  <c r="S276" i="1"/>
  <c r="S284" i="1"/>
  <c r="S292" i="1"/>
  <c r="S300" i="1"/>
  <c r="S308" i="1"/>
  <c r="S316" i="1"/>
  <c r="S324" i="1"/>
  <c r="S332" i="1"/>
  <c r="S340" i="1"/>
  <c r="S348" i="1"/>
  <c r="S356" i="1"/>
  <c r="S364" i="1"/>
  <c r="S372" i="1"/>
  <c r="S380" i="1"/>
  <c r="S388" i="1"/>
  <c r="S396" i="1"/>
  <c r="X28" i="1"/>
  <c r="X36" i="1"/>
  <c r="X44" i="1"/>
  <c r="X52" i="1"/>
  <c r="X60" i="1"/>
  <c r="X68" i="1"/>
  <c r="X76" i="1"/>
  <c r="X84" i="1"/>
  <c r="S83" i="1"/>
  <c r="S91" i="1"/>
  <c r="S99" i="1"/>
  <c r="S107" i="1"/>
  <c r="S115" i="1"/>
  <c r="S123" i="1"/>
  <c r="S131" i="1"/>
  <c r="S139" i="1"/>
  <c r="S147" i="1"/>
  <c r="S155" i="1"/>
  <c r="S163" i="1"/>
  <c r="S171" i="1"/>
  <c r="S179" i="1"/>
  <c r="S187" i="1"/>
  <c r="S195" i="1"/>
  <c r="S203" i="1"/>
  <c r="S211" i="1"/>
  <c r="S219" i="1"/>
  <c r="S227" i="1"/>
  <c r="S235" i="1"/>
  <c r="S243" i="1"/>
  <c r="S251" i="1"/>
  <c r="S259" i="1"/>
  <c r="S267" i="1"/>
  <c r="S275" i="1"/>
  <c r="S283" i="1"/>
  <c r="S291" i="1"/>
  <c r="S299" i="1"/>
  <c r="S307" i="1"/>
  <c r="S315" i="1"/>
  <c r="S323" i="1"/>
  <c r="S331" i="1"/>
  <c r="S339" i="1"/>
  <c r="S347" i="1"/>
  <c r="S355" i="1"/>
  <c r="S363" i="1"/>
  <c r="S371" i="1"/>
  <c r="S379" i="1"/>
  <c r="S387" i="1"/>
  <c r="S395" i="1"/>
  <c r="X19" i="1"/>
  <c r="X27" i="1"/>
  <c r="X35" i="1"/>
  <c r="X43" i="1"/>
  <c r="X51" i="1"/>
  <c r="X59" i="1"/>
  <c r="X67" i="1"/>
  <c r="X75" i="1"/>
  <c r="X83" i="1"/>
  <c r="X91" i="1"/>
  <c r="X99" i="1"/>
  <c r="X107" i="1"/>
  <c r="X115" i="1"/>
  <c r="X123" i="1"/>
  <c r="X131" i="1"/>
  <c r="X139" i="1"/>
  <c r="X147" i="1"/>
  <c r="X155" i="1"/>
  <c r="X163" i="1"/>
  <c r="X171" i="1"/>
  <c r="X179" i="1"/>
  <c r="X187" i="1"/>
  <c r="X195" i="1"/>
  <c r="X203" i="1"/>
  <c r="X211" i="1"/>
  <c r="X219" i="1"/>
  <c r="X227" i="1"/>
  <c r="X235" i="1"/>
  <c r="X243" i="1"/>
  <c r="X251" i="1"/>
  <c r="X259" i="1"/>
  <c r="X267" i="1"/>
  <c r="X275" i="1"/>
  <c r="X283" i="1"/>
  <c r="X291" i="1"/>
  <c r="X299" i="1"/>
  <c r="X307" i="1"/>
  <c r="X315" i="1"/>
  <c r="X323" i="1"/>
  <c r="X331" i="1"/>
  <c r="X339" i="1"/>
  <c r="X347" i="1"/>
  <c r="X355" i="1"/>
  <c r="X363" i="1"/>
  <c r="AC30" i="1"/>
  <c r="AC94" i="1"/>
  <c r="AC158" i="1"/>
  <c r="AC206" i="1"/>
  <c r="AC238" i="1"/>
  <c r="AC286" i="1"/>
  <c r="AC310" i="1"/>
  <c r="AC334" i="1"/>
  <c r="X371" i="1"/>
  <c r="X379" i="1"/>
  <c r="X387" i="1"/>
  <c r="X395" i="1"/>
  <c r="AC19" i="1"/>
  <c r="AC27" i="1"/>
  <c r="AC35" i="1"/>
  <c r="AC43" i="1"/>
  <c r="AC51" i="1"/>
  <c r="AC59" i="1"/>
  <c r="AC75" i="1"/>
  <c r="AC83" i="1"/>
  <c r="AC91" i="1"/>
  <c r="AC99" i="1"/>
  <c r="AC107" i="1"/>
  <c r="AC115" i="1"/>
  <c r="AC123" i="1"/>
  <c r="AC139" i="1"/>
  <c r="AC147" i="1"/>
  <c r="AC155" i="1"/>
  <c r="AC163" i="1"/>
  <c r="AC171" i="1"/>
  <c r="AC179" i="1"/>
  <c r="AC187" i="1"/>
  <c r="AC195" i="1"/>
  <c r="AC203" i="1"/>
  <c r="AC211" i="1"/>
  <c r="AC219" i="1"/>
  <c r="AC227" i="1"/>
  <c r="AC235" i="1"/>
  <c r="AC243" i="1"/>
  <c r="AC251" i="1"/>
  <c r="AC259" i="1"/>
  <c r="AC267" i="1"/>
  <c r="AC275" i="1"/>
  <c r="AC283" i="1"/>
  <c r="AC291" i="1"/>
  <c r="AC299" i="1"/>
  <c r="AC307" i="1"/>
  <c r="AC315" i="1"/>
  <c r="AC331" i="1"/>
  <c r="AC339" i="1"/>
  <c r="AC355" i="1"/>
  <c r="AC363" i="1"/>
  <c r="AC379" i="1"/>
  <c r="AC387" i="1"/>
  <c r="AC395" i="1"/>
  <c r="X92" i="1"/>
  <c r="X100" i="1"/>
  <c r="X108" i="1"/>
  <c r="X116" i="1"/>
  <c r="X124" i="1"/>
  <c r="X132" i="1"/>
  <c r="X140" i="1"/>
  <c r="X148" i="1"/>
  <c r="X156" i="1"/>
  <c r="X164" i="1"/>
  <c r="X172" i="1"/>
  <c r="X180" i="1"/>
  <c r="X188" i="1"/>
  <c r="X196" i="1"/>
  <c r="X204" i="1"/>
  <c r="X212" i="1"/>
  <c r="X220" i="1"/>
  <c r="X228" i="1"/>
  <c r="X236" i="1"/>
  <c r="X244" i="1"/>
  <c r="X252" i="1"/>
  <c r="X260" i="1"/>
  <c r="X268" i="1"/>
  <c r="X276" i="1"/>
  <c r="X284" i="1"/>
  <c r="X292" i="1"/>
  <c r="X300" i="1"/>
  <c r="X308" i="1"/>
  <c r="X316" i="1"/>
  <c r="X324" i="1"/>
  <c r="X332" i="1"/>
  <c r="X340" i="1"/>
  <c r="X348" i="1"/>
  <c r="X356" i="1"/>
  <c r="X364" i="1"/>
  <c r="X372" i="1"/>
  <c r="X380" i="1"/>
  <c r="X388" i="1"/>
  <c r="X396" i="1"/>
  <c r="AC28" i="1"/>
  <c r="AC36" i="1"/>
  <c r="AC44" i="1"/>
  <c r="AC52" i="1"/>
  <c r="AC60" i="1"/>
  <c r="AC68" i="1"/>
  <c r="AC84" i="1"/>
  <c r="AC92" i="1"/>
  <c r="AC100" i="1"/>
  <c r="AC108" i="1"/>
  <c r="AC116" i="1"/>
  <c r="AC124" i="1"/>
  <c r="AC132" i="1"/>
  <c r="AC148" i="1"/>
  <c r="AC156" i="1"/>
  <c r="AC164" i="1"/>
  <c r="AC172" i="1"/>
  <c r="AC180" i="1"/>
  <c r="AC188" i="1"/>
  <c r="AC196" i="1"/>
  <c r="AC204" i="1"/>
  <c r="AC212" i="1"/>
  <c r="AC220" i="1"/>
  <c r="AC228" i="1"/>
  <c r="AC236" i="1"/>
  <c r="AC244" i="1"/>
  <c r="AC252" i="1"/>
  <c r="AC260" i="1"/>
  <c r="AC268" i="1"/>
  <c r="AC276" i="1"/>
  <c r="AC284" i="1"/>
  <c r="AC292" i="1"/>
  <c r="AC300" i="1"/>
  <c r="AC308" i="1"/>
  <c r="AC316" i="1"/>
  <c r="AC324" i="1"/>
  <c r="AC332" i="1"/>
  <c r="AC340" i="1"/>
  <c r="AC348" i="1"/>
  <c r="AC356" i="1"/>
  <c r="AC364" i="1"/>
  <c r="AC372" i="1"/>
  <c r="AC380" i="1"/>
  <c r="AC388" i="1"/>
  <c r="N24" i="1"/>
  <c r="N40" i="1"/>
  <c r="N56" i="1"/>
  <c r="N80" i="1"/>
  <c r="N96" i="1"/>
  <c r="N112" i="1"/>
  <c r="N128" i="1"/>
  <c r="N152" i="1"/>
  <c r="N168" i="1"/>
  <c r="N184" i="1"/>
  <c r="N208" i="1"/>
  <c r="N224" i="1"/>
  <c r="N248" i="1"/>
  <c r="N264" i="1"/>
  <c r="N280" i="1"/>
  <c r="N304" i="1"/>
  <c r="N320" i="1"/>
  <c r="N336" i="1"/>
  <c r="N352" i="1"/>
  <c r="N376" i="1"/>
  <c r="N392" i="1"/>
  <c r="S40" i="1"/>
  <c r="S56" i="1"/>
  <c r="S72" i="1"/>
  <c r="S96" i="1"/>
  <c r="S112" i="1"/>
  <c r="S128" i="1"/>
  <c r="S144" i="1"/>
  <c r="S160" i="1"/>
  <c r="S176" i="1"/>
  <c r="S200" i="1"/>
  <c r="S216" i="1"/>
  <c r="S240" i="1"/>
  <c r="S256" i="1"/>
  <c r="S272" i="1"/>
  <c r="S288" i="1"/>
  <c r="S304" i="1"/>
  <c r="S312" i="1"/>
  <c r="S328" i="1"/>
  <c r="S336" i="1"/>
  <c r="S344" i="1"/>
  <c r="S352" i="1"/>
  <c r="S360" i="1"/>
  <c r="S368" i="1"/>
  <c r="N32" i="1"/>
  <c r="N48" i="1"/>
  <c r="N64" i="1"/>
  <c r="N72" i="1"/>
  <c r="N88" i="1"/>
  <c r="N104" i="1"/>
  <c r="N120" i="1"/>
  <c r="N136" i="1"/>
  <c r="N144" i="1"/>
  <c r="N160" i="1"/>
  <c r="N176" i="1"/>
  <c r="N192" i="1"/>
  <c r="N200" i="1"/>
  <c r="N216" i="1"/>
  <c r="N232" i="1"/>
  <c r="N240" i="1"/>
  <c r="N256" i="1"/>
  <c r="N272" i="1"/>
  <c r="N288" i="1"/>
  <c r="N296" i="1"/>
  <c r="N312" i="1"/>
  <c r="N328" i="1"/>
  <c r="N344" i="1"/>
  <c r="N360" i="1"/>
  <c r="N368" i="1"/>
  <c r="N384" i="1"/>
  <c r="S24" i="1"/>
  <c r="S32" i="1"/>
  <c r="S48" i="1"/>
  <c r="S64" i="1"/>
  <c r="S80" i="1"/>
  <c r="S88" i="1"/>
  <c r="S104" i="1"/>
  <c r="S120" i="1"/>
  <c r="S136" i="1"/>
  <c r="S152" i="1"/>
  <c r="S168" i="1"/>
  <c r="S184" i="1"/>
  <c r="S192" i="1"/>
  <c r="S208" i="1"/>
  <c r="S224" i="1"/>
  <c r="S232" i="1"/>
  <c r="S248" i="1"/>
  <c r="S264" i="1"/>
  <c r="S280" i="1"/>
  <c r="S296" i="1"/>
  <c r="S320" i="1"/>
  <c r="N25" i="1"/>
  <c r="N33" i="1"/>
  <c r="N41" i="1"/>
  <c r="N49" i="1"/>
  <c r="N57" i="1"/>
  <c r="N65" i="1"/>
  <c r="N73" i="1"/>
  <c r="N81" i="1"/>
  <c r="N89" i="1"/>
  <c r="N97" i="1"/>
  <c r="N105" i="1"/>
  <c r="N113" i="1"/>
  <c r="N121" i="1"/>
  <c r="N129" i="1"/>
  <c r="N137" i="1"/>
  <c r="N145" i="1"/>
  <c r="N153" i="1"/>
  <c r="N161" i="1"/>
  <c r="N169" i="1"/>
  <c r="N177" i="1"/>
  <c r="N185" i="1"/>
  <c r="N193" i="1"/>
  <c r="N201" i="1"/>
  <c r="N209" i="1"/>
  <c r="N217" i="1"/>
  <c r="N225" i="1"/>
  <c r="N233" i="1"/>
  <c r="N241" i="1"/>
  <c r="N249" i="1"/>
  <c r="N257" i="1"/>
  <c r="N265" i="1"/>
  <c r="N273" i="1"/>
  <c r="N281" i="1"/>
  <c r="N289" i="1"/>
  <c r="N297" i="1"/>
  <c r="N305" i="1"/>
  <c r="N313" i="1"/>
  <c r="N321" i="1"/>
  <c r="N329" i="1"/>
  <c r="N337" i="1"/>
  <c r="N345" i="1"/>
  <c r="N353" i="1"/>
  <c r="N361" i="1"/>
  <c r="N369" i="1"/>
  <c r="N377" i="1"/>
  <c r="N385" i="1"/>
  <c r="N393" i="1"/>
  <c r="S25" i="1"/>
  <c r="S33" i="1"/>
  <c r="S41" i="1"/>
  <c r="S49" i="1"/>
  <c r="S57" i="1"/>
  <c r="S65" i="1"/>
  <c r="S73" i="1"/>
  <c r="S81" i="1"/>
  <c r="S89" i="1"/>
  <c r="S97" i="1"/>
  <c r="N22" i="1"/>
  <c r="N21" i="1"/>
  <c r="N30" i="1"/>
  <c r="N46" i="1"/>
  <c r="N54" i="1"/>
  <c r="N70" i="1"/>
  <c r="N78" i="1"/>
  <c r="N94" i="1"/>
  <c r="N110" i="1"/>
  <c r="N118" i="1"/>
  <c r="N134" i="1"/>
  <c r="N142" i="1"/>
  <c r="N158" i="1"/>
  <c r="N166" i="1"/>
  <c r="N182" i="1"/>
  <c r="N190" i="1"/>
  <c r="N206" i="1"/>
  <c r="N214" i="1"/>
  <c r="N230" i="1"/>
  <c r="N238" i="1"/>
  <c r="N254" i="1"/>
  <c r="N262" i="1"/>
  <c r="N278" i="1"/>
  <c r="N286" i="1"/>
  <c r="N302" i="1"/>
  <c r="N310" i="1"/>
  <c r="N326" i="1"/>
  <c r="N334" i="1"/>
  <c r="N350" i="1"/>
  <c r="N358" i="1"/>
  <c r="N374" i="1"/>
  <c r="N382" i="1"/>
  <c r="N398" i="1"/>
  <c r="S30" i="1"/>
  <c r="S38" i="1"/>
  <c r="S54" i="1"/>
  <c r="S62" i="1"/>
  <c r="S78" i="1"/>
  <c r="S86" i="1"/>
  <c r="S102" i="1"/>
  <c r="S110" i="1"/>
  <c r="S126" i="1"/>
  <c r="S134" i="1"/>
  <c r="S150" i="1"/>
  <c r="S158" i="1"/>
  <c r="S174" i="1"/>
  <c r="S182" i="1"/>
  <c r="S198" i="1"/>
  <c r="S206" i="1"/>
  <c r="S214" i="1"/>
  <c r="S230" i="1"/>
  <c r="S238" i="1"/>
  <c r="S254" i="1"/>
  <c r="S262" i="1"/>
  <c r="S278" i="1"/>
  <c r="S286" i="1"/>
  <c r="S302" i="1"/>
  <c r="S310" i="1"/>
  <c r="S326" i="1"/>
  <c r="S334" i="1"/>
  <c r="S350" i="1"/>
  <c r="S358" i="1"/>
  <c r="S374" i="1"/>
  <c r="S382" i="1"/>
  <c r="S398" i="1"/>
  <c r="X22" i="1"/>
  <c r="X30" i="1"/>
  <c r="X46" i="1"/>
  <c r="X54" i="1"/>
  <c r="X62" i="1"/>
  <c r="X78" i="1"/>
  <c r="X86" i="1"/>
  <c r="X102" i="1"/>
  <c r="X110" i="1"/>
  <c r="X126" i="1"/>
  <c r="X134" i="1"/>
  <c r="X150" i="1"/>
  <c r="X158" i="1"/>
  <c r="X166" i="1"/>
  <c r="X182" i="1"/>
  <c r="X190" i="1"/>
  <c r="X206" i="1"/>
  <c r="X214" i="1"/>
  <c r="X222" i="1"/>
  <c r="X238" i="1"/>
  <c r="X246" i="1"/>
  <c r="X254" i="1"/>
  <c r="X262" i="1"/>
  <c r="X270" i="1"/>
  <c r="X286" i="1"/>
  <c r="X294" i="1"/>
  <c r="X302" i="1"/>
  <c r="X310" i="1"/>
  <c r="X318" i="1"/>
  <c r="X326" i="1"/>
  <c r="X334" i="1"/>
  <c r="X366" i="1"/>
  <c r="N38" i="1"/>
  <c r="N62" i="1"/>
  <c r="N86" i="1"/>
  <c r="N102" i="1"/>
  <c r="N126" i="1"/>
  <c r="N150" i="1"/>
  <c r="N174" i="1"/>
  <c r="N198" i="1"/>
  <c r="N222" i="1"/>
  <c r="N246" i="1"/>
  <c r="N270" i="1"/>
  <c r="N294" i="1"/>
  <c r="N318" i="1"/>
  <c r="N342" i="1"/>
  <c r="N366" i="1"/>
  <c r="N390" i="1"/>
  <c r="S22" i="1"/>
  <c r="S46" i="1"/>
  <c r="S70" i="1"/>
  <c r="S94" i="1"/>
  <c r="S118" i="1"/>
  <c r="S142" i="1"/>
  <c r="S166" i="1"/>
  <c r="S190" i="1"/>
  <c r="S222" i="1"/>
  <c r="S246" i="1"/>
  <c r="S270" i="1"/>
  <c r="S294" i="1"/>
  <c r="S318" i="1"/>
  <c r="S342" i="1"/>
  <c r="S366" i="1"/>
  <c r="S390" i="1"/>
  <c r="X38" i="1"/>
  <c r="X70" i="1"/>
  <c r="X94" i="1"/>
  <c r="X118" i="1"/>
  <c r="X142" i="1"/>
  <c r="X174" i="1"/>
  <c r="X198" i="1"/>
  <c r="X230" i="1"/>
  <c r="X278" i="1"/>
  <c r="S105" i="1"/>
  <c r="S113" i="1"/>
  <c r="S121" i="1"/>
  <c r="S129" i="1"/>
  <c r="S137" i="1"/>
  <c r="S145" i="1"/>
  <c r="S153" i="1"/>
  <c r="S161" i="1"/>
  <c r="S169" i="1"/>
  <c r="S177" i="1"/>
  <c r="S185" i="1"/>
  <c r="S193" i="1"/>
  <c r="S201" i="1"/>
  <c r="S209" i="1"/>
  <c r="S217" i="1"/>
  <c r="S225" i="1"/>
  <c r="S233" i="1"/>
  <c r="S241" i="1"/>
  <c r="S249" i="1"/>
  <c r="S257" i="1"/>
  <c r="S265" i="1"/>
  <c r="S273" i="1"/>
  <c r="S281" i="1"/>
  <c r="S289" i="1"/>
  <c r="S297" i="1"/>
  <c r="S305" i="1"/>
  <c r="S313" i="1"/>
  <c r="S321" i="1"/>
  <c r="S329" i="1"/>
  <c r="S337" i="1"/>
  <c r="S345" i="1"/>
  <c r="S353" i="1"/>
  <c r="S361" i="1"/>
  <c r="S369" i="1"/>
  <c r="S377" i="1"/>
  <c r="S385" i="1"/>
  <c r="S393" i="1"/>
  <c r="X25" i="1"/>
  <c r="X33" i="1"/>
  <c r="X41" i="1"/>
  <c r="X49" i="1"/>
  <c r="X57" i="1"/>
  <c r="X65" i="1"/>
  <c r="X73" i="1"/>
  <c r="X81" i="1"/>
  <c r="X89" i="1"/>
  <c r="X97" i="1"/>
  <c r="X105" i="1"/>
  <c r="X113" i="1"/>
  <c r="X121" i="1"/>
  <c r="X129" i="1"/>
  <c r="X137" i="1"/>
  <c r="X145" i="1"/>
  <c r="X153" i="1"/>
  <c r="X161" i="1"/>
  <c r="X169" i="1"/>
  <c r="X177" i="1"/>
  <c r="X185" i="1"/>
  <c r="X193" i="1"/>
  <c r="X201" i="1"/>
  <c r="X209" i="1"/>
  <c r="X217" i="1"/>
  <c r="X225" i="1"/>
  <c r="X233" i="1"/>
  <c r="X241" i="1"/>
  <c r="X249" i="1"/>
  <c r="X257" i="1"/>
  <c r="X265" i="1"/>
  <c r="X273" i="1"/>
  <c r="X281" i="1"/>
  <c r="X289" i="1"/>
  <c r="X297" i="1"/>
  <c r="X305" i="1"/>
  <c r="X313" i="1"/>
  <c r="X321" i="1"/>
  <c r="X329" i="1"/>
  <c r="X337" i="1"/>
  <c r="X345" i="1"/>
  <c r="X353" i="1"/>
  <c r="X361" i="1"/>
  <c r="X369" i="1"/>
  <c r="X377" i="1"/>
  <c r="X385" i="1"/>
  <c r="X393" i="1"/>
  <c r="S376" i="1"/>
  <c r="S384" i="1"/>
  <c r="S392" i="1"/>
  <c r="X32" i="1"/>
  <c r="X64" i="1"/>
  <c r="X88" i="1"/>
  <c r="X96" i="1"/>
  <c r="X128" i="1"/>
  <c r="X144" i="1"/>
  <c r="X152" i="1"/>
  <c r="X160" i="1"/>
  <c r="X192" i="1"/>
  <c r="X208" i="1"/>
  <c r="X216" i="1"/>
  <c r="X224" i="1"/>
  <c r="X232" i="1"/>
  <c r="X256" i="1"/>
  <c r="X272" i="1"/>
  <c r="X280" i="1"/>
  <c r="X288" i="1"/>
  <c r="X296" i="1"/>
  <c r="X320" i="1"/>
  <c r="X336" i="1"/>
  <c r="X344" i="1"/>
  <c r="X352" i="1"/>
  <c r="X360" i="1"/>
  <c r="X368" i="1"/>
  <c r="X392" i="1"/>
  <c r="X342" i="1"/>
  <c r="X350" i="1"/>
  <c r="X358" i="1"/>
  <c r="X374" i="1"/>
  <c r="X382" i="1"/>
  <c r="X390" i="1"/>
  <c r="X398" i="1"/>
  <c r="AC198" i="1"/>
  <c r="AC262" i="1"/>
  <c r="AC294" i="1"/>
  <c r="AC326" i="1"/>
  <c r="AC358" i="1"/>
  <c r="AC390" i="1"/>
  <c r="N23" i="1"/>
  <c r="N31" i="1"/>
  <c r="N39" i="1"/>
  <c r="N47" i="1"/>
  <c r="N55" i="1"/>
  <c r="N63" i="1"/>
  <c r="N71" i="1"/>
  <c r="N79" i="1"/>
  <c r="N87" i="1"/>
  <c r="N95" i="1"/>
  <c r="N103" i="1"/>
  <c r="N111" i="1"/>
  <c r="N119" i="1"/>
  <c r="N127" i="1"/>
  <c r="N135" i="1"/>
  <c r="N143" i="1"/>
  <c r="N151" i="1"/>
  <c r="N159" i="1"/>
  <c r="N167" i="1"/>
  <c r="N175" i="1"/>
  <c r="N183" i="1"/>
  <c r="N191" i="1"/>
  <c r="N199" i="1"/>
  <c r="N207" i="1"/>
  <c r="N215" i="1"/>
  <c r="N223" i="1"/>
  <c r="N231" i="1"/>
  <c r="N239" i="1"/>
  <c r="N247" i="1"/>
  <c r="N255" i="1"/>
  <c r="N263" i="1"/>
  <c r="N271" i="1"/>
  <c r="N279" i="1"/>
  <c r="N287" i="1"/>
  <c r="N295" i="1"/>
  <c r="N303" i="1"/>
  <c r="N311" i="1"/>
  <c r="N319" i="1"/>
  <c r="N327" i="1"/>
  <c r="N335" i="1"/>
  <c r="N343" i="1"/>
  <c r="N351" i="1"/>
  <c r="N359" i="1"/>
  <c r="N367" i="1"/>
  <c r="N375" i="1"/>
  <c r="N383" i="1"/>
  <c r="N391" i="1"/>
  <c r="AC23" i="1"/>
  <c r="AC31" i="1"/>
  <c r="AC39" i="1"/>
  <c r="AC47" i="1"/>
  <c r="AC55" i="1"/>
  <c r="AC63" i="1"/>
  <c r="AC71" i="1"/>
  <c r="AC79" i="1"/>
  <c r="AC87" i="1"/>
  <c r="AC95" i="1"/>
  <c r="AC103" i="1"/>
  <c r="AC111" i="1"/>
  <c r="AC119" i="1"/>
  <c r="AC127" i="1"/>
  <c r="AC135" i="1"/>
  <c r="AC143" i="1"/>
  <c r="AC151" i="1"/>
  <c r="AC159" i="1"/>
  <c r="AC167" i="1"/>
  <c r="AC175" i="1"/>
  <c r="AC183" i="1"/>
  <c r="AC191" i="1"/>
  <c r="AC199" i="1"/>
  <c r="AC207" i="1"/>
  <c r="AC215" i="1"/>
  <c r="AC223" i="1"/>
  <c r="AC231" i="1"/>
  <c r="AC239" i="1"/>
  <c r="AC247" i="1"/>
  <c r="AC255" i="1"/>
  <c r="AC263" i="1"/>
  <c r="AC271" i="1"/>
  <c r="AC279" i="1"/>
  <c r="AC287" i="1"/>
  <c r="AC295" i="1"/>
  <c r="AC303" i="1"/>
  <c r="AC311" i="1"/>
  <c r="AC319" i="1"/>
  <c r="AC327" i="1"/>
  <c r="AC335" i="1"/>
  <c r="AC343" i="1"/>
  <c r="AC351" i="1"/>
  <c r="AC359" i="1"/>
  <c r="AC367" i="1"/>
  <c r="AC375" i="1"/>
  <c r="AC383" i="1"/>
  <c r="AC391" i="1"/>
  <c r="X23" i="1"/>
  <c r="X31" i="1"/>
  <c r="X39" i="1"/>
  <c r="X47" i="1"/>
  <c r="X55" i="1"/>
  <c r="X63" i="1"/>
  <c r="X71" i="1"/>
  <c r="X79" i="1"/>
  <c r="X87" i="1"/>
  <c r="X95" i="1"/>
  <c r="X103" i="1"/>
  <c r="X111" i="1"/>
  <c r="X119" i="1"/>
  <c r="X127" i="1"/>
  <c r="X135" i="1"/>
  <c r="X143" i="1"/>
  <c r="X151" i="1"/>
  <c r="X159" i="1"/>
  <c r="X167" i="1"/>
  <c r="X175" i="1"/>
  <c r="X183" i="1"/>
  <c r="X191" i="1"/>
  <c r="X199" i="1"/>
  <c r="X207" i="1"/>
  <c r="X215" i="1"/>
  <c r="X223" i="1"/>
  <c r="X231" i="1"/>
  <c r="X239" i="1"/>
  <c r="X247" i="1"/>
  <c r="X255" i="1"/>
  <c r="X263" i="1"/>
  <c r="X271" i="1"/>
  <c r="X279" i="1"/>
  <c r="X287" i="1"/>
  <c r="X295" i="1"/>
  <c r="X303" i="1"/>
  <c r="X311" i="1"/>
  <c r="X319" i="1"/>
  <c r="X327" i="1"/>
  <c r="X335" i="1"/>
  <c r="X343" i="1"/>
  <c r="X351" i="1"/>
  <c r="X359" i="1"/>
  <c r="X367" i="1"/>
  <c r="X375" i="1"/>
  <c r="X383" i="1"/>
  <c r="X391" i="1"/>
  <c r="S23" i="1"/>
  <c r="S31" i="1"/>
  <c r="S39" i="1"/>
  <c r="S47" i="1"/>
  <c r="S55" i="1"/>
  <c r="S63" i="1"/>
  <c r="S71" i="1"/>
  <c r="S79" i="1"/>
  <c r="S87" i="1"/>
  <c r="S95" i="1"/>
  <c r="S103" i="1"/>
  <c r="S111" i="1"/>
  <c r="S119" i="1"/>
  <c r="S127" i="1"/>
  <c r="S135" i="1"/>
  <c r="S143" i="1"/>
  <c r="S151" i="1"/>
  <c r="S159" i="1"/>
  <c r="S167" i="1"/>
  <c r="S175" i="1"/>
  <c r="S183" i="1"/>
  <c r="S191" i="1"/>
  <c r="S199" i="1"/>
  <c r="S207" i="1"/>
  <c r="S215" i="1"/>
  <c r="S223" i="1"/>
  <c r="S231" i="1"/>
  <c r="S239" i="1"/>
  <c r="S247" i="1"/>
  <c r="S255" i="1"/>
  <c r="S263" i="1"/>
  <c r="S271" i="1"/>
  <c r="S279" i="1"/>
  <c r="S287" i="1"/>
  <c r="S295" i="1"/>
  <c r="S303" i="1"/>
  <c r="S311" i="1"/>
  <c r="S319" i="1"/>
  <c r="S327" i="1"/>
  <c r="S335" i="1"/>
  <c r="S343" i="1"/>
  <c r="S351" i="1"/>
  <c r="S359" i="1"/>
  <c r="S367" i="1"/>
  <c r="S375" i="1"/>
  <c r="S383" i="1"/>
  <c r="S391" i="1"/>
  <c r="AC21" i="1"/>
  <c r="S21" i="1"/>
  <c r="X20" i="1"/>
  <c r="X21" i="1"/>
  <c r="AC20" i="1"/>
  <c r="AH14" i="1" l="1"/>
  <c r="S14" i="1"/>
  <c r="AC14" i="1"/>
  <c r="X14" i="1"/>
  <c r="N14" i="1"/>
  <c r="P11" i="2" a="1"/>
  <c r="P11" i="2" l="1"/>
  <c r="P14" i="2" a="1"/>
  <c r="P12" i="2" a="1"/>
  <c r="P15" i="2" a="1"/>
  <c r="P13" i="2" a="1"/>
  <c r="P12" i="2" l="1"/>
  <c r="P13" i="2"/>
  <c r="P15" i="2"/>
  <c r="P14" i="2"/>
  <c r="S11" i="2" l="1"/>
  <c r="T11" i="2" s="1"/>
  <c r="S12" i="2"/>
  <c r="T12" i="2" s="1"/>
  <c r="S10" i="2"/>
  <c r="T10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<sst xmlns="http://schemas.openxmlformats.org/spreadsheetml/2006/main" count="2518" uniqueCount="60">
  <si>
    <t>RODADA</t>
  </si>
  <si>
    <t>MANDANTE</t>
  </si>
  <si>
    <t>VISITANTE</t>
  </si>
  <si>
    <t>FLA</t>
  </si>
  <si>
    <t>PAL</t>
  </si>
  <si>
    <t>COR</t>
  </si>
  <si>
    <t>ACG</t>
  </si>
  <si>
    <t>SAO</t>
  </si>
  <si>
    <t>FLU</t>
  </si>
  <si>
    <t>CAM</t>
  </si>
  <si>
    <t>FOR</t>
  </si>
  <si>
    <t>INT</t>
  </si>
  <si>
    <t>SPT</t>
  </si>
  <si>
    <t>CEA</t>
  </si>
  <si>
    <t>GRE</t>
  </si>
  <si>
    <t>BAH</t>
  </si>
  <si>
    <t>SAN</t>
  </si>
  <si>
    <t>CHA</t>
  </si>
  <si>
    <t>BGT</t>
  </si>
  <si>
    <t>CAP</t>
  </si>
  <si>
    <t>AME</t>
  </si>
  <si>
    <t>CUI</t>
  </si>
  <si>
    <t>JUV</t>
  </si>
  <si>
    <t>x</t>
  </si>
  <si>
    <t>RESULTADO</t>
  </si>
  <si>
    <t>TIPO DE ACERTO</t>
  </si>
  <si>
    <t>PONTOS</t>
  </si>
  <si>
    <t>Acertou o placar</t>
  </si>
  <si>
    <t>Gols do time vencedor</t>
  </si>
  <si>
    <t>Saldo de gols</t>
  </si>
  <si>
    <t>Gols do time perdedor</t>
  </si>
  <si>
    <t>Acertou o vencedor</t>
  </si>
  <si>
    <t>Empate garantido</t>
  </si>
  <si>
    <t>Pontuação</t>
  </si>
  <si>
    <t>JOGADOR</t>
  </si>
  <si>
    <t>PONTUAÇÃO</t>
  </si>
  <si>
    <t>VALOR PAGO</t>
  </si>
  <si>
    <t>PREMIAÇÃO</t>
  </si>
  <si>
    <t>1º LUGAR - 70% do Total</t>
  </si>
  <si>
    <t>%</t>
  </si>
  <si>
    <t>3º LUGAR - 10% do Total</t>
  </si>
  <si>
    <t>PRÊMIO</t>
  </si>
  <si>
    <t>PALPITE</t>
  </si>
  <si>
    <t>ALON</t>
  </si>
  <si>
    <t>DIEGO</t>
  </si>
  <si>
    <t>AMANDA</t>
  </si>
  <si>
    <t>SÉRGIO</t>
  </si>
  <si>
    <t>BOLÃO CAMPEONATO BRASILEIRO 2021</t>
  </si>
  <si>
    <t>2º LUGAR - 20% do Total</t>
  </si>
  <si>
    <t>ALESSANDRA</t>
  </si>
  <si>
    <t>Diego</t>
  </si>
  <si>
    <t>Alessandra</t>
  </si>
  <si>
    <t>Jogador</t>
  </si>
  <si>
    <t>Foto</t>
  </si>
  <si>
    <t>Alon</t>
  </si>
  <si>
    <t>Amanda</t>
  </si>
  <si>
    <t>Sérgio</t>
  </si>
  <si>
    <t>Valor do bolão</t>
  </si>
  <si>
    <t>Participantes</t>
  </si>
  <si>
    <t>Total arrecadado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</si>
</sst>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0\ &quot;pts&quot;"/>
    <numFmt numFmtId="165" formatCode="0\ &quot;pts&quot;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rgb="FF2C6E49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rgb="FF2C6E4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dashed">
        <color rgb="FF4C956C"/>
      </top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 style="thin">
        <color indexed="64"/>
      </top>
      <bottom/>
      <diagonal/>
    </border>
    <border>
      <left style="medium">
        <color theme="0" tint="-0.34998626667073579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/>
    <xf numFmtId="0" fontId="4" fillId="0" borderId="0" xfId="0" applyFont="1" applyFill="1" applyAlignment="1">
      <alignment horizontal="center"/>
    </xf>
    <xf numFmtId="0" fontId="4" fillId="0" borderId="1" xfId="0" applyNumberFormat="1" applyFont="1" applyFill="1" applyBorder="1" applyAlignment="1">
      <alignment horizontal="center"/>
    </xf>
    <xf numFmtId="9" fontId="0" fillId="0" borderId="0" xfId="0" applyNumberFormat="1"/>
    <xf numFmtId="44" fontId="0" fillId="0" borderId="0" xfId="1" applyNumberFormat="1" applyFont="1"/>
    <xf numFmtId="0" fontId="2" fillId="0" borderId="2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165" fontId="0" fillId="0" borderId="0" xfId="0" applyNumberFormat="1"/>
    <xf numFmtId="0" fontId="2" fillId="3" borderId="11" xfId="0" applyFont="1" applyFill="1" applyBorder="1"/>
    <xf numFmtId="0" fontId="2" fillId="3" borderId="11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9" fillId="0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 applyBorder="1"/>
    <xf numFmtId="0" fontId="10" fillId="2" borderId="0" xfId="0" applyFont="1" applyFill="1"/>
    <xf numFmtId="0" fontId="2" fillId="0" borderId="0" xfId="0" applyFont="1" applyFill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1" fillId="0" borderId="0" xfId="0" applyFont="1" applyBorder="1" applyAlignment="1">
      <alignment horizontal="center"/>
    </xf>
    <xf numFmtId="9" fontId="0" fillId="0" borderId="0" xfId="0" applyNumberFormat="1" applyAlignment="1">
      <alignment horizontal="center"/>
    </xf>
    <xf numFmtId="44" fontId="0" fillId="0" borderId="0" xfId="1" applyNumberFormat="1" applyFont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0" xfId="1" applyFont="1"/>
    <xf numFmtId="0" fontId="7" fillId="3" borderId="8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164" fontId="3" fillId="0" borderId="23" xfId="0" applyNumberFormat="1" applyFont="1" applyFill="1" applyBorder="1" applyAlignment="1">
      <alignment horizontal="center" vertical="center"/>
    </xf>
    <xf numFmtId="164" fontId="3" fillId="0" borderId="6" xfId="0" applyNumberFormat="1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left" vertical="center"/>
    </xf>
    <xf numFmtId="0" fontId="6" fillId="3" borderId="19" xfId="0" applyFont="1" applyFill="1" applyBorder="1" applyAlignment="1">
      <alignment horizontal="left" vertical="center"/>
    </xf>
    <xf numFmtId="0" fontId="6" fillId="3" borderId="20" xfId="0" applyFont="1" applyFill="1" applyBorder="1" applyAlignment="1">
      <alignment horizontal="left" vertical="center"/>
    </xf>
    <xf numFmtId="0" fontId="6" fillId="3" borderId="21" xfId="0" applyFont="1" applyFill="1" applyBorder="1" applyAlignment="1">
      <alignment horizontal="left" vertical="center"/>
    </xf>
    <xf numFmtId="0" fontId="6" fillId="3" borderId="22" xfId="0" applyFont="1" applyFill="1" applyBorder="1" applyAlignment="1">
      <alignment horizontal="left" vertical="center"/>
    </xf>
    <xf numFmtId="0" fontId="6" fillId="3" borderId="10" xfId="0" applyFont="1" applyFill="1" applyBorder="1" applyAlignment="1">
      <alignment horizontal="left" vertical="center"/>
    </xf>
    <xf numFmtId="0" fontId="6" fillId="3" borderId="12" xfId="0" applyFont="1" applyFill="1" applyBorder="1" applyAlignment="1">
      <alignment horizontal="left" vertical="center"/>
    </xf>
    <xf numFmtId="0" fontId="6" fillId="3" borderId="13" xfId="0" applyFont="1" applyFill="1" applyBorder="1" applyAlignment="1">
      <alignment horizontal="left" vertical="center"/>
    </xf>
    <xf numFmtId="0" fontId="6" fillId="3" borderId="14" xfId="0" applyFont="1" applyFill="1" applyBorder="1" applyAlignment="1">
      <alignment horizontal="left" vertical="center"/>
    </xf>
    <xf numFmtId="0" fontId="6" fillId="3" borderId="15" xfId="0" applyFont="1" applyFill="1" applyBorder="1" applyAlignment="1">
      <alignment horizontal="left" vertical="center"/>
    </xf>
    <xf numFmtId="0" fontId="6" fillId="3" borderId="16" xfId="0" applyFont="1" applyFill="1" applyBorder="1" applyAlignment="1">
      <alignment horizontal="left" vertical="center"/>
    </xf>
    <xf numFmtId="0" fontId="6" fillId="3" borderId="17" xfId="0" applyFont="1" applyFill="1" applyBorder="1" applyAlignment="1">
      <alignment horizontal="left" vertical="center"/>
    </xf>
    <xf numFmtId="164" fontId="3" fillId="0" borderId="1" xfId="0" applyNumberFormat="1" applyFont="1" applyFill="1" applyBorder="1" applyAlignment="1">
      <alignment horizontal="center" vertical="center"/>
    </xf>
    <xf numFmtId="164" fontId="3" fillId="0" borderId="24" xfId="0" applyNumberFormat="1" applyFont="1" applyFill="1" applyBorder="1" applyAlignment="1">
      <alignment horizontal="center" vertical="center"/>
    </xf>
    <xf numFmtId="164" fontId="3" fillId="0" borderId="25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2C6E49"/>
      <color rgb="FFD68C45"/>
      <color rgb="FFFFC9B9"/>
      <color rgb="FF4C95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svg"/><Relationship Id="rId18" Type="http://schemas.openxmlformats.org/officeDocument/2006/relationships/image" Target="../media/image18.png"/><Relationship Id="rId26" Type="http://schemas.openxmlformats.org/officeDocument/2006/relationships/image" Target="../media/image26.svg"/><Relationship Id="rId3" Type="http://schemas.openxmlformats.org/officeDocument/2006/relationships/image" Target="../media/image3.emf"/><Relationship Id="rId21" Type="http://schemas.openxmlformats.org/officeDocument/2006/relationships/image" Target="../media/image21.svg"/><Relationship Id="rId7" Type="http://schemas.openxmlformats.org/officeDocument/2006/relationships/image" Target="../media/image7.svg"/><Relationship Id="rId12" Type="http://schemas.openxmlformats.org/officeDocument/2006/relationships/image" Target="../media/image12.png"/><Relationship Id="rId17" Type="http://schemas.openxmlformats.org/officeDocument/2006/relationships/image" Target="../media/image17.svg"/><Relationship Id="rId25" Type="http://schemas.openxmlformats.org/officeDocument/2006/relationships/image" Target="../media/image25.png"/><Relationship Id="rId2" Type="http://schemas.openxmlformats.org/officeDocument/2006/relationships/image" Target="../media/image2.sv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svg"/><Relationship Id="rId24" Type="http://schemas.openxmlformats.org/officeDocument/2006/relationships/image" Target="../media/image24.svg"/><Relationship Id="rId5" Type="http://schemas.openxmlformats.org/officeDocument/2006/relationships/image" Target="../media/image5.emf"/><Relationship Id="rId15" Type="http://schemas.openxmlformats.org/officeDocument/2006/relationships/image" Target="../media/image15.sv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10" Type="http://schemas.openxmlformats.org/officeDocument/2006/relationships/image" Target="../media/image10.png"/><Relationship Id="rId19" Type="http://schemas.openxmlformats.org/officeDocument/2006/relationships/image" Target="../media/image19.svg"/><Relationship Id="rId4" Type="http://schemas.openxmlformats.org/officeDocument/2006/relationships/image" Target="../media/image4.emf"/><Relationship Id="rId9" Type="http://schemas.openxmlformats.org/officeDocument/2006/relationships/image" Target="../media/image9.sv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sv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jpeg"/><Relationship Id="rId2" Type="http://schemas.openxmlformats.org/officeDocument/2006/relationships/image" Target="../media/image35.jpeg"/><Relationship Id="rId1" Type="http://schemas.openxmlformats.org/officeDocument/2006/relationships/image" Target="../media/image34.jpeg"/><Relationship Id="rId5" Type="http://schemas.openxmlformats.org/officeDocument/2006/relationships/image" Target="../media/image38.jpeg"/><Relationship Id="rId4" Type="http://schemas.openxmlformats.org/officeDocument/2006/relationships/image" Target="../media/image37.jpe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3.png"/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381000</xdr:colOff>
      <xdr:row>8</xdr:row>
      <xdr:rowOff>47626</xdr:rowOff>
    </xdr:from>
    <xdr:to>
      <xdr:col>15</xdr:col>
      <xdr:colOff>200025</xdr:colOff>
      <xdr:row>10</xdr:row>
      <xdr:rowOff>123826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163EBCF2-6A12-4DD0-90E5-24FADB64FCAA}"/>
            </a:ext>
          </a:extLst>
        </xdr:cNvPr>
        <xdr:cNvSpPr/>
      </xdr:nvSpPr>
      <xdr:spPr>
        <a:xfrm>
          <a:off x="8810625" y="2219326"/>
          <a:ext cx="752475" cy="457200"/>
        </a:xfrm>
        <a:prstGeom prst="rect">
          <a:avLst/>
        </a:prstGeom>
        <a:solidFill>
          <a:schemeClr val="accent3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209550</xdr:colOff>
      <xdr:row>7</xdr:row>
      <xdr:rowOff>0</xdr:rowOff>
    </xdr:from>
    <xdr:to>
      <xdr:col>17</xdr:col>
      <xdr:colOff>219075</xdr:colOff>
      <xdr:row>10</xdr:row>
      <xdr:rowOff>123825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1FBFDECD-09B6-4BC6-AC1B-8CE4FC84F819}"/>
            </a:ext>
          </a:extLst>
        </xdr:cNvPr>
        <xdr:cNvSpPr/>
      </xdr:nvSpPr>
      <xdr:spPr>
        <a:xfrm>
          <a:off x="9572625" y="1981200"/>
          <a:ext cx="752475" cy="695325"/>
        </a:xfrm>
        <a:prstGeom prst="rect">
          <a:avLst/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228600</xdr:colOff>
      <xdr:row>9</xdr:row>
      <xdr:rowOff>9526</xdr:rowOff>
    </xdr:from>
    <xdr:to>
      <xdr:col>18</xdr:col>
      <xdr:colOff>371475</xdr:colOff>
      <xdr:row>10</xdr:row>
      <xdr:rowOff>123826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6BA2849F-DA37-4DA9-BE4A-BAB721E7A06D}"/>
            </a:ext>
          </a:extLst>
        </xdr:cNvPr>
        <xdr:cNvSpPr/>
      </xdr:nvSpPr>
      <xdr:spPr>
        <a:xfrm>
          <a:off x="10334625" y="2371726"/>
          <a:ext cx="752475" cy="304800"/>
        </a:xfrm>
        <a:prstGeom prst="rect">
          <a:avLst/>
        </a:prstGeom>
        <a:solidFill>
          <a:schemeClr val="accent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295275</xdr:colOff>
      <xdr:row>10</xdr:row>
      <xdr:rowOff>133351</xdr:rowOff>
    </xdr:from>
    <xdr:to>
      <xdr:col>18</xdr:col>
      <xdr:colOff>438150</xdr:colOff>
      <xdr:row>10</xdr:row>
      <xdr:rowOff>179070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2B4CAC34-E832-4250-A82D-DF2855D0B219}"/>
            </a:ext>
          </a:extLst>
        </xdr:cNvPr>
        <xdr:cNvSpPr/>
      </xdr:nvSpPr>
      <xdr:spPr>
        <a:xfrm>
          <a:off x="8724900" y="2686051"/>
          <a:ext cx="2428875" cy="45719"/>
        </a:xfrm>
        <a:prstGeom prst="rect">
          <a:avLst/>
        </a:prstGeom>
        <a:solidFill>
          <a:schemeClr val="tx2">
            <a:lumMod val="50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342900</xdr:colOff>
      <xdr:row>6</xdr:row>
      <xdr:rowOff>180975</xdr:rowOff>
    </xdr:from>
    <xdr:to>
      <xdr:col>17</xdr:col>
      <xdr:colOff>85725</xdr:colOff>
      <xdr:row>8</xdr:row>
      <xdr:rowOff>152400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9383D4C2-09B1-4324-833A-FBB4725AC5CE}"/>
            </a:ext>
          </a:extLst>
        </xdr:cNvPr>
        <xdr:cNvSpPr txBox="1"/>
      </xdr:nvSpPr>
      <xdr:spPr>
        <a:xfrm>
          <a:off x="9705975" y="1971675"/>
          <a:ext cx="48577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400" b="1">
              <a:solidFill>
                <a:schemeClr val="bg1"/>
              </a:solidFill>
            </a:rPr>
            <a:t>1º</a:t>
          </a:r>
        </a:p>
      </xdr:txBody>
    </xdr:sp>
    <xdr:clientData/>
  </xdr:twoCellAnchor>
  <xdr:twoCellAnchor>
    <xdr:from>
      <xdr:col>13</xdr:col>
      <xdr:colOff>533400</xdr:colOff>
      <xdr:row>8</xdr:row>
      <xdr:rowOff>133350</xdr:rowOff>
    </xdr:from>
    <xdr:to>
      <xdr:col>15</xdr:col>
      <xdr:colOff>85725</xdr:colOff>
      <xdr:row>10</xdr:row>
      <xdr:rowOff>104775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1EDBBAF4-EA1B-4990-A9DF-B99B8B52DBFE}"/>
            </a:ext>
          </a:extLst>
        </xdr:cNvPr>
        <xdr:cNvSpPr txBox="1"/>
      </xdr:nvSpPr>
      <xdr:spPr>
        <a:xfrm>
          <a:off x="8963025" y="2305050"/>
          <a:ext cx="48577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400" b="1">
              <a:solidFill>
                <a:schemeClr val="bg1"/>
              </a:solidFill>
            </a:rPr>
            <a:t>2º</a:t>
          </a:r>
        </a:p>
      </xdr:txBody>
    </xdr:sp>
    <xdr:clientData/>
  </xdr:twoCellAnchor>
  <xdr:twoCellAnchor>
    <xdr:from>
      <xdr:col>17</xdr:col>
      <xdr:colOff>371475</xdr:colOff>
      <xdr:row>9</xdr:row>
      <xdr:rowOff>0</xdr:rowOff>
    </xdr:from>
    <xdr:to>
      <xdr:col>18</xdr:col>
      <xdr:colOff>247650</xdr:colOff>
      <xdr:row>10</xdr:row>
      <xdr:rowOff>161925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04F882AC-43AF-498A-859F-880D206FB784}"/>
            </a:ext>
          </a:extLst>
        </xdr:cNvPr>
        <xdr:cNvSpPr txBox="1"/>
      </xdr:nvSpPr>
      <xdr:spPr>
        <a:xfrm>
          <a:off x="10477500" y="2362200"/>
          <a:ext cx="48577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400" b="1">
              <a:solidFill>
                <a:schemeClr val="bg1"/>
              </a:solidFill>
            </a:rPr>
            <a:t>3º</a:t>
          </a:r>
        </a:p>
      </xdr:txBody>
    </xdr:sp>
    <xdr:clientData/>
  </xdr:twoCellAnchor>
  <xdr:twoCellAnchor>
    <xdr:from>
      <xdr:col>15</xdr:col>
      <xdr:colOff>171450</xdr:colOff>
      <xdr:row>6</xdr:row>
      <xdr:rowOff>135255</xdr:rowOff>
    </xdr:from>
    <xdr:to>
      <xdr:col>17</xdr:col>
      <xdr:colOff>247651</xdr:colOff>
      <xdr:row>6</xdr:row>
      <xdr:rowOff>180974</xdr:rowOff>
    </xdr:to>
    <xdr:sp macro="" textlink="">
      <xdr:nvSpPr>
        <xdr:cNvPr id="17" name="Retângulo 16">
          <a:extLst>
            <a:ext uri="{FF2B5EF4-FFF2-40B4-BE49-F238E27FC236}">
              <a16:creationId xmlns:a16="http://schemas.microsoft.com/office/drawing/2014/main" id="{09546828-67E2-4D08-8F6C-614409737F34}"/>
            </a:ext>
          </a:extLst>
        </xdr:cNvPr>
        <xdr:cNvSpPr/>
      </xdr:nvSpPr>
      <xdr:spPr>
        <a:xfrm>
          <a:off x="9534525" y="1925955"/>
          <a:ext cx="819151" cy="45719"/>
        </a:xfrm>
        <a:prstGeom prst="rect">
          <a:avLst/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228600</xdr:colOff>
      <xdr:row>8</xdr:row>
      <xdr:rowOff>144780</xdr:rowOff>
    </xdr:from>
    <xdr:to>
      <xdr:col>18</xdr:col>
      <xdr:colOff>390525</xdr:colOff>
      <xdr:row>8</xdr:row>
      <xdr:rowOff>190499</xdr:rowOff>
    </xdr:to>
    <xdr:sp macro="" textlink="">
      <xdr:nvSpPr>
        <xdr:cNvPr id="18" name="Retângulo 17">
          <a:extLst>
            <a:ext uri="{FF2B5EF4-FFF2-40B4-BE49-F238E27FC236}">
              <a16:creationId xmlns:a16="http://schemas.microsoft.com/office/drawing/2014/main" id="{1B84244F-7B73-4376-A2B5-7970BADD32FD}"/>
            </a:ext>
          </a:extLst>
        </xdr:cNvPr>
        <xdr:cNvSpPr/>
      </xdr:nvSpPr>
      <xdr:spPr>
        <a:xfrm>
          <a:off x="10334625" y="2316480"/>
          <a:ext cx="771525" cy="45719"/>
        </a:xfrm>
        <a:prstGeom prst="rect">
          <a:avLst/>
        </a:prstGeom>
        <a:solidFill>
          <a:schemeClr val="accent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361950</xdr:colOff>
      <xdr:row>7</xdr:row>
      <xdr:rowOff>182880</xdr:rowOff>
    </xdr:from>
    <xdr:to>
      <xdr:col>15</xdr:col>
      <xdr:colOff>200025</xdr:colOff>
      <xdr:row>8</xdr:row>
      <xdr:rowOff>38099</xdr:rowOff>
    </xdr:to>
    <xdr:sp macro="" textlink="">
      <xdr:nvSpPr>
        <xdr:cNvPr id="19" name="Retângulo 18">
          <a:extLst>
            <a:ext uri="{FF2B5EF4-FFF2-40B4-BE49-F238E27FC236}">
              <a16:creationId xmlns:a16="http://schemas.microsoft.com/office/drawing/2014/main" id="{E6087D1A-C90A-44DC-8DA6-B5C91F887875}"/>
            </a:ext>
          </a:extLst>
        </xdr:cNvPr>
        <xdr:cNvSpPr/>
      </xdr:nvSpPr>
      <xdr:spPr>
        <a:xfrm>
          <a:off x="8791575" y="2164080"/>
          <a:ext cx="771525" cy="45719"/>
        </a:xfrm>
        <a:prstGeom prst="rect">
          <a:avLst/>
        </a:prstGeom>
        <a:solidFill>
          <a:schemeClr val="accent3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15</xdr:col>
      <xdr:colOff>390525</xdr:colOff>
      <xdr:row>8</xdr:row>
      <xdr:rowOff>114300</xdr:rowOff>
    </xdr:from>
    <xdr:to>
      <xdr:col>17</xdr:col>
      <xdr:colOff>9525</xdr:colOff>
      <xdr:row>10</xdr:row>
      <xdr:rowOff>95250</xdr:rowOff>
    </xdr:to>
    <xdr:pic>
      <xdr:nvPicPr>
        <xdr:cNvPr id="21" name="Gráfico 20" descr="Troféu com preenchimento sólido">
          <a:extLst>
            <a:ext uri="{FF2B5EF4-FFF2-40B4-BE49-F238E27FC236}">
              <a16:creationId xmlns:a16="http://schemas.microsoft.com/office/drawing/2014/main" id="{03469F54-9F37-4077-960F-A251DA761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753600" y="2286000"/>
          <a:ext cx="361950" cy="361950"/>
        </a:xfrm>
        <a:prstGeom prst="rect">
          <a:avLst/>
        </a:prstGeom>
      </xdr:spPr>
    </xdr:pic>
    <xdr:clientData/>
  </xdr:twoCellAnchor>
  <xdr:twoCellAnchor>
    <xdr:from>
      <xdr:col>15</xdr:col>
      <xdr:colOff>52137</xdr:colOff>
      <xdr:row>5</xdr:row>
      <xdr:rowOff>75699</xdr:rowOff>
    </xdr:from>
    <xdr:to>
      <xdr:col>17</xdr:col>
      <xdr:colOff>395037</xdr:colOff>
      <xdr:row>7</xdr:row>
      <xdr:rowOff>47124</xdr:rowOff>
    </xdr:to>
    <xdr:sp macro="" textlink="Auxiliar!T10">
      <xdr:nvSpPr>
        <xdr:cNvPr id="22" name="CaixaDeTexto 21">
          <a:extLst>
            <a:ext uri="{FF2B5EF4-FFF2-40B4-BE49-F238E27FC236}">
              <a16:creationId xmlns:a16="http://schemas.microsoft.com/office/drawing/2014/main" id="{45AAF150-C797-41E0-B001-4648560283DA}"/>
            </a:ext>
          </a:extLst>
        </xdr:cNvPr>
        <xdr:cNvSpPr txBox="1"/>
      </xdr:nvSpPr>
      <xdr:spPr>
        <a:xfrm>
          <a:off x="9415212" y="1675899"/>
          <a:ext cx="108585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118223A-5CD3-4082-B152-619962ABE505}" type="TxLink">
            <a:rPr lang="en-US" sz="1000" b="1" i="0" u="none" strike="noStrike">
              <a:solidFill>
                <a:schemeClr val="accent4">
                  <a:lumMod val="75000"/>
                </a:schemeClr>
              </a:solidFill>
              <a:latin typeface="Calibri"/>
              <a:cs typeface="Calibri"/>
            </a:rPr>
            <a:pPr algn="ctr"/>
            <a:t>ALON</a:t>
          </a:fld>
          <a:endParaRPr lang="pt-BR" sz="1000" b="1" i="0">
            <a:solidFill>
              <a:schemeClr val="accent4">
                <a:lumMod val="75000"/>
              </a:schemeClr>
            </a:solidFill>
          </a:endParaRPr>
        </a:p>
      </xdr:txBody>
    </xdr:sp>
    <xdr:clientData/>
  </xdr:twoCellAnchor>
  <xdr:twoCellAnchor>
    <xdr:from>
      <xdr:col>13</xdr:col>
      <xdr:colOff>171450</xdr:colOff>
      <xdr:row>6</xdr:row>
      <xdr:rowOff>76200</xdr:rowOff>
    </xdr:from>
    <xdr:to>
      <xdr:col>15</xdr:col>
      <xdr:colOff>323850</xdr:colOff>
      <xdr:row>8</xdr:row>
      <xdr:rowOff>47625</xdr:rowOff>
    </xdr:to>
    <xdr:sp macro="" textlink="Auxiliar!T11">
      <xdr:nvSpPr>
        <xdr:cNvPr id="24" name="CaixaDeTexto 23">
          <a:extLst>
            <a:ext uri="{FF2B5EF4-FFF2-40B4-BE49-F238E27FC236}">
              <a16:creationId xmlns:a16="http://schemas.microsoft.com/office/drawing/2014/main" id="{4E7D52B8-47D6-4E75-91A7-48137853A00C}"/>
            </a:ext>
          </a:extLst>
        </xdr:cNvPr>
        <xdr:cNvSpPr txBox="1"/>
      </xdr:nvSpPr>
      <xdr:spPr>
        <a:xfrm>
          <a:off x="8601075" y="1866900"/>
          <a:ext cx="108585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8A85DA1B-C121-4665-88EF-ED7C4F322B6A}" type="TxLink">
            <a:rPr lang="en-US" sz="1000" b="1" i="0" u="none" strike="noStrike">
              <a:solidFill>
                <a:schemeClr val="accent3">
                  <a:lumMod val="50000"/>
                </a:schemeClr>
              </a:solidFill>
              <a:latin typeface="Calibri"/>
              <a:ea typeface="+mn-ea"/>
              <a:cs typeface="Calibri"/>
            </a:rPr>
            <a:pPr marL="0" indent="0" algn="ctr"/>
            <a:t>AMANDA</a:t>
          </a:fld>
          <a:endParaRPr lang="pt-BR" sz="1000" b="1" i="0" u="none" strike="noStrike">
            <a:solidFill>
              <a:schemeClr val="accent3">
                <a:lumMod val="50000"/>
              </a:schemeClr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17</xdr:col>
      <xdr:colOff>76200</xdr:colOff>
      <xdr:row>7</xdr:row>
      <xdr:rowOff>38100</xdr:rowOff>
    </xdr:from>
    <xdr:to>
      <xdr:col>18</xdr:col>
      <xdr:colOff>552450</xdr:colOff>
      <xdr:row>9</xdr:row>
      <xdr:rowOff>9525</xdr:rowOff>
    </xdr:to>
    <xdr:sp macro="" textlink="Auxiliar!T12">
      <xdr:nvSpPr>
        <xdr:cNvPr id="25" name="CaixaDeTexto 24">
          <a:extLst>
            <a:ext uri="{FF2B5EF4-FFF2-40B4-BE49-F238E27FC236}">
              <a16:creationId xmlns:a16="http://schemas.microsoft.com/office/drawing/2014/main" id="{B76B1127-4BBE-43CA-AAE4-944618197891}"/>
            </a:ext>
          </a:extLst>
        </xdr:cNvPr>
        <xdr:cNvSpPr txBox="1"/>
      </xdr:nvSpPr>
      <xdr:spPr>
        <a:xfrm>
          <a:off x="10182225" y="2019300"/>
          <a:ext cx="108585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786B3129-33F9-4156-B58C-CB6E2A54F3AF}" type="TxLink">
            <a:rPr lang="en-US" sz="1000" b="1" i="0" u="none" strike="noStrike">
              <a:solidFill>
                <a:schemeClr val="accent2">
                  <a:lumMod val="50000"/>
                </a:schemeClr>
              </a:solidFill>
              <a:latin typeface="Calibri"/>
              <a:ea typeface="+mn-ea"/>
              <a:cs typeface="Calibri"/>
            </a:rPr>
            <a:pPr marL="0" indent="0" algn="ctr"/>
            <a:t>DIEGO</a:t>
          </a:fld>
          <a:endParaRPr lang="pt-BR" sz="1000" b="1" i="0" u="none" strike="noStrike">
            <a:solidFill>
              <a:schemeClr val="accent2">
                <a:lumMod val="50000"/>
              </a:schemeClr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15</xdr:col>
      <xdr:colOff>66675</xdr:colOff>
      <xdr:row>1</xdr:row>
      <xdr:rowOff>342900</xdr:rowOff>
    </xdr:from>
    <xdr:to>
      <xdr:col>17</xdr:col>
      <xdr:colOff>409575</xdr:colOff>
      <xdr:row>2</xdr:row>
      <xdr:rowOff>200025</xdr:rowOff>
    </xdr:to>
    <xdr:sp macro="" textlink="Auxiliar!S10">
      <xdr:nvSpPr>
        <xdr:cNvPr id="26" name="CaixaDeTexto 25">
          <a:extLst>
            <a:ext uri="{FF2B5EF4-FFF2-40B4-BE49-F238E27FC236}">
              <a16:creationId xmlns:a16="http://schemas.microsoft.com/office/drawing/2014/main" id="{20E19FC0-D355-4C59-BA70-D52A637C10AA}"/>
            </a:ext>
          </a:extLst>
        </xdr:cNvPr>
        <xdr:cNvSpPr txBox="1"/>
      </xdr:nvSpPr>
      <xdr:spPr>
        <a:xfrm>
          <a:off x="9429750" y="838200"/>
          <a:ext cx="1085850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D5E3BF1-5AF8-4305-A161-86AFB55476C7}" type="TxLink">
            <a:rPr lang="en-US" sz="2000" b="1" i="0" u="none" strike="noStrike">
              <a:solidFill>
                <a:schemeClr val="accent4">
                  <a:lumMod val="75000"/>
                </a:schemeClr>
              </a:solidFill>
              <a:latin typeface="Calibri"/>
              <a:cs typeface="Calibri"/>
            </a:rPr>
            <a:pPr algn="ctr"/>
            <a:t>710 pts</a:t>
          </a:fld>
          <a:endParaRPr lang="pt-BR" sz="1600" b="1" i="0">
            <a:solidFill>
              <a:schemeClr val="accent4">
                <a:lumMod val="75000"/>
              </a:schemeClr>
            </a:solidFill>
          </a:endParaRPr>
        </a:p>
      </xdr:txBody>
    </xdr:sp>
    <xdr:clientData/>
  </xdr:twoCellAnchor>
  <xdr:twoCellAnchor>
    <xdr:from>
      <xdr:col>13</xdr:col>
      <xdr:colOff>171450</xdr:colOff>
      <xdr:row>3</xdr:row>
      <xdr:rowOff>28575</xdr:rowOff>
    </xdr:from>
    <xdr:to>
      <xdr:col>15</xdr:col>
      <xdr:colOff>323850</xdr:colOff>
      <xdr:row>5</xdr:row>
      <xdr:rowOff>0</xdr:rowOff>
    </xdr:to>
    <xdr:sp macro="" textlink="Auxiliar!S11">
      <xdr:nvSpPr>
        <xdr:cNvPr id="27" name="CaixaDeTexto 26">
          <a:extLst>
            <a:ext uri="{FF2B5EF4-FFF2-40B4-BE49-F238E27FC236}">
              <a16:creationId xmlns:a16="http://schemas.microsoft.com/office/drawing/2014/main" id="{5EA9767B-0ECF-4767-8EAB-982FF46B4EA7}"/>
            </a:ext>
          </a:extLst>
        </xdr:cNvPr>
        <xdr:cNvSpPr txBox="1"/>
      </xdr:nvSpPr>
      <xdr:spPr>
        <a:xfrm>
          <a:off x="8601075" y="1247775"/>
          <a:ext cx="108585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7E95CA2-9F9B-4BDD-9165-E62F3908318F}" type="TxLink">
            <a:rPr lang="en-US" sz="1400" b="1" i="0" u="none" strike="noStrike">
              <a:solidFill>
                <a:schemeClr val="accent3">
                  <a:lumMod val="50000"/>
                </a:schemeClr>
              </a:solidFill>
              <a:latin typeface="Calibri"/>
              <a:cs typeface="Calibri"/>
            </a:rPr>
            <a:pPr algn="ctr"/>
            <a:t>696 pts</a:t>
          </a:fld>
          <a:endParaRPr lang="pt-BR" sz="1600" b="1" i="0">
            <a:solidFill>
              <a:schemeClr val="accent3">
                <a:lumMod val="50000"/>
              </a:schemeClr>
            </a:solidFill>
          </a:endParaRPr>
        </a:p>
      </xdr:txBody>
    </xdr:sp>
    <xdr:clientData/>
  </xdr:twoCellAnchor>
  <xdr:twoCellAnchor>
    <xdr:from>
      <xdr:col>17</xdr:col>
      <xdr:colOff>95250</xdr:colOff>
      <xdr:row>3</xdr:row>
      <xdr:rowOff>133350</xdr:rowOff>
    </xdr:from>
    <xdr:to>
      <xdr:col>18</xdr:col>
      <xdr:colOff>571500</xdr:colOff>
      <xdr:row>5</xdr:row>
      <xdr:rowOff>104775</xdr:rowOff>
    </xdr:to>
    <xdr:sp macro="" textlink="Auxiliar!S12">
      <xdr:nvSpPr>
        <xdr:cNvPr id="28" name="CaixaDeTexto 27">
          <a:extLst>
            <a:ext uri="{FF2B5EF4-FFF2-40B4-BE49-F238E27FC236}">
              <a16:creationId xmlns:a16="http://schemas.microsoft.com/office/drawing/2014/main" id="{CA7852E2-30BF-4599-A8DB-BC688B5CE9FB}"/>
            </a:ext>
          </a:extLst>
        </xdr:cNvPr>
        <xdr:cNvSpPr txBox="1"/>
      </xdr:nvSpPr>
      <xdr:spPr>
        <a:xfrm>
          <a:off x="10201275" y="1352550"/>
          <a:ext cx="108585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9055A94-C5A5-4C6D-A34B-58208A16296E}" type="TxLink">
            <a:rPr lang="en-US" sz="1200" b="1" i="0" u="none" strike="noStrike">
              <a:solidFill>
                <a:schemeClr val="accent2">
                  <a:lumMod val="50000"/>
                </a:schemeClr>
              </a:solidFill>
              <a:latin typeface="Calibri"/>
              <a:cs typeface="Calibri"/>
            </a:rPr>
            <a:pPr algn="ctr"/>
            <a:t>693 pts</a:t>
          </a:fld>
          <a:endParaRPr lang="pt-BR" sz="1600" b="1" i="0">
            <a:solidFill>
              <a:schemeClr val="accent2">
                <a:lumMod val="50000"/>
              </a:schemeClr>
            </a:solidFill>
          </a:endParaRPr>
        </a:p>
      </xdr:txBody>
    </xdr:sp>
    <xdr:clientData/>
  </xdr:twoCellAnchor>
  <xdr:twoCellAnchor>
    <xdr:from>
      <xdr:col>14</xdr:col>
      <xdr:colOff>76200</xdr:colOff>
      <xdr:row>5</xdr:row>
      <xdr:rowOff>76200</xdr:rowOff>
    </xdr:from>
    <xdr:to>
      <xdr:col>18</xdr:col>
      <xdr:colOff>238125</xdr:colOff>
      <xdr:row>6</xdr:row>
      <xdr:rowOff>171450</xdr:rowOff>
    </xdr:to>
    <xdr:sp macro="" textlink="">
      <xdr:nvSpPr>
        <xdr:cNvPr id="31" name="Retângulo 30">
          <a:extLst>
            <a:ext uri="{FF2B5EF4-FFF2-40B4-BE49-F238E27FC236}">
              <a16:creationId xmlns:a16="http://schemas.microsoft.com/office/drawing/2014/main" id="{089C6662-E7BF-445F-963D-86F3AB855F42}"/>
            </a:ext>
          </a:extLst>
        </xdr:cNvPr>
        <xdr:cNvSpPr/>
      </xdr:nvSpPr>
      <xdr:spPr>
        <a:xfrm>
          <a:off x="9239250" y="1676400"/>
          <a:ext cx="171450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142875</xdr:colOff>
      <xdr:row>1</xdr:row>
      <xdr:rowOff>114299</xdr:rowOff>
    </xdr:from>
    <xdr:to>
      <xdr:col>10</xdr:col>
      <xdr:colOff>493987</xdr:colOff>
      <xdr:row>3</xdr:row>
      <xdr:rowOff>19050</xdr:rowOff>
    </xdr:to>
    <xdr:sp macro="" textlink="">
      <xdr:nvSpPr>
        <xdr:cNvPr id="37" name="Retângulo 36">
          <a:extLst>
            <a:ext uri="{FF2B5EF4-FFF2-40B4-BE49-F238E27FC236}">
              <a16:creationId xmlns:a16="http://schemas.microsoft.com/office/drawing/2014/main" id="{1F6981B0-C82B-4E85-AD7E-535204788EB1}"/>
            </a:ext>
          </a:extLst>
        </xdr:cNvPr>
        <xdr:cNvSpPr/>
      </xdr:nvSpPr>
      <xdr:spPr>
        <a:xfrm>
          <a:off x="5695950" y="609599"/>
          <a:ext cx="1875112" cy="628651"/>
        </a:xfrm>
        <a:prstGeom prst="rect">
          <a:avLst/>
        </a:prstGeom>
        <a:noFill/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222217</xdr:colOff>
          <xdr:row>2</xdr:row>
          <xdr:rowOff>217382</xdr:rowOff>
        </xdr:from>
        <xdr:to>
          <xdr:col>17</xdr:col>
          <xdr:colOff>180975</xdr:colOff>
          <xdr:row>5</xdr:row>
          <xdr:rowOff>179150</xdr:rowOff>
        </xdr:to>
        <xdr:pic>
          <xdr:nvPicPr>
            <xdr:cNvPr id="30" name="Imagem 29">
              <a:extLst>
                <a:ext uri="{FF2B5EF4-FFF2-40B4-BE49-F238E27FC236}">
                  <a16:creationId xmlns:a16="http://schemas.microsoft.com/office/drawing/2014/main" id="{BC0ED4A6-2E9B-4CD9-910E-B25F1BA035B0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primeiro" spid="_x0000_s1224"/>
                </a:ext>
              </a:extLst>
            </xdr:cNvPicPr>
          </xdr:nvPicPr>
          <xdr:blipFill rotWithShape="1">
            <a:blip xmlns:r="http://schemas.openxmlformats.org/officeDocument/2006/relationships" r:embed="rId3"/>
            <a:srcRect l="1409" r="1409"/>
            <a:stretch>
              <a:fillRect/>
            </a:stretch>
          </xdr:blipFill>
          <xdr:spPr>
            <a:xfrm>
              <a:off x="9585292" y="1074632"/>
              <a:ext cx="701708" cy="704718"/>
            </a:xfrm>
            <a:prstGeom prst="ellipse">
              <a:avLst/>
            </a:prstGeom>
            <a:ln>
              <a:noFill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460342</xdr:colOff>
          <xdr:row>4</xdr:row>
          <xdr:rowOff>93558</xdr:rowOff>
        </xdr:from>
        <xdr:to>
          <xdr:col>15</xdr:col>
          <xdr:colOff>0</xdr:colOff>
          <xdr:row>6</xdr:row>
          <xdr:rowOff>187696</xdr:rowOff>
        </xdr:to>
        <xdr:pic>
          <xdr:nvPicPr>
            <xdr:cNvPr id="32" name="Imagem 31">
              <a:extLst>
                <a:ext uri="{FF2B5EF4-FFF2-40B4-BE49-F238E27FC236}">
                  <a16:creationId xmlns:a16="http://schemas.microsoft.com/office/drawing/2014/main" id="{95197FAA-1062-4821-939E-319C51382B63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segundo" spid="_x0000_s1225"/>
                </a:ext>
              </a:extLst>
            </xdr:cNvPicPr>
          </xdr:nvPicPr>
          <xdr:blipFill rotWithShape="1">
            <a:blip xmlns:r="http://schemas.openxmlformats.org/officeDocument/2006/relationships" r:embed="rId4"/>
            <a:srcRect l="1409" r="1409"/>
            <a:stretch>
              <a:fillRect/>
            </a:stretch>
          </xdr:blipFill>
          <xdr:spPr>
            <a:xfrm>
              <a:off x="8889967" y="1503258"/>
              <a:ext cx="473108" cy="475138"/>
            </a:xfrm>
            <a:prstGeom prst="ellipse">
              <a:avLst/>
            </a:prstGeom>
            <a:ln>
              <a:noFill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355567</xdr:colOff>
          <xdr:row>5</xdr:row>
          <xdr:rowOff>55458</xdr:rowOff>
        </xdr:from>
        <xdr:to>
          <xdr:col>18</xdr:col>
          <xdr:colOff>219075</xdr:colOff>
          <xdr:row>7</xdr:row>
          <xdr:rowOff>149596</xdr:rowOff>
        </xdr:to>
        <xdr:pic>
          <xdr:nvPicPr>
            <xdr:cNvPr id="33" name="Imagem 32">
              <a:extLst>
                <a:ext uri="{FF2B5EF4-FFF2-40B4-BE49-F238E27FC236}">
                  <a16:creationId xmlns:a16="http://schemas.microsoft.com/office/drawing/2014/main" id="{D622C088-AE10-4304-8BEA-72677A5EFBA4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terceiro" spid="_x0000_s1226"/>
                </a:ext>
              </a:extLst>
            </xdr:cNvPicPr>
          </xdr:nvPicPr>
          <xdr:blipFill rotWithShape="1">
            <a:blip xmlns:r="http://schemas.openxmlformats.org/officeDocument/2006/relationships" r:embed="rId5"/>
            <a:srcRect l="1409" r="1409"/>
            <a:stretch>
              <a:fillRect/>
            </a:stretch>
          </xdr:blipFill>
          <xdr:spPr>
            <a:xfrm>
              <a:off x="10461592" y="1655658"/>
              <a:ext cx="473108" cy="475138"/>
            </a:xfrm>
            <a:prstGeom prst="ellipse">
              <a:avLst/>
            </a:prstGeom>
            <a:ln>
              <a:noFill/>
            </a:ln>
          </xdr:spPr>
        </xdr:pic>
        <xdr:clientData/>
      </xdr:twoCellAnchor>
    </mc:Choice>
    <mc:Fallback/>
  </mc:AlternateContent>
  <xdr:twoCellAnchor editAs="oneCell">
    <xdr:from>
      <xdr:col>10</xdr:col>
      <xdr:colOff>123825</xdr:colOff>
      <xdr:row>2</xdr:row>
      <xdr:rowOff>57150</xdr:rowOff>
    </xdr:from>
    <xdr:to>
      <xdr:col>10</xdr:col>
      <xdr:colOff>400050</xdr:colOff>
      <xdr:row>2</xdr:row>
      <xdr:rowOff>333375</xdr:rowOff>
    </xdr:to>
    <xdr:pic>
      <xdr:nvPicPr>
        <xdr:cNvPr id="38" name="Gráfico 37" descr="Troféu com preenchimento sólido">
          <a:extLst>
            <a:ext uri="{FF2B5EF4-FFF2-40B4-BE49-F238E27FC236}">
              <a16:creationId xmlns:a16="http://schemas.microsoft.com/office/drawing/2014/main" id="{A1E89848-0C34-4767-BF24-B90D3BDC0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7200900" y="914400"/>
          <a:ext cx="276225" cy="276225"/>
        </a:xfrm>
        <a:prstGeom prst="rect">
          <a:avLst/>
        </a:prstGeom>
      </xdr:spPr>
    </xdr:pic>
    <xdr:clientData/>
  </xdr:twoCellAnchor>
  <xdr:twoCellAnchor>
    <xdr:from>
      <xdr:col>7</xdr:col>
      <xdr:colOff>171450</xdr:colOff>
      <xdr:row>1</xdr:row>
      <xdr:rowOff>133351</xdr:rowOff>
    </xdr:from>
    <xdr:to>
      <xdr:col>10</xdr:col>
      <xdr:colOff>104775</xdr:colOff>
      <xdr:row>1</xdr:row>
      <xdr:rowOff>323851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BA97B50C-BB63-453E-8B84-756CB892BF42}"/>
            </a:ext>
          </a:extLst>
        </xdr:cNvPr>
        <xdr:cNvSpPr txBox="1"/>
      </xdr:nvSpPr>
      <xdr:spPr>
        <a:xfrm>
          <a:off x="5724525" y="628651"/>
          <a:ext cx="1457325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 b="1">
              <a:solidFill>
                <a:schemeClr val="accent4">
                  <a:lumMod val="75000"/>
                </a:schemeClr>
              </a:solidFill>
            </a:rPr>
            <a:t>Prêmio</a:t>
          </a:r>
          <a:r>
            <a:rPr lang="pt-BR" sz="1000" b="1" baseline="0">
              <a:solidFill>
                <a:schemeClr val="accent4">
                  <a:lumMod val="75000"/>
                </a:schemeClr>
              </a:solidFill>
            </a:rPr>
            <a:t> 1º colocado</a:t>
          </a:r>
          <a:endParaRPr lang="pt-BR" sz="1000" b="1">
            <a:solidFill>
              <a:schemeClr val="accent4">
                <a:lumMod val="75000"/>
              </a:schemeClr>
            </a:solidFill>
          </a:endParaRPr>
        </a:p>
      </xdr:txBody>
    </xdr:sp>
    <xdr:clientData/>
  </xdr:twoCellAnchor>
  <xdr:twoCellAnchor>
    <xdr:from>
      <xdr:col>7</xdr:col>
      <xdr:colOff>152400</xdr:colOff>
      <xdr:row>3</xdr:row>
      <xdr:rowOff>95249</xdr:rowOff>
    </xdr:from>
    <xdr:to>
      <xdr:col>10</xdr:col>
      <xdr:colOff>503512</xdr:colOff>
      <xdr:row>6</xdr:row>
      <xdr:rowOff>152400</xdr:rowOff>
    </xdr:to>
    <xdr:sp macro="" textlink="">
      <xdr:nvSpPr>
        <xdr:cNvPr id="39" name="Retângulo 38">
          <a:extLst>
            <a:ext uri="{FF2B5EF4-FFF2-40B4-BE49-F238E27FC236}">
              <a16:creationId xmlns:a16="http://schemas.microsoft.com/office/drawing/2014/main" id="{AC507B00-50D6-478A-A725-A6E8273CE80A}"/>
            </a:ext>
          </a:extLst>
        </xdr:cNvPr>
        <xdr:cNvSpPr/>
      </xdr:nvSpPr>
      <xdr:spPr>
        <a:xfrm>
          <a:off x="5705475" y="1314449"/>
          <a:ext cx="1875112" cy="628651"/>
        </a:xfrm>
        <a:prstGeom prst="rect">
          <a:avLst/>
        </a:prstGeom>
        <a:noFill/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10</xdr:col>
      <xdr:colOff>133350</xdr:colOff>
      <xdr:row>5</xdr:row>
      <xdr:rowOff>19050</xdr:rowOff>
    </xdr:from>
    <xdr:to>
      <xdr:col>10</xdr:col>
      <xdr:colOff>409575</xdr:colOff>
      <xdr:row>6</xdr:row>
      <xdr:rowOff>104775</xdr:rowOff>
    </xdr:to>
    <xdr:pic>
      <xdr:nvPicPr>
        <xdr:cNvPr id="40" name="Gráfico 39" descr="Troféu com preenchimento sólido">
          <a:extLst>
            <a:ext uri="{FF2B5EF4-FFF2-40B4-BE49-F238E27FC236}">
              <a16:creationId xmlns:a16="http://schemas.microsoft.com/office/drawing/2014/main" id="{F6F04943-917F-4AB2-AC23-C31FD2072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7210425" y="1619250"/>
          <a:ext cx="276225" cy="276225"/>
        </a:xfrm>
        <a:prstGeom prst="rect">
          <a:avLst/>
        </a:prstGeom>
      </xdr:spPr>
    </xdr:pic>
    <xdr:clientData/>
  </xdr:twoCellAnchor>
  <xdr:twoCellAnchor>
    <xdr:from>
      <xdr:col>7</xdr:col>
      <xdr:colOff>180975</xdr:colOff>
      <xdr:row>3</xdr:row>
      <xdr:rowOff>114301</xdr:rowOff>
    </xdr:from>
    <xdr:to>
      <xdr:col>10</xdr:col>
      <xdr:colOff>114300</xdr:colOff>
      <xdr:row>4</xdr:row>
      <xdr:rowOff>114301</xdr:rowOff>
    </xdr:to>
    <xdr:sp macro="" textlink="">
      <xdr:nvSpPr>
        <xdr:cNvPr id="41" name="CaixaDeTexto 40">
          <a:extLst>
            <a:ext uri="{FF2B5EF4-FFF2-40B4-BE49-F238E27FC236}">
              <a16:creationId xmlns:a16="http://schemas.microsoft.com/office/drawing/2014/main" id="{28AFA239-7B8E-4B3D-A902-84AA577071AF}"/>
            </a:ext>
          </a:extLst>
        </xdr:cNvPr>
        <xdr:cNvSpPr txBox="1"/>
      </xdr:nvSpPr>
      <xdr:spPr>
        <a:xfrm>
          <a:off x="5734050" y="1333501"/>
          <a:ext cx="1457325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 b="1">
              <a:solidFill>
                <a:schemeClr val="accent3">
                  <a:lumMod val="50000"/>
                </a:schemeClr>
              </a:solidFill>
            </a:rPr>
            <a:t>Prêmio</a:t>
          </a:r>
          <a:r>
            <a:rPr lang="pt-BR" sz="1000" b="1" baseline="0">
              <a:solidFill>
                <a:schemeClr val="accent3">
                  <a:lumMod val="50000"/>
                </a:schemeClr>
              </a:solidFill>
            </a:rPr>
            <a:t> 1º colocado</a:t>
          </a:r>
          <a:endParaRPr lang="pt-BR" sz="1000" b="1">
            <a:solidFill>
              <a:schemeClr val="accent3">
                <a:lumMod val="50000"/>
              </a:schemeClr>
            </a:solidFill>
          </a:endParaRPr>
        </a:p>
      </xdr:txBody>
    </xdr:sp>
    <xdr:clientData/>
  </xdr:twoCellAnchor>
  <xdr:twoCellAnchor>
    <xdr:from>
      <xdr:col>7</xdr:col>
      <xdr:colOff>152400</xdr:colOff>
      <xdr:row>7</xdr:row>
      <xdr:rowOff>38099</xdr:rowOff>
    </xdr:from>
    <xdr:to>
      <xdr:col>10</xdr:col>
      <xdr:colOff>503512</xdr:colOff>
      <xdr:row>10</xdr:row>
      <xdr:rowOff>95250</xdr:rowOff>
    </xdr:to>
    <xdr:sp macro="" textlink="">
      <xdr:nvSpPr>
        <xdr:cNvPr id="42" name="Retângulo 41">
          <a:extLst>
            <a:ext uri="{FF2B5EF4-FFF2-40B4-BE49-F238E27FC236}">
              <a16:creationId xmlns:a16="http://schemas.microsoft.com/office/drawing/2014/main" id="{9EC6E92F-921C-4E8C-8542-290918C54AA8}"/>
            </a:ext>
          </a:extLst>
        </xdr:cNvPr>
        <xdr:cNvSpPr/>
      </xdr:nvSpPr>
      <xdr:spPr>
        <a:xfrm>
          <a:off x="5705475" y="2019299"/>
          <a:ext cx="1875112" cy="628651"/>
        </a:xfrm>
        <a:prstGeom prst="rect">
          <a:avLst/>
        </a:prstGeom>
        <a:noFill/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10</xdr:col>
      <xdr:colOff>133350</xdr:colOff>
      <xdr:row>8</xdr:row>
      <xdr:rowOff>152400</xdr:rowOff>
    </xdr:from>
    <xdr:to>
      <xdr:col>10</xdr:col>
      <xdr:colOff>409575</xdr:colOff>
      <xdr:row>10</xdr:row>
      <xdr:rowOff>47625</xdr:rowOff>
    </xdr:to>
    <xdr:pic>
      <xdr:nvPicPr>
        <xdr:cNvPr id="43" name="Gráfico 42" descr="Troféu com preenchimento sólido">
          <a:extLst>
            <a:ext uri="{FF2B5EF4-FFF2-40B4-BE49-F238E27FC236}">
              <a16:creationId xmlns:a16="http://schemas.microsoft.com/office/drawing/2014/main" id="{D2565A45-31CD-48A2-BDB8-E37E7B1BE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7210425" y="2324100"/>
          <a:ext cx="276225" cy="276225"/>
        </a:xfrm>
        <a:prstGeom prst="rect">
          <a:avLst/>
        </a:prstGeom>
      </xdr:spPr>
    </xdr:pic>
    <xdr:clientData/>
  </xdr:twoCellAnchor>
  <xdr:twoCellAnchor>
    <xdr:from>
      <xdr:col>7</xdr:col>
      <xdr:colOff>180975</xdr:colOff>
      <xdr:row>7</xdr:row>
      <xdr:rowOff>57151</xdr:rowOff>
    </xdr:from>
    <xdr:to>
      <xdr:col>10</xdr:col>
      <xdr:colOff>114300</xdr:colOff>
      <xdr:row>8</xdr:row>
      <xdr:rowOff>57151</xdr:rowOff>
    </xdr:to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8C7F890F-9A9C-4179-8120-ABF42B3E2994}"/>
            </a:ext>
          </a:extLst>
        </xdr:cNvPr>
        <xdr:cNvSpPr txBox="1"/>
      </xdr:nvSpPr>
      <xdr:spPr>
        <a:xfrm>
          <a:off x="5734050" y="2038351"/>
          <a:ext cx="1457325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 b="1">
              <a:solidFill>
                <a:schemeClr val="accent2">
                  <a:lumMod val="50000"/>
                </a:schemeClr>
              </a:solidFill>
            </a:rPr>
            <a:t>Prêmio</a:t>
          </a:r>
          <a:r>
            <a:rPr lang="pt-BR" sz="1000" b="1" baseline="0">
              <a:solidFill>
                <a:schemeClr val="accent2">
                  <a:lumMod val="50000"/>
                </a:schemeClr>
              </a:solidFill>
            </a:rPr>
            <a:t> 1º colocado</a:t>
          </a:r>
          <a:endParaRPr lang="pt-BR" sz="1000" b="1">
            <a:solidFill>
              <a:schemeClr val="accent2">
                <a:lumMod val="50000"/>
              </a:schemeClr>
            </a:solidFill>
          </a:endParaRPr>
        </a:p>
      </xdr:txBody>
    </xdr:sp>
    <xdr:clientData/>
  </xdr:twoCellAnchor>
  <xdr:twoCellAnchor>
    <xdr:from>
      <xdr:col>7</xdr:col>
      <xdr:colOff>123824</xdr:colOff>
      <xdr:row>1</xdr:row>
      <xdr:rowOff>352425</xdr:rowOff>
    </xdr:from>
    <xdr:to>
      <xdr:col>9</xdr:col>
      <xdr:colOff>161925</xdr:colOff>
      <xdr:row>3</xdr:row>
      <xdr:rowOff>19050</xdr:rowOff>
    </xdr:to>
    <xdr:sp macro="" textlink="Auxiliar!L11">
      <xdr:nvSpPr>
        <xdr:cNvPr id="3" name="CaixaDeTexto 2">
          <a:extLst>
            <a:ext uri="{FF2B5EF4-FFF2-40B4-BE49-F238E27FC236}">
              <a16:creationId xmlns:a16="http://schemas.microsoft.com/office/drawing/2014/main" id="{ACBFCADD-4A64-4779-9759-965FCC467F88}"/>
            </a:ext>
          </a:extLst>
        </xdr:cNvPr>
        <xdr:cNvSpPr txBox="1"/>
      </xdr:nvSpPr>
      <xdr:spPr>
        <a:xfrm>
          <a:off x="5676899" y="847725"/>
          <a:ext cx="1362076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AFDA2D4C-D67B-409A-BB0F-3F355071C4B7}" type="TxLink">
            <a:rPr lang="en-US" sz="2000" b="1" i="0" u="none" strike="noStrike">
              <a:solidFill>
                <a:schemeClr val="accent4">
                  <a:lumMod val="75000"/>
                </a:schemeClr>
              </a:solidFill>
              <a:latin typeface="Calibri"/>
              <a:cs typeface="Calibri"/>
            </a:rPr>
            <a:pPr/>
            <a:t> R$ 700,00 </a:t>
          </a:fld>
          <a:endParaRPr lang="pt-BR" sz="2000" b="1">
            <a:solidFill>
              <a:schemeClr val="accent4">
                <a:lumMod val="75000"/>
              </a:schemeClr>
            </a:solidFill>
          </a:endParaRPr>
        </a:p>
      </xdr:txBody>
    </xdr:sp>
    <xdr:clientData/>
  </xdr:twoCellAnchor>
  <xdr:twoCellAnchor>
    <xdr:from>
      <xdr:col>7</xdr:col>
      <xdr:colOff>104774</xdr:colOff>
      <xdr:row>4</xdr:row>
      <xdr:rowOff>104775</xdr:rowOff>
    </xdr:from>
    <xdr:to>
      <xdr:col>9</xdr:col>
      <xdr:colOff>142875</xdr:colOff>
      <xdr:row>6</xdr:row>
      <xdr:rowOff>114300</xdr:rowOff>
    </xdr:to>
    <xdr:sp macro="" textlink="Auxiliar!L12">
      <xdr:nvSpPr>
        <xdr:cNvPr id="45" name="CaixaDeTexto 44">
          <a:extLst>
            <a:ext uri="{FF2B5EF4-FFF2-40B4-BE49-F238E27FC236}">
              <a16:creationId xmlns:a16="http://schemas.microsoft.com/office/drawing/2014/main" id="{8A071DAD-E86F-421D-B310-49477F02022F}"/>
            </a:ext>
          </a:extLst>
        </xdr:cNvPr>
        <xdr:cNvSpPr txBox="1"/>
      </xdr:nvSpPr>
      <xdr:spPr>
        <a:xfrm>
          <a:off x="5657849" y="1514475"/>
          <a:ext cx="1362076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DFA5181A-BF17-4693-A0AE-F87C151EA7E7}" type="TxLink">
            <a:rPr lang="en-US" sz="2000" b="1" i="0" u="none" strike="noStrike">
              <a:solidFill>
                <a:schemeClr val="accent3">
                  <a:lumMod val="50000"/>
                </a:schemeClr>
              </a:solidFill>
              <a:latin typeface="Calibri"/>
              <a:ea typeface="+mn-ea"/>
              <a:cs typeface="Calibri"/>
            </a:rPr>
            <a:pPr marL="0" indent="0"/>
            <a:t> R$ 200,00 </a:t>
          </a:fld>
          <a:endParaRPr lang="pt-BR" sz="2000" b="1" i="0" u="none" strike="noStrike">
            <a:solidFill>
              <a:schemeClr val="accent3">
                <a:lumMod val="50000"/>
              </a:schemeClr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7</xdr:col>
      <xdr:colOff>123824</xdr:colOff>
      <xdr:row>8</xdr:row>
      <xdr:rowOff>95250</xdr:rowOff>
    </xdr:from>
    <xdr:to>
      <xdr:col>9</xdr:col>
      <xdr:colOff>161925</xdr:colOff>
      <xdr:row>10</xdr:row>
      <xdr:rowOff>104775</xdr:rowOff>
    </xdr:to>
    <xdr:sp macro="" textlink="Auxiliar!L13">
      <xdr:nvSpPr>
        <xdr:cNvPr id="46" name="CaixaDeTexto 45">
          <a:extLst>
            <a:ext uri="{FF2B5EF4-FFF2-40B4-BE49-F238E27FC236}">
              <a16:creationId xmlns:a16="http://schemas.microsoft.com/office/drawing/2014/main" id="{8D5A05C0-D72D-455A-97BA-E5CB01913291}"/>
            </a:ext>
          </a:extLst>
        </xdr:cNvPr>
        <xdr:cNvSpPr txBox="1"/>
      </xdr:nvSpPr>
      <xdr:spPr>
        <a:xfrm>
          <a:off x="5676899" y="2266950"/>
          <a:ext cx="1362076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131054B0-30C6-4800-B166-5BCD8123FA71}" type="TxLink">
            <a:rPr lang="en-US" sz="2000" b="1" i="0" u="none" strike="noStrike">
              <a:solidFill>
                <a:schemeClr val="accent2">
                  <a:lumMod val="50000"/>
                </a:schemeClr>
              </a:solidFill>
              <a:latin typeface="Calibri"/>
              <a:ea typeface="+mn-ea"/>
              <a:cs typeface="Calibri"/>
            </a:rPr>
            <a:pPr marL="0" indent="0"/>
            <a:t> R$ 100,00 </a:t>
          </a:fld>
          <a:endParaRPr lang="pt-BR" sz="2000" b="1" i="0" u="none" strike="noStrike">
            <a:solidFill>
              <a:schemeClr val="accent2">
                <a:lumMod val="50000"/>
              </a:schemeClr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0</xdr:col>
      <xdr:colOff>114301</xdr:colOff>
      <xdr:row>1</xdr:row>
      <xdr:rowOff>142874</xdr:rowOff>
    </xdr:from>
    <xdr:to>
      <xdr:col>0</xdr:col>
      <xdr:colOff>2190750</xdr:colOff>
      <xdr:row>17</xdr:row>
      <xdr:rowOff>142874</xdr:rowOff>
    </xdr:to>
    <xdr:sp macro="" textlink="">
      <xdr:nvSpPr>
        <xdr:cNvPr id="47" name="Retângulo 46">
          <a:extLst>
            <a:ext uri="{FF2B5EF4-FFF2-40B4-BE49-F238E27FC236}">
              <a16:creationId xmlns:a16="http://schemas.microsoft.com/office/drawing/2014/main" id="{F4BB112A-A268-4E00-8F7F-988A3D1B53A2}"/>
            </a:ext>
          </a:extLst>
        </xdr:cNvPr>
        <xdr:cNvSpPr/>
      </xdr:nvSpPr>
      <xdr:spPr>
        <a:xfrm>
          <a:off x="114301" y="638174"/>
          <a:ext cx="2076449" cy="3267075"/>
        </a:xfrm>
        <a:prstGeom prst="rect">
          <a:avLst/>
        </a:prstGeom>
        <a:noFill/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142875</xdr:colOff>
      <xdr:row>1</xdr:row>
      <xdr:rowOff>180975</xdr:rowOff>
    </xdr:from>
    <xdr:to>
      <xdr:col>0</xdr:col>
      <xdr:colOff>2066925</xdr:colOff>
      <xdr:row>2</xdr:row>
      <xdr:rowOff>28574</xdr:rowOff>
    </xdr:to>
    <xdr:sp macro="" textlink="">
      <xdr:nvSpPr>
        <xdr:cNvPr id="48" name="CaixaDeTexto 47">
          <a:extLst>
            <a:ext uri="{FF2B5EF4-FFF2-40B4-BE49-F238E27FC236}">
              <a16:creationId xmlns:a16="http://schemas.microsoft.com/office/drawing/2014/main" id="{2E9909BB-FEA3-4FE6-A18B-80D59C8EDD99}"/>
            </a:ext>
          </a:extLst>
        </xdr:cNvPr>
        <xdr:cNvSpPr txBox="1"/>
      </xdr:nvSpPr>
      <xdr:spPr>
        <a:xfrm>
          <a:off x="142875" y="542925"/>
          <a:ext cx="1924050" cy="2095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bg1"/>
              </a:solidFill>
            </a:rPr>
            <a:t>REGRAS DE PONTUAÇÃO</a:t>
          </a:r>
        </a:p>
      </xdr:txBody>
    </xdr:sp>
    <xdr:clientData/>
  </xdr:twoCellAnchor>
  <xdr:twoCellAnchor>
    <xdr:from>
      <xdr:col>0</xdr:col>
      <xdr:colOff>600075</xdr:colOff>
      <xdr:row>2</xdr:row>
      <xdr:rowOff>123825</xdr:rowOff>
    </xdr:from>
    <xdr:to>
      <xdr:col>0</xdr:col>
      <xdr:colOff>1714500</xdr:colOff>
      <xdr:row>4</xdr:row>
      <xdr:rowOff>9524</xdr:rowOff>
    </xdr:to>
    <xdr:sp macro="" textlink="">
      <xdr:nvSpPr>
        <xdr:cNvPr id="49" name="CaixaDeTexto 48">
          <a:extLst>
            <a:ext uri="{FF2B5EF4-FFF2-40B4-BE49-F238E27FC236}">
              <a16:creationId xmlns:a16="http://schemas.microsoft.com/office/drawing/2014/main" id="{8DD72D63-D412-43D9-A909-5C1848F7923B}"/>
            </a:ext>
          </a:extLst>
        </xdr:cNvPr>
        <xdr:cNvSpPr txBox="1"/>
      </xdr:nvSpPr>
      <xdr:spPr>
        <a:xfrm>
          <a:off x="600075" y="847725"/>
          <a:ext cx="1114425" cy="4381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 b="1">
              <a:solidFill>
                <a:schemeClr val="bg1"/>
              </a:solidFill>
            </a:rPr>
            <a:t>Acertou</a:t>
          </a:r>
          <a:r>
            <a:rPr lang="pt-BR" sz="1000" b="1" baseline="0">
              <a:solidFill>
                <a:schemeClr val="bg1"/>
              </a:solidFill>
            </a:rPr>
            <a:t> o placar: </a:t>
          </a:r>
        </a:p>
        <a:p>
          <a:r>
            <a:rPr lang="pt-BR" sz="1000" b="1" u="sng" baseline="0">
              <a:solidFill>
                <a:schemeClr val="bg1"/>
              </a:solidFill>
            </a:rPr>
            <a:t>25 PONTOS</a:t>
          </a:r>
          <a:endParaRPr lang="pt-BR" sz="1000" b="1" u="sng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600076</xdr:colOff>
      <xdr:row>4</xdr:row>
      <xdr:rowOff>28575</xdr:rowOff>
    </xdr:from>
    <xdr:to>
      <xdr:col>0</xdr:col>
      <xdr:colOff>2085976</xdr:colOff>
      <xdr:row>6</xdr:row>
      <xdr:rowOff>104774</xdr:rowOff>
    </xdr:to>
    <xdr:sp macro="" textlink="">
      <xdr:nvSpPr>
        <xdr:cNvPr id="50" name="CaixaDeTexto 49">
          <a:extLst>
            <a:ext uri="{FF2B5EF4-FFF2-40B4-BE49-F238E27FC236}">
              <a16:creationId xmlns:a16="http://schemas.microsoft.com/office/drawing/2014/main" id="{D9AAB2C1-B5F4-42FC-9AF5-D1809D918F6C}"/>
            </a:ext>
          </a:extLst>
        </xdr:cNvPr>
        <xdr:cNvSpPr txBox="1"/>
      </xdr:nvSpPr>
      <xdr:spPr>
        <a:xfrm>
          <a:off x="600076" y="1304925"/>
          <a:ext cx="1485900" cy="4571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 b="1" baseline="0">
              <a:solidFill>
                <a:schemeClr val="bg1"/>
              </a:solidFill>
            </a:rPr>
            <a:t>Gols do time vencedor: </a:t>
          </a:r>
        </a:p>
        <a:p>
          <a:r>
            <a:rPr lang="pt-BR" sz="1000" b="1" u="sng" baseline="0">
              <a:solidFill>
                <a:schemeClr val="bg1"/>
              </a:solidFill>
            </a:rPr>
            <a:t>18 PONTOS</a:t>
          </a:r>
          <a:endParaRPr lang="pt-BR" sz="1000" b="1" u="sng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571501</xdr:colOff>
      <xdr:row>6</xdr:row>
      <xdr:rowOff>161926</xdr:rowOff>
    </xdr:from>
    <xdr:to>
      <xdr:col>0</xdr:col>
      <xdr:colOff>1790701</xdr:colOff>
      <xdr:row>9</xdr:row>
      <xdr:rowOff>95250</xdr:rowOff>
    </xdr:to>
    <xdr:sp macro="" textlink="">
      <xdr:nvSpPr>
        <xdr:cNvPr id="51" name="CaixaDeTexto 50">
          <a:extLst>
            <a:ext uri="{FF2B5EF4-FFF2-40B4-BE49-F238E27FC236}">
              <a16:creationId xmlns:a16="http://schemas.microsoft.com/office/drawing/2014/main" id="{55F0BED9-002E-4756-A39B-029A72C1AB63}"/>
            </a:ext>
          </a:extLst>
        </xdr:cNvPr>
        <xdr:cNvSpPr txBox="1"/>
      </xdr:nvSpPr>
      <xdr:spPr>
        <a:xfrm>
          <a:off x="571501" y="1819276"/>
          <a:ext cx="1219200" cy="5048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 b="1" baseline="0">
              <a:solidFill>
                <a:schemeClr val="bg1"/>
              </a:solidFill>
            </a:rPr>
            <a:t>Saldo de gols: </a:t>
          </a:r>
        </a:p>
        <a:p>
          <a:r>
            <a:rPr lang="pt-BR" sz="1000" b="1" u="sng" baseline="0">
              <a:solidFill>
                <a:schemeClr val="bg1"/>
              </a:solidFill>
            </a:rPr>
            <a:t>15 PONTOS</a:t>
          </a:r>
          <a:endParaRPr lang="pt-BR" sz="1000" b="1" u="sng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571500</xdr:colOff>
      <xdr:row>9</xdr:row>
      <xdr:rowOff>76200</xdr:rowOff>
    </xdr:from>
    <xdr:to>
      <xdr:col>0</xdr:col>
      <xdr:colOff>2028825</xdr:colOff>
      <xdr:row>12</xdr:row>
      <xdr:rowOff>57149</xdr:rowOff>
    </xdr:to>
    <xdr:sp macro="" textlink="">
      <xdr:nvSpPr>
        <xdr:cNvPr id="52" name="CaixaDeTexto 51">
          <a:extLst>
            <a:ext uri="{FF2B5EF4-FFF2-40B4-BE49-F238E27FC236}">
              <a16:creationId xmlns:a16="http://schemas.microsoft.com/office/drawing/2014/main" id="{4D68922A-8C46-411C-BCF1-282C8F55DB55}"/>
            </a:ext>
          </a:extLst>
        </xdr:cNvPr>
        <xdr:cNvSpPr txBox="1"/>
      </xdr:nvSpPr>
      <xdr:spPr>
        <a:xfrm>
          <a:off x="571500" y="2305050"/>
          <a:ext cx="1457325" cy="4190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 b="1" baseline="0">
              <a:solidFill>
                <a:schemeClr val="bg1"/>
              </a:solidFill>
            </a:rPr>
            <a:t>Gols do time perdedor: </a:t>
          </a:r>
        </a:p>
        <a:p>
          <a:r>
            <a:rPr lang="pt-BR" sz="1000" b="1" u="sng" baseline="0">
              <a:solidFill>
                <a:schemeClr val="bg1"/>
              </a:solidFill>
            </a:rPr>
            <a:t>12 PONTOS</a:t>
          </a:r>
          <a:endParaRPr lang="pt-BR" sz="1000" b="1" u="sng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581025</xdr:colOff>
      <xdr:row>12</xdr:row>
      <xdr:rowOff>28575</xdr:rowOff>
    </xdr:from>
    <xdr:to>
      <xdr:col>0</xdr:col>
      <xdr:colOff>1924050</xdr:colOff>
      <xdr:row>14</xdr:row>
      <xdr:rowOff>114299</xdr:rowOff>
    </xdr:to>
    <xdr:sp macro="" textlink="">
      <xdr:nvSpPr>
        <xdr:cNvPr id="53" name="CaixaDeTexto 52">
          <a:extLst>
            <a:ext uri="{FF2B5EF4-FFF2-40B4-BE49-F238E27FC236}">
              <a16:creationId xmlns:a16="http://schemas.microsoft.com/office/drawing/2014/main" id="{6A867BEC-12A7-4FD0-B3D4-B83A993F3846}"/>
            </a:ext>
          </a:extLst>
        </xdr:cNvPr>
        <xdr:cNvSpPr txBox="1"/>
      </xdr:nvSpPr>
      <xdr:spPr>
        <a:xfrm>
          <a:off x="581025" y="2828925"/>
          <a:ext cx="1343025" cy="4762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 b="1" baseline="0">
              <a:solidFill>
                <a:schemeClr val="bg1"/>
              </a:solidFill>
            </a:rPr>
            <a:t>Acertou o vencedor: </a:t>
          </a:r>
        </a:p>
        <a:p>
          <a:r>
            <a:rPr lang="pt-BR" sz="1000" b="1" u="sng" baseline="0">
              <a:solidFill>
                <a:schemeClr val="bg1"/>
              </a:solidFill>
            </a:rPr>
            <a:t>10 PONTOS</a:t>
          </a:r>
          <a:endParaRPr lang="pt-BR" sz="1000" b="1" u="sng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571501</xdr:colOff>
      <xdr:row>14</xdr:row>
      <xdr:rowOff>152401</xdr:rowOff>
    </xdr:from>
    <xdr:to>
      <xdr:col>0</xdr:col>
      <xdr:colOff>1905001</xdr:colOff>
      <xdr:row>17</xdr:row>
      <xdr:rowOff>28575</xdr:rowOff>
    </xdr:to>
    <xdr:sp macro="" textlink="">
      <xdr:nvSpPr>
        <xdr:cNvPr id="54" name="CaixaDeTexto 53">
          <a:extLst>
            <a:ext uri="{FF2B5EF4-FFF2-40B4-BE49-F238E27FC236}">
              <a16:creationId xmlns:a16="http://schemas.microsoft.com/office/drawing/2014/main" id="{7D25379A-36A5-48BE-B1FB-0C8E497C2740}"/>
            </a:ext>
          </a:extLst>
        </xdr:cNvPr>
        <xdr:cNvSpPr txBox="1"/>
      </xdr:nvSpPr>
      <xdr:spPr>
        <a:xfrm>
          <a:off x="571501" y="3343276"/>
          <a:ext cx="1333500" cy="4476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 b="1" baseline="0">
              <a:solidFill>
                <a:schemeClr val="bg1"/>
              </a:solidFill>
            </a:rPr>
            <a:t>Empate garantido: </a:t>
          </a:r>
        </a:p>
        <a:p>
          <a:r>
            <a:rPr lang="pt-BR" sz="1000" b="1" u="sng" baseline="0">
              <a:solidFill>
                <a:schemeClr val="bg1"/>
              </a:solidFill>
            </a:rPr>
            <a:t>5 PONTOS</a:t>
          </a:r>
          <a:endParaRPr lang="pt-BR" sz="1000" b="1" u="sng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371475</xdr:colOff>
      <xdr:row>2</xdr:row>
      <xdr:rowOff>133350</xdr:rowOff>
    </xdr:from>
    <xdr:to>
      <xdr:col>0</xdr:col>
      <xdr:colOff>609600</xdr:colOff>
      <xdr:row>3</xdr:row>
      <xdr:rowOff>9525</xdr:rowOff>
    </xdr:to>
    <xdr:pic>
      <xdr:nvPicPr>
        <xdr:cNvPr id="5" name="Gráfico 4" descr="Na mosca com preenchimento sólido">
          <a:extLst>
            <a:ext uri="{FF2B5EF4-FFF2-40B4-BE49-F238E27FC236}">
              <a16:creationId xmlns:a16="http://schemas.microsoft.com/office/drawing/2014/main" id="{54DB4226-BEAC-4CAD-993E-ADB448281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371475" y="857250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361951</xdr:colOff>
      <xdr:row>6</xdr:row>
      <xdr:rowOff>180976</xdr:rowOff>
    </xdr:from>
    <xdr:to>
      <xdr:col>0</xdr:col>
      <xdr:colOff>609600</xdr:colOff>
      <xdr:row>8</xdr:row>
      <xdr:rowOff>47625</xdr:rowOff>
    </xdr:to>
    <xdr:pic>
      <xdr:nvPicPr>
        <xdr:cNvPr id="7" name="Gráfico 6" descr="Gol no futebol com preenchimento sólido">
          <a:extLst>
            <a:ext uri="{FF2B5EF4-FFF2-40B4-BE49-F238E27FC236}">
              <a16:creationId xmlns:a16="http://schemas.microsoft.com/office/drawing/2014/main" id="{C006DB6E-2D7C-4555-B458-B676AD7C2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361951" y="1838326"/>
          <a:ext cx="247649" cy="247649"/>
        </a:xfrm>
        <a:prstGeom prst="rect">
          <a:avLst/>
        </a:prstGeom>
      </xdr:spPr>
    </xdr:pic>
    <xdr:clientData/>
  </xdr:twoCellAnchor>
  <xdr:twoCellAnchor editAs="oneCell">
    <xdr:from>
      <xdr:col>0</xdr:col>
      <xdr:colOff>371476</xdr:colOff>
      <xdr:row>4</xdr:row>
      <xdr:rowOff>76201</xdr:rowOff>
    </xdr:from>
    <xdr:to>
      <xdr:col>0</xdr:col>
      <xdr:colOff>523875</xdr:colOff>
      <xdr:row>5</xdr:row>
      <xdr:rowOff>38100</xdr:rowOff>
    </xdr:to>
    <xdr:pic>
      <xdr:nvPicPr>
        <xdr:cNvPr id="12" name="Gráfico 11" descr="Bola de futebol com preenchimento sólido">
          <a:extLst>
            <a:ext uri="{FF2B5EF4-FFF2-40B4-BE49-F238E27FC236}">
              <a16:creationId xmlns:a16="http://schemas.microsoft.com/office/drawing/2014/main" id="{AEB37F41-6D0F-4749-A5C7-4D719FC15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371476" y="1352551"/>
          <a:ext cx="152399" cy="152399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381000</xdr:colOff>
      <xdr:row>12</xdr:row>
      <xdr:rowOff>76200</xdr:rowOff>
    </xdr:from>
    <xdr:to>
      <xdr:col>0</xdr:col>
      <xdr:colOff>600075</xdr:colOff>
      <xdr:row>13</xdr:row>
      <xdr:rowOff>95250</xdr:rowOff>
    </xdr:to>
    <xdr:pic>
      <xdr:nvPicPr>
        <xdr:cNvPr id="23" name="Gráfico 22" descr="Pódio com preenchimento sólido">
          <a:extLst>
            <a:ext uri="{FF2B5EF4-FFF2-40B4-BE49-F238E27FC236}">
              <a16:creationId xmlns:a16="http://schemas.microsoft.com/office/drawing/2014/main" id="{A3BC74CC-CA7C-4876-AD0E-DE4EDFE73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381000" y="2743200"/>
          <a:ext cx="219075" cy="219075"/>
        </a:xfrm>
        <a:prstGeom prst="rect">
          <a:avLst/>
        </a:prstGeom>
      </xdr:spPr>
    </xdr:pic>
    <xdr:clientData/>
  </xdr:twoCellAnchor>
  <xdr:twoCellAnchor editAs="oneCell">
    <xdr:from>
      <xdr:col>0</xdr:col>
      <xdr:colOff>466725</xdr:colOff>
      <xdr:row>4</xdr:row>
      <xdr:rowOff>133350</xdr:rowOff>
    </xdr:from>
    <xdr:to>
      <xdr:col>0</xdr:col>
      <xdr:colOff>647700</xdr:colOff>
      <xdr:row>5</xdr:row>
      <xdr:rowOff>123825</xdr:rowOff>
    </xdr:to>
    <xdr:pic>
      <xdr:nvPicPr>
        <xdr:cNvPr id="58" name="Gráfico 57" descr="Bola de futebol com preenchimento sólido">
          <a:extLst>
            <a:ext uri="{FF2B5EF4-FFF2-40B4-BE49-F238E27FC236}">
              <a16:creationId xmlns:a16="http://schemas.microsoft.com/office/drawing/2014/main" id="{EA2E007E-E727-4403-9D31-A4C9DEEB7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466725" y="14097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0</xdr:col>
      <xdr:colOff>371475</xdr:colOff>
      <xdr:row>5</xdr:row>
      <xdr:rowOff>19050</xdr:rowOff>
    </xdr:from>
    <xdr:to>
      <xdr:col>0</xdr:col>
      <xdr:colOff>495300</xdr:colOff>
      <xdr:row>5</xdr:row>
      <xdr:rowOff>142875</xdr:rowOff>
    </xdr:to>
    <xdr:pic>
      <xdr:nvPicPr>
        <xdr:cNvPr id="59" name="Gráfico 58" descr="Bola de futebol com preenchimento sólido">
          <a:extLst>
            <a:ext uri="{FF2B5EF4-FFF2-40B4-BE49-F238E27FC236}">
              <a16:creationId xmlns:a16="http://schemas.microsoft.com/office/drawing/2014/main" id="{52310345-F4FE-407B-A62E-C79661039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371475" y="1485900"/>
          <a:ext cx="123825" cy="123825"/>
        </a:xfrm>
        <a:prstGeom prst="rect">
          <a:avLst/>
        </a:prstGeom>
      </xdr:spPr>
    </xdr:pic>
    <xdr:clientData/>
  </xdr:twoCellAnchor>
  <xdr:twoCellAnchor editAs="oneCell">
    <xdr:from>
      <xdr:col>0</xdr:col>
      <xdr:colOff>409576</xdr:colOff>
      <xdr:row>9</xdr:row>
      <xdr:rowOff>152401</xdr:rowOff>
    </xdr:from>
    <xdr:to>
      <xdr:col>0</xdr:col>
      <xdr:colOff>561975</xdr:colOff>
      <xdr:row>10</xdr:row>
      <xdr:rowOff>114300</xdr:rowOff>
    </xdr:to>
    <xdr:pic>
      <xdr:nvPicPr>
        <xdr:cNvPr id="60" name="Gráfico 59" descr="Bola de futebol com preenchimento sólido">
          <a:extLst>
            <a:ext uri="{FF2B5EF4-FFF2-40B4-BE49-F238E27FC236}">
              <a16:creationId xmlns:a16="http://schemas.microsoft.com/office/drawing/2014/main" id="{F1147F39-7223-4FCC-8917-FC2FC3C35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409576" y="2381251"/>
          <a:ext cx="152399" cy="152399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361950</xdr:colOff>
      <xdr:row>14</xdr:row>
      <xdr:rowOff>171450</xdr:rowOff>
    </xdr:from>
    <xdr:to>
      <xdr:col>0</xdr:col>
      <xdr:colOff>600075</xdr:colOff>
      <xdr:row>16</xdr:row>
      <xdr:rowOff>19050</xdr:rowOff>
    </xdr:to>
    <xdr:pic>
      <xdr:nvPicPr>
        <xdr:cNvPr id="56" name="Gráfico 55" descr="Carinha preta sem expressão com preenchimento sólido">
          <a:extLst>
            <a:ext uri="{FF2B5EF4-FFF2-40B4-BE49-F238E27FC236}">
              <a16:creationId xmlns:a16="http://schemas.microsoft.com/office/drawing/2014/main" id="{1711650F-6242-4A47-8483-228C4C985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361950" y="3362325"/>
          <a:ext cx="238125" cy="238125"/>
        </a:xfrm>
        <a:prstGeom prst="rect">
          <a:avLst/>
        </a:prstGeom>
      </xdr:spPr>
    </xdr:pic>
    <xdr:clientData/>
  </xdr:twoCellAnchor>
  <xdr:twoCellAnchor>
    <xdr:from>
      <xdr:col>13</xdr:col>
      <xdr:colOff>9525</xdr:colOff>
      <xdr:row>1</xdr:row>
      <xdr:rowOff>66676</xdr:rowOff>
    </xdr:from>
    <xdr:to>
      <xdr:col>18</xdr:col>
      <xdr:colOff>628650</xdr:colOff>
      <xdr:row>1</xdr:row>
      <xdr:rowOff>295275</xdr:rowOff>
    </xdr:to>
    <xdr:sp macro="" textlink="">
      <xdr:nvSpPr>
        <xdr:cNvPr id="64" name="CaixaDeTexto 63">
          <a:extLst>
            <a:ext uri="{FF2B5EF4-FFF2-40B4-BE49-F238E27FC236}">
              <a16:creationId xmlns:a16="http://schemas.microsoft.com/office/drawing/2014/main" id="{0F44487D-66E9-4522-B01E-A36A34D0E081}"/>
            </a:ext>
          </a:extLst>
        </xdr:cNvPr>
        <xdr:cNvSpPr txBox="1"/>
      </xdr:nvSpPr>
      <xdr:spPr>
        <a:xfrm>
          <a:off x="8439150" y="561976"/>
          <a:ext cx="2905125" cy="228599"/>
        </a:xfrm>
        <a:prstGeom prst="rect">
          <a:avLst/>
        </a:prstGeom>
        <a:solidFill>
          <a:schemeClr val="tx2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PÓDIO</a:t>
          </a:r>
        </a:p>
      </xdr:txBody>
    </xdr:sp>
    <xdr:clientData/>
  </xdr:twoCellAnchor>
  <xdr:twoCellAnchor editAs="oneCell">
    <xdr:from>
      <xdr:col>0</xdr:col>
      <xdr:colOff>876301</xdr:colOff>
      <xdr:row>0</xdr:row>
      <xdr:rowOff>100805</xdr:rowOff>
    </xdr:from>
    <xdr:to>
      <xdr:col>0</xdr:col>
      <xdr:colOff>1318421</xdr:colOff>
      <xdr:row>1</xdr:row>
      <xdr:rowOff>47625</xdr:rowOff>
    </xdr:to>
    <xdr:pic>
      <xdr:nvPicPr>
        <xdr:cNvPr id="62" name="Imagem 61">
          <a:extLst>
            <a:ext uri="{FF2B5EF4-FFF2-40B4-BE49-F238E27FC236}">
              <a16:creationId xmlns:a16="http://schemas.microsoft.com/office/drawing/2014/main" id="{85F0F05F-9208-43A7-B476-E4D3163A2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1" y="100805"/>
          <a:ext cx="442120" cy="442120"/>
        </a:xfrm>
        <a:prstGeom prst="rect">
          <a:avLst/>
        </a:prstGeom>
      </xdr:spPr>
    </xdr:pic>
    <xdr:clientData/>
  </xdr:twoCellAnchor>
  <xdr:twoCellAnchor>
    <xdr:from>
      <xdr:col>1</xdr:col>
      <xdr:colOff>161924</xdr:colOff>
      <xdr:row>13</xdr:row>
      <xdr:rowOff>0</xdr:rowOff>
    </xdr:from>
    <xdr:to>
      <xdr:col>7</xdr:col>
      <xdr:colOff>1019174</xdr:colOff>
      <xdr:row>16</xdr:row>
      <xdr:rowOff>47625</xdr:rowOff>
    </xdr:to>
    <xdr:sp macro="" textlink="">
      <xdr:nvSpPr>
        <xdr:cNvPr id="68" name="Retângulo 67">
          <a:extLst>
            <a:ext uri="{FF2B5EF4-FFF2-40B4-BE49-F238E27FC236}">
              <a16:creationId xmlns:a16="http://schemas.microsoft.com/office/drawing/2014/main" id="{94481F57-AEFA-43FA-81AD-AEDD0C4CA617}"/>
            </a:ext>
          </a:extLst>
        </xdr:cNvPr>
        <xdr:cNvSpPr/>
      </xdr:nvSpPr>
      <xdr:spPr>
        <a:xfrm>
          <a:off x="2543174" y="3181349"/>
          <a:ext cx="4029075" cy="628651"/>
        </a:xfrm>
        <a:prstGeom prst="rect">
          <a:avLst/>
        </a:prstGeom>
        <a:noFill/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19050</xdr:colOff>
      <xdr:row>13</xdr:row>
      <xdr:rowOff>47626</xdr:rowOff>
    </xdr:from>
    <xdr:to>
      <xdr:col>7</xdr:col>
      <xdr:colOff>876300</xdr:colOff>
      <xdr:row>16</xdr:row>
      <xdr:rowOff>95250</xdr:rowOff>
    </xdr:to>
    <xdr:sp macro="" textlink="">
      <xdr:nvSpPr>
        <xdr:cNvPr id="69" name="CaixaDeTexto 68">
          <a:extLst>
            <a:ext uri="{FF2B5EF4-FFF2-40B4-BE49-F238E27FC236}">
              <a16:creationId xmlns:a16="http://schemas.microsoft.com/office/drawing/2014/main" id="{DDDE3E5D-6653-41EB-BE2F-918BC61CED89}"/>
            </a:ext>
          </a:extLst>
        </xdr:cNvPr>
        <xdr:cNvSpPr txBox="1"/>
      </xdr:nvSpPr>
      <xdr:spPr>
        <a:xfrm>
          <a:off x="2562225" y="3048001"/>
          <a:ext cx="3867150" cy="6286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800" b="1">
              <a:solidFill>
                <a:schemeClr val="accent4">
                  <a:lumMod val="75000"/>
                </a:schemeClr>
              </a:solidFill>
            </a:rPr>
            <a:t>Registre na tabela</a:t>
          </a:r>
          <a:r>
            <a:rPr lang="pt-BR" sz="800" b="1" baseline="0">
              <a:solidFill>
                <a:schemeClr val="accent4">
                  <a:lumMod val="75000"/>
                </a:schemeClr>
              </a:solidFill>
            </a:rPr>
            <a:t> abaixo todos os resultados dos jogos a cada rodada.</a:t>
          </a:r>
        </a:p>
        <a:p>
          <a:endParaRPr lang="pt-BR" sz="800" b="1" baseline="0">
            <a:solidFill>
              <a:schemeClr val="accent4">
                <a:lumMod val="75000"/>
              </a:schemeClr>
            </a:solidFill>
          </a:endParaRPr>
        </a:p>
        <a:p>
          <a:r>
            <a:rPr lang="pt-BR" sz="800" b="1" baseline="0">
              <a:solidFill>
                <a:schemeClr val="accent4">
                  <a:lumMod val="75000"/>
                </a:schemeClr>
              </a:solidFill>
            </a:rPr>
            <a:t>Nas tabelas da direita, registre os palpites de cada jogador. A coluna de pontuação será calculada automaticamente de acordo com as regras do bolão.</a:t>
          </a:r>
          <a:endParaRPr lang="pt-BR" sz="800" b="1">
            <a:solidFill>
              <a:schemeClr val="accent4">
                <a:lumMod val="75000"/>
              </a:schemeClr>
            </a:solidFill>
          </a:endParaRPr>
        </a:p>
      </xdr:txBody>
    </xdr:sp>
    <xdr:clientData/>
  </xdr:twoCellAnchor>
  <xdr:twoCellAnchor editAs="oneCell">
    <xdr:from>
      <xdr:col>7</xdr:col>
      <xdr:colOff>704850</xdr:colOff>
      <xdr:row>12</xdr:row>
      <xdr:rowOff>47625</xdr:rowOff>
    </xdr:from>
    <xdr:to>
      <xdr:col>8</xdr:col>
      <xdr:colOff>142875</xdr:colOff>
      <xdr:row>14</xdr:row>
      <xdr:rowOff>123825</xdr:rowOff>
    </xdr:to>
    <xdr:pic>
      <xdr:nvPicPr>
        <xdr:cNvPr id="66" name="Gráfico 65" descr="Notas adesivas com preenchimento sólido">
          <a:extLst>
            <a:ext uri="{FF2B5EF4-FFF2-40B4-BE49-F238E27FC236}">
              <a16:creationId xmlns:a16="http://schemas.microsoft.com/office/drawing/2014/main" id="{9FE3B198-E2AB-484B-B692-521DB669D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6257925" y="2847975"/>
          <a:ext cx="466725" cy="466725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476251</xdr:colOff>
      <xdr:row>1</xdr:row>
      <xdr:rowOff>161926</xdr:rowOff>
    </xdr:from>
    <xdr:to>
      <xdr:col>3</xdr:col>
      <xdr:colOff>66675</xdr:colOff>
      <xdr:row>2</xdr:row>
      <xdr:rowOff>123825</xdr:rowOff>
    </xdr:to>
    <xdr:pic>
      <xdr:nvPicPr>
        <xdr:cNvPr id="6" name="Gráfico 5" descr="Usuários com preenchimento sólido">
          <a:extLst>
            <a:ext uri="{FF2B5EF4-FFF2-40B4-BE49-F238E27FC236}">
              <a16:creationId xmlns:a16="http://schemas.microsoft.com/office/drawing/2014/main" id="{BE1199A9-DD8A-4CA3-BF8F-8D9655967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019426" y="657226"/>
          <a:ext cx="323849" cy="323849"/>
        </a:xfrm>
        <a:prstGeom prst="rect">
          <a:avLst/>
        </a:prstGeom>
      </xdr:spPr>
    </xdr:pic>
    <xdr:clientData/>
  </xdr:twoCellAnchor>
  <xdr:twoCellAnchor>
    <xdr:from>
      <xdr:col>3</xdr:col>
      <xdr:colOff>57151</xdr:colOff>
      <xdr:row>1</xdr:row>
      <xdr:rowOff>190500</xdr:rowOff>
    </xdr:from>
    <xdr:to>
      <xdr:col>4</xdr:col>
      <xdr:colOff>257176</xdr:colOff>
      <xdr:row>2</xdr:row>
      <xdr:rowOff>76199</xdr:rowOff>
    </xdr:to>
    <xdr:sp macro="" textlink="">
      <xdr:nvSpPr>
        <xdr:cNvPr id="63" name="CaixaDeTexto 62">
          <a:extLst>
            <a:ext uri="{FF2B5EF4-FFF2-40B4-BE49-F238E27FC236}">
              <a16:creationId xmlns:a16="http://schemas.microsoft.com/office/drawing/2014/main" id="{20AFAA68-35F6-467B-AD76-C059815A8AC5}"/>
            </a:ext>
          </a:extLst>
        </xdr:cNvPr>
        <xdr:cNvSpPr txBox="1"/>
      </xdr:nvSpPr>
      <xdr:spPr>
        <a:xfrm>
          <a:off x="3333751" y="685800"/>
          <a:ext cx="1123950" cy="2476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 b="1">
              <a:solidFill>
                <a:schemeClr val="accent4">
                  <a:lumMod val="75000"/>
                </a:schemeClr>
              </a:solidFill>
            </a:rPr>
            <a:t>Participantes</a:t>
          </a:r>
        </a:p>
      </xdr:txBody>
    </xdr:sp>
    <xdr:clientData/>
  </xdr:twoCellAnchor>
  <xdr:twoCellAnchor editAs="oneCell">
    <xdr:from>
      <xdr:col>2</xdr:col>
      <xdr:colOff>457201</xdr:colOff>
      <xdr:row>3</xdr:row>
      <xdr:rowOff>85726</xdr:rowOff>
    </xdr:from>
    <xdr:to>
      <xdr:col>3</xdr:col>
      <xdr:colOff>47626</xdr:colOff>
      <xdr:row>5</xdr:row>
      <xdr:rowOff>28576</xdr:rowOff>
    </xdr:to>
    <xdr:pic>
      <xdr:nvPicPr>
        <xdr:cNvPr id="20" name="Gráfico 19" descr="Dinheiro estrutura de tópicos">
          <a:extLst>
            <a:ext uri="{FF2B5EF4-FFF2-40B4-BE49-F238E27FC236}">
              <a16:creationId xmlns:a16="http://schemas.microsoft.com/office/drawing/2014/main" id="{0B86194F-D5D6-407B-9057-A7D46CD44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000376" y="1304926"/>
          <a:ext cx="323850" cy="323850"/>
        </a:xfrm>
        <a:prstGeom prst="rect">
          <a:avLst/>
        </a:prstGeom>
      </xdr:spPr>
    </xdr:pic>
    <xdr:clientData/>
  </xdr:twoCellAnchor>
  <xdr:twoCellAnchor>
    <xdr:from>
      <xdr:col>3</xdr:col>
      <xdr:colOff>66676</xdr:colOff>
      <xdr:row>3</xdr:row>
      <xdr:rowOff>133350</xdr:rowOff>
    </xdr:from>
    <xdr:to>
      <xdr:col>4</xdr:col>
      <xdr:colOff>266701</xdr:colOff>
      <xdr:row>4</xdr:row>
      <xdr:rowOff>190499</xdr:rowOff>
    </xdr:to>
    <xdr:sp macro="" textlink="">
      <xdr:nvSpPr>
        <xdr:cNvPr id="65" name="CaixaDeTexto 64">
          <a:extLst>
            <a:ext uri="{FF2B5EF4-FFF2-40B4-BE49-F238E27FC236}">
              <a16:creationId xmlns:a16="http://schemas.microsoft.com/office/drawing/2014/main" id="{37B5AD91-AC7C-4CC2-809C-BBA11D288056}"/>
            </a:ext>
          </a:extLst>
        </xdr:cNvPr>
        <xdr:cNvSpPr txBox="1"/>
      </xdr:nvSpPr>
      <xdr:spPr>
        <a:xfrm>
          <a:off x="3343276" y="1352550"/>
          <a:ext cx="1123950" cy="2476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 b="1">
              <a:solidFill>
                <a:schemeClr val="accent4">
                  <a:lumMod val="75000"/>
                </a:schemeClr>
              </a:solidFill>
            </a:rPr>
            <a:t>Valor do bolão</a:t>
          </a:r>
        </a:p>
      </xdr:txBody>
    </xdr:sp>
    <xdr:clientData/>
  </xdr:twoCellAnchor>
  <xdr:twoCellAnchor>
    <xdr:from>
      <xdr:col>3</xdr:col>
      <xdr:colOff>38101</xdr:colOff>
      <xdr:row>7</xdr:row>
      <xdr:rowOff>133350</xdr:rowOff>
    </xdr:from>
    <xdr:to>
      <xdr:col>4</xdr:col>
      <xdr:colOff>238126</xdr:colOff>
      <xdr:row>8</xdr:row>
      <xdr:rowOff>190499</xdr:rowOff>
    </xdr:to>
    <xdr:sp macro="" textlink="">
      <xdr:nvSpPr>
        <xdr:cNvPr id="67" name="CaixaDeTexto 66">
          <a:extLst>
            <a:ext uri="{FF2B5EF4-FFF2-40B4-BE49-F238E27FC236}">
              <a16:creationId xmlns:a16="http://schemas.microsoft.com/office/drawing/2014/main" id="{C8D1C009-F1FC-47C2-8FE1-9293961CB3A2}"/>
            </a:ext>
          </a:extLst>
        </xdr:cNvPr>
        <xdr:cNvSpPr txBox="1"/>
      </xdr:nvSpPr>
      <xdr:spPr>
        <a:xfrm>
          <a:off x="3314701" y="2114550"/>
          <a:ext cx="1123950" cy="2476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 b="1">
              <a:solidFill>
                <a:schemeClr val="accent4">
                  <a:lumMod val="75000"/>
                </a:schemeClr>
              </a:solidFill>
            </a:rPr>
            <a:t>Total arrecadado</a:t>
          </a:r>
        </a:p>
      </xdr:txBody>
    </xdr:sp>
    <xdr:clientData/>
  </xdr:twoCellAnchor>
  <xdr:twoCellAnchor editAs="oneCell">
    <xdr:from>
      <xdr:col>2</xdr:col>
      <xdr:colOff>457201</xdr:colOff>
      <xdr:row>7</xdr:row>
      <xdr:rowOff>85726</xdr:rowOff>
    </xdr:from>
    <xdr:to>
      <xdr:col>3</xdr:col>
      <xdr:colOff>66676</xdr:colOff>
      <xdr:row>9</xdr:row>
      <xdr:rowOff>47626</xdr:rowOff>
    </xdr:to>
    <xdr:pic>
      <xdr:nvPicPr>
        <xdr:cNvPr id="34" name="Gráfico 33" descr="Moedas estrutura de tópicos">
          <a:extLst>
            <a:ext uri="{FF2B5EF4-FFF2-40B4-BE49-F238E27FC236}">
              <a16:creationId xmlns:a16="http://schemas.microsoft.com/office/drawing/2014/main" id="{2A57C642-D747-47C7-9B86-A0D80A512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000376" y="2066926"/>
          <a:ext cx="342900" cy="342900"/>
        </a:xfrm>
        <a:prstGeom prst="rect">
          <a:avLst/>
        </a:prstGeom>
      </xdr:spPr>
    </xdr:pic>
    <xdr:clientData/>
  </xdr:twoCellAnchor>
  <xdr:twoCellAnchor>
    <xdr:from>
      <xdr:col>3</xdr:col>
      <xdr:colOff>295276</xdr:colOff>
      <xdr:row>2</xdr:row>
      <xdr:rowOff>57150</xdr:rowOff>
    </xdr:from>
    <xdr:to>
      <xdr:col>3</xdr:col>
      <xdr:colOff>657225</xdr:colOff>
      <xdr:row>2</xdr:row>
      <xdr:rowOff>352425</xdr:rowOff>
    </xdr:to>
    <xdr:sp macro="" textlink="Auxiliar!X10">
      <xdr:nvSpPr>
        <xdr:cNvPr id="70" name="CaixaDeTexto 69">
          <a:extLst>
            <a:ext uri="{FF2B5EF4-FFF2-40B4-BE49-F238E27FC236}">
              <a16:creationId xmlns:a16="http://schemas.microsoft.com/office/drawing/2014/main" id="{F26E4CE2-4870-4D47-8B12-3C1DDAAC9F3D}"/>
            </a:ext>
          </a:extLst>
        </xdr:cNvPr>
        <xdr:cNvSpPr txBox="1"/>
      </xdr:nvSpPr>
      <xdr:spPr>
        <a:xfrm>
          <a:off x="3571876" y="914400"/>
          <a:ext cx="361949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1C9E8C5-F498-4650-8AEB-3C3C70776FEB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/>
            <a:t>5</a:t>
          </a:fld>
          <a:endParaRPr lang="pt-BR" sz="1200" b="1">
            <a:solidFill>
              <a:schemeClr val="accent4">
                <a:lumMod val="75000"/>
              </a:schemeClr>
            </a:solidFill>
          </a:endParaRPr>
        </a:p>
      </xdr:txBody>
    </xdr:sp>
    <xdr:clientData/>
  </xdr:twoCellAnchor>
  <xdr:twoCellAnchor>
    <xdr:from>
      <xdr:col>3</xdr:col>
      <xdr:colOff>19050</xdr:colOff>
      <xdr:row>5</xdr:row>
      <xdr:rowOff>19050</xdr:rowOff>
    </xdr:from>
    <xdr:to>
      <xdr:col>4</xdr:col>
      <xdr:colOff>200024</xdr:colOff>
      <xdr:row>6</xdr:row>
      <xdr:rowOff>123825</xdr:rowOff>
    </xdr:to>
    <xdr:sp macro="" textlink="Auxiliar!X11">
      <xdr:nvSpPr>
        <xdr:cNvPr id="71" name="CaixaDeTexto 70">
          <a:extLst>
            <a:ext uri="{FF2B5EF4-FFF2-40B4-BE49-F238E27FC236}">
              <a16:creationId xmlns:a16="http://schemas.microsoft.com/office/drawing/2014/main" id="{2C654E75-DBA6-4E45-8917-93850D12527B}"/>
            </a:ext>
          </a:extLst>
        </xdr:cNvPr>
        <xdr:cNvSpPr txBox="1"/>
      </xdr:nvSpPr>
      <xdr:spPr>
        <a:xfrm>
          <a:off x="3295650" y="1619250"/>
          <a:ext cx="1104899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3862033-DC91-46A6-A889-5D195AABD5B2}" type="TxLink">
            <a:rPr lang="en-US" sz="1600" b="1" i="0" u="none" strike="noStrike">
              <a:solidFill>
                <a:schemeClr val="accent3">
                  <a:lumMod val="50000"/>
                </a:schemeClr>
              </a:solidFill>
              <a:latin typeface="Calibri"/>
              <a:cs typeface="Calibri"/>
            </a:rPr>
            <a:pPr/>
            <a:t> R$ 200,00 </a:t>
          </a:fld>
          <a:endParaRPr lang="pt-BR" sz="1800" b="1">
            <a:solidFill>
              <a:schemeClr val="accent3">
                <a:lumMod val="50000"/>
              </a:schemeClr>
            </a:solidFill>
          </a:endParaRPr>
        </a:p>
      </xdr:txBody>
    </xdr:sp>
    <xdr:clientData/>
  </xdr:twoCellAnchor>
  <xdr:twoCellAnchor>
    <xdr:from>
      <xdr:col>2</xdr:col>
      <xdr:colOff>676275</xdr:colOff>
      <xdr:row>8</xdr:row>
      <xdr:rowOff>180975</xdr:rowOff>
    </xdr:from>
    <xdr:to>
      <xdr:col>4</xdr:col>
      <xdr:colOff>514350</xdr:colOff>
      <xdr:row>10</xdr:row>
      <xdr:rowOff>95250</xdr:rowOff>
    </xdr:to>
    <xdr:sp macro="" textlink="Auxiliar!X12">
      <xdr:nvSpPr>
        <xdr:cNvPr id="72" name="CaixaDeTexto 71">
          <a:extLst>
            <a:ext uri="{FF2B5EF4-FFF2-40B4-BE49-F238E27FC236}">
              <a16:creationId xmlns:a16="http://schemas.microsoft.com/office/drawing/2014/main" id="{B47D62AA-4D83-425F-A522-D6EA3ECF736C}"/>
            </a:ext>
          </a:extLst>
        </xdr:cNvPr>
        <xdr:cNvSpPr txBox="1"/>
      </xdr:nvSpPr>
      <xdr:spPr>
        <a:xfrm>
          <a:off x="3219450" y="2352675"/>
          <a:ext cx="149542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EA9F7A8-F24D-4E5B-94E7-DA223A6CE161}" type="TxLink">
            <a:rPr lang="en-US" sz="1600" b="1" i="0" u="none" strike="noStrike">
              <a:solidFill>
                <a:schemeClr val="accent3">
                  <a:lumMod val="50000"/>
                </a:schemeClr>
              </a:solidFill>
              <a:latin typeface="Calibri"/>
              <a:cs typeface="Calibri"/>
            </a:rPr>
            <a:pPr/>
            <a:t> R$ 1.000,00 </a:t>
          </a:fld>
          <a:endParaRPr lang="pt-BR" sz="2800" b="1">
            <a:solidFill>
              <a:schemeClr val="accent3">
                <a:lumMod val="50000"/>
              </a:schemeClr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3</xdr:row>
      <xdr:rowOff>76200</xdr:rowOff>
    </xdr:from>
    <xdr:to>
      <xdr:col>2</xdr:col>
      <xdr:colOff>809625</xdr:colOff>
      <xdr:row>8</xdr:row>
      <xdr:rowOff>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EE70F060-2A6F-47E8-B547-DA8E2640B674}"/>
            </a:ext>
          </a:extLst>
        </xdr:cNvPr>
        <xdr:cNvSpPr/>
      </xdr:nvSpPr>
      <xdr:spPr>
        <a:xfrm>
          <a:off x="628650" y="457200"/>
          <a:ext cx="2419350" cy="876300"/>
        </a:xfrm>
        <a:prstGeom prst="rect">
          <a:avLst/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28576</xdr:colOff>
      <xdr:row>3</xdr:row>
      <xdr:rowOff>85724</xdr:rowOff>
    </xdr:from>
    <xdr:to>
      <xdr:col>6</xdr:col>
      <xdr:colOff>990600</xdr:colOff>
      <xdr:row>7</xdr:row>
      <xdr:rowOff>190499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F1845B1-86D0-4047-8F63-958514F1E7CD}"/>
            </a:ext>
          </a:extLst>
        </xdr:cNvPr>
        <xdr:cNvSpPr/>
      </xdr:nvSpPr>
      <xdr:spPr>
        <a:xfrm>
          <a:off x="3457576" y="657224"/>
          <a:ext cx="1952624" cy="866775"/>
        </a:xfrm>
        <a:prstGeom prst="rect">
          <a:avLst/>
        </a:prstGeom>
        <a:noFill/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</xdr:colOff>
      <xdr:row>3</xdr:row>
      <xdr:rowOff>95250</xdr:rowOff>
    </xdr:from>
    <xdr:to>
      <xdr:col>11</xdr:col>
      <xdr:colOff>733426</xdr:colOff>
      <xdr:row>7</xdr:row>
      <xdr:rowOff>114300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BFD9F3BF-A849-4390-8001-0B932220D1A0}"/>
            </a:ext>
          </a:extLst>
        </xdr:cNvPr>
        <xdr:cNvSpPr/>
      </xdr:nvSpPr>
      <xdr:spPr>
        <a:xfrm>
          <a:off x="5953126" y="666750"/>
          <a:ext cx="3048000" cy="781050"/>
        </a:xfrm>
        <a:prstGeom prst="rect">
          <a:avLst/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9526</xdr:colOff>
      <xdr:row>3</xdr:row>
      <xdr:rowOff>104775</xdr:rowOff>
    </xdr:from>
    <xdr:to>
      <xdr:col>16</xdr:col>
      <xdr:colOff>1</xdr:colOff>
      <xdr:row>7</xdr:row>
      <xdr:rowOff>123825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C205F3AF-9766-4FF1-9D00-CFD543EE2513}"/>
            </a:ext>
          </a:extLst>
        </xdr:cNvPr>
        <xdr:cNvSpPr/>
      </xdr:nvSpPr>
      <xdr:spPr>
        <a:xfrm>
          <a:off x="9315451" y="104775"/>
          <a:ext cx="2343150" cy="781050"/>
        </a:xfrm>
        <a:prstGeom prst="rect">
          <a:avLst/>
        </a:prstGeom>
        <a:noFill/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38101</xdr:colOff>
      <xdr:row>3</xdr:row>
      <xdr:rowOff>76200</xdr:rowOff>
    </xdr:from>
    <xdr:to>
      <xdr:col>20</xdr:col>
      <xdr:colOff>104775</xdr:colOff>
      <xdr:row>7</xdr:row>
      <xdr:rowOff>95250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768F9D8B-37C5-4527-B7AC-689AEBD9D93A}"/>
            </a:ext>
          </a:extLst>
        </xdr:cNvPr>
        <xdr:cNvSpPr/>
      </xdr:nvSpPr>
      <xdr:spPr>
        <a:xfrm>
          <a:off x="12306301" y="76200"/>
          <a:ext cx="1895474" cy="781050"/>
        </a:xfrm>
        <a:prstGeom prst="rect">
          <a:avLst/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590550</xdr:colOff>
      <xdr:row>3</xdr:row>
      <xdr:rowOff>133349</xdr:rowOff>
    </xdr:from>
    <xdr:to>
      <xdr:col>3</xdr:col>
      <xdr:colOff>0</xdr:colOff>
      <xdr:row>7</xdr:row>
      <xdr:rowOff>171450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E4A1FD98-AE59-473D-8618-6EA446217B60}"/>
            </a:ext>
          </a:extLst>
        </xdr:cNvPr>
        <xdr:cNvSpPr txBox="1"/>
      </xdr:nvSpPr>
      <xdr:spPr>
        <a:xfrm>
          <a:off x="590550" y="514349"/>
          <a:ext cx="2476500" cy="8001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>
              <a:solidFill>
                <a:schemeClr val="bg1"/>
              </a:solidFill>
            </a:rPr>
            <a:t>Na tabela abaixo, configure a pontuação</a:t>
          </a:r>
          <a:r>
            <a:rPr lang="pt-BR" sz="900" baseline="0">
              <a:solidFill>
                <a:schemeClr val="bg1"/>
              </a:solidFill>
            </a:rPr>
            <a:t> para cada tipo de acerto. Caso você queira modificar os tipos de acerto, você terá que personalizar a fórmula SE que calcula a pontuação na aba BOLÃO.</a:t>
          </a:r>
          <a:endParaRPr lang="pt-BR" sz="9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1095375</xdr:colOff>
      <xdr:row>1</xdr:row>
      <xdr:rowOff>0</xdr:rowOff>
    </xdr:from>
    <xdr:to>
      <xdr:col>1</xdr:col>
      <xdr:colOff>1485900</xdr:colOff>
      <xdr:row>3</xdr:row>
      <xdr:rowOff>9525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B238A8F5-1D84-47B5-8CAD-6BB0CD10D37B}"/>
            </a:ext>
          </a:extLst>
        </xdr:cNvPr>
        <xdr:cNvSpPr/>
      </xdr:nvSpPr>
      <xdr:spPr>
        <a:xfrm>
          <a:off x="1704975" y="190500"/>
          <a:ext cx="390525" cy="390525"/>
        </a:xfrm>
        <a:prstGeom prst="ellipse">
          <a:avLst/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1</a:t>
          </a:r>
        </a:p>
      </xdr:txBody>
    </xdr:sp>
    <xdr:clientData/>
  </xdr:twoCellAnchor>
  <xdr:twoCellAnchor>
    <xdr:from>
      <xdr:col>5</xdr:col>
      <xdr:colOff>790575</xdr:colOff>
      <xdr:row>1</xdr:row>
      <xdr:rowOff>19050</xdr:rowOff>
    </xdr:from>
    <xdr:to>
      <xdr:col>6</xdr:col>
      <xdr:colOff>190500</xdr:colOff>
      <xdr:row>3</xdr:row>
      <xdr:rowOff>28575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6F459199-2D96-4EC7-809B-2D05AF0E884A}"/>
            </a:ext>
          </a:extLst>
        </xdr:cNvPr>
        <xdr:cNvSpPr/>
      </xdr:nvSpPr>
      <xdr:spPr>
        <a:xfrm>
          <a:off x="4219575" y="209550"/>
          <a:ext cx="390525" cy="390525"/>
        </a:xfrm>
        <a:prstGeom prst="ellipse">
          <a:avLst/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2</a:t>
          </a:r>
        </a:p>
      </xdr:txBody>
    </xdr:sp>
    <xdr:clientData/>
  </xdr:twoCellAnchor>
  <xdr:twoCellAnchor>
    <xdr:from>
      <xdr:col>5</xdr:col>
      <xdr:colOff>19050</xdr:colOff>
      <xdr:row>3</xdr:row>
      <xdr:rowOff>133349</xdr:rowOff>
    </xdr:from>
    <xdr:to>
      <xdr:col>6</xdr:col>
      <xdr:colOff>942975</xdr:colOff>
      <xdr:row>7</xdr:row>
      <xdr:rowOff>171450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F4DB2183-1FFA-47F5-A8AE-EF9AEDF69BA2}"/>
            </a:ext>
          </a:extLst>
        </xdr:cNvPr>
        <xdr:cNvSpPr txBox="1"/>
      </xdr:nvSpPr>
      <xdr:spPr>
        <a:xfrm>
          <a:off x="3448050" y="704849"/>
          <a:ext cx="1914525" cy="8001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>
              <a:solidFill>
                <a:sysClr val="windowText" lastClr="000000"/>
              </a:solidFill>
            </a:rPr>
            <a:t>Na tabela abaixo, cadastre os valores pagos por cada participante. Caso</a:t>
          </a:r>
          <a:r>
            <a:rPr lang="pt-BR" sz="900" baseline="0">
              <a:solidFill>
                <a:sysClr val="windowText" lastClr="000000"/>
              </a:solidFill>
            </a:rPr>
            <a:t> adicione novos participantes, uma nova coluna deve ser adicionada na aba BOLÃO.</a:t>
          </a:r>
          <a:endParaRPr lang="pt-BR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1285875</xdr:colOff>
      <xdr:row>1</xdr:row>
      <xdr:rowOff>19050</xdr:rowOff>
    </xdr:from>
    <xdr:to>
      <xdr:col>10</xdr:col>
      <xdr:colOff>190500</xdr:colOff>
      <xdr:row>3</xdr:row>
      <xdr:rowOff>28575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32C170C0-5038-4726-BD07-EF65D774F997}"/>
            </a:ext>
          </a:extLst>
        </xdr:cNvPr>
        <xdr:cNvSpPr/>
      </xdr:nvSpPr>
      <xdr:spPr>
        <a:xfrm>
          <a:off x="7239000" y="209550"/>
          <a:ext cx="390525" cy="390525"/>
        </a:xfrm>
        <a:prstGeom prst="ellipse">
          <a:avLst/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3</a:t>
          </a:r>
        </a:p>
      </xdr:txBody>
    </xdr:sp>
    <xdr:clientData/>
  </xdr:twoCellAnchor>
  <xdr:twoCellAnchor>
    <xdr:from>
      <xdr:col>9</xdr:col>
      <xdr:colOff>28575</xdr:colOff>
      <xdr:row>3</xdr:row>
      <xdr:rowOff>190499</xdr:rowOff>
    </xdr:from>
    <xdr:to>
      <xdr:col>11</xdr:col>
      <xdr:colOff>695325</xdr:colOff>
      <xdr:row>6</xdr:row>
      <xdr:rowOff>152400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F15C642A-DD08-447E-9081-087FFE37E664}"/>
            </a:ext>
          </a:extLst>
        </xdr:cNvPr>
        <xdr:cNvSpPr txBox="1"/>
      </xdr:nvSpPr>
      <xdr:spPr>
        <a:xfrm>
          <a:off x="5981700" y="761999"/>
          <a:ext cx="2981325" cy="5334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>
              <a:solidFill>
                <a:schemeClr val="bg1"/>
              </a:solidFill>
            </a:rPr>
            <a:t>A</a:t>
          </a:r>
          <a:r>
            <a:rPr lang="pt-BR" sz="900" baseline="0">
              <a:solidFill>
                <a:schemeClr val="bg1"/>
              </a:solidFill>
            </a:rPr>
            <a:t> tabela abaixo calcula automaticamente o prêmio de cada colocado, de acordo com o % escolhido. Você também pode alterar o % se quiser.</a:t>
          </a:r>
          <a:endParaRPr lang="pt-BR" sz="900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962025</xdr:colOff>
      <xdr:row>1</xdr:row>
      <xdr:rowOff>47625</xdr:rowOff>
    </xdr:from>
    <xdr:to>
      <xdr:col>14</xdr:col>
      <xdr:colOff>1352550</xdr:colOff>
      <xdr:row>3</xdr:row>
      <xdr:rowOff>57150</xdr:rowOff>
    </xdr:to>
    <xdr:sp macro="" textlink="">
      <xdr:nvSpPr>
        <xdr:cNvPr id="13" name="Elipse 12">
          <a:extLst>
            <a:ext uri="{FF2B5EF4-FFF2-40B4-BE49-F238E27FC236}">
              <a16:creationId xmlns:a16="http://schemas.microsoft.com/office/drawing/2014/main" id="{3A8096E0-4B13-4366-BF1A-E22C175C3DFF}"/>
            </a:ext>
          </a:extLst>
        </xdr:cNvPr>
        <xdr:cNvSpPr/>
      </xdr:nvSpPr>
      <xdr:spPr>
        <a:xfrm>
          <a:off x="9906000" y="238125"/>
          <a:ext cx="390525" cy="390525"/>
        </a:xfrm>
        <a:prstGeom prst="ellipse">
          <a:avLst/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4</a:t>
          </a:r>
        </a:p>
      </xdr:txBody>
    </xdr:sp>
    <xdr:clientData/>
  </xdr:twoCellAnchor>
  <xdr:twoCellAnchor>
    <xdr:from>
      <xdr:col>14</xdr:col>
      <xdr:colOff>85725</xdr:colOff>
      <xdr:row>3</xdr:row>
      <xdr:rowOff>114299</xdr:rowOff>
    </xdr:from>
    <xdr:to>
      <xdr:col>15</xdr:col>
      <xdr:colOff>866775</xdr:colOff>
      <xdr:row>7</xdr:row>
      <xdr:rowOff>152400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AA5C01F9-3171-454A-9363-D80B0143C3EB}"/>
            </a:ext>
          </a:extLst>
        </xdr:cNvPr>
        <xdr:cNvSpPr txBox="1"/>
      </xdr:nvSpPr>
      <xdr:spPr>
        <a:xfrm>
          <a:off x="9029700" y="685799"/>
          <a:ext cx="2209800" cy="8001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>
              <a:solidFill>
                <a:sysClr val="windowText" lastClr="000000"/>
              </a:solidFill>
            </a:rPr>
            <a:t>A tabela abaixo</a:t>
          </a:r>
          <a:r>
            <a:rPr lang="pt-BR" sz="900" baseline="0">
              <a:solidFill>
                <a:sysClr val="windowText" lastClr="000000"/>
              </a:solidFill>
            </a:rPr>
            <a:t> calcula automaticamente a pontuação de cada jogador. Caso você adicione novos jogadores, será necessário incluir nessa tabela e arrastar a fórmula.</a:t>
          </a:r>
          <a:endParaRPr lang="pt-BR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266700</xdr:colOff>
      <xdr:row>1</xdr:row>
      <xdr:rowOff>28575</xdr:rowOff>
    </xdr:from>
    <xdr:to>
      <xdr:col>19</xdr:col>
      <xdr:colOff>47625</xdr:colOff>
      <xdr:row>3</xdr:row>
      <xdr:rowOff>38100</xdr:rowOff>
    </xdr:to>
    <xdr:sp macro="" textlink="">
      <xdr:nvSpPr>
        <xdr:cNvPr id="15" name="Elipse 14">
          <a:extLst>
            <a:ext uri="{FF2B5EF4-FFF2-40B4-BE49-F238E27FC236}">
              <a16:creationId xmlns:a16="http://schemas.microsoft.com/office/drawing/2014/main" id="{633E4EAC-AC47-4758-914E-2D34177A5D6C}"/>
            </a:ext>
          </a:extLst>
        </xdr:cNvPr>
        <xdr:cNvSpPr/>
      </xdr:nvSpPr>
      <xdr:spPr>
        <a:xfrm>
          <a:off x="12782550" y="219075"/>
          <a:ext cx="390525" cy="390525"/>
        </a:xfrm>
        <a:prstGeom prst="ellipse">
          <a:avLst/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5</a:t>
          </a:r>
        </a:p>
      </xdr:txBody>
    </xdr:sp>
    <xdr:clientData/>
  </xdr:twoCellAnchor>
  <xdr:twoCellAnchor>
    <xdr:from>
      <xdr:col>17</xdr:col>
      <xdr:colOff>57151</xdr:colOff>
      <xdr:row>3</xdr:row>
      <xdr:rowOff>142874</xdr:rowOff>
    </xdr:from>
    <xdr:to>
      <xdr:col>20</xdr:col>
      <xdr:colOff>38101</xdr:colOff>
      <xdr:row>7</xdr:row>
      <xdr:rowOff>28575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0C4307C6-F36C-4FC2-AFFF-884EAD4A59F5}"/>
            </a:ext>
          </a:extLst>
        </xdr:cNvPr>
        <xdr:cNvSpPr txBox="1"/>
      </xdr:nvSpPr>
      <xdr:spPr>
        <a:xfrm>
          <a:off x="11963401" y="714374"/>
          <a:ext cx="1809750" cy="6477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>
              <a:solidFill>
                <a:schemeClr val="bg1"/>
              </a:solidFill>
            </a:rPr>
            <a:t>A tabela</a:t>
          </a:r>
          <a:r>
            <a:rPr lang="pt-BR" sz="900" baseline="0">
              <a:solidFill>
                <a:schemeClr val="bg1"/>
              </a:solidFill>
            </a:rPr>
            <a:t> abaixo faz um ranking automático de acordo com a tabela anterior de pontuações.</a:t>
          </a:r>
          <a:endParaRPr lang="pt-BR" sz="900">
            <a:solidFill>
              <a:schemeClr val="bg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66676</xdr:colOff>
      <xdr:row>3</xdr:row>
      <xdr:rowOff>76201</xdr:rowOff>
    </xdr:from>
    <xdr:to>
      <xdr:col>1</xdr:col>
      <xdr:colOff>606676</xdr:colOff>
      <xdr:row>3</xdr:row>
      <xdr:rowOff>616201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22B53EF-1A76-46DE-A592-C0A61C81F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1" y="1581151"/>
          <a:ext cx="540000" cy="540000"/>
        </a:xfrm>
        <a:prstGeom prst="ellipse">
          <a:avLst/>
        </a:prstGeom>
      </xdr:spPr>
    </xdr:pic>
    <xdr:clientData/>
  </xdr:twoCellAnchor>
  <xdr:twoCellAnchor editAs="oneCell">
    <xdr:from>
      <xdr:col>1</xdr:col>
      <xdr:colOff>47625</xdr:colOff>
      <xdr:row>1</xdr:row>
      <xdr:rowOff>57150</xdr:rowOff>
    </xdr:from>
    <xdr:to>
      <xdr:col>1</xdr:col>
      <xdr:colOff>587625</xdr:colOff>
      <xdr:row>1</xdr:row>
      <xdr:rowOff>597150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8506D96-64BB-4668-AD9E-813E9AF1A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247650"/>
          <a:ext cx="540000" cy="540000"/>
        </a:xfrm>
        <a:prstGeom prst="ellipse">
          <a:avLst/>
        </a:prstGeom>
      </xdr:spPr>
    </xdr:pic>
    <xdr:clientData/>
  </xdr:twoCellAnchor>
  <xdr:twoCellAnchor editAs="oneCell">
    <xdr:from>
      <xdr:col>1</xdr:col>
      <xdr:colOff>57151</xdr:colOff>
      <xdr:row>5</xdr:row>
      <xdr:rowOff>61912</xdr:rowOff>
    </xdr:from>
    <xdr:to>
      <xdr:col>1</xdr:col>
      <xdr:colOff>597151</xdr:colOff>
      <xdr:row>5</xdr:row>
      <xdr:rowOff>601912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84B426EA-1792-4184-BD2B-FF6FEE4A9D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849" t="7522" r="36283" b="19912"/>
        <a:stretch/>
      </xdr:blipFill>
      <xdr:spPr>
        <a:xfrm>
          <a:off x="771526" y="2881312"/>
          <a:ext cx="540000" cy="540000"/>
        </a:xfrm>
        <a:prstGeom prst="ellipse">
          <a:avLst/>
        </a:prstGeom>
      </xdr:spPr>
    </xdr:pic>
    <xdr:clientData/>
  </xdr:twoCellAnchor>
  <xdr:twoCellAnchor editAs="oneCell">
    <xdr:from>
      <xdr:col>1</xdr:col>
      <xdr:colOff>66675</xdr:colOff>
      <xdr:row>4</xdr:row>
      <xdr:rowOff>76200</xdr:rowOff>
    </xdr:from>
    <xdr:to>
      <xdr:col>1</xdr:col>
      <xdr:colOff>606675</xdr:colOff>
      <xdr:row>4</xdr:row>
      <xdr:rowOff>616200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943A084A-89C3-44C9-AE71-F132260546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81050" y="2238375"/>
          <a:ext cx="540000" cy="540000"/>
        </a:xfrm>
        <a:prstGeom prst="ellipse">
          <a:avLst/>
        </a:prstGeom>
      </xdr:spPr>
    </xdr:pic>
    <xdr:clientData/>
  </xdr:twoCellAnchor>
  <xdr:twoCellAnchor editAs="oneCell">
    <xdr:from>
      <xdr:col>1</xdr:col>
      <xdr:colOff>66675</xdr:colOff>
      <xdr:row>2</xdr:row>
      <xdr:rowOff>66675</xdr:rowOff>
    </xdr:from>
    <xdr:to>
      <xdr:col>1</xdr:col>
      <xdr:colOff>606675</xdr:colOff>
      <xdr:row>2</xdr:row>
      <xdr:rowOff>606675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A6004064-7DE6-49AC-B3E7-01AA5CAAD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14400"/>
          <a:ext cx="540000" cy="540000"/>
        </a:xfrm>
        <a:prstGeom prst="ellipse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5E249-F056-4CEC-AD95-22EF683390EC}">
  <sheetPr codeName="Planilha1"/>
  <dimension ref="A1:AH398"/>
  <sheetViews>
    <sheetView showGridLines="0" tabSelected="1" topLeftCell="A4" zoomScaleNormal="100" workbookViewId="0">
      <selection activeCell="H18" sqref="H18"/>
    </sheetView>
  </sheetViews>
  <sheetFormatPr defaultRowHeight="15" x14ac:dyDescent="0.25"/>
  <cols>
    <col min="1" max="1" width="35.7109375" style="26" customWidth="1"/>
    <col min="2" max="2" width="2.42578125" style="4" customWidth="1"/>
    <col min="3" max="3" width="11" style="3" customWidth="1"/>
    <col min="4" max="4" width="13.85546875" style="3" customWidth="1"/>
    <col min="5" max="5" width="9.140625" style="3"/>
    <col min="6" max="6" width="2" style="4" customWidth="1"/>
    <col min="7" max="7" width="9.140625" style="3"/>
    <col min="8" max="8" width="15.42578125" style="3" customWidth="1"/>
    <col min="9" max="9" width="4.42578125" style="3" customWidth="1"/>
    <col min="10" max="10" width="3" style="4" customWidth="1"/>
    <col min="11" max="11" width="9.140625" style="3" customWidth="1"/>
    <col min="12" max="12" width="2" style="4" customWidth="1"/>
    <col min="13" max="13" width="9.140625" style="3"/>
    <col min="14" max="14" width="11" style="3" customWidth="1"/>
    <col min="15" max="15" width="3" style="4" customWidth="1"/>
    <col min="16" max="16" width="9.140625" style="3"/>
    <col min="17" max="17" width="2" style="4" customWidth="1"/>
    <col min="18" max="18" width="9.140625" style="3"/>
    <col min="19" max="19" width="11" style="3" customWidth="1"/>
    <col min="20" max="20" width="3" style="4" customWidth="1"/>
    <col min="21" max="21" width="9.140625" style="3"/>
    <col min="22" max="22" width="2" style="4" customWidth="1"/>
    <col min="23" max="23" width="9.140625" style="3"/>
    <col min="24" max="24" width="11" style="3" customWidth="1"/>
    <col min="25" max="25" width="3" style="4" customWidth="1"/>
    <col min="26" max="26" width="9.140625" style="3"/>
    <col min="27" max="27" width="2" style="4" customWidth="1"/>
    <col min="28" max="28" width="9.140625" style="3"/>
    <col min="29" max="29" width="11" style="3" customWidth="1"/>
    <col min="30" max="30" width="3" style="4" customWidth="1"/>
    <col min="31" max="31" width="9.140625" style="3"/>
    <col min="32" max="32" width="2" style="4" customWidth="1"/>
    <col min="33" max="33" width="9.140625" style="3"/>
    <col min="34" max="34" width="11" style="3" customWidth="1"/>
    <col min="35" max="16384" width="9.140625" style="4"/>
  </cols>
  <sheetData>
    <row r="1" spans="1:34" s="26" customFormat="1" ht="39" customHeight="1" x14ac:dyDescent="0.5">
      <c r="B1" s="29" t="s">
        <v>47</v>
      </c>
      <c r="C1" s="27"/>
      <c r="D1" s="27"/>
      <c r="E1" s="27"/>
      <c r="G1" s="27"/>
      <c r="H1" s="27"/>
      <c r="I1" s="27"/>
      <c r="K1" s="27"/>
      <c r="M1" s="27"/>
      <c r="N1" s="27"/>
      <c r="P1" s="27"/>
      <c r="R1" s="27"/>
      <c r="S1" s="27"/>
      <c r="U1" s="27"/>
      <c r="W1" s="27"/>
      <c r="X1" s="27"/>
      <c r="Z1" s="27"/>
      <c r="AB1" s="27"/>
      <c r="AC1" s="27"/>
      <c r="AE1" s="27"/>
      <c r="AG1" s="27"/>
      <c r="AH1" s="27"/>
    </row>
    <row r="2" spans="1:34" ht="28.5" x14ac:dyDescent="0.45">
      <c r="B2" s="25"/>
    </row>
    <row r="3" spans="1:34" ht="28.5" x14ac:dyDescent="0.45">
      <c r="B3" s="25"/>
      <c r="C3" s="30"/>
    </row>
    <row r="4" spans="1:34" x14ac:dyDescent="0.25">
      <c r="C4" s="30"/>
    </row>
    <row r="5" spans="1:34" x14ac:dyDescent="0.25">
      <c r="C5" s="30"/>
    </row>
    <row r="12" spans="1:34" s="20" customFormat="1" ht="4.5" customHeight="1" x14ac:dyDescent="0.25">
      <c r="A12" s="28"/>
      <c r="C12" s="21"/>
      <c r="D12" s="21"/>
      <c r="E12" s="21"/>
      <c r="G12" s="21"/>
      <c r="H12" s="21"/>
      <c r="I12" s="21"/>
      <c r="K12" s="21"/>
      <c r="M12" s="21"/>
      <c r="N12" s="21"/>
      <c r="P12" s="21"/>
      <c r="R12" s="21"/>
      <c r="S12" s="21"/>
      <c r="U12" s="21"/>
      <c r="W12" s="21"/>
      <c r="X12" s="21"/>
      <c r="Z12" s="21"/>
      <c r="AB12" s="21"/>
      <c r="AC12" s="21"/>
      <c r="AE12" s="21"/>
      <c r="AG12" s="21"/>
      <c r="AH12" s="21"/>
    </row>
    <row r="13" spans="1:34" ht="15.75" thickBot="1" x14ac:dyDescent="0.3"/>
    <row r="14" spans="1:34" x14ac:dyDescent="0.25">
      <c r="K14" s="42" t="s">
        <v>43</v>
      </c>
      <c r="L14" s="43"/>
      <c r="M14" s="44"/>
      <c r="N14" s="40">
        <f>SUM(N19:N398)</f>
        <v>710</v>
      </c>
      <c r="P14" s="48" t="s">
        <v>44</v>
      </c>
      <c r="Q14" s="49"/>
      <c r="R14" s="50"/>
      <c r="S14" s="54">
        <f>SUM(S19:S398)</f>
        <v>693</v>
      </c>
      <c r="U14" s="48" t="s">
        <v>45</v>
      </c>
      <c r="V14" s="49"/>
      <c r="W14" s="50"/>
      <c r="X14" s="54">
        <f>SUM(X19:X398)</f>
        <v>696</v>
      </c>
      <c r="Z14" s="48" t="s">
        <v>49</v>
      </c>
      <c r="AA14" s="49"/>
      <c r="AB14" s="50"/>
      <c r="AC14" s="54">
        <f>SUM(AC19:AC398)</f>
        <v>609</v>
      </c>
      <c r="AE14" s="48" t="s">
        <v>46</v>
      </c>
      <c r="AF14" s="49"/>
      <c r="AG14" s="50"/>
      <c r="AH14" s="55">
        <f>SUM(AH19:AH398)</f>
        <v>569</v>
      </c>
    </row>
    <row r="15" spans="1:34" ht="15.75" thickBot="1" x14ac:dyDescent="0.3">
      <c r="K15" s="45"/>
      <c r="L15" s="46"/>
      <c r="M15" s="47"/>
      <c r="N15" s="41"/>
      <c r="P15" s="51"/>
      <c r="Q15" s="52"/>
      <c r="R15" s="53"/>
      <c r="S15" s="54"/>
      <c r="U15" s="51"/>
      <c r="V15" s="52"/>
      <c r="W15" s="53"/>
      <c r="X15" s="54"/>
      <c r="Z15" s="51"/>
      <c r="AA15" s="52"/>
      <c r="AB15" s="53"/>
      <c r="AC15" s="54"/>
      <c r="AE15" s="51"/>
      <c r="AF15" s="52"/>
      <c r="AG15" s="53"/>
      <c r="AH15" s="56"/>
    </row>
    <row r="18" spans="3:34" x14ac:dyDescent="0.25">
      <c r="C18" s="24" t="s">
        <v>0</v>
      </c>
      <c r="D18" s="22" t="s">
        <v>1</v>
      </c>
      <c r="E18" s="38" t="s">
        <v>24</v>
      </c>
      <c r="F18" s="38"/>
      <c r="G18" s="38"/>
      <c r="H18" s="23" t="s">
        <v>2</v>
      </c>
      <c r="I18" s="5"/>
      <c r="K18" s="39" t="s">
        <v>42</v>
      </c>
      <c r="L18" s="39"/>
      <c r="M18" s="39"/>
      <c r="N18" s="6" t="s">
        <v>33</v>
      </c>
      <c r="P18" s="39" t="s">
        <v>42</v>
      </c>
      <c r="Q18" s="39"/>
      <c r="R18" s="39"/>
      <c r="S18" s="6" t="s">
        <v>33</v>
      </c>
      <c r="U18" s="39" t="s">
        <v>42</v>
      </c>
      <c r="V18" s="39"/>
      <c r="W18" s="39"/>
      <c r="X18" s="6" t="s">
        <v>33</v>
      </c>
      <c r="Z18" s="39" t="s">
        <v>42</v>
      </c>
      <c r="AA18" s="39"/>
      <c r="AB18" s="39"/>
      <c r="AC18" s="6" t="s">
        <v>33</v>
      </c>
      <c r="AE18" s="57" t="s">
        <v>42</v>
      </c>
      <c r="AF18" s="58"/>
      <c r="AG18" s="59"/>
      <c r="AH18" s="6" t="s">
        <v>33</v>
      </c>
    </row>
    <row r="19" spans="3:34" x14ac:dyDescent="0.25">
      <c r="C19" s="24">
        <v>1</v>
      </c>
      <c r="D19" s="17" t="s">
        <v>3</v>
      </c>
      <c r="E19" s="16">
        <v>2</v>
      </c>
      <c r="F19" s="12" t="s">
        <v>23</v>
      </c>
      <c r="G19" s="16">
        <v>5</v>
      </c>
      <c r="H19" s="15" t="s">
        <v>4</v>
      </c>
      <c r="K19" s="9">
        <v>0</v>
      </c>
      <c r="L19" s="10" t="s">
        <v>23</v>
      </c>
      <c r="M19" s="11">
        <v>2</v>
      </c>
      <c r="N19" s="60">
        <f>IF(OR($E19="",$G19=""),"",IF(AND(K19=$E19,M19=$G19),Auxiliar!$C$11,IF(AND(SIGN($E19-$G19)=SIGN(K19-M19),MAX($E19,$G19)=MAX(K19,M19)),Auxiliar!$C$12,IF(ABS($E19-$G19)=ABS(K19-M19),Auxiliar!$C$13,IF(AND(SIGN($E19-$G19)=SIGN(K19-M19),MIN($E19,$G19)=MIN(K19,M19)),Auxiliar!$C$14,IF(SIGN($E19-$G19)=SIGN(K19-M19),Auxiliar!$C$15,IF(K19=M19,Auxiliar!$C$16,0)))))))</f>
        <v>10</v>
      </c>
      <c r="P19" s="9">
        <v>1</v>
      </c>
      <c r="Q19" s="10" t="s">
        <v>23</v>
      </c>
      <c r="R19" s="11">
        <v>2</v>
      </c>
      <c r="S19" s="60">
        <f>IF(OR($E19="",$G19=""),"",IF(AND(P19=$E19,R19=$G19),Auxiliar!$C$11,IF(AND(SIGN($E19-$G19)=SIGN(P19-R19),MAX($E19,$G19)=MAX(P19,R19)),Auxiliar!$C$12,IF(ABS($E19-$G19)=ABS(P19-R19),Auxiliar!$C$13,IF(AND(SIGN($E19-$G19)=SIGN(P19-R19),MIN($E19,$G19)=MIN(P19,R19)),Auxiliar!$C$14,IF(SIGN($E19-$G19)=SIGN(P19-R19),Auxiliar!$C$15,IF(P19=R19,Auxiliar!$C$16,0)))))))</f>
        <v>10</v>
      </c>
      <c r="U19" s="9">
        <v>0</v>
      </c>
      <c r="V19" s="10" t="s">
        <v>23</v>
      </c>
      <c r="W19" s="11">
        <v>1</v>
      </c>
      <c r="X19" s="60">
        <f>IF(OR($E19="",$G19=""),"",IF(AND(U19=$E19,W19=$G19),Auxiliar!$C$11,IF(AND(SIGN($E19-$G19)=SIGN(U19-W19),MAX($E19,$G19)=MAX(U19,W19)),Auxiliar!$C$12,IF(ABS($E19-$G19)=ABS(U19-W19),Auxiliar!$C$13,IF(AND(SIGN($E19-$G19)=SIGN(U19-W19),MIN($E19,$G19)=MIN(U19,W19)),Auxiliar!$C$14,IF(SIGN($E19-$G19)=SIGN(U19-W19),Auxiliar!$C$15,IF(U19=W19,Auxiliar!$C$16,0)))))))</f>
        <v>10</v>
      </c>
      <c r="Z19" s="9">
        <v>1</v>
      </c>
      <c r="AA19" s="10" t="s">
        <v>23</v>
      </c>
      <c r="AB19" s="11">
        <v>2</v>
      </c>
      <c r="AC19" s="60">
        <f>IF(OR($E19="",$G19=""),"",IF(AND(Z19=$E19,AB19=$G19),Auxiliar!$C$11,IF(AND(SIGN($E19-$G19)=SIGN(Z19-AB19),MAX($E19,$G19)=MAX(Z19,AB19)),Auxiliar!$C$12,IF(ABS($E19-$G19)=ABS(Z19-AB19),Auxiliar!$C$13,IF(AND(SIGN($E19-$G19)=SIGN(Z19-AB19),MIN($E19,$G19)=MIN(Z19,AB19)),Auxiliar!$C$14,IF(SIGN($E19-$G19)=SIGN(Z19-AB19),Auxiliar!$C$15,IF(Z19=AB19,Auxiliar!$C$16,0)))))))</f>
        <v>10</v>
      </c>
      <c r="AE19" s="9">
        <v>4</v>
      </c>
      <c r="AF19" s="10" t="s">
        <v>23</v>
      </c>
      <c r="AG19" s="11">
        <v>3</v>
      </c>
      <c r="AH19" s="60">
        <f>IF(OR($E19="",$G19=""),"",IF(AND(AE19=$E19,AG19=$G19),Auxiliar!$C$11,IF(AND(SIGN($E19-$G19)=SIGN(AE19-AG19),MAX($E19,$G19)=MAX(AE19,AG19)),Auxiliar!$C$12,IF(ABS($E19-$G19)=ABS(AE19-AG19),Auxiliar!$C$13,IF(AND(SIGN($E19-$G19)=SIGN(AE19-AG19),MIN($E19,$G19)=MIN(AE19,AG19)),Auxiliar!$C$14,IF(SIGN($E19-$G19)=SIGN(AE19-AG19),Auxiliar!$C$15,IF(AE19=AG19,Auxiliar!$C$16,0)))))))</f>
        <v>0</v>
      </c>
    </row>
    <row r="20" spans="3:34" x14ac:dyDescent="0.25">
      <c r="C20" s="24">
        <v>1</v>
      </c>
      <c r="D20" s="18" t="s">
        <v>5</v>
      </c>
      <c r="E20" s="13">
        <v>2</v>
      </c>
      <c r="F20" s="12" t="s">
        <v>23</v>
      </c>
      <c r="G20" s="13">
        <v>5</v>
      </c>
      <c r="H20" s="14" t="s">
        <v>6</v>
      </c>
      <c r="K20" s="9">
        <v>0</v>
      </c>
      <c r="L20" s="10" t="s">
        <v>23</v>
      </c>
      <c r="M20" s="11">
        <v>2</v>
      </c>
      <c r="N20" s="60">
        <f>IF(OR($E20="",$G20=""),"",IF(AND(K20=$E20,M20=$G20),Auxiliar!$C$11,IF(AND(SIGN($E20-$G20)=SIGN(K20-M20),MAX($E20,$G20)=MAX(K20,M20)),Auxiliar!$C$12,IF(ABS($E20-$G20)=ABS(K20-M20),Auxiliar!$C$13,IF(AND(SIGN($E20-$G20)=SIGN(K20-M20),MIN($E20,$G20)=MIN(K20,M20)),Auxiliar!$C$14,IF(SIGN($E20-$G20)=SIGN(K20-M20),Auxiliar!$C$15,IF(K20=M20,Auxiliar!$C$16,0)))))))</f>
        <v>10</v>
      </c>
      <c r="P20" s="9">
        <v>0</v>
      </c>
      <c r="Q20" s="10" t="s">
        <v>23</v>
      </c>
      <c r="R20" s="11">
        <v>2</v>
      </c>
      <c r="S20" s="60">
        <f>IF(OR($E20="",$G20=""),"",IF(AND(P20=$E20,R20=$G20),Auxiliar!$C$11,IF(AND(SIGN($E20-$G20)=SIGN(P20-R20),MAX($E20,$G20)=MAX(P20,R20)),Auxiliar!$C$12,IF(ABS($E20-$G20)=ABS(P20-R20),Auxiliar!$C$13,IF(AND(SIGN($E20-$G20)=SIGN(P20-R20),MIN($E20,$G20)=MIN(P20,R20)),Auxiliar!$C$14,IF(SIGN($E20-$G20)=SIGN(P20-R20),Auxiliar!$C$15,IF(P20=R20,Auxiliar!$C$16,0)))))))</f>
        <v>10</v>
      </c>
      <c r="U20" s="9">
        <v>1</v>
      </c>
      <c r="V20" s="10" t="s">
        <v>23</v>
      </c>
      <c r="W20" s="11">
        <v>4</v>
      </c>
      <c r="X20" s="60">
        <f>IF(OR($E20="",$G20=""),"",IF(AND(U20=$E20,W20=$G20),Auxiliar!$C$11,IF(AND(SIGN($E20-$G20)=SIGN(U20-W20),MAX($E20,$G20)=MAX(U20,W20)),Auxiliar!$C$12,IF(ABS($E20-$G20)=ABS(U20-W20),Auxiliar!$C$13,IF(AND(SIGN($E20-$G20)=SIGN(U20-W20),MIN($E20,$G20)=MIN(U20,W20)),Auxiliar!$C$14,IF(SIGN($E20-$G20)=SIGN(U20-W20),Auxiliar!$C$15,IF(U20=W20,Auxiliar!$C$16,0)))))))</f>
        <v>15</v>
      </c>
      <c r="Z20" s="9">
        <v>5</v>
      </c>
      <c r="AA20" s="10" t="s">
        <v>23</v>
      </c>
      <c r="AB20" s="11">
        <v>4</v>
      </c>
      <c r="AC20" s="60">
        <f>IF(OR($E20="",$G20=""),"",IF(AND(Z20=$E20,AB20=$G20),Auxiliar!$C$11,IF(AND(SIGN($E20-$G20)=SIGN(Z20-AB20),MAX($E20,$G20)=MAX(Z20,AB20)),Auxiliar!$C$12,IF(ABS($E20-$G20)=ABS(Z20-AB20),Auxiliar!$C$13,IF(AND(SIGN($E20-$G20)=SIGN(Z20-AB20),MIN($E20,$G20)=MIN(Z20,AB20)),Auxiliar!$C$14,IF(SIGN($E20-$G20)=SIGN(Z20-AB20),Auxiliar!$C$15,IF(Z20=AB20,Auxiliar!$C$16,0)))))))</f>
        <v>0</v>
      </c>
      <c r="AE20" s="9">
        <v>3</v>
      </c>
      <c r="AF20" s="10" t="s">
        <v>23</v>
      </c>
      <c r="AG20" s="11">
        <v>4</v>
      </c>
      <c r="AH20" s="60">
        <f>IF(OR($E20="",$G20=""),"",IF(AND(AE20=$E20,AG20=$G20),Auxiliar!$C$11,IF(AND(SIGN($E20-$G20)=SIGN(AE20-AG20),MAX($E20,$G20)=MAX(AE20,AG20)),Auxiliar!$C$12,IF(ABS($E20-$G20)=ABS(AE20-AG20),Auxiliar!$C$13,IF(AND(SIGN($E20-$G20)=SIGN(AE20-AG20),MIN($E20,$G20)=MIN(AE20,AG20)),Auxiliar!$C$14,IF(SIGN($E20-$G20)=SIGN(AE20-AG20),Auxiliar!$C$15,IF(AE20=AG20,Auxiliar!$C$16,0)))))))</f>
        <v>10</v>
      </c>
    </row>
    <row r="21" spans="3:34" x14ac:dyDescent="0.25">
      <c r="C21" s="24">
        <v>1</v>
      </c>
      <c r="D21" s="18" t="s">
        <v>7</v>
      </c>
      <c r="E21" s="13">
        <v>3</v>
      </c>
      <c r="F21" s="12" t="s">
        <v>23</v>
      </c>
      <c r="G21" s="13">
        <v>1</v>
      </c>
      <c r="H21" s="14" t="s">
        <v>8</v>
      </c>
      <c r="K21" s="9">
        <v>2</v>
      </c>
      <c r="L21" s="10" t="s">
        <v>23</v>
      </c>
      <c r="M21" s="11">
        <v>4</v>
      </c>
      <c r="N21" s="60">
        <f>IF(OR($E21="",$G21=""),"",IF(AND(K21=$E21,M21=$G21),Auxiliar!$C$11,IF(AND(SIGN($E21-$G21)=SIGN(K21-M21),MAX($E21,$G21)=MAX(K21,M21)),Auxiliar!$C$12,IF(ABS($E21-$G21)=ABS(K21-M21),Auxiliar!$C$13,IF(AND(SIGN($E21-$G21)=SIGN(K21-M21),MIN($E21,$G21)=MIN(K21,M21)),Auxiliar!$C$14,IF(SIGN($E21-$G21)=SIGN(K21-M21),Auxiliar!$C$15,IF(K21=M21,Auxiliar!$C$16,0)))))))</f>
        <v>15</v>
      </c>
      <c r="P21" s="9">
        <v>3</v>
      </c>
      <c r="Q21" s="10" t="s">
        <v>23</v>
      </c>
      <c r="R21" s="11">
        <v>2</v>
      </c>
      <c r="S21" s="60">
        <f>IF(OR($E21="",$G21=""),"",IF(AND(P21=$E21,R21=$G21),Auxiliar!$C$11,IF(AND(SIGN($E21-$G21)=SIGN(P21-R21),MAX($E21,$G21)=MAX(P21,R21)),Auxiliar!$C$12,IF(ABS($E21-$G21)=ABS(P21-R21),Auxiliar!$C$13,IF(AND(SIGN($E21-$G21)=SIGN(P21-R21),MIN($E21,$G21)=MIN(P21,R21)),Auxiliar!$C$14,IF(SIGN($E21-$G21)=SIGN(P21-R21),Auxiliar!$C$15,IF(P21=R21,Auxiliar!$C$16,0)))))))</f>
        <v>18</v>
      </c>
      <c r="U21" s="9">
        <v>1</v>
      </c>
      <c r="V21" s="10" t="s">
        <v>23</v>
      </c>
      <c r="W21" s="11">
        <v>0</v>
      </c>
      <c r="X21" s="60">
        <f>IF(OR($E21="",$G21=""),"",IF(AND(U21=$E21,W21=$G21),Auxiliar!$C$11,IF(AND(SIGN($E21-$G21)=SIGN(U21-W21),MAX($E21,$G21)=MAX(U21,W21)),Auxiliar!$C$12,IF(ABS($E21-$G21)=ABS(U21-W21),Auxiliar!$C$13,IF(AND(SIGN($E21-$G21)=SIGN(U21-W21),MIN($E21,$G21)=MIN(U21,W21)),Auxiliar!$C$14,IF(SIGN($E21-$G21)=SIGN(U21-W21),Auxiliar!$C$15,IF(U21=W21,Auxiliar!$C$16,0)))))))</f>
        <v>10</v>
      </c>
      <c r="Z21" s="9">
        <v>2</v>
      </c>
      <c r="AA21" s="10" t="s">
        <v>23</v>
      </c>
      <c r="AB21" s="11">
        <v>2</v>
      </c>
      <c r="AC21" s="60">
        <f>IF(OR($E21="",$G21=""),"",IF(AND(Z21=$E21,AB21=$G21),Auxiliar!$C$11,IF(AND(SIGN($E21-$G21)=SIGN(Z21-AB21),MAX($E21,$G21)=MAX(Z21,AB21)),Auxiliar!$C$12,IF(ABS($E21-$G21)=ABS(Z21-AB21),Auxiliar!$C$13,IF(AND(SIGN($E21-$G21)=SIGN(Z21-AB21),MIN($E21,$G21)=MIN(Z21,AB21)),Auxiliar!$C$14,IF(SIGN($E21-$G21)=SIGN(Z21-AB21),Auxiliar!$C$15,IF(Z21=AB21,Auxiliar!$C$16,0)))))))</f>
        <v>5</v>
      </c>
      <c r="AE21" s="9">
        <v>1</v>
      </c>
      <c r="AF21" s="10" t="s">
        <v>23</v>
      </c>
      <c r="AG21" s="11">
        <v>3</v>
      </c>
      <c r="AH21" s="60">
        <f>IF(OR($E21="",$G21=""),"",IF(AND(AE21=$E21,AG21=$G21),Auxiliar!$C$11,IF(AND(SIGN($E21-$G21)=SIGN(AE21-AG21),MAX($E21,$G21)=MAX(AE21,AG21)),Auxiliar!$C$12,IF(ABS($E21-$G21)=ABS(AE21-AG21),Auxiliar!$C$13,IF(AND(SIGN($E21-$G21)=SIGN(AE21-AG21),MIN($E21,$G21)=MIN(AE21,AG21)),Auxiliar!$C$14,IF(SIGN($E21-$G21)=SIGN(AE21-AG21),Auxiliar!$C$15,IF(AE21=AG21,Auxiliar!$C$16,0)))))))</f>
        <v>15</v>
      </c>
    </row>
    <row r="22" spans="3:34" x14ac:dyDescent="0.25">
      <c r="C22" s="24">
        <v>1</v>
      </c>
      <c r="D22" s="18" t="s">
        <v>9</v>
      </c>
      <c r="E22" s="13">
        <v>2</v>
      </c>
      <c r="F22" s="12" t="s">
        <v>23</v>
      </c>
      <c r="G22" s="13">
        <v>1</v>
      </c>
      <c r="H22" s="14" t="s">
        <v>10</v>
      </c>
      <c r="K22" s="9">
        <v>2</v>
      </c>
      <c r="L22" s="10" t="s">
        <v>23</v>
      </c>
      <c r="M22" s="11">
        <v>1</v>
      </c>
      <c r="N22" s="60">
        <f>IF(OR($E22="",$G22=""),"",IF(AND(K22=$E22,M22=$G22),Auxiliar!$C$11,IF(AND(SIGN($E22-$G22)=SIGN(K22-M22),MAX($E22,$G22)=MAX(K22,M22)),Auxiliar!$C$12,IF(ABS($E22-$G22)=ABS(K22-M22),Auxiliar!$C$13,IF(AND(SIGN($E22-$G22)=SIGN(K22-M22),MIN($E22,$G22)=MIN(K22,M22)),Auxiliar!$C$14,IF(SIGN($E22-$G22)=SIGN(K22-M22),Auxiliar!$C$15,IF(K22=M22,Auxiliar!$C$16,0)))))))</f>
        <v>25</v>
      </c>
      <c r="P22" s="9">
        <v>5</v>
      </c>
      <c r="Q22" s="10" t="s">
        <v>23</v>
      </c>
      <c r="R22" s="11">
        <v>2</v>
      </c>
      <c r="S22" s="60">
        <f>IF(OR($E22="",$G22=""),"",IF(AND(P22=$E22,R22=$G22),Auxiliar!$C$11,IF(AND(SIGN($E22-$G22)=SIGN(P22-R22),MAX($E22,$G22)=MAX(P22,R22)),Auxiliar!$C$12,IF(ABS($E22-$G22)=ABS(P22-R22),Auxiliar!$C$13,IF(AND(SIGN($E22-$G22)=SIGN(P22-R22),MIN($E22,$G22)=MIN(P22,R22)),Auxiliar!$C$14,IF(SIGN($E22-$G22)=SIGN(P22-R22),Auxiliar!$C$15,IF(P22=R22,Auxiliar!$C$16,0)))))))</f>
        <v>10</v>
      </c>
      <c r="U22" s="9">
        <v>2</v>
      </c>
      <c r="V22" s="10" t="s">
        <v>23</v>
      </c>
      <c r="W22" s="11">
        <v>2</v>
      </c>
      <c r="X22" s="60">
        <f>IF(OR($E22="",$G22=""),"",IF(AND(U22=$E22,W22=$G22),Auxiliar!$C$11,IF(AND(SIGN($E22-$G22)=SIGN(U22-W22),MAX($E22,$G22)=MAX(U22,W22)),Auxiliar!$C$12,IF(ABS($E22-$G22)=ABS(U22-W22),Auxiliar!$C$13,IF(AND(SIGN($E22-$G22)=SIGN(U22-W22),MIN($E22,$G22)=MIN(U22,W22)),Auxiliar!$C$14,IF(SIGN($E22-$G22)=SIGN(U22-W22),Auxiliar!$C$15,IF(U22=W22,Auxiliar!$C$16,0)))))))</f>
        <v>5</v>
      </c>
      <c r="Z22" s="9">
        <v>2</v>
      </c>
      <c r="AA22" s="10" t="s">
        <v>23</v>
      </c>
      <c r="AB22" s="11">
        <v>5</v>
      </c>
      <c r="AC22" s="60">
        <f>IF(OR($E22="",$G22=""),"",IF(AND(Z22=$E22,AB22=$G22),Auxiliar!$C$11,IF(AND(SIGN($E22-$G22)=SIGN(Z22-AB22),MAX($E22,$G22)=MAX(Z22,AB22)),Auxiliar!$C$12,IF(ABS($E22-$G22)=ABS(Z22-AB22),Auxiliar!$C$13,IF(AND(SIGN($E22-$G22)=SIGN(Z22-AB22),MIN($E22,$G22)=MIN(Z22,AB22)),Auxiliar!$C$14,IF(SIGN($E22-$G22)=SIGN(Z22-AB22),Auxiliar!$C$15,IF(Z22=AB22,Auxiliar!$C$16,0)))))))</f>
        <v>0</v>
      </c>
      <c r="AE22" s="9">
        <v>2</v>
      </c>
      <c r="AF22" s="10" t="s">
        <v>23</v>
      </c>
      <c r="AG22" s="11">
        <v>3</v>
      </c>
      <c r="AH22" s="60">
        <f>IF(OR($E22="",$G22=""),"",IF(AND(AE22=$E22,AG22=$G22),Auxiliar!$C$11,IF(AND(SIGN($E22-$G22)=SIGN(AE22-AG22),MAX($E22,$G22)=MAX(AE22,AG22)),Auxiliar!$C$12,IF(ABS($E22-$G22)=ABS(AE22-AG22),Auxiliar!$C$13,IF(AND(SIGN($E22-$G22)=SIGN(AE22-AG22),MIN($E22,$G22)=MIN(AE22,AG22)),Auxiliar!$C$14,IF(SIGN($E22-$G22)=SIGN(AE22-AG22),Auxiliar!$C$15,IF(AE22=AG22,Auxiliar!$C$16,0)))))))</f>
        <v>15</v>
      </c>
    </row>
    <row r="23" spans="3:34" x14ac:dyDescent="0.25">
      <c r="C23" s="24">
        <v>1</v>
      </c>
      <c r="D23" s="18" t="s">
        <v>11</v>
      </c>
      <c r="E23" s="13">
        <v>3</v>
      </c>
      <c r="F23" s="12" t="s">
        <v>23</v>
      </c>
      <c r="G23" s="13">
        <v>2</v>
      </c>
      <c r="H23" s="14" t="s">
        <v>12</v>
      </c>
      <c r="K23" s="9">
        <v>0</v>
      </c>
      <c r="L23" s="10" t="s">
        <v>23</v>
      </c>
      <c r="M23" s="11">
        <v>3</v>
      </c>
      <c r="N23" s="60">
        <f>IF(OR($E23="",$G23=""),"",IF(AND(K23=$E23,M23=$G23),Auxiliar!$C$11,IF(AND(SIGN($E23-$G23)=SIGN(K23-M23),MAX($E23,$G23)=MAX(K23,M23)),Auxiliar!$C$12,IF(ABS($E23-$G23)=ABS(K23-M23),Auxiliar!$C$13,IF(AND(SIGN($E23-$G23)=SIGN(K23-M23),MIN($E23,$G23)=MIN(K23,M23)),Auxiliar!$C$14,IF(SIGN($E23-$G23)=SIGN(K23-M23),Auxiliar!$C$15,IF(K23=M23,Auxiliar!$C$16,0)))))))</f>
        <v>0</v>
      </c>
      <c r="P23" s="9">
        <v>2</v>
      </c>
      <c r="Q23" s="10" t="s">
        <v>23</v>
      </c>
      <c r="R23" s="11">
        <v>4</v>
      </c>
      <c r="S23" s="60">
        <f>IF(OR($E23="",$G23=""),"",IF(AND(P23=$E23,R23=$G23),Auxiliar!$C$11,IF(AND(SIGN($E23-$G23)=SIGN(P23-R23),MAX($E23,$G23)=MAX(P23,R23)),Auxiliar!$C$12,IF(ABS($E23-$G23)=ABS(P23-R23),Auxiliar!$C$13,IF(AND(SIGN($E23-$G23)=SIGN(P23-R23),MIN($E23,$G23)=MIN(P23,R23)),Auxiliar!$C$14,IF(SIGN($E23-$G23)=SIGN(P23-R23),Auxiliar!$C$15,IF(P23=R23,Auxiliar!$C$16,0)))))))</f>
        <v>0</v>
      </c>
      <c r="U23" s="9">
        <v>5</v>
      </c>
      <c r="V23" s="10" t="s">
        <v>23</v>
      </c>
      <c r="W23" s="11">
        <v>0</v>
      </c>
      <c r="X23" s="60">
        <f>IF(OR($E23="",$G23=""),"",IF(AND(U23=$E23,W23=$G23),Auxiliar!$C$11,IF(AND(SIGN($E23-$G23)=SIGN(U23-W23),MAX($E23,$G23)=MAX(U23,W23)),Auxiliar!$C$12,IF(ABS($E23-$G23)=ABS(U23-W23),Auxiliar!$C$13,IF(AND(SIGN($E23-$G23)=SIGN(U23-W23),MIN($E23,$G23)=MIN(U23,W23)),Auxiliar!$C$14,IF(SIGN($E23-$G23)=SIGN(U23-W23),Auxiliar!$C$15,IF(U23=W23,Auxiliar!$C$16,0)))))))</f>
        <v>10</v>
      </c>
      <c r="Z23" s="9">
        <v>1</v>
      </c>
      <c r="AA23" s="10" t="s">
        <v>23</v>
      </c>
      <c r="AB23" s="11">
        <v>0</v>
      </c>
      <c r="AC23" s="60">
        <f>IF(OR($E23="",$G23=""),"",IF(AND(Z23=$E23,AB23=$G23),Auxiliar!$C$11,IF(AND(SIGN($E23-$G23)=SIGN(Z23-AB23),MAX($E23,$G23)=MAX(Z23,AB23)),Auxiliar!$C$12,IF(ABS($E23-$G23)=ABS(Z23-AB23),Auxiliar!$C$13,IF(AND(SIGN($E23-$G23)=SIGN(Z23-AB23),MIN($E23,$G23)=MIN(Z23,AB23)),Auxiliar!$C$14,IF(SIGN($E23-$G23)=SIGN(Z23-AB23),Auxiliar!$C$15,IF(Z23=AB23,Auxiliar!$C$16,0)))))))</f>
        <v>15</v>
      </c>
      <c r="AE23" s="9">
        <v>0</v>
      </c>
      <c r="AF23" s="10" t="s">
        <v>23</v>
      </c>
      <c r="AG23" s="11">
        <v>5</v>
      </c>
      <c r="AH23" s="60">
        <f>IF(OR($E23="",$G23=""),"",IF(AND(AE23=$E23,AG23=$G23),Auxiliar!$C$11,IF(AND(SIGN($E23-$G23)=SIGN(AE23-AG23),MAX($E23,$G23)=MAX(AE23,AG23)),Auxiliar!$C$12,IF(ABS($E23-$G23)=ABS(AE23-AG23),Auxiliar!$C$13,IF(AND(SIGN($E23-$G23)=SIGN(AE23-AG23),MIN($E23,$G23)=MIN(AE23,AG23)),Auxiliar!$C$14,IF(SIGN($E23-$G23)=SIGN(AE23-AG23),Auxiliar!$C$15,IF(AE23=AG23,Auxiliar!$C$16,0)))))))</f>
        <v>0</v>
      </c>
    </row>
    <row r="24" spans="3:34" x14ac:dyDescent="0.25">
      <c r="C24" s="24">
        <v>1</v>
      </c>
      <c r="D24" s="18" t="s">
        <v>13</v>
      </c>
      <c r="E24" s="13">
        <v>2</v>
      </c>
      <c r="F24" s="12" t="s">
        <v>23</v>
      </c>
      <c r="G24" s="13">
        <v>1</v>
      </c>
      <c r="H24" s="14" t="s">
        <v>14</v>
      </c>
      <c r="K24" s="9">
        <v>5</v>
      </c>
      <c r="L24" s="10" t="s">
        <v>23</v>
      </c>
      <c r="M24" s="11">
        <v>3</v>
      </c>
      <c r="N24" s="60">
        <f>IF(OR($E24="",$G24=""),"",IF(AND(K24=$E24,M24=$G24),Auxiliar!$C$11,IF(AND(SIGN($E24-$G24)=SIGN(K24-M24),MAX($E24,$G24)=MAX(K24,M24)),Auxiliar!$C$12,IF(ABS($E24-$G24)=ABS(K24-M24),Auxiliar!$C$13,IF(AND(SIGN($E24-$G24)=SIGN(K24-M24),MIN($E24,$G24)=MIN(K24,M24)),Auxiliar!$C$14,IF(SIGN($E24-$G24)=SIGN(K24-M24),Auxiliar!$C$15,IF(K24=M24,Auxiliar!$C$16,0)))))))</f>
        <v>10</v>
      </c>
      <c r="P24" s="9">
        <v>5</v>
      </c>
      <c r="Q24" s="10" t="s">
        <v>23</v>
      </c>
      <c r="R24" s="11">
        <v>3</v>
      </c>
      <c r="S24" s="60">
        <f>IF(OR($E24="",$G24=""),"",IF(AND(P24=$E24,R24=$G24),Auxiliar!$C$11,IF(AND(SIGN($E24-$G24)=SIGN(P24-R24),MAX($E24,$G24)=MAX(P24,R24)),Auxiliar!$C$12,IF(ABS($E24-$G24)=ABS(P24-R24),Auxiliar!$C$13,IF(AND(SIGN($E24-$G24)=SIGN(P24-R24),MIN($E24,$G24)=MIN(P24,R24)),Auxiliar!$C$14,IF(SIGN($E24-$G24)=SIGN(P24-R24),Auxiliar!$C$15,IF(P24=R24,Auxiliar!$C$16,0)))))))</f>
        <v>10</v>
      </c>
      <c r="U24" s="9">
        <v>4</v>
      </c>
      <c r="V24" s="10" t="s">
        <v>23</v>
      </c>
      <c r="W24" s="11">
        <v>3</v>
      </c>
      <c r="X24" s="60">
        <f>IF(OR($E24="",$G24=""),"",IF(AND(U24=$E24,W24=$G24),Auxiliar!$C$11,IF(AND(SIGN($E24-$G24)=SIGN(U24-W24),MAX($E24,$G24)=MAX(U24,W24)),Auxiliar!$C$12,IF(ABS($E24-$G24)=ABS(U24-W24),Auxiliar!$C$13,IF(AND(SIGN($E24-$G24)=SIGN(U24-W24),MIN($E24,$G24)=MIN(U24,W24)),Auxiliar!$C$14,IF(SIGN($E24-$G24)=SIGN(U24-W24),Auxiliar!$C$15,IF(U24=W24,Auxiliar!$C$16,0)))))))</f>
        <v>15</v>
      </c>
      <c r="Z24" s="9">
        <v>1</v>
      </c>
      <c r="AA24" s="10" t="s">
        <v>23</v>
      </c>
      <c r="AB24" s="11">
        <v>4</v>
      </c>
      <c r="AC24" s="60">
        <f>IF(OR($E24="",$G24=""),"",IF(AND(Z24=$E24,AB24=$G24),Auxiliar!$C$11,IF(AND(SIGN($E24-$G24)=SIGN(Z24-AB24),MAX($E24,$G24)=MAX(Z24,AB24)),Auxiliar!$C$12,IF(ABS($E24-$G24)=ABS(Z24-AB24),Auxiliar!$C$13,IF(AND(SIGN($E24-$G24)=SIGN(Z24-AB24),MIN($E24,$G24)=MIN(Z24,AB24)),Auxiliar!$C$14,IF(SIGN($E24-$G24)=SIGN(Z24-AB24),Auxiliar!$C$15,IF(Z24=AB24,Auxiliar!$C$16,0)))))))</f>
        <v>0</v>
      </c>
      <c r="AE24" s="9">
        <v>2</v>
      </c>
      <c r="AF24" s="10" t="s">
        <v>23</v>
      </c>
      <c r="AG24" s="11">
        <v>1</v>
      </c>
      <c r="AH24" s="60">
        <f>IF(OR($E24="",$G24=""),"",IF(AND(AE24=$E24,AG24=$G24),Auxiliar!$C$11,IF(AND(SIGN($E24-$G24)=SIGN(AE24-AG24),MAX($E24,$G24)=MAX(AE24,AG24)),Auxiliar!$C$12,IF(ABS($E24-$G24)=ABS(AE24-AG24),Auxiliar!$C$13,IF(AND(SIGN($E24-$G24)=SIGN(AE24-AG24),MIN($E24,$G24)=MIN(AE24,AG24)),Auxiliar!$C$14,IF(SIGN($E24-$G24)=SIGN(AE24-AG24),Auxiliar!$C$15,IF(AE24=AG24,Auxiliar!$C$16,0)))))))</f>
        <v>25</v>
      </c>
    </row>
    <row r="25" spans="3:34" x14ac:dyDescent="0.25">
      <c r="C25" s="24">
        <v>1</v>
      </c>
      <c r="D25" s="18" t="s">
        <v>15</v>
      </c>
      <c r="E25" s="13">
        <v>3</v>
      </c>
      <c r="F25" s="12" t="s">
        <v>23</v>
      </c>
      <c r="G25" s="13">
        <v>0</v>
      </c>
      <c r="H25" s="14" t="s">
        <v>16</v>
      </c>
      <c r="K25" s="9">
        <v>0</v>
      </c>
      <c r="L25" s="10" t="s">
        <v>23</v>
      </c>
      <c r="M25" s="11">
        <v>4</v>
      </c>
      <c r="N25" s="60">
        <f>IF(OR($E25="",$G25=""),"",IF(AND(K25=$E25,M25=$G25),Auxiliar!$C$11,IF(AND(SIGN($E25-$G25)=SIGN(K25-M25),MAX($E25,$G25)=MAX(K25,M25)),Auxiliar!$C$12,IF(ABS($E25-$G25)=ABS(K25-M25),Auxiliar!$C$13,IF(AND(SIGN($E25-$G25)=SIGN(K25-M25),MIN($E25,$G25)=MIN(K25,M25)),Auxiliar!$C$14,IF(SIGN($E25-$G25)=SIGN(K25-M25),Auxiliar!$C$15,IF(K25=M25,Auxiliar!$C$16,0)))))))</f>
        <v>0</v>
      </c>
      <c r="P25" s="9">
        <v>5</v>
      </c>
      <c r="Q25" s="10" t="s">
        <v>23</v>
      </c>
      <c r="R25" s="11">
        <v>4</v>
      </c>
      <c r="S25" s="60">
        <f>IF(OR($E25="",$G25=""),"",IF(AND(P25=$E25,R25=$G25),Auxiliar!$C$11,IF(AND(SIGN($E25-$G25)=SIGN(P25-R25),MAX($E25,$G25)=MAX(P25,R25)),Auxiliar!$C$12,IF(ABS($E25-$G25)=ABS(P25-R25),Auxiliar!$C$13,IF(AND(SIGN($E25-$G25)=SIGN(P25-R25),MIN($E25,$G25)=MIN(P25,R25)),Auxiliar!$C$14,IF(SIGN($E25-$G25)=SIGN(P25-R25),Auxiliar!$C$15,IF(P25=R25,Auxiliar!$C$16,0)))))))</f>
        <v>10</v>
      </c>
      <c r="U25" s="9">
        <v>4</v>
      </c>
      <c r="V25" s="10" t="s">
        <v>23</v>
      </c>
      <c r="W25" s="11">
        <v>1</v>
      </c>
      <c r="X25" s="60">
        <f>IF(OR($E25="",$G25=""),"",IF(AND(U25=$E25,W25=$G25),Auxiliar!$C$11,IF(AND(SIGN($E25-$G25)=SIGN(U25-W25),MAX($E25,$G25)=MAX(U25,W25)),Auxiliar!$C$12,IF(ABS($E25-$G25)=ABS(U25-W25),Auxiliar!$C$13,IF(AND(SIGN($E25-$G25)=SIGN(U25-W25),MIN($E25,$G25)=MIN(U25,W25)),Auxiliar!$C$14,IF(SIGN($E25-$G25)=SIGN(U25-W25),Auxiliar!$C$15,IF(U25=W25,Auxiliar!$C$16,0)))))))</f>
        <v>15</v>
      </c>
      <c r="Z25" s="9">
        <v>4</v>
      </c>
      <c r="AA25" s="10" t="s">
        <v>23</v>
      </c>
      <c r="AB25" s="11">
        <v>1</v>
      </c>
      <c r="AC25" s="60">
        <f>IF(OR($E25="",$G25=""),"",IF(AND(Z25=$E25,AB25=$G25),Auxiliar!$C$11,IF(AND(SIGN($E25-$G25)=SIGN(Z25-AB25),MAX($E25,$G25)=MAX(Z25,AB25)),Auxiliar!$C$12,IF(ABS($E25-$G25)=ABS(Z25-AB25),Auxiliar!$C$13,IF(AND(SIGN($E25-$G25)=SIGN(Z25-AB25),MIN($E25,$G25)=MIN(Z25,AB25)),Auxiliar!$C$14,IF(SIGN($E25-$G25)=SIGN(Z25-AB25),Auxiliar!$C$15,IF(Z25=AB25,Auxiliar!$C$16,0)))))))</f>
        <v>15</v>
      </c>
      <c r="AE25" s="9">
        <v>5</v>
      </c>
      <c r="AF25" s="10" t="s">
        <v>23</v>
      </c>
      <c r="AG25" s="11">
        <v>3</v>
      </c>
      <c r="AH25" s="60">
        <f>IF(OR($E25="",$G25=""),"",IF(AND(AE25=$E25,AG25=$G25),Auxiliar!$C$11,IF(AND(SIGN($E25-$G25)=SIGN(AE25-AG25),MAX($E25,$G25)=MAX(AE25,AG25)),Auxiliar!$C$12,IF(ABS($E25-$G25)=ABS(AE25-AG25),Auxiliar!$C$13,IF(AND(SIGN($E25-$G25)=SIGN(AE25-AG25),MIN($E25,$G25)=MIN(AE25,AG25)),Auxiliar!$C$14,IF(SIGN($E25-$G25)=SIGN(AE25-AG25),Auxiliar!$C$15,IF(AE25=AG25,Auxiliar!$C$16,0)))))))</f>
        <v>10</v>
      </c>
    </row>
    <row r="26" spans="3:34" x14ac:dyDescent="0.25">
      <c r="C26" s="24">
        <v>1</v>
      </c>
      <c r="D26" s="18" t="s">
        <v>17</v>
      </c>
      <c r="E26" s="13">
        <v>5</v>
      </c>
      <c r="F26" s="12" t="s">
        <v>23</v>
      </c>
      <c r="G26" s="13">
        <v>0</v>
      </c>
      <c r="H26" s="14" t="s">
        <v>18</v>
      </c>
      <c r="K26" s="9">
        <v>4</v>
      </c>
      <c r="L26" s="10" t="s">
        <v>23</v>
      </c>
      <c r="M26" s="11">
        <v>5</v>
      </c>
      <c r="N26" s="60">
        <f>IF(OR($E26="",$G26=""),"",IF(AND(K26=$E26,M26=$G26),Auxiliar!$C$11,IF(AND(SIGN($E26-$G26)=SIGN(K26-M26),MAX($E26,$G26)=MAX(K26,M26)),Auxiliar!$C$12,IF(ABS($E26-$G26)=ABS(K26-M26),Auxiliar!$C$13,IF(AND(SIGN($E26-$G26)=SIGN(K26-M26),MIN($E26,$G26)=MIN(K26,M26)),Auxiliar!$C$14,IF(SIGN($E26-$G26)=SIGN(K26-M26),Auxiliar!$C$15,IF(K26=M26,Auxiliar!$C$16,0)))))))</f>
        <v>0</v>
      </c>
      <c r="P26" s="9">
        <v>0</v>
      </c>
      <c r="Q26" s="10" t="s">
        <v>23</v>
      </c>
      <c r="R26" s="11">
        <v>0</v>
      </c>
      <c r="S26" s="60">
        <f>IF(OR($E26="",$G26=""),"",IF(AND(P26=$E26,R26=$G26),Auxiliar!$C$11,IF(AND(SIGN($E26-$G26)=SIGN(P26-R26),MAX($E26,$G26)=MAX(P26,R26)),Auxiliar!$C$12,IF(ABS($E26-$G26)=ABS(P26-R26),Auxiliar!$C$13,IF(AND(SIGN($E26-$G26)=SIGN(P26-R26),MIN($E26,$G26)=MIN(P26,R26)),Auxiliar!$C$14,IF(SIGN($E26-$G26)=SIGN(P26-R26),Auxiliar!$C$15,IF(P26=R26,Auxiliar!$C$16,0)))))))</f>
        <v>5</v>
      </c>
      <c r="U26" s="9">
        <v>0</v>
      </c>
      <c r="V26" s="10" t="s">
        <v>23</v>
      </c>
      <c r="W26" s="11">
        <v>1</v>
      </c>
      <c r="X26" s="60">
        <f>IF(OR($E26="",$G26=""),"",IF(AND(U26=$E26,W26=$G26),Auxiliar!$C$11,IF(AND(SIGN($E26-$G26)=SIGN(U26-W26),MAX($E26,$G26)=MAX(U26,W26)),Auxiliar!$C$12,IF(ABS($E26-$G26)=ABS(U26-W26),Auxiliar!$C$13,IF(AND(SIGN($E26-$G26)=SIGN(U26-W26),MIN($E26,$G26)=MIN(U26,W26)),Auxiliar!$C$14,IF(SIGN($E26-$G26)=SIGN(U26-W26),Auxiliar!$C$15,IF(U26=W26,Auxiliar!$C$16,0)))))))</f>
        <v>0</v>
      </c>
      <c r="Z26" s="9">
        <v>3</v>
      </c>
      <c r="AA26" s="10" t="s">
        <v>23</v>
      </c>
      <c r="AB26" s="11">
        <v>0</v>
      </c>
      <c r="AC26" s="60">
        <f>IF(OR($E26="",$G26=""),"",IF(AND(Z26=$E26,AB26=$G26),Auxiliar!$C$11,IF(AND(SIGN($E26-$G26)=SIGN(Z26-AB26),MAX($E26,$G26)=MAX(Z26,AB26)),Auxiliar!$C$12,IF(ABS($E26-$G26)=ABS(Z26-AB26),Auxiliar!$C$13,IF(AND(SIGN($E26-$G26)=SIGN(Z26-AB26),MIN($E26,$G26)=MIN(Z26,AB26)),Auxiliar!$C$14,IF(SIGN($E26-$G26)=SIGN(Z26-AB26),Auxiliar!$C$15,IF(Z26=AB26,Auxiliar!$C$16,0)))))))</f>
        <v>12</v>
      </c>
      <c r="AE26" s="9">
        <v>0</v>
      </c>
      <c r="AF26" s="10" t="s">
        <v>23</v>
      </c>
      <c r="AG26" s="11">
        <v>4</v>
      </c>
      <c r="AH26" s="60">
        <f>IF(OR($E26="",$G26=""),"",IF(AND(AE26=$E26,AG26=$G26),Auxiliar!$C$11,IF(AND(SIGN($E26-$G26)=SIGN(AE26-AG26),MAX($E26,$G26)=MAX(AE26,AG26)),Auxiliar!$C$12,IF(ABS($E26-$G26)=ABS(AE26-AG26),Auxiliar!$C$13,IF(AND(SIGN($E26-$G26)=SIGN(AE26-AG26),MIN($E26,$G26)=MIN(AE26,AG26)),Auxiliar!$C$14,IF(SIGN($E26-$G26)=SIGN(AE26-AG26),Auxiliar!$C$15,IF(AE26=AG26,Auxiliar!$C$16,0)))))))</f>
        <v>0</v>
      </c>
    </row>
    <row r="27" spans="3:34" x14ac:dyDescent="0.25">
      <c r="C27" s="24">
        <v>1</v>
      </c>
      <c r="D27" s="18" t="s">
        <v>19</v>
      </c>
      <c r="E27" s="13">
        <v>0</v>
      </c>
      <c r="F27" s="12" t="s">
        <v>23</v>
      </c>
      <c r="G27" s="13">
        <v>4</v>
      </c>
      <c r="H27" s="14" t="s">
        <v>20</v>
      </c>
      <c r="K27" s="9">
        <v>5</v>
      </c>
      <c r="L27" s="10" t="s">
        <v>23</v>
      </c>
      <c r="M27" s="11">
        <v>1</v>
      </c>
      <c r="N27" s="60">
        <f>IF(OR($E27="",$G27=""),"",IF(AND(K27=$E27,M27=$G27),Auxiliar!$C$11,IF(AND(SIGN($E27-$G27)=SIGN(K27-M27),MAX($E27,$G27)=MAX(K27,M27)),Auxiliar!$C$12,IF(ABS($E27-$G27)=ABS(K27-M27),Auxiliar!$C$13,IF(AND(SIGN($E27-$G27)=SIGN(K27-M27),MIN($E27,$G27)=MIN(K27,M27)),Auxiliar!$C$14,IF(SIGN($E27-$G27)=SIGN(K27-M27),Auxiliar!$C$15,IF(K27=M27,Auxiliar!$C$16,0)))))))</f>
        <v>15</v>
      </c>
      <c r="P27" s="9">
        <v>2</v>
      </c>
      <c r="Q27" s="10" t="s">
        <v>23</v>
      </c>
      <c r="R27" s="11">
        <v>4</v>
      </c>
      <c r="S27" s="60">
        <f>IF(OR($E27="",$G27=""),"",IF(AND(P27=$E27,R27=$G27),Auxiliar!$C$11,IF(AND(SIGN($E27-$G27)=SIGN(P27-R27),MAX($E27,$G27)=MAX(P27,R27)),Auxiliar!$C$12,IF(ABS($E27-$G27)=ABS(P27-R27),Auxiliar!$C$13,IF(AND(SIGN($E27-$G27)=SIGN(P27-R27),MIN($E27,$G27)=MIN(P27,R27)),Auxiliar!$C$14,IF(SIGN($E27-$G27)=SIGN(P27-R27),Auxiliar!$C$15,IF(P27=R27,Auxiliar!$C$16,0)))))))</f>
        <v>18</v>
      </c>
      <c r="U27" s="9">
        <v>0</v>
      </c>
      <c r="V27" s="10" t="s">
        <v>23</v>
      </c>
      <c r="W27" s="11">
        <v>5</v>
      </c>
      <c r="X27" s="60">
        <f>IF(OR($E27="",$G27=""),"",IF(AND(U27=$E27,W27=$G27),Auxiliar!$C$11,IF(AND(SIGN($E27-$G27)=SIGN(U27-W27),MAX($E27,$G27)=MAX(U27,W27)),Auxiliar!$C$12,IF(ABS($E27-$G27)=ABS(U27-W27),Auxiliar!$C$13,IF(AND(SIGN($E27-$G27)=SIGN(U27-W27),MIN($E27,$G27)=MIN(U27,W27)),Auxiliar!$C$14,IF(SIGN($E27-$G27)=SIGN(U27-W27),Auxiliar!$C$15,IF(U27=W27,Auxiliar!$C$16,0)))))))</f>
        <v>12</v>
      </c>
      <c r="Z27" s="9">
        <v>5</v>
      </c>
      <c r="AA27" s="10" t="s">
        <v>23</v>
      </c>
      <c r="AB27" s="11">
        <v>2</v>
      </c>
      <c r="AC27" s="60">
        <f>IF(OR($E27="",$G27=""),"",IF(AND(Z27=$E27,AB27=$G27),Auxiliar!$C$11,IF(AND(SIGN($E27-$G27)=SIGN(Z27-AB27),MAX($E27,$G27)=MAX(Z27,AB27)),Auxiliar!$C$12,IF(ABS($E27-$G27)=ABS(Z27-AB27),Auxiliar!$C$13,IF(AND(SIGN($E27-$G27)=SIGN(Z27-AB27),MIN($E27,$G27)=MIN(Z27,AB27)),Auxiliar!$C$14,IF(SIGN($E27-$G27)=SIGN(Z27-AB27),Auxiliar!$C$15,IF(Z27=AB27,Auxiliar!$C$16,0)))))))</f>
        <v>0</v>
      </c>
      <c r="AE27" s="9">
        <v>4</v>
      </c>
      <c r="AF27" s="10" t="s">
        <v>23</v>
      </c>
      <c r="AG27" s="11">
        <v>0</v>
      </c>
      <c r="AH27" s="60">
        <f>IF(OR($E27="",$G27=""),"",IF(AND(AE27=$E27,AG27=$G27),Auxiliar!$C$11,IF(AND(SIGN($E27-$G27)=SIGN(AE27-AG27),MAX($E27,$G27)=MAX(AE27,AG27)),Auxiliar!$C$12,IF(ABS($E27-$G27)=ABS(AE27-AG27),Auxiliar!$C$13,IF(AND(SIGN($E27-$G27)=SIGN(AE27-AG27),MIN($E27,$G27)=MIN(AE27,AG27)),Auxiliar!$C$14,IF(SIGN($E27-$G27)=SIGN(AE27-AG27),Auxiliar!$C$15,IF(AE27=AG27,Auxiliar!$C$16,0)))))))</f>
        <v>15</v>
      </c>
    </row>
    <row r="28" spans="3:34" x14ac:dyDescent="0.25">
      <c r="C28" s="24">
        <v>1</v>
      </c>
      <c r="D28" s="18" t="s">
        <v>21</v>
      </c>
      <c r="E28" s="13">
        <v>2</v>
      </c>
      <c r="F28" s="12" t="s">
        <v>23</v>
      </c>
      <c r="G28" s="13">
        <v>5</v>
      </c>
      <c r="H28" s="14" t="s">
        <v>22</v>
      </c>
      <c r="K28" s="9">
        <v>3</v>
      </c>
      <c r="L28" s="10" t="s">
        <v>23</v>
      </c>
      <c r="M28" s="11">
        <v>2</v>
      </c>
      <c r="N28" s="60">
        <f>IF(OR($E28="",$G28=""),"",IF(AND(K28=$E28,M28=$G28),Auxiliar!$C$11,IF(AND(SIGN($E28-$G28)=SIGN(K28-M28),MAX($E28,$G28)=MAX(K28,M28)),Auxiliar!$C$12,IF(ABS($E28-$G28)=ABS(K28-M28),Auxiliar!$C$13,IF(AND(SIGN($E28-$G28)=SIGN(K28-M28),MIN($E28,$G28)=MIN(K28,M28)),Auxiliar!$C$14,IF(SIGN($E28-$G28)=SIGN(K28-M28),Auxiliar!$C$15,IF(K28=M28,Auxiliar!$C$16,0)))))))</f>
        <v>0</v>
      </c>
      <c r="P28" s="9">
        <v>3</v>
      </c>
      <c r="Q28" s="10" t="s">
        <v>23</v>
      </c>
      <c r="R28" s="11">
        <v>4</v>
      </c>
      <c r="S28" s="60">
        <f>IF(OR($E28="",$G28=""),"",IF(AND(P28=$E28,R28=$G28),Auxiliar!$C$11,IF(AND(SIGN($E28-$G28)=SIGN(P28-R28),MAX($E28,$G28)=MAX(P28,R28)),Auxiliar!$C$12,IF(ABS($E28-$G28)=ABS(P28-R28),Auxiliar!$C$13,IF(AND(SIGN($E28-$G28)=SIGN(P28-R28),MIN($E28,$G28)=MIN(P28,R28)),Auxiliar!$C$14,IF(SIGN($E28-$G28)=SIGN(P28-R28),Auxiliar!$C$15,IF(P28=R28,Auxiliar!$C$16,0)))))))</f>
        <v>10</v>
      </c>
      <c r="U28" s="9">
        <v>4</v>
      </c>
      <c r="V28" s="10" t="s">
        <v>23</v>
      </c>
      <c r="W28" s="11">
        <v>5</v>
      </c>
      <c r="X28" s="60">
        <f>IF(OR($E28="",$G28=""),"",IF(AND(U28=$E28,W28=$G28),Auxiliar!$C$11,IF(AND(SIGN($E28-$G28)=SIGN(U28-W28),MAX($E28,$G28)=MAX(U28,W28)),Auxiliar!$C$12,IF(ABS($E28-$G28)=ABS(U28-W28),Auxiliar!$C$13,IF(AND(SIGN($E28-$G28)=SIGN(U28-W28),MIN($E28,$G28)=MIN(U28,W28)),Auxiliar!$C$14,IF(SIGN($E28-$G28)=SIGN(U28-W28),Auxiliar!$C$15,IF(U28=W28,Auxiliar!$C$16,0)))))))</f>
        <v>18</v>
      </c>
      <c r="Z28" s="9">
        <v>4</v>
      </c>
      <c r="AA28" s="10" t="s">
        <v>23</v>
      </c>
      <c r="AB28" s="11">
        <v>0</v>
      </c>
      <c r="AC28" s="60">
        <f>IF(OR($E28="",$G28=""),"",IF(AND(Z28=$E28,AB28=$G28),Auxiliar!$C$11,IF(AND(SIGN($E28-$G28)=SIGN(Z28-AB28),MAX($E28,$G28)=MAX(Z28,AB28)),Auxiliar!$C$12,IF(ABS($E28-$G28)=ABS(Z28-AB28),Auxiliar!$C$13,IF(AND(SIGN($E28-$G28)=SIGN(Z28-AB28),MIN($E28,$G28)=MIN(Z28,AB28)),Auxiliar!$C$14,IF(SIGN($E28-$G28)=SIGN(Z28-AB28),Auxiliar!$C$15,IF(Z28=AB28,Auxiliar!$C$16,0)))))))</f>
        <v>0</v>
      </c>
      <c r="AE28" s="9">
        <v>5</v>
      </c>
      <c r="AF28" s="10" t="s">
        <v>23</v>
      </c>
      <c r="AG28" s="11">
        <v>0</v>
      </c>
      <c r="AH28" s="60">
        <f>IF(OR($E28="",$G28=""),"",IF(AND(AE28=$E28,AG28=$G28),Auxiliar!$C$11,IF(AND(SIGN($E28-$G28)=SIGN(AE28-AG28),MAX($E28,$G28)=MAX(AE28,AG28)),Auxiliar!$C$12,IF(ABS($E28-$G28)=ABS(AE28-AG28),Auxiliar!$C$13,IF(AND(SIGN($E28-$G28)=SIGN(AE28-AG28),MIN($E28,$G28)=MIN(AE28,AG28)),Auxiliar!$C$14,IF(SIGN($E28-$G28)=SIGN(AE28-AG28),Auxiliar!$C$15,IF(AE28=AG28,Auxiliar!$C$16,0)))))))</f>
        <v>0</v>
      </c>
    </row>
    <row r="29" spans="3:34" x14ac:dyDescent="0.25">
      <c r="C29" s="24">
        <f>C19+1</f>
        <v>2</v>
      </c>
      <c r="D29" s="18" t="s">
        <v>14</v>
      </c>
      <c r="E29" s="13">
        <v>1</v>
      </c>
      <c r="F29" s="12" t="s">
        <v>23</v>
      </c>
      <c r="G29" s="13">
        <v>4</v>
      </c>
      <c r="H29" s="14" t="s">
        <v>3</v>
      </c>
      <c r="K29" s="9">
        <v>4</v>
      </c>
      <c r="L29" s="10" t="s">
        <v>23</v>
      </c>
      <c r="M29" s="11">
        <v>1</v>
      </c>
      <c r="N29" s="60">
        <f>IF(OR($E29="",$G29=""),"",IF(AND(K29=$E29,M29=$G29),Auxiliar!$C$11,IF(AND(SIGN($E29-$G29)=SIGN(K29-M29),MAX($E29,$G29)=MAX(K29,M29)),Auxiliar!$C$12,IF(ABS($E29-$G29)=ABS(K29-M29),Auxiliar!$C$13,IF(AND(SIGN($E29-$G29)=SIGN(K29-M29),MIN($E29,$G29)=MIN(K29,M29)),Auxiliar!$C$14,IF(SIGN($E29-$G29)=SIGN(K29-M29),Auxiliar!$C$15,IF(K29=M29,Auxiliar!$C$16,0)))))))</f>
        <v>15</v>
      </c>
      <c r="P29" s="9">
        <v>5</v>
      </c>
      <c r="Q29" s="10" t="s">
        <v>23</v>
      </c>
      <c r="R29" s="11">
        <v>3</v>
      </c>
      <c r="S29" s="60">
        <f>IF(OR($E29="",$G29=""),"",IF(AND(P29=$E29,R29=$G29),Auxiliar!$C$11,IF(AND(SIGN($E29-$G29)=SIGN(P29-R29),MAX($E29,$G29)=MAX(P29,R29)),Auxiliar!$C$12,IF(ABS($E29-$G29)=ABS(P29-R29),Auxiliar!$C$13,IF(AND(SIGN($E29-$G29)=SIGN(P29-R29),MIN($E29,$G29)=MIN(P29,R29)),Auxiliar!$C$14,IF(SIGN($E29-$G29)=SIGN(P29-R29),Auxiliar!$C$15,IF(P29=R29,Auxiliar!$C$16,0)))))))</f>
        <v>0</v>
      </c>
      <c r="U29" s="9">
        <v>4</v>
      </c>
      <c r="V29" s="10" t="s">
        <v>23</v>
      </c>
      <c r="W29" s="11">
        <v>4</v>
      </c>
      <c r="X29" s="60">
        <f>IF(OR($E29="",$G29=""),"",IF(AND(U29=$E29,W29=$G29),Auxiliar!$C$11,IF(AND(SIGN($E29-$G29)=SIGN(U29-W29),MAX($E29,$G29)=MAX(U29,W29)),Auxiliar!$C$12,IF(ABS($E29-$G29)=ABS(U29-W29),Auxiliar!$C$13,IF(AND(SIGN($E29-$G29)=SIGN(U29-W29),MIN($E29,$G29)=MIN(U29,W29)),Auxiliar!$C$14,IF(SIGN($E29-$G29)=SIGN(U29-W29),Auxiliar!$C$15,IF(U29=W29,Auxiliar!$C$16,0)))))))</f>
        <v>5</v>
      </c>
      <c r="Z29" s="9">
        <v>0</v>
      </c>
      <c r="AA29" s="10" t="s">
        <v>23</v>
      </c>
      <c r="AB29" s="11">
        <v>1</v>
      </c>
      <c r="AC29" s="60">
        <f>IF(OR($E29="",$G29=""),"",IF(AND(Z29=$E29,AB29=$G29),Auxiliar!$C$11,IF(AND(SIGN($E29-$G29)=SIGN(Z29-AB29),MAX($E29,$G29)=MAX(Z29,AB29)),Auxiliar!$C$12,IF(ABS($E29-$G29)=ABS(Z29-AB29),Auxiliar!$C$13,IF(AND(SIGN($E29-$G29)=SIGN(Z29-AB29),MIN($E29,$G29)=MIN(Z29,AB29)),Auxiliar!$C$14,IF(SIGN($E29-$G29)=SIGN(Z29-AB29),Auxiliar!$C$15,IF(Z29=AB29,Auxiliar!$C$16,0)))))))</f>
        <v>10</v>
      </c>
      <c r="AE29" s="9">
        <v>5</v>
      </c>
      <c r="AF29" s="10" t="s">
        <v>23</v>
      </c>
      <c r="AG29" s="11">
        <v>2</v>
      </c>
      <c r="AH29" s="60">
        <f>IF(OR($E29="",$G29=""),"",IF(AND(AE29=$E29,AG29=$G29),Auxiliar!$C$11,IF(AND(SIGN($E29-$G29)=SIGN(AE29-AG29),MAX($E29,$G29)=MAX(AE29,AG29)),Auxiliar!$C$12,IF(ABS($E29-$G29)=ABS(AE29-AG29),Auxiliar!$C$13,IF(AND(SIGN($E29-$G29)=SIGN(AE29-AG29),MIN($E29,$G29)=MIN(AE29,AG29)),Auxiliar!$C$14,IF(SIGN($E29-$G29)=SIGN(AE29-AG29),Auxiliar!$C$15,IF(AE29=AG29,Auxiliar!$C$16,0)))))))</f>
        <v>15</v>
      </c>
    </row>
    <row r="30" spans="3:34" x14ac:dyDescent="0.25">
      <c r="C30" s="24">
        <f t="shared" ref="C30:C93" si="0">C20+1</f>
        <v>2</v>
      </c>
      <c r="D30" s="18" t="s">
        <v>20</v>
      </c>
      <c r="E30" s="13">
        <v>2</v>
      </c>
      <c r="F30" s="12" t="s">
        <v>23</v>
      </c>
      <c r="G30" s="13">
        <v>1</v>
      </c>
      <c r="H30" s="14" t="s">
        <v>5</v>
      </c>
      <c r="K30" s="9">
        <v>0</v>
      </c>
      <c r="L30" s="10" t="s">
        <v>23</v>
      </c>
      <c r="M30" s="11">
        <v>5</v>
      </c>
      <c r="N30" s="60">
        <f>IF(OR($E30="",$G30=""),"",IF(AND(K30=$E30,M30=$G30),Auxiliar!$C$11,IF(AND(SIGN($E30-$G30)=SIGN(K30-M30),MAX($E30,$G30)=MAX(K30,M30)),Auxiliar!$C$12,IF(ABS($E30-$G30)=ABS(K30-M30),Auxiliar!$C$13,IF(AND(SIGN($E30-$G30)=SIGN(K30-M30),MIN($E30,$G30)=MIN(K30,M30)),Auxiliar!$C$14,IF(SIGN($E30-$G30)=SIGN(K30-M30),Auxiliar!$C$15,IF(K30=M30,Auxiliar!$C$16,0)))))))</f>
        <v>0</v>
      </c>
      <c r="P30" s="9">
        <v>3</v>
      </c>
      <c r="Q30" s="10" t="s">
        <v>23</v>
      </c>
      <c r="R30" s="11">
        <v>5</v>
      </c>
      <c r="S30" s="60">
        <f>IF(OR($E30="",$G30=""),"",IF(AND(P30=$E30,R30=$G30),Auxiliar!$C$11,IF(AND(SIGN($E30-$G30)=SIGN(P30-R30),MAX($E30,$G30)=MAX(P30,R30)),Auxiliar!$C$12,IF(ABS($E30-$G30)=ABS(P30-R30),Auxiliar!$C$13,IF(AND(SIGN($E30-$G30)=SIGN(P30-R30),MIN($E30,$G30)=MIN(P30,R30)),Auxiliar!$C$14,IF(SIGN($E30-$G30)=SIGN(P30-R30),Auxiliar!$C$15,IF(P30=R30,Auxiliar!$C$16,0)))))))</f>
        <v>0</v>
      </c>
      <c r="U30" s="9">
        <v>0</v>
      </c>
      <c r="V30" s="10" t="s">
        <v>23</v>
      </c>
      <c r="W30" s="11">
        <v>2</v>
      </c>
      <c r="X30" s="60">
        <f>IF(OR($E30="",$G30=""),"",IF(AND(U30=$E30,W30=$G30),Auxiliar!$C$11,IF(AND(SIGN($E30-$G30)=SIGN(U30-W30),MAX($E30,$G30)=MAX(U30,W30)),Auxiliar!$C$12,IF(ABS($E30-$G30)=ABS(U30-W30),Auxiliar!$C$13,IF(AND(SIGN($E30-$G30)=SIGN(U30-W30),MIN($E30,$G30)=MIN(U30,W30)),Auxiliar!$C$14,IF(SIGN($E30-$G30)=SIGN(U30-W30),Auxiliar!$C$15,IF(U30=W30,Auxiliar!$C$16,0)))))))</f>
        <v>0</v>
      </c>
      <c r="Z30" s="9">
        <v>3</v>
      </c>
      <c r="AA30" s="10" t="s">
        <v>23</v>
      </c>
      <c r="AB30" s="11">
        <v>2</v>
      </c>
      <c r="AC30" s="60">
        <f>IF(OR($E30="",$G30=""),"",IF(AND(Z30=$E30,AB30=$G30),Auxiliar!$C$11,IF(AND(SIGN($E30-$G30)=SIGN(Z30-AB30),MAX($E30,$G30)=MAX(Z30,AB30)),Auxiliar!$C$12,IF(ABS($E30-$G30)=ABS(Z30-AB30),Auxiliar!$C$13,IF(AND(SIGN($E30-$G30)=SIGN(Z30-AB30),MIN($E30,$G30)=MIN(Z30,AB30)),Auxiliar!$C$14,IF(SIGN($E30-$G30)=SIGN(Z30-AB30),Auxiliar!$C$15,IF(Z30=AB30,Auxiliar!$C$16,0)))))))</f>
        <v>15</v>
      </c>
      <c r="AE30" s="9">
        <v>2</v>
      </c>
      <c r="AF30" s="10" t="s">
        <v>23</v>
      </c>
      <c r="AG30" s="11">
        <v>4</v>
      </c>
      <c r="AH30" s="60">
        <f>IF(OR($E30="",$G30=""),"",IF(AND(AE30=$E30,AG30=$G30),Auxiliar!$C$11,IF(AND(SIGN($E30-$G30)=SIGN(AE30-AG30),MAX($E30,$G30)=MAX(AE30,AG30)),Auxiliar!$C$12,IF(ABS($E30-$G30)=ABS(AE30-AG30),Auxiliar!$C$13,IF(AND(SIGN($E30-$G30)=SIGN(AE30-AG30),MIN($E30,$G30)=MIN(AE30,AG30)),Auxiliar!$C$14,IF(SIGN($E30-$G30)=SIGN(AE30-AG30),Auxiliar!$C$15,IF(AE30=AG30,Auxiliar!$C$16,0)))))))</f>
        <v>0</v>
      </c>
    </row>
    <row r="31" spans="3:34" x14ac:dyDescent="0.25">
      <c r="C31" s="24">
        <f t="shared" si="0"/>
        <v>2</v>
      </c>
      <c r="D31" s="18" t="s">
        <v>8</v>
      </c>
      <c r="E31" s="13">
        <v>5</v>
      </c>
      <c r="F31" s="12" t="s">
        <v>23</v>
      </c>
      <c r="G31" s="13">
        <v>5</v>
      </c>
      <c r="H31" s="14" t="s">
        <v>21</v>
      </c>
      <c r="K31" s="9">
        <v>4</v>
      </c>
      <c r="L31" s="10" t="s">
        <v>23</v>
      </c>
      <c r="M31" s="11">
        <v>0</v>
      </c>
      <c r="N31" s="60">
        <f>IF(OR($E31="",$G31=""),"",IF(AND(K31=$E31,M31=$G31),Auxiliar!$C$11,IF(AND(SIGN($E31-$G31)=SIGN(K31-M31),MAX($E31,$G31)=MAX(K31,M31)),Auxiliar!$C$12,IF(ABS($E31-$G31)=ABS(K31-M31),Auxiliar!$C$13,IF(AND(SIGN($E31-$G31)=SIGN(K31-M31),MIN($E31,$G31)=MIN(K31,M31)),Auxiliar!$C$14,IF(SIGN($E31-$G31)=SIGN(K31-M31),Auxiliar!$C$15,IF(K31=M31,Auxiliar!$C$16,0)))))))</f>
        <v>0</v>
      </c>
      <c r="P31" s="9">
        <v>5</v>
      </c>
      <c r="Q31" s="10" t="s">
        <v>23</v>
      </c>
      <c r="R31" s="11">
        <v>4</v>
      </c>
      <c r="S31" s="60">
        <f>IF(OR($E31="",$G31=""),"",IF(AND(P31=$E31,R31=$G31),Auxiliar!$C$11,IF(AND(SIGN($E31-$G31)=SIGN(P31-R31),MAX($E31,$G31)=MAX(P31,R31)),Auxiliar!$C$12,IF(ABS($E31-$G31)=ABS(P31-R31),Auxiliar!$C$13,IF(AND(SIGN($E31-$G31)=SIGN(P31-R31),MIN($E31,$G31)=MIN(P31,R31)),Auxiliar!$C$14,IF(SIGN($E31-$G31)=SIGN(P31-R31),Auxiliar!$C$15,IF(P31=R31,Auxiliar!$C$16,0)))))))</f>
        <v>0</v>
      </c>
      <c r="U31" s="9">
        <v>3</v>
      </c>
      <c r="V31" s="10" t="s">
        <v>23</v>
      </c>
      <c r="W31" s="11">
        <v>4</v>
      </c>
      <c r="X31" s="60">
        <f>IF(OR($E31="",$G31=""),"",IF(AND(U31=$E31,W31=$G31),Auxiliar!$C$11,IF(AND(SIGN($E31-$G31)=SIGN(U31-W31),MAX($E31,$G31)=MAX(U31,W31)),Auxiliar!$C$12,IF(ABS($E31-$G31)=ABS(U31-W31),Auxiliar!$C$13,IF(AND(SIGN($E31-$G31)=SIGN(U31-W31),MIN($E31,$G31)=MIN(U31,W31)),Auxiliar!$C$14,IF(SIGN($E31-$G31)=SIGN(U31-W31),Auxiliar!$C$15,IF(U31=W31,Auxiliar!$C$16,0)))))))</f>
        <v>0</v>
      </c>
      <c r="Z31" s="9">
        <v>5</v>
      </c>
      <c r="AA31" s="10" t="s">
        <v>23</v>
      </c>
      <c r="AB31" s="11">
        <v>0</v>
      </c>
      <c r="AC31" s="60">
        <f>IF(OR($E31="",$G31=""),"",IF(AND(Z31=$E31,AB31=$G31),Auxiliar!$C$11,IF(AND(SIGN($E31-$G31)=SIGN(Z31-AB31),MAX($E31,$G31)=MAX(Z31,AB31)),Auxiliar!$C$12,IF(ABS($E31-$G31)=ABS(Z31-AB31),Auxiliar!$C$13,IF(AND(SIGN($E31-$G31)=SIGN(Z31-AB31),MIN($E31,$G31)=MIN(Z31,AB31)),Auxiliar!$C$14,IF(SIGN($E31-$G31)=SIGN(Z31-AB31),Auxiliar!$C$15,IF(Z31=AB31,Auxiliar!$C$16,0)))))))</f>
        <v>0</v>
      </c>
      <c r="AE31" s="9">
        <v>4</v>
      </c>
      <c r="AF31" s="10" t="s">
        <v>23</v>
      </c>
      <c r="AG31" s="11">
        <v>1</v>
      </c>
      <c r="AH31" s="60">
        <f>IF(OR($E31="",$G31=""),"",IF(AND(AE31=$E31,AG31=$G31),Auxiliar!$C$11,IF(AND(SIGN($E31-$G31)=SIGN(AE31-AG31),MAX($E31,$G31)=MAX(AE31,AG31)),Auxiliar!$C$12,IF(ABS($E31-$G31)=ABS(AE31-AG31),Auxiliar!$C$13,IF(AND(SIGN($E31-$G31)=SIGN(AE31-AG31),MIN($E31,$G31)=MIN(AE31,AG31)),Auxiliar!$C$14,IF(SIGN($E31-$G31)=SIGN(AE31-AG31),Auxiliar!$C$15,IF(AE31=AG31,Auxiliar!$C$16,0)))))))</f>
        <v>0</v>
      </c>
    </row>
    <row r="32" spans="3:34" x14ac:dyDescent="0.25">
      <c r="C32" s="24">
        <f t="shared" si="0"/>
        <v>2</v>
      </c>
      <c r="D32" s="18" t="s">
        <v>4</v>
      </c>
      <c r="E32" s="13">
        <v>4</v>
      </c>
      <c r="F32" s="12" t="s">
        <v>23</v>
      </c>
      <c r="G32" s="13">
        <v>1</v>
      </c>
      <c r="H32" s="14" t="s">
        <v>17</v>
      </c>
      <c r="K32" s="9">
        <v>5</v>
      </c>
      <c r="L32" s="10" t="s">
        <v>23</v>
      </c>
      <c r="M32" s="11">
        <v>3</v>
      </c>
      <c r="N32" s="60">
        <f>IF(OR($E32="",$G32=""),"",IF(AND(K32=$E32,M32=$G32),Auxiliar!$C$11,IF(AND(SIGN($E32-$G32)=SIGN(K32-M32),MAX($E32,$G32)=MAX(K32,M32)),Auxiliar!$C$12,IF(ABS($E32-$G32)=ABS(K32-M32),Auxiliar!$C$13,IF(AND(SIGN($E32-$G32)=SIGN(K32-M32),MIN($E32,$G32)=MIN(K32,M32)),Auxiliar!$C$14,IF(SIGN($E32-$G32)=SIGN(K32-M32),Auxiliar!$C$15,IF(K32=M32,Auxiliar!$C$16,0)))))))</f>
        <v>10</v>
      </c>
      <c r="P32" s="9">
        <v>0</v>
      </c>
      <c r="Q32" s="10" t="s">
        <v>23</v>
      </c>
      <c r="R32" s="11">
        <v>5</v>
      </c>
      <c r="S32" s="60">
        <f>IF(OR($E32="",$G32=""),"",IF(AND(P32=$E32,R32=$G32),Auxiliar!$C$11,IF(AND(SIGN($E32-$G32)=SIGN(P32-R32),MAX($E32,$G32)=MAX(P32,R32)),Auxiliar!$C$12,IF(ABS($E32-$G32)=ABS(P32-R32),Auxiliar!$C$13,IF(AND(SIGN($E32-$G32)=SIGN(P32-R32),MIN($E32,$G32)=MIN(P32,R32)),Auxiliar!$C$14,IF(SIGN($E32-$G32)=SIGN(P32-R32),Auxiliar!$C$15,IF(P32=R32,Auxiliar!$C$16,0)))))))</f>
        <v>0</v>
      </c>
      <c r="U32" s="9">
        <v>1</v>
      </c>
      <c r="V32" s="10" t="s">
        <v>23</v>
      </c>
      <c r="W32" s="11">
        <v>2</v>
      </c>
      <c r="X32" s="60">
        <f>IF(OR($E32="",$G32=""),"",IF(AND(U32=$E32,W32=$G32),Auxiliar!$C$11,IF(AND(SIGN($E32-$G32)=SIGN(U32-W32),MAX($E32,$G32)=MAX(U32,W32)),Auxiliar!$C$12,IF(ABS($E32-$G32)=ABS(U32-W32),Auxiliar!$C$13,IF(AND(SIGN($E32-$G32)=SIGN(U32-W32),MIN($E32,$G32)=MIN(U32,W32)),Auxiliar!$C$14,IF(SIGN($E32-$G32)=SIGN(U32-W32),Auxiliar!$C$15,IF(U32=W32,Auxiliar!$C$16,0)))))))</f>
        <v>0</v>
      </c>
      <c r="Z32" s="9">
        <v>1</v>
      </c>
      <c r="AA32" s="10" t="s">
        <v>23</v>
      </c>
      <c r="AB32" s="11">
        <v>2</v>
      </c>
      <c r="AC32" s="60">
        <f>IF(OR($E32="",$G32=""),"",IF(AND(Z32=$E32,AB32=$G32),Auxiliar!$C$11,IF(AND(SIGN($E32-$G32)=SIGN(Z32-AB32),MAX($E32,$G32)=MAX(Z32,AB32)),Auxiliar!$C$12,IF(ABS($E32-$G32)=ABS(Z32-AB32),Auxiliar!$C$13,IF(AND(SIGN($E32-$G32)=SIGN(Z32-AB32),MIN($E32,$G32)=MIN(Z32,AB32)),Auxiliar!$C$14,IF(SIGN($E32-$G32)=SIGN(Z32-AB32),Auxiliar!$C$15,IF(Z32=AB32,Auxiliar!$C$16,0)))))))</f>
        <v>0</v>
      </c>
      <c r="AE32" s="9">
        <v>2</v>
      </c>
      <c r="AF32" s="10" t="s">
        <v>23</v>
      </c>
      <c r="AG32" s="11">
        <v>0</v>
      </c>
      <c r="AH32" s="60">
        <f>IF(OR($E32="",$G32=""),"",IF(AND(AE32=$E32,AG32=$G32),Auxiliar!$C$11,IF(AND(SIGN($E32-$G32)=SIGN(AE32-AG32),MAX($E32,$G32)=MAX(AE32,AG32)),Auxiliar!$C$12,IF(ABS($E32-$G32)=ABS(AE32-AG32),Auxiliar!$C$13,IF(AND(SIGN($E32-$G32)=SIGN(AE32-AG32),MIN($E32,$G32)=MIN(AE32,AG32)),Auxiliar!$C$14,IF(SIGN($E32-$G32)=SIGN(AE32-AG32),Auxiliar!$C$15,IF(AE32=AG32,Auxiliar!$C$16,0)))))))</f>
        <v>10</v>
      </c>
    </row>
    <row r="33" spans="3:34" x14ac:dyDescent="0.25">
      <c r="C33" s="24">
        <f t="shared" si="0"/>
        <v>2</v>
      </c>
      <c r="D33" s="18" t="s">
        <v>16</v>
      </c>
      <c r="E33" s="13">
        <v>3</v>
      </c>
      <c r="F33" s="12" t="s">
        <v>23</v>
      </c>
      <c r="G33" s="13">
        <v>4</v>
      </c>
      <c r="H33" s="14" t="s">
        <v>13</v>
      </c>
      <c r="K33" s="9">
        <v>5</v>
      </c>
      <c r="L33" s="10" t="s">
        <v>23</v>
      </c>
      <c r="M33" s="11">
        <v>2</v>
      </c>
      <c r="N33" s="60">
        <f>IF(OR($E33="",$G33=""),"",IF(AND(K33=$E33,M33=$G33),Auxiliar!$C$11,IF(AND(SIGN($E33-$G33)=SIGN(K33-M33),MAX($E33,$G33)=MAX(K33,M33)),Auxiliar!$C$12,IF(ABS($E33-$G33)=ABS(K33-M33),Auxiliar!$C$13,IF(AND(SIGN($E33-$G33)=SIGN(K33-M33),MIN($E33,$G33)=MIN(K33,M33)),Auxiliar!$C$14,IF(SIGN($E33-$G33)=SIGN(K33-M33),Auxiliar!$C$15,IF(K33=M33,Auxiliar!$C$16,0)))))))</f>
        <v>0</v>
      </c>
      <c r="P33" s="9">
        <v>0</v>
      </c>
      <c r="Q33" s="10" t="s">
        <v>23</v>
      </c>
      <c r="R33" s="11">
        <v>5</v>
      </c>
      <c r="S33" s="60">
        <f>IF(OR($E33="",$G33=""),"",IF(AND(P33=$E33,R33=$G33),Auxiliar!$C$11,IF(AND(SIGN($E33-$G33)=SIGN(P33-R33),MAX($E33,$G33)=MAX(P33,R33)),Auxiliar!$C$12,IF(ABS($E33-$G33)=ABS(P33-R33),Auxiliar!$C$13,IF(AND(SIGN($E33-$G33)=SIGN(P33-R33),MIN($E33,$G33)=MIN(P33,R33)),Auxiliar!$C$14,IF(SIGN($E33-$G33)=SIGN(P33-R33),Auxiliar!$C$15,IF(P33=R33,Auxiliar!$C$16,0)))))))</f>
        <v>10</v>
      </c>
      <c r="U33" s="9">
        <v>4</v>
      </c>
      <c r="V33" s="10" t="s">
        <v>23</v>
      </c>
      <c r="W33" s="11">
        <v>3</v>
      </c>
      <c r="X33" s="60">
        <f>IF(OR($E33="",$G33=""),"",IF(AND(U33=$E33,W33=$G33),Auxiliar!$C$11,IF(AND(SIGN($E33-$G33)=SIGN(U33-W33),MAX($E33,$G33)=MAX(U33,W33)),Auxiliar!$C$12,IF(ABS($E33-$G33)=ABS(U33-W33),Auxiliar!$C$13,IF(AND(SIGN($E33-$G33)=SIGN(U33-W33),MIN($E33,$G33)=MIN(U33,W33)),Auxiliar!$C$14,IF(SIGN($E33-$G33)=SIGN(U33-W33),Auxiliar!$C$15,IF(U33=W33,Auxiliar!$C$16,0)))))))</f>
        <v>15</v>
      </c>
      <c r="Z33" s="9">
        <v>3</v>
      </c>
      <c r="AA33" s="10" t="s">
        <v>23</v>
      </c>
      <c r="AB33" s="11">
        <v>2</v>
      </c>
      <c r="AC33" s="60">
        <f>IF(OR($E33="",$G33=""),"",IF(AND(Z33=$E33,AB33=$G33),Auxiliar!$C$11,IF(AND(SIGN($E33-$G33)=SIGN(Z33-AB33),MAX($E33,$G33)=MAX(Z33,AB33)),Auxiliar!$C$12,IF(ABS($E33-$G33)=ABS(Z33-AB33),Auxiliar!$C$13,IF(AND(SIGN($E33-$G33)=SIGN(Z33-AB33),MIN($E33,$G33)=MIN(Z33,AB33)),Auxiliar!$C$14,IF(SIGN($E33-$G33)=SIGN(Z33-AB33),Auxiliar!$C$15,IF(Z33=AB33,Auxiliar!$C$16,0)))))))</f>
        <v>15</v>
      </c>
      <c r="AE33" s="9">
        <v>2</v>
      </c>
      <c r="AF33" s="10" t="s">
        <v>23</v>
      </c>
      <c r="AG33" s="11">
        <v>2</v>
      </c>
      <c r="AH33" s="60">
        <f>IF(OR($E33="",$G33=""),"",IF(AND(AE33=$E33,AG33=$G33),Auxiliar!$C$11,IF(AND(SIGN($E33-$G33)=SIGN(AE33-AG33),MAX($E33,$G33)=MAX(AE33,AG33)),Auxiliar!$C$12,IF(ABS($E33-$G33)=ABS(AE33-AG33),Auxiliar!$C$13,IF(AND(SIGN($E33-$G33)=SIGN(AE33-AG33),MIN($E33,$G33)=MIN(AE33,AG33)),Auxiliar!$C$14,IF(SIGN($E33-$G33)=SIGN(AE33-AG33),Auxiliar!$C$15,IF(AE33=AG33,Auxiliar!$C$16,0)))))))</f>
        <v>5</v>
      </c>
    </row>
    <row r="34" spans="3:34" x14ac:dyDescent="0.25">
      <c r="C34" s="24">
        <f t="shared" si="0"/>
        <v>2</v>
      </c>
      <c r="D34" s="18" t="s">
        <v>10</v>
      </c>
      <c r="E34" s="13">
        <v>3</v>
      </c>
      <c r="F34" s="12" t="s">
        <v>23</v>
      </c>
      <c r="G34" s="13">
        <v>2</v>
      </c>
      <c r="H34" s="14" t="s">
        <v>11</v>
      </c>
      <c r="K34" s="9">
        <v>3</v>
      </c>
      <c r="L34" s="10" t="s">
        <v>23</v>
      </c>
      <c r="M34" s="11">
        <v>2</v>
      </c>
      <c r="N34" s="60">
        <f>IF(OR($E34="",$G34=""),"",IF(AND(K34=$E34,M34=$G34),Auxiliar!$C$11,IF(AND(SIGN($E34-$G34)=SIGN(K34-M34),MAX($E34,$G34)=MAX(K34,M34)),Auxiliar!$C$12,IF(ABS($E34-$G34)=ABS(K34-M34),Auxiliar!$C$13,IF(AND(SIGN($E34-$G34)=SIGN(K34-M34),MIN($E34,$G34)=MIN(K34,M34)),Auxiliar!$C$14,IF(SIGN($E34-$G34)=SIGN(K34-M34),Auxiliar!$C$15,IF(K34=M34,Auxiliar!$C$16,0)))))))</f>
        <v>25</v>
      </c>
      <c r="P34" s="9">
        <v>4</v>
      </c>
      <c r="Q34" s="10" t="s">
        <v>23</v>
      </c>
      <c r="R34" s="11">
        <v>1</v>
      </c>
      <c r="S34" s="60">
        <f>IF(OR($E34="",$G34=""),"",IF(AND(P34=$E34,R34=$G34),Auxiliar!$C$11,IF(AND(SIGN($E34-$G34)=SIGN(P34-R34),MAX($E34,$G34)=MAX(P34,R34)),Auxiliar!$C$12,IF(ABS($E34-$G34)=ABS(P34-R34),Auxiliar!$C$13,IF(AND(SIGN($E34-$G34)=SIGN(P34-R34),MIN($E34,$G34)=MIN(P34,R34)),Auxiliar!$C$14,IF(SIGN($E34-$G34)=SIGN(P34-R34),Auxiliar!$C$15,IF(P34=R34,Auxiliar!$C$16,0)))))))</f>
        <v>10</v>
      </c>
      <c r="U34" s="9">
        <v>3</v>
      </c>
      <c r="V34" s="10" t="s">
        <v>23</v>
      </c>
      <c r="W34" s="11">
        <v>4</v>
      </c>
      <c r="X34" s="60">
        <f>IF(OR($E34="",$G34=""),"",IF(AND(U34=$E34,W34=$G34),Auxiliar!$C$11,IF(AND(SIGN($E34-$G34)=SIGN(U34-W34),MAX($E34,$G34)=MAX(U34,W34)),Auxiliar!$C$12,IF(ABS($E34-$G34)=ABS(U34-W34),Auxiliar!$C$13,IF(AND(SIGN($E34-$G34)=SIGN(U34-W34),MIN($E34,$G34)=MIN(U34,W34)),Auxiliar!$C$14,IF(SIGN($E34-$G34)=SIGN(U34-W34),Auxiliar!$C$15,IF(U34=W34,Auxiliar!$C$16,0)))))))</f>
        <v>15</v>
      </c>
      <c r="Z34" s="9">
        <v>4</v>
      </c>
      <c r="AA34" s="10" t="s">
        <v>23</v>
      </c>
      <c r="AB34" s="11">
        <v>5</v>
      </c>
      <c r="AC34" s="60">
        <f>IF(OR($E34="",$G34=""),"",IF(AND(Z34=$E34,AB34=$G34),Auxiliar!$C$11,IF(AND(SIGN($E34-$G34)=SIGN(Z34-AB34),MAX($E34,$G34)=MAX(Z34,AB34)),Auxiliar!$C$12,IF(ABS($E34-$G34)=ABS(Z34-AB34),Auxiliar!$C$13,IF(AND(SIGN($E34-$G34)=SIGN(Z34-AB34),MIN($E34,$G34)=MIN(Z34,AB34)),Auxiliar!$C$14,IF(SIGN($E34-$G34)=SIGN(Z34-AB34),Auxiliar!$C$15,IF(Z34=AB34,Auxiliar!$C$16,0)))))))</f>
        <v>15</v>
      </c>
      <c r="AE34" s="9">
        <v>1</v>
      </c>
      <c r="AF34" s="10" t="s">
        <v>23</v>
      </c>
      <c r="AG34" s="11">
        <v>2</v>
      </c>
      <c r="AH34" s="60">
        <f>IF(OR($E34="",$G34=""),"",IF(AND(AE34=$E34,AG34=$G34),Auxiliar!$C$11,IF(AND(SIGN($E34-$G34)=SIGN(AE34-AG34),MAX($E34,$G34)=MAX(AE34,AG34)),Auxiliar!$C$12,IF(ABS($E34-$G34)=ABS(AE34-AG34),Auxiliar!$C$13,IF(AND(SIGN($E34-$G34)=SIGN(AE34-AG34),MIN($E34,$G34)=MIN(AE34,AG34)),Auxiliar!$C$14,IF(SIGN($E34-$G34)=SIGN(AE34-AG34),Auxiliar!$C$15,IF(AE34=AG34,Auxiliar!$C$16,0)))))))</f>
        <v>15</v>
      </c>
    </row>
    <row r="35" spans="3:34" x14ac:dyDescent="0.25">
      <c r="C35" s="24">
        <f t="shared" si="0"/>
        <v>2</v>
      </c>
      <c r="D35" s="18" t="s">
        <v>12</v>
      </c>
      <c r="E35" s="13">
        <v>0</v>
      </c>
      <c r="F35" s="12" t="s">
        <v>23</v>
      </c>
      <c r="G35" s="13">
        <v>5</v>
      </c>
      <c r="H35" s="14" t="s">
        <v>9</v>
      </c>
      <c r="K35" s="9">
        <v>3</v>
      </c>
      <c r="L35" s="10" t="s">
        <v>23</v>
      </c>
      <c r="M35" s="11">
        <v>4</v>
      </c>
      <c r="N35" s="60">
        <f>IF(OR($E35="",$G35=""),"",IF(AND(K35=$E35,M35=$G35),Auxiliar!$C$11,IF(AND(SIGN($E35-$G35)=SIGN(K35-M35),MAX($E35,$G35)=MAX(K35,M35)),Auxiliar!$C$12,IF(ABS($E35-$G35)=ABS(K35-M35),Auxiliar!$C$13,IF(AND(SIGN($E35-$G35)=SIGN(K35-M35),MIN($E35,$G35)=MIN(K35,M35)),Auxiliar!$C$14,IF(SIGN($E35-$G35)=SIGN(K35-M35),Auxiliar!$C$15,IF(K35=M35,Auxiliar!$C$16,0)))))))</f>
        <v>10</v>
      </c>
      <c r="P35" s="9">
        <v>5</v>
      </c>
      <c r="Q35" s="10" t="s">
        <v>23</v>
      </c>
      <c r="R35" s="11">
        <v>4</v>
      </c>
      <c r="S35" s="60">
        <f>IF(OR($E35="",$G35=""),"",IF(AND(P35=$E35,R35=$G35),Auxiliar!$C$11,IF(AND(SIGN($E35-$G35)=SIGN(P35-R35),MAX($E35,$G35)=MAX(P35,R35)),Auxiliar!$C$12,IF(ABS($E35-$G35)=ABS(P35-R35),Auxiliar!$C$13,IF(AND(SIGN($E35-$G35)=SIGN(P35-R35),MIN($E35,$G35)=MIN(P35,R35)),Auxiliar!$C$14,IF(SIGN($E35-$G35)=SIGN(P35-R35),Auxiliar!$C$15,IF(P35=R35,Auxiliar!$C$16,0)))))))</f>
        <v>0</v>
      </c>
      <c r="U35" s="9">
        <v>0</v>
      </c>
      <c r="V35" s="10" t="s">
        <v>23</v>
      </c>
      <c r="W35" s="11">
        <v>4</v>
      </c>
      <c r="X35" s="60">
        <f>IF(OR($E35="",$G35=""),"",IF(AND(U35=$E35,W35=$G35),Auxiliar!$C$11,IF(AND(SIGN($E35-$G35)=SIGN(U35-W35),MAX($E35,$G35)=MAX(U35,W35)),Auxiliar!$C$12,IF(ABS($E35-$G35)=ABS(U35-W35),Auxiliar!$C$13,IF(AND(SIGN($E35-$G35)=SIGN(U35-W35),MIN($E35,$G35)=MIN(U35,W35)),Auxiliar!$C$14,IF(SIGN($E35-$G35)=SIGN(U35-W35),Auxiliar!$C$15,IF(U35=W35,Auxiliar!$C$16,0)))))))</f>
        <v>12</v>
      </c>
      <c r="Z35" s="9">
        <v>4</v>
      </c>
      <c r="AA35" s="10" t="s">
        <v>23</v>
      </c>
      <c r="AB35" s="11">
        <v>2</v>
      </c>
      <c r="AC35" s="60">
        <f>IF(OR($E35="",$G35=""),"",IF(AND(Z35=$E35,AB35=$G35),Auxiliar!$C$11,IF(AND(SIGN($E35-$G35)=SIGN(Z35-AB35),MAX($E35,$G35)=MAX(Z35,AB35)),Auxiliar!$C$12,IF(ABS($E35-$G35)=ABS(Z35-AB35),Auxiliar!$C$13,IF(AND(SIGN($E35-$G35)=SIGN(Z35-AB35),MIN($E35,$G35)=MIN(Z35,AB35)),Auxiliar!$C$14,IF(SIGN($E35-$G35)=SIGN(Z35-AB35),Auxiliar!$C$15,IF(Z35=AB35,Auxiliar!$C$16,0)))))))</f>
        <v>0</v>
      </c>
      <c r="AE35" s="9">
        <v>5</v>
      </c>
      <c r="AF35" s="10" t="s">
        <v>23</v>
      </c>
      <c r="AG35" s="11">
        <v>1</v>
      </c>
      <c r="AH35" s="60">
        <f>IF(OR($E35="",$G35=""),"",IF(AND(AE35=$E35,AG35=$G35),Auxiliar!$C$11,IF(AND(SIGN($E35-$G35)=SIGN(AE35-AG35),MAX($E35,$G35)=MAX(AE35,AG35)),Auxiliar!$C$12,IF(ABS($E35-$G35)=ABS(AE35-AG35),Auxiliar!$C$13,IF(AND(SIGN($E35-$G35)=SIGN(AE35-AG35),MIN($E35,$G35)=MIN(AE35,AG35)),Auxiliar!$C$14,IF(SIGN($E35-$G35)=SIGN(AE35-AG35),Auxiliar!$C$15,IF(AE35=AG35,Auxiliar!$C$16,0)))))))</f>
        <v>0</v>
      </c>
    </row>
    <row r="36" spans="3:34" x14ac:dyDescent="0.25">
      <c r="C36" s="24">
        <f t="shared" si="0"/>
        <v>2</v>
      </c>
      <c r="D36" s="18" t="s">
        <v>18</v>
      </c>
      <c r="E36" s="13">
        <v>1</v>
      </c>
      <c r="F36" s="12" t="s">
        <v>23</v>
      </c>
      <c r="G36" s="13">
        <v>0</v>
      </c>
      <c r="H36" s="14" t="s">
        <v>15</v>
      </c>
      <c r="K36" s="9">
        <v>5</v>
      </c>
      <c r="L36" s="10" t="s">
        <v>23</v>
      </c>
      <c r="M36" s="11">
        <v>5</v>
      </c>
      <c r="N36" s="60">
        <f>IF(OR($E36="",$G36=""),"",IF(AND(K36=$E36,M36=$G36),Auxiliar!$C$11,IF(AND(SIGN($E36-$G36)=SIGN(K36-M36),MAX($E36,$G36)=MAX(K36,M36)),Auxiliar!$C$12,IF(ABS($E36-$G36)=ABS(K36-M36),Auxiliar!$C$13,IF(AND(SIGN($E36-$G36)=SIGN(K36-M36),MIN($E36,$G36)=MIN(K36,M36)),Auxiliar!$C$14,IF(SIGN($E36-$G36)=SIGN(K36-M36),Auxiliar!$C$15,IF(K36=M36,Auxiliar!$C$16,0)))))))</f>
        <v>5</v>
      </c>
      <c r="P36" s="9">
        <v>4</v>
      </c>
      <c r="Q36" s="10" t="s">
        <v>23</v>
      </c>
      <c r="R36" s="11">
        <v>4</v>
      </c>
      <c r="S36" s="60">
        <f>IF(OR($E36="",$G36=""),"",IF(AND(P36=$E36,R36=$G36),Auxiliar!$C$11,IF(AND(SIGN($E36-$G36)=SIGN(P36-R36),MAX($E36,$G36)=MAX(P36,R36)),Auxiliar!$C$12,IF(ABS($E36-$G36)=ABS(P36-R36),Auxiliar!$C$13,IF(AND(SIGN($E36-$G36)=SIGN(P36-R36),MIN($E36,$G36)=MIN(P36,R36)),Auxiliar!$C$14,IF(SIGN($E36-$G36)=SIGN(P36-R36),Auxiliar!$C$15,IF(P36=R36,Auxiliar!$C$16,0)))))))</f>
        <v>5</v>
      </c>
      <c r="U36" s="9">
        <v>4</v>
      </c>
      <c r="V36" s="10" t="s">
        <v>23</v>
      </c>
      <c r="W36" s="11">
        <v>5</v>
      </c>
      <c r="X36" s="60">
        <f>IF(OR($E36="",$G36=""),"",IF(AND(U36=$E36,W36=$G36),Auxiliar!$C$11,IF(AND(SIGN($E36-$G36)=SIGN(U36-W36),MAX($E36,$G36)=MAX(U36,W36)),Auxiliar!$C$12,IF(ABS($E36-$G36)=ABS(U36-W36),Auxiliar!$C$13,IF(AND(SIGN($E36-$G36)=SIGN(U36-W36),MIN($E36,$G36)=MIN(U36,W36)),Auxiliar!$C$14,IF(SIGN($E36-$G36)=SIGN(U36-W36),Auxiliar!$C$15,IF(U36=W36,Auxiliar!$C$16,0)))))))</f>
        <v>15</v>
      </c>
      <c r="Z36" s="9">
        <v>3</v>
      </c>
      <c r="AA36" s="10" t="s">
        <v>23</v>
      </c>
      <c r="AB36" s="11">
        <v>3</v>
      </c>
      <c r="AC36" s="60">
        <f>IF(OR($E36="",$G36=""),"",IF(AND(Z36=$E36,AB36=$G36),Auxiliar!$C$11,IF(AND(SIGN($E36-$G36)=SIGN(Z36-AB36),MAX($E36,$G36)=MAX(Z36,AB36)),Auxiliar!$C$12,IF(ABS($E36-$G36)=ABS(Z36-AB36),Auxiliar!$C$13,IF(AND(SIGN($E36-$G36)=SIGN(Z36-AB36),MIN($E36,$G36)=MIN(Z36,AB36)),Auxiliar!$C$14,IF(SIGN($E36-$G36)=SIGN(Z36-AB36),Auxiliar!$C$15,IF(Z36=AB36,Auxiliar!$C$16,0)))))))</f>
        <v>5</v>
      </c>
      <c r="AE36" s="9">
        <v>2</v>
      </c>
      <c r="AF36" s="10" t="s">
        <v>23</v>
      </c>
      <c r="AG36" s="11">
        <v>5</v>
      </c>
      <c r="AH36" s="60">
        <f>IF(OR($E36="",$G36=""),"",IF(AND(AE36=$E36,AG36=$G36),Auxiliar!$C$11,IF(AND(SIGN($E36-$G36)=SIGN(AE36-AG36),MAX($E36,$G36)=MAX(AE36,AG36)),Auxiliar!$C$12,IF(ABS($E36-$G36)=ABS(AE36-AG36),Auxiliar!$C$13,IF(AND(SIGN($E36-$G36)=SIGN(AE36-AG36),MIN($E36,$G36)=MIN(AE36,AG36)),Auxiliar!$C$14,IF(SIGN($E36-$G36)=SIGN(AE36-AG36),Auxiliar!$C$15,IF(AE36=AG36,Auxiliar!$C$16,0)))))))</f>
        <v>0</v>
      </c>
    </row>
    <row r="37" spans="3:34" x14ac:dyDescent="0.25">
      <c r="C37" s="24">
        <f t="shared" si="0"/>
        <v>2</v>
      </c>
      <c r="D37" s="18" t="s">
        <v>6</v>
      </c>
      <c r="E37" s="13">
        <v>5</v>
      </c>
      <c r="F37" s="12" t="s">
        <v>23</v>
      </c>
      <c r="G37" s="13">
        <v>5</v>
      </c>
      <c r="H37" s="14" t="s">
        <v>7</v>
      </c>
      <c r="K37" s="9">
        <v>1</v>
      </c>
      <c r="L37" s="10" t="s">
        <v>23</v>
      </c>
      <c r="M37" s="11">
        <v>2</v>
      </c>
      <c r="N37" s="60">
        <f>IF(OR($E37="",$G37=""),"",IF(AND(K37=$E37,M37=$G37),Auxiliar!$C$11,IF(AND(SIGN($E37-$G37)=SIGN(K37-M37),MAX($E37,$G37)=MAX(K37,M37)),Auxiliar!$C$12,IF(ABS($E37-$G37)=ABS(K37-M37),Auxiliar!$C$13,IF(AND(SIGN($E37-$G37)=SIGN(K37-M37),MIN($E37,$G37)=MIN(K37,M37)),Auxiliar!$C$14,IF(SIGN($E37-$G37)=SIGN(K37-M37),Auxiliar!$C$15,IF(K37=M37,Auxiliar!$C$16,0)))))))</f>
        <v>0</v>
      </c>
      <c r="P37" s="9">
        <v>3</v>
      </c>
      <c r="Q37" s="10" t="s">
        <v>23</v>
      </c>
      <c r="R37" s="11">
        <v>2</v>
      </c>
      <c r="S37" s="60">
        <f>IF(OR($E37="",$G37=""),"",IF(AND(P37=$E37,R37=$G37),Auxiliar!$C$11,IF(AND(SIGN($E37-$G37)=SIGN(P37-R37),MAX($E37,$G37)=MAX(P37,R37)),Auxiliar!$C$12,IF(ABS($E37-$G37)=ABS(P37-R37),Auxiliar!$C$13,IF(AND(SIGN($E37-$G37)=SIGN(P37-R37),MIN($E37,$G37)=MIN(P37,R37)),Auxiliar!$C$14,IF(SIGN($E37-$G37)=SIGN(P37-R37),Auxiliar!$C$15,IF(P37=R37,Auxiliar!$C$16,0)))))))</f>
        <v>0</v>
      </c>
      <c r="U37" s="9">
        <v>1</v>
      </c>
      <c r="V37" s="10" t="s">
        <v>23</v>
      </c>
      <c r="W37" s="11">
        <v>1</v>
      </c>
      <c r="X37" s="60">
        <f>IF(OR($E37="",$G37=""),"",IF(AND(U37=$E37,W37=$G37),Auxiliar!$C$11,IF(AND(SIGN($E37-$G37)=SIGN(U37-W37),MAX($E37,$G37)=MAX(U37,W37)),Auxiliar!$C$12,IF(ABS($E37-$G37)=ABS(U37-W37),Auxiliar!$C$13,IF(AND(SIGN($E37-$G37)=SIGN(U37-W37),MIN($E37,$G37)=MIN(U37,W37)),Auxiliar!$C$14,IF(SIGN($E37-$G37)=SIGN(U37-W37),Auxiliar!$C$15,IF(U37=W37,Auxiliar!$C$16,0)))))))</f>
        <v>15</v>
      </c>
      <c r="Z37" s="9">
        <v>4</v>
      </c>
      <c r="AA37" s="10" t="s">
        <v>23</v>
      </c>
      <c r="AB37" s="11">
        <v>1</v>
      </c>
      <c r="AC37" s="60">
        <f>IF(OR($E37="",$G37=""),"",IF(AND(Z37=$E37,AB37=$G37),Auxiliar!$C$11,IF(AND(SIGN($E37-$G37)=SIGN(Z37-AB37),MAX($E37,$G37)=MAX(Z37,AB37)),Auxiliar!$C$12,IF(ABS($E37-$G37)=ABS(Z37-AB37),Auxiliar!$C$13,IF(AND(SIGN($E37-$G37)=SIGN(Z37-AB37),MIN($E37,$G37)=MIN(Z37,AB37)),Auxiliar!$C$14,IF(SIGN($E37-$G37)=SIGN(Z37-AB37),Auxiliar!$C$15,IF(Z37=AB37,Auxiliar!$C$16,0)))))))</f>
        <v>0</v>
      </c>
      <c r="AE37" s="9">
        <v>3</v>
      </c>
      <c r="AF37" s="10" t="s">
        <v>23</v>
      </c>
      <c r="AG37" s="11">
        <v>3</v>
      </c>
      <c r="AH37" s="60">
        <f>IF(OR($E37="",$G37=""),"",IF(AND(AE37=$E37,AG37=$G37),Auxiliar!$C$11,IF(AND(SIGN($E37-$G37)=SIGN(AE37-AG37),MAX($E37,$G37)=MAX(AE37,AG37)),Auxiliar!$C$12,IF(ABS($E37-$G37)=ABS(AE37-AG37),Auxiliar!$C$13,IF(AND(SIGN($E37-$G37)=SIGN(AE37-AG37),MIN($E37,$G37)=MIN(AE37,AG37)),Auxiliar!$C$14,IF(SIGN($E37-$G37)=SIGN(AE37-AG37),Auxiliar!$C$15,IF(AE37=AG37,Auxiliar!$C$16,0)))))))</f>
        <v>15</v>
      </c>
    </row>
    <row r="38" spans="3:34" x14ac:dyDescent="0.25">
      <c r="C38" s="24">
        <f t="shared" si="0"/>
        <v>2</v>
      </c>
      <c r="D38" s="18" t="s">
        <v>22</v>
      </c>
      <c r="E38" s="13">
        <v>0</v>
      </c>
      <c r="F38" s="12" t="s">
        <v>23</v>
      </c>
      <c r="G38" s="13">
        <v>0</v>
      </c>
      <c r="H38" s="14" t="s">
        <v>19</v>
      </c>
      <c r="K38" s="9">
        <v>1</v>
      </c>
      <c r="L38" s="10" t="s">
        <v>23</v>
      </c>
      <c r="M38" s="11">
        <v>4</v>
      </c>
      <c r="N38" s="60">
        <f>IF(OR($E38="",$G38=""),"",IF(AND(K38=$E38,M38=$G38),Auxiliar!$C$11,IF(AND(SIGN($E38-$G38)=SIGN(K38-M38),MAX($E38,$G38)=MAX(K38,M38)),Auxiliar!$C$12,IF(ABS($E38-$G38)=ABS(K38-M38),Auxiliar!$C$13,IF(AND(SIGN($E38-$G38)=SIGN(K38-M38),MIN($E38,$G38)=MIN(K38,M38)),Auxiliar!$C$14,IF(SIGN($E38-$G38)=SIGN(K38-M38),Auxiliar!$C$15,IF(K38=M38,Auxiliar!$C$16,0)))))))</f>
        <v>0</v>
      </c>
      <c r="P38" s="9">
        <v>0</v>
      </c>
      <c r="Q38" s="10" t="s">
        <v>23</v>
      </c>
      <c r="R38" s="11">
        <v>1</v>
      </c>
      <c r="S38" s="60">
        <f>IF(OR($E38="",$G38=""),"",IF(AND(P38=$E38,R38=$G38),Auxiliar!$C$11,IF(AND(SIGN($E38-$G38)=SIGN(P38-R38),MAX($E38,$G38)=MAX(P38,R38)),Auxiliar!$C$12,IF(ABS($E38-$G38)=ABS(P38-R38),Auxiliar!$C$13,IF(AND(SIGN($E38-$G38)=SIGN(P38-R38),MIN($E38,$G38)=MIN(P38,R38)),Auxiliar!$C$14,IF(SIGN($E38-$G38)=SIGN(P38-R38),Auxiliar!$C$15,IF(P38=R38,Auxiliar!$C$16,0)))))))</f>
        <v>0</v>
      </c>
      <c r="U38" s="9">
        <v>3</v>
      </c>
      <c r="V38" s="10" t="s">
        <v>23</v>
      </c>
      <c r="W38" s="11">
        <v>3</v>
      </c>
      <c r="X38" s="60">
        <f>IF(OR($E38="",$G38=""),"",IF(AND(U38=$E38,W38=$G38),Auxiliar!$C$11,IF(AND(SIGN($E38-$G38)=SIGN(U38-W38),MAX($E38,$G38)=MAX(U38,W38)),Auxiliar!$C$12,IF(ABS($E38-$G38)=ABS(U38-W38),Auxiliar!$C$13,IF(AND(SIGN($E38-$G38)=SIGN(U38-W38),MIN($E38,$G38)=MIN(U38,W38)),Auxiliar!$C$14,IF(SIGN($E38-$G38)=SIGN(U38-W38),Auxiliar!$C$15,IF(U38=W38,Auxiliar!$C$16,0)))))))</f>
        <v>15</v>
      </c>
      <c r="Z38" s="9">
        <v>3</v>
      </c>
      <c r="AA38" s="10" t="s">
        <v>23</v>
      </c>
      <c r="AB38" s="11">
        <v>3</v>
      </c>
      <c r="AC38" s="60">
        <f>IF(OR($E38="",$G38=""),"",IF(AND(Z38=$E38,AB38=$G38),Auxiliar!$C$11,IF(AND(SIGN($E38-$G38)=SIGN(Z38-AB38),MAX($E38,$G38)=MAX(Z38,AB38)),Auxiliar!$C$12,IF(ABS($E38-$G38)=ABS(Z38-AB38),Auxiliar!$C$13,IF(AND(SIGN($E38-$G38)=SIGN(Z38-AB38),MIN($E38,$G38)=MIN(Z38,AB38)),Auxiliar!$C$14,IF(SIGN($E38-$G38)=SIGN(Z38-AB38),Auxiliar!$C$15,IF(Z38=AB38,Auxiliar!$C$16,0)))))))</f>
        <v>15</v>
      </c>
      <c r="AE38" s="9">
        <v>5</v>
      </c>
      <c r="AF38" s="10" t="s">
        <v>23</v>
      </c>
      <c r="AG38" s="11">
        <v>2</v>
      </c>
      <c r="AH38" s="60">
        <f>IF(OR($E38="",$G38=""),"",IF(AND(AE38=$E38,AG38=$G38),Auxiliar!$C$11,IF(AND(SIGN($E38-$G38)=SIGN(AE38-AG38),MAX($E38,$G38)=MAX(AE38,AG38)),Auxiliar!$C$12,IF(ABS($E38-$G38)=ABS(AE38-AG38),Auxiliar!$C$13,IF(AND(SIGN($E38-$G38)=SIGN(AE38-AG38),MIN($E38,$G38)=MIN(AE38,AG38)),Auxiliar!$C$14,IF(SIGN($E38-$G38)=SIGN(AE38-AG38),Auxiliar!$C$15,IF(AE38=AG38,Auxiliar!$C$16,0)))))))</f>
        <v>0</v>
      </c>
    </row>
    <row r="39" spans="3:34" x14ac:dyDescent="0.25">
      <c r="C39" s="24">
        <f t="shared" si="0"/>
        <v>3</v>
      </c>
      <c r="D39" s="18" t="s">
        <v>3</v>
      </c>
      <c r="E39" s="13">
        <v>1</v>
      </c>
      <c r="F39" s="12" t="s">
        <v>23</v>
      </c>
      <c r="G39" s="13">
        <v>1</v>
      </c>
      <c r="H39" s="14" t="s">
        <v>20</v>
      </c>
      <c r="K39" s="9">
        <v>4</v>
      </c>
      <c r="L39" s="10" t="s">
        <v>23</v>
      </c>
      <c r="M39" s="11">
        <v>0</v>
      </c>
      <c r="N39" s="60">
        <f>IF(OR($E39="",$G39=""),"",IF(AND(K39=$E39,M39=$G39),Auxiliar!$C$11,IF(AND(SIGN($E39-$G39)=SIGN(K39-M39),MAX($E39,$G39)=MAX(K39,M39)),Auxiliar!$C$12,IF(ABS($E39-$G39)=ABS(K39-M39),Auxiliar!$C$13,IF(AND(SIGN($E39-$G39)=SIGN(K39-M39),MIN($E39,$G39)=MIN(K39,M39)),Auxiliar!$C$14,IF(SIGN($E39-$G39)=SIGN(K39-M39),Auxiliar!$C$15,IF(K39=M39,Auxiliar!$C$16,0)))))))</f>
        <v>0</v>
      </c>
      <c r="P39" s="9">
        <v>0</v>
      </c>
      <c r="Q39" s="10" t="s">
        <v>23</v>
      </c>
      <c r="R39" s="11">
        <v>0</v>
      </c>
      <c r="S39" s="60">
        <f>IF(OR($E39="",$G39=""),"",IF(AND(P39=$E39,R39=$G39),Auxiliar!$C$11,IF(AND(SIGN($E39-$G39)=SIGN(P39-R39),MAX($E39,$G39)=MAX(P39,R39)),Auxiliar!$C$12,IF(ABS($E39-$G39)=ABS(P39-R39),Auxiliar!$C$13,IF(AND(SIGN($E39-$G39)=SIGN(P39-R39),MIN($E39,$G39)=MIN(P39,R39)),Auxiliar!$C$14,IF(SIGN($E39-$G39)=SIGN(P39-R39),Auxiliar!$C$15,IF(P39=R39,Auxiliar!$C$16,0)))))))</f>
        <v>15</v>
      </c>
      <c r="U39" s="9">
        <v>2</v>
      </c>
      <c r="V39" s="10" t="s">
        <v>23</v>
      </c>
      <c r="W39" s="11">
        <v>3</v>
      </c>
      <c r="X39" s="60">
        <f>IF(OR($E39="",$G39=""),"",IF(AND(U39=$E39,W39=$G39),Auxiliar!$C$11,IF(AND(SIGN($E39-$G39)=SIGN(U39-W39),MAX($E39,$G39)=MAX(U39,W39)),Auxiliar!$C$12,IF(ABS($E39-$G39)=ABS(U39-W39),Auxiliar!$C$13,IF(AND(SIGN($E39-$G39)=SIGN(U39-W39),MIN($E39,$G39)=MIN(U39,W39)),Auxiliar!$C$14,IF(SIGN($E39-$G39)=SIGN(U39-W39),Auxiliar!$C$15,IF(U39=W39,Auxiliar!$C$16,0)))))))</f>
        <v>0</v>
      </c>
      <c r="Z39" s="9">
        <v>5</v>
      </c>
      <c r="AA39" s="10" t="s">
        <v>23</v>
      </c>
      <c r="AB39" s="11">
        <v>4</v>
      </c>
      <c r="AC39" s="60">
        <f>IF(OR($E39="",$G39=""),"",IF(AND(Z39=$E39,AB39=$G39),Auxiliar!$C$11,IF(AND(SIGN($E39-$G39)=SIGN(Z39-AB39),MAX($E39,$G39)=MAX(Z39,AB39)),Auxiliar!$C$12,IF(ABS($E39-$G39)=ABS(Z39-AB39),Auxiliar!$C$13,IF(AND(SIGN($E39-$G39)=SIGN(Z39-AB39),MIN($E39,$G39)=MIN(Z39,AB39)),Auxiliar!$C$14,IF(SIGN($E39-$G39)=SIGN(Z39-AB39),Auxiliar!$C$15,IF(Z39=AB39,Auxiliar!$C$16,0)))))))</f>
        <v>0</v>
      </c>
      <c r="AE39" s="9">
        <v>3</v>
      </c>
      <c r="AF39" s="10" t="s">
        <v>23</v>
      </c>
      <c r="AG39" s="11">
        <v>5</v>
      </c>
      <c r="AH39" s="60">
        <f>IF(OR($E39="",$G39=""),"",IF(AND(AE39=$E39,AG39=$G39),Auxiliar!$C$11,IF(AND(SIGN($E39-$G39)=SIGN(AE39-AG39),MAX($E39,$G39)=MAX(AE39,AG39)),Auxiliar!$C$12,IF(ABS($E39-$G39)=ABS(AE39-AG39),Auxiliar!$C$13,IF(AND(SIGN($E39-$G39)=SIGN(AE39-AG39),MIN($E39,$G39)=MIN(AE39,AG39)),Auxiliar!$C$14,IF(SIGN($E39-$G39)=SIGN(AE39-AG39),Auxiliar!$C$15,IF(AE39=AG39,Auxiliar!$C$16,0)))))))</f>
        <v>0</v>
      </c>
    </row>
    <row r="40" spans="3:34" x14ac:dyDescent="0.25">
      <c r="C40" s="24">
        <f t="shared" si="0"/>
        <v>3</v>
      </c>
      <c r="D40" s="18" t="s">
        <v>4</v>
      </c>
      <c r="E40" s="13">
        <v>2</v>
      </c>
      <c r="F40" s="12" t="s">
        <v>23</v>
      </c>
      <c r="G40" s="13">
        <v>1</v>
      </c>
      <c r="H40" s="14" t="s">
        <v>5</v>
      </c>
      <c r="K40" s="9">
        <v>1</v>
      </c>
      <c r="L40" s="10" t="s">
        <v>23</v>
      </c>
      <c r="M40" s="11">
        <v>1</v>
      </c>
      <c r="N40" s="60">
        <f>IF(OR($E40="",$G40=""),"",IF(AND(K40=$E40,M40=$G40),Auxiliar!$C$11,IF(AND(SIGN($E40-$G40)=SIGN(K40-M40),MAX($E40,$G40)=MAX(K40,M40)),Auxiliar!$C$12,IF(ABS($E40-$G40)=ABS(K40-M40),Auxiliar!$C$13,IF(AND(SIGN($E40-$G40)=SIGN(K40-M40),MIN($E40,$G40)=MIN(K40,M40)),Auxiliar!$C$14,IF(SIGN($E40-$G40)=SIGN(K40-M40),Auxiliar!$C$15,IF(K40=M40,Auxiliar!$C$16,0)))))))</f>
        <v>5</v>
      </c>
      <c r="P40" s="9">
        <v>4</v>
      </c>
      <c r="Q40" s="10" t="s">
        <v>23</v>
      </c>
      <c r="R40" s="11">
        <v>0</v>
      </c>
      <c r="S40" s="60">
        <f>IF(OR($E40="",$G40=""),"",IF(AND(P40=$E40,R40=$G40),Auxiliar!$C$11,IF(AND(SIGN($E40-$G40)=SIGN(P40-R40),MAX($E40,$G40)=MAX(P40,R40)),Auxiliar!$C$12,IF(ABS($E40-$G40)=ABS(P40-R40),Auxiliar!$C$13,IF(AND(SIGN($E40-$G40)=SIGN(P40-R40),MIN($E40,$G40)=MIN(P40,R40)),Auxiliar!$C$14,IF(SIGN($E40-$G40)=SIGN(P40-R40),Auxiliar!$C$15,IF(P40=R40,Auxiliar!$C$16,0)))))))</f>
        <v>10</v>
      </c>
      <c r="U40" s="9">
        <v>3</v>
      </c>
      <c r="V40" s="10" t="s">
        <v>23</v>
      </c>
      <c r="W40" s="11">
        <v>2</v>
      </c>
      <c r="X40" s="60">
        <f>IF(OR($E40="",$G40=""),"",IF(AND(U40=$E40,W40=$G40),Auxiliar!$C$11,IF(AND(SIGN($E40-$G40)=SIGN(U40-W40),MAX($E40,$G40)=MAX(U40,W40)),Auxiliar!$C$12,IF(ABS($E40-$G40)=ABS(U40-W40),Auxiliar!$C$13,IF(AND(SIGN($E40-$G40)=SIGN(U40-W40),MIN($E40,$G40)=MIN(U40,W40)),Auxiliar!$C$14,IF(SIGN($E40-$G40)=SIGN(U40-W40),Auxiliar!$C$15,IF(U40=W40,Auxiliar!$C$16,0)))))))</f>
        <v>15</v>
      </c>
      <c r="Z40" s="9">
        <v>0</v>
      </c>
      <c r="AA40" s="10" t="s">
        <v>23</v>
      </c>
      <c r="AB40" s="11">
        <v>5</v>
      </c>
      <c r="AC40" s="60">
        <f>IF(OR($E40="",$G40=""),"",IF(AND(Z40=$E40,AB40=$G40),Auxiliar!$C$11,IF(AND(SIGN($E40-$G40)=SIGN(Z40-AB40),MAX($E40,$G40)=MAX(Z40,AB40)),Auxiliar!$C$12,IF(ABS($E40-$G40)=ABS(Z40-AB40),Auxiliar!$C$13,IF(AND(SIGN($E40-$G40)=SIGN(Z40-AB40),MIN($E40,$G40)=MIN(Z40,AB40)),Auxiliar!$C$14,IF(SIGN($E40-$G40)=SIGN(Z40-AB40),Auxiliar!$C$15,IF(Z40=AB40,Auxiliar!$C$16,0)))))))</f>
        <v>0</v>
      </c>
      <c r="AE40" s="9">
        <v>0</v>
      </c>
      <c r="AF40" s="10" t="s">
        <v>23</v>
      </c>
      <c r="AG40" s="11">
        <v>3</v>
      </c>
      <c r="AH40" s="60">
        <f>IF(OR($E40="",$G40=""),"",IF(AND(AE40=$E40,AG40=$G40),Auxiliar!$C$11,IF(AND(SIGN($E40-$G40)=SIGN(AE40-AG40),MAX($E40,$G40)=MAX(AE40,AG40)),Auxiliar!$C$12,IF(ABS($E40-$G40)=ABS(AE40-AG40),Auxiliar!$C$13,IF(AND(SIGN($E40-$G40)=SIGN(AE40-AG40),MIN($E40,$G40)=MIN(AE40,AG40)),Auxiliar!$C$14,IF(SIGN($E40-$G40)=SIGN(AE40-AG40),Auxiliar!$C$15,IF(AE40=AG40,Auxiliar!$C$16,0)))))))</f>
        <v>0</v>
      </c>
    </row>
    <row r="41" spans="3:34" x14ac:dyDescent="0.25">
      <c r="C41" s="24">
        <f t="shared" si="0"/>
        <v>3</v>
      </c>
      <c r="D41" s="18" t="s">
        <v>16</v>
      </c>
      <c r="E41" s="13">
        <v>0</v>
      </c>
      <c r="F41" s="12" t="s">
        <v>23</v>
      </c>
      <c r="G41" s="13">
        <v>3</v>
      </c>
      <c r="H41" s="14" t="s">
        <v>22</v>
      </c>
      <c r="K41" s="9">
        <v>1</v>
      </c>
      <c r="L41" s="10" t="s">
        <v>23</v>
      </c>
      <c r="M41" s="11">
        <v>2</v>
      </c>
      <c r="N41" s="60">
        <f>IF(OR($E41="",$G41=""),"",IF(AND(K41=$E41,M41=$G41),Auxiliar!$C$11,IF(AND(SIGN($E41-$G41)=SIGN(K41-M41),MAX($E41,$G41)=MAX(K41,M41)),Auxiliar!$C$12,IF(ABS($E41-$G41)=ABS(K41-M41),Auxiliar!$C$13,IF(AND(SIGN($E41-$G41)=SIGN(K41-M41),MIN($E41,$G41)=MIN(K41,M41)),Auxiliar!$C$14,IF(SIGN($E41-$G41)=SIGN(K41-M41),Auxiliar!$C$15,IF(K41=M41,Auxiliar!$C$16,0)))))))</f>
        <v>10</v>
      </c>
      <c r="P41" s="9">
        <v>1</v>
      </c>
      <c r="Q41" s="10" t="s">
        <v>23</v>
      </c>
      <c r="R41" s="11">
        <v>1</v>
      </c>
      <c r="S41" s="60">
        <f>IF(OR($E41="",$G41=""),"",IF(AND(P41=$E41,R41=$G41),Auxiliar!$C$11,IF(AND(SIGN($E41-$G41)=SIGN(P41-R41),MAX($E41,$G41)=MAX(P41,R41)),Auxiliar!$C$12,IF(ABS($E41-$G41)=ABS(P41-R41),Auxiliar!$C$13,IF(AND(SIGN($E41-$G41)=SIGN(P41-R41),MIN($E41,$G41)=MIN(P41,R41)),Auxiliar!$C$14,IF(SIGN($E41-$G41)=SIGN(P41-R41),Auxiliar!$C$15,IF(P41=R41,Auxiliar!$C$16,0)))))))</f>
        <v>5</v>
      </c>
      <c r="U41" s="9">
        <v>5</v>
      </c>
      <c r="V41" s="10" t="s">
        <v>23</v>
      </c>
      <c r="W41" s="11">
        <v>4</v>
      </c>
      <c r="X41" s="60">
        <f>IF(OR($E41="",$G41=""),"",IF(AND(U41=$E41,W41=$G41),Auxiliar!$C$11,IF(AND(SIGN($E41-$G41)=SIGN(U41-W41),MAX($E41,$G41)=MAX(U41,W41)),Auxiliar!$C$12,IF(ABS($E41-$G41)=ABS(U41-W41),Auxiliar!$C$13,IF(AND(SIGN($E41-$G41)=SIGN(U41-W41),MIN($E41,$G41)=MIN(U41,W41)),Auxiliar!$C$14,IF(SIGN($E41-$G41)=SIGN(U41-W41),Auxiliar!$C$15,IF(U41=W41,Auxiliar!$C$16,0)))))))</f>
        <v>0</v>
      </c>
      <c r="Z41" s="9">
        <v>5</v>
      </c>
      <c r="AA41" s="10" t="s">
        <v>23</v>
      </c>
      <c r="AB41" s="11">
        <v>4</v>
      </c>
      <c r="AC41" s="60">
        <f>IF(OR($E41="",$G41=""),"",IF(AND(Z41=$E41,AB41=$G41),Auxiliar!$C$11,IF(AND(SIGN($E41-$G41)=SIGN(Z41-AB41),MAX($E41,$G41)=MAX(Z41,AB41)),Auxiliar!$C$12,IF(ABS($E41-$G41)=ABS(Z41-AB41),Auxiliar!$C$13,IF(AND(SIGN($E41-$G41)=SIGN(Z41-AB41),MIN($E41,$G41)=MIN(Z41,AB41)),Auxiliar!$C$14,IF(SIGN($E41-$G41)=SIGN(Z41-AB41),Auxiliar!$C$15,IF(Z41=AB41,Auxiliar!$C$16,0)))))))</f>
        <v>0</v>
      </c>
      <c r="AE41" s="9">
        <v>5</v>
      </c>
      <c r="AF41" s="10" t="s">
        <v>23</v>
      </c>
      <c r="AG41" s="11">
        <v>4</v>
      </c>
      <c r="AH41" s="60">
        <f>IF(OR($E41="",$G41=""),"",IF(AND(AE41=$E41,AG41=$G41),Auxiliar!$C$11,IF(AND(SIGN($E41-$G41)=SIGN(AE41-AG41),MAX($E41,$G41)=MAX(AE41,AG41)),Auxiliar!$C$12,IF(ABS($E41-$G41)=ABS(AE41-AG41),Auxiliar!$C$13,IF(AND(SIGN($E41-$G41)=SIGN(AE41-AG41),MIN($E41,$G41)=MIN(AE41,AG41)),Auxiliar!$C$14,IF(SIGN($E41-$G41)=SIGN(AE41-AG41),Auxiliar!$C$15,IF(AE41=AG41,Auxiliar!$C$16,0)))))))</f>
        <v>0</v>
      </c>
    </row>
    <row r="42" spans="3:34" x14ac:dyDescent="0.25">
      <c r="C42" s="24">
        <f t="shared" si="0"/>
        <v>3</v>
      </c>
      <c r="D42" s="18" t="s">
        <v>9</v>
      </c>
      <c r="E42" s="13">
        <v>5</v>
      </c>
      <c r="F42" s="12" t="s">
        <v>23</v>
      </c>
      <c r="G42" s="13">
        <v>1</v>
      </c>
      <c r="H42" s="14" t="s">
        <v>7</v>
      </c>
      <c r="K42" s="9">
        <v>4</v>
      </c>
      <c r="L42" s="10" t="s">
        <v>23</v>
      </c>
      <c r="M42" s="11">
        <v>0</v>
      </c>
      <c r="N42" s="60">
        <f>IF(OR($E42="",$G42=""),"",IF(AND(K42=$E42,M42=$G42),Auxiliar!$C$11,IF(AND(SIGN($E42-$G42)=SIGN(K42-M42),MAX($E42,$G42)=MAX(K42,M42)),Auxiliar!$C$12,IF(ABS($E42-$G42)=ABS(K42-M42),Auxiliar!$C$13,IF(AND(SIGN($E42-$G42)=SIGN(K42-M42),MIN($E42,$G42)=MIN(K42,M42)),Auxiliar!$C$14,IF(SIGN($E42-$G42)=SIGN(K42-M42),Auxiliar!$C$15,IF(K42=M42,Auxiliar!$C$16,0)))))))</f>
        <v>15</v>
      </c>
      <c r="P42" s="9">
        <v>1</v>
      </c>
      <c r="Q42" s="10" t="s">
        <v>23</v>
      </c>
      <c r="R42" s="11">
        <v>0</v>
      </c>
      <c r="S42" s="60">
        <f>IF(OR($E42="",$G42=""),"",IF(AND(P42=$E42,R42=$G42),Auxiliar!$C$11,IF(AND(SIGN($E42-$G42)=SIGN(P42-R42),MAX($E42,$G42)=MAX(P42,R42)),Auxiliar!$C$12,IF(ABS($E42-$G42)=ABS(P42-R42),Auxiliar!$C$13,IF(AND(SIGN($E42-$G42)=SIGN(P42-R42),MIN($E42,$G42)=MIN(P42,R42)),Auxiliar!$C$14,IF(SIGN($E42-$G42)=SIGN(P42-R42),Auxiliar!$C$15,IF(P42=R42,Auxiliar!$C$16,0)))))))</f>
        <v>10</v>
      </c>
      <c r="U42" s="9">
        <v>5</v>
      </c>
      <c r="V42" s="10" t="s">
        <v>23</v>
      </c>
      <c r="W42" s="11">
        <v>2</v>
      </c>
      <c r="X42" s="60">
        <f>IF(OR($E42="",$G42=""),"",IF(AND(U42=$E42,W42=$G42),Auxiliar!$C$11,IF(AND(SIGN($E42-$G42)=SIGN(U42-W42),MAX($E42,$G42)=MAX(U42,W42)),Auxiliar!$C$12,IF(ABS($E42-$G42)=ABS(U42-W42),Auxiliar!$C$13,IF(AND(SIGN($E42-$G42)=SIGN(U42-W42),MIN($E42,$G42)=MIN(U42,W42)),Auxiliar!$C$14,IF(SIGN($E42-$G42)=SIGN(U42-W42),Auxiliar!$C$15,IF(U42=W42,Auxiliar!$C$16,0)))))))</f>
        <v>18</v>
      </c>
      <c r="Z42" s="9">
        <v>3</v>
      </c>
      <c r="AA42" s="10" t="s">
        <v>23</v>
      </c>
      <c r="AB42" s="11">
        <v>4</v>
      </c>
      <c r="AC42" s="60">
        <f>IF(OR($E42="",$G42=""),"",IF(AND(Z42=$E42,AB42=$G42),Auxiliar!$C$11,IF(AND(SIGN($E42-$G42)=SIGN(Z42-AB42),MAX($E42,$G42)=MAX(Z42,AB42)),Auxiliar!$C$12,IF(ABS($E42-$G42)=ABS(Z42-AB42),Auxiliar!$C$13,IF(AND(SIGN($E42-$G42)=SIGN(Z42-AB42),MIN($E42,$G42)=MIN(Z42,AB42)),Auxiliar!$C$14,IF(SIGN($E42-$G42)=SIGN(Z42-AB42),Auxiliar!$C$15,IF(Z42=AB42,Auxiliar!$C$16,0)))))))</f>
        <v>0</v>
      </c>
      <c r="AE42" s="9">
        <v>5</v>
      </c>
      <c r="AF42" s="10" t="s">
        <v>23</v>
      </c>
      <c r="AG42" s="11">
        <v>0</v>
      </c>
      <c r="AH42" s="60">
        <f>IF(OR($E42="",$G42=""),"",IF(AND(AE42=$E42,AG42=$G42),Auxiliar!$C$11,IF(AND(SIGN($E42-$G42)=SIGN(AE42-AG42),MAX($E42,$G42)=MAX(AE42,AG42)),Auxiliar!$C$12,IF(ABS($E42-$G42)=ABS(AE42-AG42),Auxiliar!$C$13,IF(AND(SIGN($E42-$G42)=SIGN(AE42-AG42),MIN($E42,$G42)=MIN(AE42,AG42)),Auxiliar!$C$14,IF(SIGN($E42-$G42)=SIGN(AE42-AG42),Auxiliar!$C$15,IF(AE42=AG42,Auxiliar!$C$16,0)))))))</f>
        <v>18</v>
      </c>
    </row>
    <row r="43" spans="3:34" x14ac:dyDescent="0.25">
      <c r="C43" s="24">
        <f t="shared" si="0"/>
        <v>3</v>
      </c>
      <c r="D43" s="18" t="s">
        <v>14</v>
      </c>
      <c r="E43" s="13">
        <v>3</v>
      </c>
      <c r="F43" s="12" t="s">
        <v>23</v>
      </c>
      <c r="G43" s="13">
        <v>2</v>
      </c>
      <c r="H43" s="14" t="s">
        <v>19</v>
      </c>
      <c r="K43" s="9">
        <v>2</v>
      </c>
      <c r="L43" s="10" t="s">
        <v>23</v>
      </c>
      <c r="M43" s="11">
        <v>0</v>
      </c>
      <c r="N43" s="60">
        <f>IF(OR($E43="",$G43=""),"",IF(AND(K43=$E43,M43=$G43),Auxiliar!$C$11,IF(AND(SIGN($E43-$G43)=SIGN(K43-M43),MAX($E43,$G43)=MAX(K43,M43)),Auxiliar!$C$12,IF(ABS($E43-$G43)=ABS(K43-M43),Auxiliar!$C$13,IF(AND(SIGN($E43-$G43)=SIGN(K43-M43),MIN($E43,$G43)=MIN(K43,M43)),Auxiliar!$C$14,IF(SIGN($E43-$G43)=SIGN(K43-M43),Auxiliar!$C$15,IF(K43=M43,Auxiliar!$C$16,0)))))))</f>
        <v>10</v>
      </c>
      <c r="P43" s="9">
        <v>0</v>
      </c>
      <c r="Q43" s="10" t="s">
        <v>23</v>
      </c>
      <c r="R43" s="11">
        <v>2</v>
      </c>
      <c r="S43" s="60">
        <f>IF(OR($E43="",$G43=""),"",IF(AND(P43=$E43,R43=$G43),Auxiliar!$C$11,IF(AND(SIGN($E43-$G43)=SIGN(P43-R43),MAX($E43,$G43)=MAX(P43,R43)),Auxiliar!$C$12,IF(ABS($E43-$G43)=ABS(P43-R43),Auxiliar!$C$13,IF(AND(SIGN($E43-$G43)=SIGN(P43-R43),MIN($E43,$G43)=MIN(P43,R43)),Auxiliar!$C$14,IF(SIGN($E43-$G43)=SIGN(P43-R43),Auxiliar!$C$15,IF(P43=R43,Auxiliar!$C$16,0)))))))</f>
        <v>0</v>
      </c>
      <c r="U43" s="9">
        <v>4</v>
      </c>
      <c r="V43" s="10" t="s">
        <v>23</v>
      </c>
      <c r="W43" s="11">
        <v>5</v>
      </c>
      <c r="X43" s="60">
        <f>IF(OR($E43="",$G43=""),"",IF(AND(U43=$E43,W43=$G43),Auxiliar!$C$11,IF(AND(SIGN($E43-$G43)=SIGN(U43-W43),MAX($E43,$G43)=MAX(U43,W43)),Auxiliar!$C$12,IF(ABS($E43-$G43)=ABS(U43-W43),Auxiliar!$C$13,IF(AND(SIGN($E43-$G43)=SIGN(U43-W43),MIN($E43,$G43)=MIN(U43,W43)),Auxiliar!$C$14,IF(SIGN($E43-$G43)=SIGN(U43-W43),Auxiliar!$C$15,IF(U43=W43,Auxiliar!$C$16,0)))))))</f>
        <v>15</v>
      </c>
      <c r="Z43" s="9">
        <v>1</v>
      </c>
      <c r="AA43" s="10" t="s">
        <v>23</v>
      </c>
      <c r="AB43" s="11">
        <v>3</v>
      </c>
      <c r="AC43" s="60">
        <f>IF(OR($E43="",$G43=""),"",IF(AND(Z43=$E43,AB43=$G43),Auxiliar!$C$11,IF(AND(SIGN($E43-$G43)=SIGN(Z43-AB43),MAX($E43,$G43)=MAX(Z43,AB43)),Auxiliar!$C$12,IF(ABS($E43-$G43)=ABS(Z43-AB43),Auxiliar!$C$13,IF(AND(SIGN($E43-$G43)=SIGN(Z43-AB43),MIN($E43,$G43)=MIN(Z43,AB43)),Auxiliar!$C$14,IF(SIGN($E43-$G43)=SIGN(Z43-AB43),Auxiliar!$C$15,IF(Z43=AB43,Auxiliar!$C$16,0)))))))</f>
        <v>0</v>
      </c>
      <c r="AE43" s="9">
        <v>0</v>
      </c>
      <c r="AF43" s="10" t="s">
        <v>23</v>
      </c>
      <c r="AG43" s="11">
        <v>3</v>
      </c>
      <c r="AH43" s="60">
        <f>IF(OR($E43="",$G43=""),"",IF(AND(AE43=$E43,AG43=$G43),Auxiliar!$C$11,IF(AND(SIGN($E43-$G43)=SIGN(AE43-AG43),MAX($E43,$G43)=MAX(AE43,AG43)),Auxiliar!$C$12,IF(ABS($E43-$G43)=ABS(AE43-AG43),Auxiliar!$C$13,IF(AND(SIGN($E43-$G43)=SIGN(AE43-AG43),MIN($E43,$G43)=MIN(AE43,AG43)),Auxiliar!$C$14,IF(SIGN($E43-$G43)=SIGN(AE43-AG43),Auxiliar!$C$15,IF(AE43=AG43,Auxiliar!$C$16,0)))))))</f>
        <v>0</v>
      </c>
    </row>
    <row r="44" spans="3:34" x14ac:dyDescent="0.25">
      <c r="C44" s="24">
        <f t="shared" si="0"/>
        <v>3</v>
      </c>
      <c r="D44" s="18" t="s">
        <v>15</v>
      </c>
      <c r="E44" s="13">
        <v>5</v>
      </c>
      <c r="F44" s="12" t="s">
        <v>23</v>
      </c>
      <c r="G44" s="13">
        <v>4</v>
      </c>
      <c r="H44" s="14" t="s">
        <v>11</v>
      </c>
      <c r="K44" s="9">
        <v>2</v>
      </c>
      <c r="L44" s="10" t="s">
        <v>23</v>
      </c>
      <c r="M44" s="11">
        <v>1</v>
      </c>
      <c r="N44" s="60">
        <f>IF(OR($E44="",$G44=""),"",IF(AND(K44=$E44,M44=$G44),Auxiliar!$C$11,IF(AND(SIGN($E44-$G44)=SIGN(K44-M44),MAX($E44,$G44)=MAX(K44,M44)),Auxiliar!$C$12,IF(ABS($E44-$G44)=ABS(K44-M44),Auxiliar!$C$13,IF(AND(SIGN($E44-$G44)=SIGN(K44-M44),MIN($E44,$G44)=MIN(K44,M44)),Auxiliar!$C$14,IF(SIGN($E44-$G44)=SIGN(K44-M44),Auxiliar!$C$15,IF(K44=M44,Auxiliar!$C$16,0)))))))</f>
        <v>15</v>
      </c>
      <c r="P44" s="9">
        <v>5</v>
      </c>
      <c r="Q44" s="10" t="s">
        <v>23</v>
      </c>
      <c r="R44" s="11">
        <v>5</v>
      </c>
      <c r="S44" s="60">
        <f>IF(OR($E44="",$G44=""),"",IF(AND(P44=$E44,R44=$G44),Auxiliar!$C$11,IF(AND(SIGN($E44-$G44)=SIGN(P44-R44),MAX($E44,$G44)=MAX(P44,R44)),Auxiliar!$C$12,IF(ABS($E44-$G44)=ABS(P44-R44),Auxiliar!$C$13,IF(AND(SIGN($E44-$G44)=SIGN(P44-R44),MIN($E44,$G44)=MIN(P44,R44)),Auxiliar!$C$14,IF(SIGN($E44-$G44)=SIGN(P44-R44),Auxiliar!$C$15,IF(P44=R44,Auxiliar!$C$16,0)))))))</f>
        <v>5</v>
      </c>
      <c r="U44" s="9">
        <v>3</v>
      </c>
      <c r="V44" s="10" t="s">
        <v>23</v>
      </c>
      <c r="W44" s="11">
        <v>4</v>
      </c>
      <c r="X44" s="60">
        <f>IF(OR($E44="",$G44=""),"",IF(AND(U44=$E44,W44=$G44),Auxiliar!$C$11,IF(AND(SIGN($E44-$G44)=SIGN(U44-W44),MAX($E44,$G44)=MAX(U44,W44)),Auxiliar!$C$12,IF(ABS($E44-$G44)=ABS(U44-W44),Auxiliar!$C$13,IF(AND(SIGN($E44-$G44)=SIGN(U44-W44),MIN($E44,$G44)=MIN(U44,W44)),Auxiliar!$C$14,IF(SIGN($E44-$G44)=SIGN(U44-W44),Auxiliar!$C$15,IF(U44=W44,Auxiliar!$C$16,0)))))))</f>
        <v>15</v>
      </c>
      <c r="Z44" s="9">
        <v>3</v>
      </c>
      <c r="AA44" s="10" t="s">
        <v>23</v>
      </c>
      <c r="AB44" s="11">
        <v>5</v>
      </c>
      <c r="AC44" s="60">
        <f>IF(OR($E44="",$G44=""),"",IF(AND(Z44=$E44,AB44=$G44),Auxiliar!$C$11,IF(AND(SIGN($E44-$G44)=SIGN(Z44-AB44),MAX($E44,$G44)=MAX(Z44,AB44)),Auxiliar!$C$12,IF(ABS($E44-$G44)=ABS(Z44-AB44),Auxiliar!$C$13,IF(AND(SIGN($E44-$G44)=SIGN(Z44-AB44),MIN($E44,$G44)=MIN(Z44,AB44)),Auxiliar!$C$14,IF(SIGN($E44-$G44)=SIGN(Z44-AB44),Auxiliar!$C$15,IF(Z44=AB44,Auxiliar!$C$16,0)))))))</f>
        <v>0</v>
      </c>
      <c r="AE44" s="9">
        <v>2</v>
      </c>
      <c r="AF44" s="10" t="s">
        <v>23</v>
      </c>
      <c r="AG44" s="11">
        <v>0</v>
      </c>
      <c r="AH44" s="60">
        <f>IF(OR($E44="",$G44=""),"",IF(AND(AE44=$E44,AG44=$G44),Auxiliar!$C$11,IF(AND(SIGN($E44-$G44)=SIGN(AE44-AG44),MAX($E44,$G44)=MAX(AE44,AG44)),Auxiliar!$C$12,IF(ABS($E44-$G44)=ABS(AE44-AG44),Auxiliar!$C$13,IF(AND(SIGN($E44-$G44)=SIGN(AE44-AG44),MIN($E44,$G44)=MIN(AE44,AG44)),Auxiliar!$C$14,IF(SIGN($E44-$G44)=SIGN(AE44-AG44),Auxiliar!$C$15,IF(AE44=AG44,Auxiliar!$C$16,0)))))))</f>
        <v>10</v>
      </c>
    </row>
    <row r="45" spans="3:34" x14ac:dyDescent="0.25">
      <c r="C45" s="24">
        <f t="shared" si="0"/>
        <v>3</v>
      </c>
      <c r="D45" s="18" t="s">
        <v>10</v>
      </c>
      <c r="E45" s="13">
        <v>2</v>
      </c>
      <c r="F45" s="12" t="s">
        <v>23</v>
      </c>
      <c r="G45" s="13">
        <v>5</v>
      </c>
      <c r="H45" s="14" t="s">
        <v>12</v>
      </c>
      <c r="K45" s="9">
        <v>5</v>
      </c>
      <c r="L45" s="10" t="s">
        <v>23</v>
      </c>
      <c r="M45" s="11">
        <v>3</v>
      </c>
      <c r="N45" s="60">
        <f>IF(OR($E45="",$G45=""),"",IF(AND(K45=$E45,M45=$G45),Auxiliar!$C$11,IF(AND(SIGN($E45-$G45)=SIGN(K45-M45),MAX($E45,$G45)=MAX(K45,M45)),Auxiliar!$C$12,IF(ABS($E45-$G45)=ABS(K45-M45),Auxiliar!$C$13,IF(AND(SIGN($E45-$G45)=SIGN(K45-M45),MIN($E45,$G45)=MIN(K45,M45)),Auxiliar!$C$14,IF(SIGN($E45-$G45)=SIGN(K45-M45),Auxiliar!$C$15,IF(K45=M45,Auxiliar!$C$16,0)))))))</f>
        <v>0</v>
      </c>
      <c r="P45" s="9">
        <v>3</v>
      </c>
      <c r="Q45" s="10" t="s">
        <v>23</v>
      </c>
      <c r="R45" s="11">
        <v>5</v>
      </c>
      <c r="S45" s="60">
        <f>IF(OR($E45="",$G45=""),"",IF(AND(P45=$E45,R45=$G45),Auxiliar!$C$11,IF(AND(SIGN($E45-$G45)=SIGN(P45-R45),MAX($E45,$G45)=MAX(P45,R45)),Auxiliar!$C$12,IF(ABS($E45-$G45)=ABS(P45-R45),Auxiliar!$C$13,IF(AND(SIGN($E45-$G45)=SIGN(P45-R45),MIN($E45,$G45)=MIN(P45,R45)),Auxiliar!$C$14,IF(SIGN($E45-$G45)=SIGN(P45-R45),Auxiliar!$C$15,IF(P45=R45,Auxiliar!$C$16,0)))))))</f>
        <v>18</v>
      </c>
      <c r="U45" s="9">
        <v>2</v>
      </c>
      <c r="V45" s="10" t="s">
        <v>23</v>
      </c>
      <c r="W45" s="11">
        <v>1</v>
      </c>
      <c r="X45" s="60">
        <f>IF(OR($E45="",$G45=""),"",IF(AND(U45=$E45,W45=$G45),Auxiliar!$C$11,IF(AND(SIGN($E45-$G45)=SIGN(U45-W45),MAX($E45,$G45)=MAX(U45,W45)),Auxiliar!$C$12,IF(ABS($E45-$G45)=ABS(U45-W45),Auxiliar!$C$13,IF(AND(SIGN($E45-$G45)=SIGN(U45-W45),MIN($E45,$G45)=MIN(U45,W45)),Auxiliar!$C$14,IF(SIGN($E45-$G45)=SIGN(U45-W45),Auxiliar!$C$15,IF(U45=W45,Auxiliar!$C$16,0)))))))</f>
        <v>0</v>
      </c>
      <c r="Z45" s="9">
        <v>1</v>
      </c>
      <c r="AA45" s="10" t="s">
        <v>23</v>
      </c>
      <c r="AB45" s="11">
        <v>5</v>
      </c>
      <c r="AC45" s="60">
        <f>IF(OR($E45="",$G45=""),"",IF(AND(Z45=$E45,AB45=$G45),Auxiliar!$C$11,IF(AND(SIGN($E45-$G45)=SIGN(Z45-AB45),MAX($E45,$G45)=MAX(Z45,AB45)),Auxiliar!$C$12,IF(ABS($E45-$G45)=ABS(Z45-AB45),Auxiliar!$C$13,IF(AND(SIGN($E45-$G45)=SIGN(Z45-AB45),MIN($E45,$G45)=MIN(Z45,AB45)),Auxiliar!$C$14,IF(SIGN($E45-$G45)=SIGN(Z45-AB45),Auxiliar!$C$15,IF(Z45=AB45,Auxiliar!$C$16,0)))))))</f>
        <v>18</v>
      </c>
      <c r="AE45" s="9">
        <v>1</v>
      </c>
      <c r="AF45" s="10" t="s">
        <v>23</v>
      </c>
      <c r="AG45" s="11">
        <v>4</v>
      </c>
      <c r="AH45" s="60">
        <f>IF(OR($E45="",$G45=""),"",IF(AND(AE45=$E45,AG45=$G45),Auxiliar!$C$11,IF(AND(SIGN($E45-$G45)=SIGN(AE45-AG45),MAX($E45,$G45)=MAX(AE45,AG45)),Auxiliar!$C$12,IF(ABS($E45-$G45)=ABS(AE45-AG45),Auxiliar!$C$13,IF(AND(SIGN($E45-$G45)=SIGN(AE45-AG45),MIN($E45,$G45)=MIN(AE45,AG45)),Auxiliar!$C$14,IF(SIGN($E45-$G45)=SIGN(AE45-AG45),Auxiliar!$C$15,IF(AE45=AG45,Auxiliar!$C$16,0)))))))</f>
        <v>15</v>
      </c>
    </row>
    <row r="46" spans="3:34" x14ac:dyDescent="0.25">
      <c r="C46" s="24">
        <f t="shared" si="0"/>
        <v>3</v>
      </c>
      <c r="D46" s="18" t="s">
        <v>18</v>
      </c>
      <c r="E46" s="13">
        <v>5</v>
      </c>
      <c r="F46" s="12" t="s">
        <v>23</v>
      </c>
      <c r="G46" s="13">
        <v>0</v>
      </c>
      <c r="H46" s="14" t="s">
        <v>8</v>
      </c>
      <c r="K46" s="9">
        <v>4</v>
      </c>
      <c r="L46" s="10" t="s">
        <v>23</v>
      </c>
      <c r="M46" s="11">
        <v>4</v>
      </c>
      <c r="N46" s="60">
        <f>IF(OR($E46="",$G46=""),"",IF(AND(K46=$E46,M46=$G46),Auxiliar!$C$11,IF(AND(SIGN($E46-$G46)=SIGN(K46-M46),MAX($E46,$G46)=MAX(K46,M46)),Auxiliar!$C$12,IF(ABS($E46-$G46)=ABS(K46-M46),Auxiliar!$C$13,IF(AND(SIGN($E46-$G46)=SIGN(K46-M46),MIN($E46,$G46)=MIN(K46,M46)),Auxiliar!$C$14,IF(SIGN($E46-$G46)=SIGN(K46-M46),Auxiliar!$C$15,IF(K46=M46,Auxiliar!$C$16,0)))))))</f>
        <v>5</v>
      </c>
      <c r="P46" s="9">
        <v>5</v>
      </c>
      <c r="Q46" s="10" t="s">
        <v>23</v>
      </c>
      <c r="R46" s="11">
        <v>0</v>
      </c>
      <c r="S46" s="60">
        <f>IF(OR($E46="",$G46=""),"",IF(AND(P46=$E46,R46=$G46),Auxiliar!$C$11,IF(AND(SIGN($E46-$G46)=SIGN(P46-R46),MAX($E46,$G46)=MAX(P46,R46)),Auxiliar!$C$12,IF(ABS($E46-$G46)=ABS(P46-R46),Auxiliar!$C$13,IF(AND(SIGN($E46-$G46)=SIGN(P46-R46),MIN($E46,$G46)=MIN(P46,R46)),Auxiliar!$C$14,IF(SIGN($E46-$G46)=SIGN(P46-R46),Auxiliar!$C$15,IF(P46=R46,Auxiliar!$C$16,0)))))))</f>
        <v>25</v>
      </c>
      <c r="U46" s="9">
        <v>4</v>
      </c>
      <c r="V46" s="10" t="s">
        <v>23</v>
      </c>
      <c r="W46" s="11">
        <v>1</v>
      </c>
      <c r="X46" s="60">
        <f>IF(OR($E46="",$G46=""),"",IF(AND(U46=$E46,W46=$G46),Auxiliar!$C$11,IF(AND(SIGN($E46-$G46)=SIGN(U46-W46),MAX($E46,$G46)=MAX(U46,W46)),Auxiliar!$C$12,IF(ABS($E46-$G46)=ABS(U46-W46),Auxiliar!$C$13,IF(AND(SIGN($E46-$G46)=SIGN(U46-W46),MIN($E46,$G46)=MIN(U46,W46)),Auxiliar!$C$14,IF(SIGN($E46-$G46)=SIGN(U46-W46),Auxiliar!$C$15,IF(U46=W46,Auxiliar!$C$16,0)))))))</f>
        <v>10</v>
      </c>
      <c r="Z46" s="9">
        <v>0</v>
      </c>
      <c r="AA46" s="10" t="s">
        <v>23</v>
      </c>
      <c r="AB46" s="11">
        <v>4</v>
      </c>
      <c r="AC46" s="60">
        <f>IF(OR($E46="",$G46=""),"",IF(AND(Z46=$E46,AB46=$G46),Auxiliar!$C$11,IF(AND(SIGN($E46-$G46)=SIGN(Z46-AB46),MAX($E46,$G46)=MAX(Z46,AB46)),Auxiliar!$C$12,IF(ABS($E46-$G46)=ABS(Z46-AB46),Auxiliar!$C$13,IF(AND(SIGN($E46-$G46)=SIGN(Z46-AB46),MIN($E46,$G46)=MIN(Z46,AB46)),Auxiliar!$C$14,IF(SIGN($E46-$G46)=SIGN(Z46-AB46),Auxiliar!$C$15,IF(Z46=AB46,Auxiliar!$C$16,0)))))))</f>
        <v>0</v>
      </c>
      <c r="AE46" s="9">
        <v>4</v>
      </c>
      <c r="AF46" s="10" t="s">
        <v>23</v>
      </c>
      <c r="AG46" s="11">
        <v>4</v>
      </c>
      <c r="AH46" s="60">
        <f>IF(OR($E46="",$G46=""),"",IF(AND(AE46=$E46,AG46=$G46),Auxiliar!$C$11,IF(AND(SIGN($E46-$G46)=SIGN(AE46-AG46),MAX($E46,$G46)=MAX(AE46,AG46)),Auxiliar!$C$12,IF(ABS($E46-$G46)=ABS(AE46-AG46),Auxiliar!$C$13,IF(AND(SIGN($E46-$G46)=SIGN(AE46-AG46),MIN($E46,$G46)=MIN(AE46,AG46)),Auxiliar!$C$14,IF(SIGN($E46-$G46)=SIGN(AE46-AG46),Auxiliar!$C$15,IF(AE46=AG46,Auxiliar!$C$16,0)))))))</f>
        <v>5</v>
      </c>
    </row>
    <row r="47" spans="3:34" x14ac:dyDescent="0.25">
      <c r="C47" s="24">
        <f t="shared" si="0"/>
        <v>3</v>
      </c>
      <c r="D47" s="18" t="s">
        <v>17</v>
      </c>
      <c r="E47" s="13">
        <v>1</v>
      </c>
      <c r="F47" s="12" t="s">
        <v>23</v>
      </c>
      <c r="G47" s="13">
        <v>2</v>
      </c>
      <c r="H47" s="14" t="s">
        <v>13</v>
      </c>
      <c r="K47" s="9">
        <v>4</v>
      </c>
      <c r="L47" s="10" t="s">
        <v>23</v>
      </c>
      <c r="M47" s="11">
        <v>5</v>
      </c>
      <c r="N47" s="60">
        <f>IF(OR($E47="",$G47=""),"",IF(AND(K47=$E47,M47=$G47),Auxiliar!$C$11,IF(AND(SIGN($E47-$G47)=SIGN(K47-M47),MAX($E47,$G47)=MAX(K47,M47)),Auxiliar!$C$12,IF(ABS($E47-$G47)=ABS(K47-M47),Auxiliar!$C$13,IF(AND(SIGN($E47-$G47)=SIGN(K47-M47),MIN($E47,$G47)=MIN(K47,M47)),Auxiliar!$C$14,IF(SIGN($E47-$G47)=SIGN(K47-M47),Auxiliar!$C$15,IF(K47=M47,Auxiliar!$C$16,0)))))))</f>
        <v>15</v>
      </c>
      <c r="P47" s="9">
        <v>5</v>
      </c>
      <c r="Q47" s="10" t="s">
        <v>23</v>
      </c>
      <c r="R47" s="11">
        <v>1</v>
      </c>
      <c r="S47" s="60">
        <f>IF(OR($E47="",$G47=""),"",IF(AND(P47=$E47,R47=$G47),Auxiliar!$C$11,IF(AND(SIGN($E47-$G47)=SIGN(P47-R47),MAX($E47,$G47)=MAX(P47,R47)),Auxiliar!$C$12,IF(ABS($E47-$G47)=ABS(P47-R47),Auxiliar!$C$13,IF(AND(SIGN($E47-$G47)=SIGN(P47-R47),MIN($E47,$G47)=MIN(P47,R47)),Auxiliar!$C$14,IF(SIGN($E47-$G47)=SIGN(P47-R47),Auxiliar!$C$15,IF(P47=R47,Auxiliar!$C$16,0)))))))</f>
        <v>0</v>
      </c>
      <c r="U47" s="9">
        <v>4</v>
      </c>
      <c r="V47" s="10" t="s">
        <v>23</v>
      </c>
      <c r="W47" s="11">
        <v>5</v>
      </c>
      <c r="X47" s="60">
        <f>IF(OR($E47="",$G47=""),"",IF(AND(U47=$E47,W47=$G47),Auxiliar!$C$11,IF(AND(SIGN($E47-$G47)=SIGN(U47-W47),MAX($E47,$G47)=MAX(U47,W47)),Auxiliar!$C$12,IF(ABS($E47-$G47)=ABS(U47-W47),Auxiliar!$C$13,IF(AND(SIGN($E47-$G47)=SIGN(U47-W47),MIN($E47,$G47)=MIN(U47,W47)),Auxiliar!$C$14,IF(SIGN($E47-$G47)=SIGN(U47-W47),Auxiliar!$C$15,IF(U47=W47,Auxiliar!$C$16,0)))))))</f>
        <v>15</v>
      </c>
      <c r="Z47" s="9">
        <v>0</v>
      </c>
      <c r="AA47" s="10" t="s">
        <v>23</v>
      </c>
      <c r="AB47" s="11">
        <v>2</v>
      </c>
      <c r="AC47" s="60">
        <f>IF(OR($E47="",$G47=""),"",IF(AND(Z47=$E47,AB47=$G47),Auxiliar!$C$11,IF(AND(SIGN($E47-$G47)=SIGN(Z47-AB47),MAX($E47,$G47)=MAX(Z47,AB47)),Auxiliar!$C$12,IF(ABS($E47-$G47)=ABS(Z47-AB47),Auxiliar!$C$13,IF(AND(SIGN($E47-$G47)=SIGN(Z47-AB47),MIN($E47,$G47)=MIN(Z47,AB47)),Auxiliar!$C$14,IF(SIGN($E47-$G47)=SIGN(Z47-AB47),Auxiliar!$C$15,IF(Z47=AB47,Auxiliar!$C$16,0)))))))</f>
        <v>18</v>
      </c>
      <c r="AE47" s="9">
        <v>1</v>
      </c>
      <c r="AF47" s="10" t="s">
        <v>23</v>
      </c>
      <c r="AG47" s="11">
        <v>1</v>
      </c>
      <c r="AH47" s="60">
        <f>IF(OR($E47="",$G47=""),"",IF(AND(AE47=$E47,AG47=$G47),Auxiliar!$C$11,IF(AND(SIGN($E47-$G47)=SIGN(AE47-AG47),MAX($E47,$G47)=MAX(AE47,AG47)),Auxiliar!$C$12,IF(ABS($E47-$G47)=ABS(AE47-AG47),Auxiliar!$C$13,IF(AND(SIGN($E47-$G47)=SIGN(AE47-AG47),MIN($E47,$G47)=MIN(AE47,AG47)),Auxiliar!$C$14,IF(SIGN($E47-$G47)=SIGN(AE47-AG47),Auxiliar!$C$15,IF(AE47=AG47,Auxiliar!$C$16,0)))))))</f>
        <v>5</v>
      </c>
    </row>
    <row r="48" spans="3:34" x14ac:dyDescent="0.25">
      <c r="C48" s="24">
        <f t="shared" si="0"/>
        <v>3</v>
      </c>
      <c r="D48" s="18" t="s">
        <v>21</v>
      </c>
      <c r="E48" s="13">
        <v>2</v>
      </c>
      <c r="F48" s="12" t="s">
        <v>23</v>
      </c>
      <c r="G48" s="13">
        <v>2</v>
      </c>
      <c r="H48" s="14" t="s">
        <v>6</v>
      </c>
      <c r="K48" s="9">
        <v>4</v>
      </c>
      <c r="L48" s="10" t="s">
        <v>23</v>
      </c>
      <c r="M48" s="11">
        <v>0</v>
      </c>
      <c r="N48" s="60">
        <f>IF(OR($E48="",$G48=""),"",IF(AND(K48=$E48,M48=$G48),Auxiliar!$C$11,IF(AND(SIGN($E48-$G48)=SIGN(K48-M48),MAX($E48,$G48)=MAX(K48,M48)),Auxiliar!$C$12,IF(ABS($E48-$G48)=ABS(K48-M48),Auxiliar!$C$13,IF(AND(SIGN($E48-$G48)=SIGN(K48-M48),MIN($E48,$G48)=MIN(K48,M48)),Auxiliar!$C$14,IF(SIGN($E48-$G48)=SIGN(K48-M48),Auxiliar!$C$15,IF(K48=M48,Auxiliar!$C$16,0)))))))</f>
        <v>0</v>
      </c>
      <c r="P48" s="9">
        <v>4</v>
      </c>
      <c r="Q48" s="10" t="s">
        <v>23</v>
      </c>
      <c r="R48" s="11">
        <v>3</v>
      </c>
      <c r="S48" s="60">
        <f>IF(OR($E48="",$G48=""),"",IF(AND(P48=$E48,R48=$G48),Auxiliar!$C$11,IF(AND(SIGN($E48-$G48)=SIGN(P48-R48),MAX($E48,$G48)=MAX(P48,R48)),Auxiliar!$C$12,IF(ABS($E48-$G48)=ABS(P48-R48),Auxiliar!$C$13,IF(AND(SIGN($E48-$G48)=SIGN(P48-R48),MIN($E48,$G48)=MIN(P48,R48)),Auxiliar!$C$14,IF(SIGN($E48-$G48)=SIGN(P48-R48),Auxiliar!$C$15,IF(P48=R48,Auxiliar!$C$16,0)))))))</f>
        <v>0</v>
      </c>
      <c r="U48" s="9">
        <v>1</v>
      </c>
      <c r="V48" s="10" t="s">
        <v>23</v>
      </c>
      <c r="W48" s="11">
        <v>2</v>
      </c>
      <c r="X48" s="60">
        <f>IF(OR($E48="",$G48=""),"",IF(AND(U48=$E48,W48=$G48),Auxiliar!$C$11,IF(AND(SIGN($E48-$G48)=SIGN(U48-W48),MAX($E48,$G48)=MAX(U48,W48)),Auxiliar!$C$12,IF(ABS($E48-$G48)=ABS(U48-W48),Auxiliar!$C$13,IF(AND(SIGN($E48-$G48)=SIGN(U48-W48),MIN($E48,$G48)=MIN(U48,W48)),Auxiliar!$C$14,IF(SIGN($E48-$G48)=SIGN(U48-W48),Auxiliar!$C$15,IF(U48=W48,Auxiliar!$C$16,0)))))))</f>
        <v>0</v>
      </c>
      <c r="Z48" s="9">
        <v>2</v>
      </c>
      <c r="AA48" s="10" t="s">
        <v>23</v>
      </c>
      <c r="AB48" s="11">
        <v>2</v>
      </c>
      <c r="AC48" s="60">
        <f>IF(OR($E48="",$G48=""),"",IF(AND(Z48=$E48,AB48=$G48),Auxiliar!$C$11,IF(AND(SIGN($E48-$G48)=SIGN(Z48-AB48),MAX($E48,$G48)=MAX(Z48,AB48)),Auxiliar!$C$12,IF(ABS($E48-$G48)=ABS(Z48-AB48),Auxiliar!$C$13,IF(AND(SIGN($E48-$G48)=SIGN(Z48-AB48),MIN($E48,$G48)=MIN(Z48,AB48)),Auxiliar!$C$14,IF(SIGN($E48-$G48)=SIGN(Z48-AB48),Auxiliar!$C$15,IF(Z48=AB48,Auxiliar!$C$16,0)))))))</f>
        <v>25</v>
      </c>
      <c r="AE48" s="9">
        <v>0</v>
      </c>
      <c r="AF48" s="10" t="s">
        <v>23</v>
      </c>
      <c r="AG48" s="11">
        <v>2</v>
      </c>
      <c r="AH48" s="60">
        <f>IF(OR($E48="",$G48=""),"",IF(AND(AE48=$E48,AG48=$G48),Auxiliar!$C$11,IF(AND(SIGN($E48-$G48)=SIGN(AE48-AG48),MAX($E48,$G48)=MAX(AE48,AG48)),Auxiliar!$C$12,IF(ABS($E48-$G48)=ABS(AE48-AG48),Auxiliar!$C$13,IF(AND(SIGN($E48-$G48)=SIGN(AE48-AG48),MIN($E48,$G48)=MIN(AE48,AG48)),Auxiliar!$C$14,IF(SIGN($E48-$G48)=SIGN(AE48-AG48),Auxiliar!$C$15,IF(AE48=AG48,Auxiliar!$C$16,0)))))))</f>
        <v>0</v>
      </c>
    </row>
    <row r="49" spans="3:34" x14ac:dyDescent="0.25">
      <c r="C49" s="24">
        <f t="shared" si="0"/>
        <v>4</v>
      </c>
      <c r="D49" s="18" t="s">
        <v>19</v>
      </c>
      <c r="E49" s="13">
        <v>1</v>
      </c>
      <c r="F49" s="12" t="s">
        <v>23</v>
      </c>
      <c r="G49" s="13">
        <v>5</v>
      </c>
      <c r="H49" s="14" t="s">
        <v>3</v>
      </c>
      <c r="K49" s="9">
        <v>4</v>
      </c>
      <c r="L49" s="10" t="s">
        <v>23</v>
      </c>
      <c r="M49" s="11">
        <v>4</v>
      </c>
      <c r="N49" s="60">
        <f>IF(OR($E49="",$G49=""),"",IF(AND(K49=$E49,M49=$G49),Auxiliar!$C$11,IF(AND(SIGN($E49-$G49)=SIGN(K49-M49),MAX($E49,$G49)=MAX(K49,M49)),Auxiliar!$C$12,IF(ABS($E49-$G49)=ABS(K49-M49),Auxiliar!$C$13,IF(AND(SIGN($E49-$G49)=SIGN(K49-M49),MIN($E49,$G49)=MIN(K49,M49)),Auxiliar!$C$14,IF(SIGN($E49-$G49)=SIGN(K49-M49),Auxiliar!$C$15,IF(K49=M49,Auxiliar!$C$16,0)))))))</f>
        <v>5</v>
      </c>
      <c r="P49" s="9">
        <v>5</v>
      </c>
      <c r="Q49" s="10" t="s">
        <v>23</v>
      </c>
      <c r="R49" s="11">
        <v>3</v>
      </c>
      <c r="S49" s="60">
        <f>IF(OR($E49="",$G49=""),"",IF(AND(P49=$E49,R49=$G49),Auxiliar!$C$11,IF(AND(SIGN($E49-$G49)=SIGN(P49-R49),MAX($E49,$G49)=MAX(P49,R49)),Auxiliar!$C$12,IF(ABS($E49-$G49)=ABS(P49-R49),Auxiliar!$C$13,IF(AND(SIGN($E49-$G49)=SIGN(P49-R49),MIN($E49,$G49)=MIN(P49,R49)),Auxiliar!$C$14,IF(SIGN($E49-$G49)=SIGN(P49-R49),Auxiliar!$C$15,IF(P49=R49,Auxiliar!$C$16,0)))))))</f>
        <v>0</v>
      </c>
      <c r="U49" s="9">
        <v>3</v>
      </c>
      <c r="V49" s="10" t="s">
        <v>23</v>
      </c>
      <c r="W49" s="11">
        <v>5</v>
      </c>
      <c r="X49" s="60">
        <f>IF(OR($E49="",$G49=""),"",IF(AND(U49=$E49,W49=$G49),Auxiliar!$C$11,IF(AND(SIGN($E49-$G49)=SIGN(U49-W49),MAX($E49,$G49)=MAX(U49,W49)),Auxiliar!$C$12,IF(ABS($E49-$G49)=ABS(U49-W49),Auxiliar!$C$13,IF(AND(SIGN($E49-$G49)=SIGN(U49-W49),MIN($E49,$G49)=MIN(U49,W49)),Auxiliar!$C$14,IF(SIGN($E49-$G49)=SIGN(U49-W49),Auxiliar!$C$15,IF(U49=W49,Auxiliar!$C$16,0)))))))</f>
        <v>18</v>
      </c>
      <c r="Z49" s="9">
        <v>2</v>
      </c>
      <c r="AA49" s="10" t="s">
        <v>23</v>
      </c>
      <c r="AB49" s="11">
        <v>5</v>
      </c>
      <c r="AC49" s="60">
        <f>IF(OR($E49="",$G49=""),"",IF(AND(Z49=$E49,AB49=$G49),Auxiliar!$C$11,IF(AND(SIGN($E49-$G49)=SIGN(Z49-AB49),MAX($E49,$G49)=MAX(Z49,AB49)),Auxiliar!$C$12,IF(ABS($E49-$G49)=ABS(Z49-AB49),Auxiliar!$C$13,IF(AND(SIGN($E49-$G49)=SIGN(Z49-AB49),MIN($E49,$G49)=MIN(Z49,AB49)),Auxiliar!$C$14,IF(SIGN($E49-$G49)=SIGN(Z49-AB49),Auxiliar!$C$15,IF(Z49=AB49,Auxiliar!$C$16,0)))))))</f>
        <v>18</v>
      </c>
      <c r="AE49" s="9">
        <v>4</v>
      </c>
      <c r="AF49" s="10" t="s">
        <v>23</v>
      </c>
      <c r="AG49" s="11">
        <v>1</v>
      </c>
      <c r="AH49" s="60">
        <f>IF(OR($E49="",$G49=""),"",IF(AND(AE49=$E49,AG49=$G49),Auxiliar!$C$11,IF(AND(SIGN($E49-$G49)=SIGN(AE49-AG49),MAX($E49,$G49)=MAX(AE49,AG49)),Auxiliar!$C$12,IF(ABS($E49-$G49)=ABS(AE49-AG49),Auxiliar!$C$13,IF(AND(SIGN($E49-$G49)=SIGN(AE49-AG49),MIN($E49,$G49)=MIN(AE49,AG49)),Auxiliar!$C$14,IF(SIGN($E49-$G49)=SIGN(AE49-AG49),Auxiliar!$C$15,IF(AE49=AG49,Auxiliar!$C$16,0)))))))</f>
        <v>0</v>
      </c>
    </row>
    <row r="50" spans="3:34" x14ac:dyDescent="0.25">
      <c r="C50" s="24">
        <f t="shared" si="0"/>
        <v>4</v>
      </c>
      <c r="D50" s="18" t="s">
        <v>8</v>
      </c>
      <c r="E50" s="13">
        <v>3</v>
      </c>
      <c r="F50" s="12" t="s">
        <v>23</v>
      </c>
      <c r="G50" s="13">
        <v>1</v>
      </c>
      <c r="H50" s="14" t="s">
        <v>16</v>
      </c>
      <c r="K50" s="9">
        <v>2</v>
      </c>
      <c r="L50" s="10" t="s">
        <v>23</v>
      </c>
      <c r="M50" s="11">
        <v>2</v>
      </c>
      <c r="N50" s="60">
        <f>IF(OR($E50="",$G50=""),"",IF(AND(K50=$E50,M50=$G50),Auxiliar!$C$11,IF(AND(SIGN($E50-$G50)=SIGN(K50-M50),MAX($E50,$G50)=MAX(K50,M50)),Auxiliar!$C$12,IF(ABS($E50-$G50)=ABS(K50-M50),Auxiliar!$C$13,IF(AND(SIGN($E50-$G50)=SIGN(K50-M50),MIN($E50,$G50)=MIN(K50,M50)),Auxiliar!$C$14,IF(SIGN($E50-$G50)=SIGN(K50-M50),Auxiliar!$C$15,IF(K50=M50,Auxiliar!$C$16,0)))))))</f>
        <v>5</v>
      </c>
      <c r="P50" s="9">
        <v>3</v>
      </c>
      <c r="Q50" s="10" t="s">
        <v>23</v>
      </c>
      <c r="R50" s="11">
        <v>3</v>
      </c>
      <c r="S50" s="60">
        <f>IF(OR($E50="",$G50=""),"",IF(AND(P50=$E50,R50=$G50),Auxiliar!$C$11,IF(AND(SIGN($E50-$G50)=SIGN(P50-R50),MAX($E50,$G50)=MAX(P50,R50)),Auxiliar!$C$12,IF(ABS($E50-$G50)=ABS(P50-R50),Auxiliar!$C$13,IF(AND(SIGN($E50-$G50)=SIGN(P50-R50),MIN($E50,$G50)=MIN(P50,R50)),Auxiliar!$C$14,IF(SIGN($E50-$G50)=SIGN(P50-R50),Auxiliar!$C$15,IF(P50=R50,Auxiliar!$C$16,0)))))))</f>
        <v>5</v>
      </c>
      <c r="U50" s="9">
        <v>3</v>
      </c>
      <c r="V50" s="10" t="s">
        <v>23</v>
      </c>
      <c r="W50" s="11">
        <v>5</v>
      </c>
      <c r="X50" s="60">
        <f>IF(OR($E50="",$G50=""),"",IF(AND(U50=$E50,W50=$G50),Auxiliar!$C$11,IF(AND(SIGN($E50-$G50)=SIGN(U50-W50),MAX($E50,$G50)=MAX(U50,W50)),Auxiliar!$C$12,IF(ABS($E50-$G50)=ABS(U50-W50),Auxiliar!$C$13,IF(AND(SIGN($E50-$G50)=SIGN(U50-W50),MIN($E50,$G50)=MIN(U50,W50)),Auxiliar!$C$14,IF(SIGN($E50-$G50)=SIGN(U50-W50),Auxiliar!$C$15,IF(U50=W50,Auxiliar!$C$16,0)))))))</f>
        <v>15</v>
      </c>
      <c r="Z50" s="9">
        <v>5</v>
      </c>
      <c r="AA50" s="10" t="s">
        <v>23</v>
      </c>
      <c r="AB50" s="11">
        <v>5</v>
      </c>
      <c r="AC50" s="60">
        <f>IF(OR($E50="",$G50=""),"",IF(AND(Z50=$E50,AB50=$G50),Auxiliar!$C$11,IF(AND(SIGN($E50-$G50)=SIGN(Z50-AB50),MAX($E50,$G50)=MAX(Z50,AB50)),Auxiliar!$C$12,IF(ABS($E50-$G50)=ABS(Z50-AB50),Auxiliar!$C$13,IF(AND(SIGN($E50-$G50)=SIGN(Z50-AB50),MIN($E50,$G50)=MIN(Z50,AB50)),Auxiliar!$C$14,IF(SIGN($E50-$G50)=SIGN(Z50-AB50),Auxiliar!$C$15,IF(Z50=AB50,Auxiliar!$C$16,0)))))))</f>
        <v>5</v>
      </c>
      <c r="AE50" s="9">
        <v>3</v>
      </c>
      <c r="AF50" s="10" t="s">
        <v>23</v>
      </c>
      <c r="AG50" s="11">
        <v>4</v>
      </c>
      <c r="AH50" s="60">
        <f>IF(OR($E50="",$G50=""),"",IF(AND(AE50=$E50,AG50=$G50),Auxiliar!$C$11,IF(AND(SIGN($E50-$G50)=SIGN(AE50-AG50),MAX($E50,$G50)=MAX(AE50,AG50)),Auxiliar!$C$12,IF(ABS($E50-$G50)=ABS(AE50-AG50),Auxiliar!$C$13,IF(AND(SIGN($E50-$G50)=SIGN(AE50-AG50),MIN($E50,$G50)=MIN(AE50,AG50)),Auxiliar!$C$14,IF(SIGN($E50-$G50)=SIGN(AE50-AG50),Auxiliar!$C$15,IF(AE50=AG50,Auxiliar!$C$16,0)))))))</f>
        <v>0</v>
      </c>
    </row>
    <row r="51" spans="3:34" x14ac:dyDescent="0.25">
      <c r="C51" s="24">
        <f t="shared" si="0"/>
        <v>4</v>
      </c>
      <c r="D51" s="18" t="s">
        <v>5</v>
      </c>
      <c r="E51" s="13">
        <v>1</v>
      </c>
      <c r="F51" s="12" t="s">
        <v>23</v>
      </c>
      <c r="G51" s="13">
        <v>0</v>
      </c>
      <c r="H51" s="14" t="s">
        <v>18</v>
      </c>
      <c r="K51" s="9">
        <v>1</v>
      </c>
      <c r="L51" s="10" t="s">
        <v>23</v>
      </c>
      <c r="M51" s="11">
        <v>1</v>
      </c>
      <c r="N51" s="60">
        <f>IF(OR($E51="",$G51=""),"",IF(AND(K51=$E51,M51=$G51),Auxiliar!$C$11,IF(AND(SIGN($E51-$G51)=SIGN(K51-M51),MAX($E51,$G51)=MAX(K51,M51)),Auxiliar!$C$12,IF(ABS($E51-$G51)=ABS(K51-M51),Auxiliar!$C$13,IF(AND(SIGN($E51-$G51)=SIGN(K51-M51),MIN($E51,$G51)=MIN(K51,M51)),Auxiliar!$C$14,IF(SIGN($E51-$G51)=SIGN(K51-M51),Auxiliar!$C$15,IF(K51=M51,Auxiliar!$C$16,0)))))))</f>
        <v>5</v>
      </c>
      <c r="P51" s="9">
        <v>0</v>
      </c>
      <c r="Q51" s="10" t="s">
        <v>23</v>
      </c>
      <c r="R51" s="11">
        <v>0</v>
      </c>
      <c r="S51" s="60">
        <f>IF(OR($E51="",$G51=""),"",IF(AND(P51=$E51,R51=$G51),Auxiliar!$C$11,IF(AND(SIGN($E51-$G51)=SIGN(P51-R51),MAX($E51,$G51)=MAX(P51,R51)),Auxiliar!$C$12,IF(ABS($E51-$G51)=ABS(P51-R51),Auxiliar!$C$13,IF(AND(SIGN($E51-$G51)=SIGN(P51-R51),MIN($E51,$G51)=MIN(P51,R51)),Auxiliar!$C$14,IF(SIGN($E51-$G51)=SIGN(P51-R51),Auxiliar!$C$15,IF(P51=R51,Auxiliar!$C$16,0)))))))</f>
        <v>5</v>
      </c>
      <c r="U51" s="9">
        <v>3</v>
      </c>
      <c r="V51" s="10" t="s">
        <v>23</v>
      </c>
      <c r="W51" s="11">
        <v>4</v>
      </c>
      <c r="X51" s="60">
        <f>IF(OR($E51="",$G51=""),"",IF(AND(U51=$E51,W51=$G51),Auxiliar!$C$11,IF(AND(SIGN($E51-$G51)=SIGN(U51-W51),MAX($E51,$G51)=MAX(U51,W51)),Auxiliar!$C$12,IF(ABS($E51-$G51)=ABS(U51-W51),Auxiliar!$C$13,IF(AND(SIGN($E51-$G51)=SIGN(U51-W51),MIN($E51,$G51)=MIN(U51,W51)),Auxiliar!$C$14,IF(SIGN($E51-$G51)=SIGN(U51-W51),Auxiliar!$C$15,IF(U51=W51,Auxiliar!$C$16,0)))))))</f>
        <v>15</v>
      </c>
      <c r="Z51" s="9">
        <v>1</v>
      </c>
      <c r="AA51" s="10" t="s">
        <v>23</v>
      </c>
      <c r="AB51" s="11">
        <v>1</v>
      </c>
      <c r="AC51" s="60">
        <f>IF(OR($E51="",$G51=""),"",IF(AND(Z51=$E51,AB51=$G51),Auxiliar!$C$11,IF(AND(SIGN($E51-$G51)=SIGN(Z51-AB51),MAX($E51,$G51)=MAX(Z51,AB51)),Auxiliar!$C$12,IF(ABS($E51-$G51)=ABS(Z51-AB51),Auxiliar!$C$13,IF(AND(SIGN($E51-$G51)=SIGN(Z51-AB51),MIN($E51,$G51)=MIN(Z51,AB51)),Auxiliar!$C$14,IF(SIGN($E51-$G51)=SIGN(Z51-AB51),Auxiliar!$C$15,IF(Z51=AB51,Auxiliar!$C$16,0)))))))</f>
        <v>5</v>
      </c>
      <c r="AE51" s="9">
        <v>4</v>
      </c>
      <c r="AF51" s="10" t="s">
        <v>23</v>
      </c>
      <c r="AG51" s="11">
        <v>1</v>
      </c>
      <c r="AH51" s="60">
        <f>IF(OR($E51="",$G51=""),"",IF(AND(AE51=$E51,AG51=$G51),Auxiliar!$C$11,IF(AND(SIGN($E51-$G51)=SIGN(AE51-AG51),MAX($E51,$G51)=MAX(AE51,AG51)),Auxiliar!$C$12,IF(ABS($E51-$G51)=ABS(AE51-AG51),Auxiliar!$C$13,IF(AND(SIGN($E51-$G51)=SIGN(AE51-AG51),MIN($E51,$G51)=MIN(AE51,AG51)),Auxiliar!$C$14,IF(SIGN($E51-$G51)=SIGN(AE51-AG51),Auxiliar!$C$15,IF(AE51=AG51,Auxiliar!$C$16,0)))))))</f>
        <v>10</v>
      </c>
    </row>
    <row r="52" spans="3:34" x14ac:dyDescent="0.25">
      <c r="C52" s="24">
        <f t="shared" si="0"/>
        <v>4</v>
      </c>
      <c r="D52" s="18" t="s">
        <v>7</v>
      </c>
      <c r="E52" s="13">
        <v>4</v>
      </c>
      <c r="F52" s="12" t="s">
        <v>23</v>
      </c>
      <c r="G52" s="13">
        <v>3</v>
      </c>
      <c r="H52" s="14" t="s">
        <v>17</v>
      </c>
      <c r="K52" s="9">
        <v>2</v>
      </c>
      <c r="L52" s="10" t="s">
        <v>23</v>
      </c>
      <c r="M52" s="11">
        <v>1</v>
      </c>
      <c r="N52" s="60">
        <f>IF(OR($E52="",$G52=""),"",IF(AND(K52=$E52,M52=$G52),Auxiliar!$C$11,IF(AND(SIGN($E52-$G52)=SIGN(K52-M52),MAX($E52,$G52)=MAX(K52,M52)),Auxiliar!$C$12,IF(ABS($E52-$G52)=ABS(K52-M52),Auxiliar!$C$13,IF(AND(SIGN($E52-$G52)=SIGN(K52-M52),MIN($E52,$G52)=MIN(K52,M52)),Auxiliar!$C$14,IF(SIGN($E52-$G52)=SIGN(K52-M52),Auxiliar!$C$15,IF(K52=M52,Auxiliar!$C$16,0)))))))</f>
        <v>15</v>
      </c>
      <c r="P52" s="9">
        <v>1</v>
      </c>
      <c r="Q52" s="10" t="s">
        <v>23</v>
      </c>
      <c r="R52" s="11">
        <v>1</v>
      </c>
      <c r="S52" s="60">
        <f>IF(OR($E52="",$G52=""),"",IF(AND(P52=$E52,R52=$G52),Auxiliar!$C$11,IF(AND(SIGN($E52-$G52)=SIGN(P52-R52),MAX($E52,$G52)=MAX(P52,R52)),Auxiliar!$C$12,IF(ABS($E52-$G52)=ABS(P52-R52),Auxiliar!$C$13,IF(AND(SIGN($E52-$G52)=SIGN(P52-R52),MIN($E52,$G52)=MIN(P52,R52)),Auxiliar!$C$14,IF(SIGN($E52-$G52)=SIGN(P52-R52),Auxiliar!$C$15,IF(P52=R52,Auxiliar!$C$16,0)))))))</f>
        <v>5</v>
      </c>
      <c r="U52" s="9">
        <v>2</v>
      </c>
      <c r="V52" s="10" t="s">
        <v>23</v>
      </c>
      <c r="W52" s="11">
        <v>4</v>
      </c>
      <c r="X52" s="60">
        <f>IF(OR($E52="",$G52=""),"",IF(AND(U52=$E52,W52=$G52),Auxiliar!$C$11,IF(AND(SIGN($E52-$G52)=SIGN(U52-W52),MAX($E52,$G52)=MAX(U52,W52)),Auxiliar!$C$12,IF(ABS($E52-$G52)=ABS(U52-W52),Auxiliar!$C$13,IF(AND(SIGN($E52-$G52)=SIGN(U52-W52),MIN($E52,$G52)=MIN(U52,W52)),Auxiliar!$C$14,IF(SIGN($E52-$G52)=SIGN(U52-W52),Auxiliar!$C$15,IF(U52=W52,Auxiliar!$C$16,0)))))))</f>
        <v>0</v>
      </c>
      <c r="Z52" s="9">
        <v>1</v>
      </c>
      <c r="AA52" s="10" t="s">
        <v>23</v>
      </c>
      <c r="AB52" s="11">
        <v>1</v>
      </c>
      <c r="AC52" s="60">
        <f>IF(OR($E52="",$G52=""),"",IF(AND(Z52=$E52,AB52=$G52),Auxiliar!$C$11,IF(AND(SIGN($E52-$G52)=SIGN(Z52-AB52),MAX($E52,$G52)=MAX(Z52,AB52)),Auxiliar!$C$12,IF(ABS($E52-$G52)=ABS(Z52-AB52),Auxiliar!$C$13,IF(AND(SIGN($E52-$G52)=SIGN(Z52-AB52),MIN($E52,$G52)=MIN(Z52,AB52)),Auxiliar!$C$14,IF(SIGN($E52-$G52)=SIGN(Z52-AB52),Auxiliar!$C$15,IF(Z52=AB52,Auxiliar!$C$16,0)))))))</f>
        <v>5</v>
      </c>
      <c r="AE52" s="9">
        <v>3</v>
      </c>
      <c r="AF52" s="10" t="s">
        <v>23</v>
      </c>
      <c r="AG52" s="11">
        <v>2</v>
      </c>
      <c r="AH52" s="60">
        <f>IF(OR($E52="",$G52=""),"",IF(AND(AE52=$E52,AG52=$G52),Auxiliar!$C$11,IF(AND(SIGN($E52-$G52)=SIGN(AE52-AG52),MAX($E52,$G52)=MAX(AE52,AG52)),Auxiliar!$C$12,IF(ABS($E52-$G52)=ABS(AE52-AG52),Auxiliar!$C$13,IF(AND(SIGN($E52-$G52)=SIGN(AE52-AG52),MIN($E52,$G52)=MIN(AE52,AG52)),Auxiliar!$C$14,IF(SIGN($E52-$G52)=SIGN(AE52-AG52),Auxiliar!$C$15,IF(AE52=AG52,Auxiliar!$C$16,0)))))))</f>
        <v>15</v>
      </c>
    </row>
    <row r="53" spans="3:34" x14ac:dyDescent="0.25">
      <c r="C53" s="24">
        <f t="shared" si="0"/>
        <v>4</v>
      </c>
      <c r="D53" s="18" t="s">
        <v>11</v>
      </c>
      <c r="E53" s="13">
        <v>5</v>
      </c>
      <c r="F53" s="12" t="s">
        <v>23</v>
      </c>
      <c r="G53" s="13">
        <v>5</v>
      </c>
      <c r="H53" s="14" t="s">
        <v>9</v>
      </c>
      <c r="K53" s="9">
        <v>0</v>
      </c>
      <c r="L53" s="10" t="s">
        <v>23</v>
      </c>
      <c r="M53" s="11">
        <v>0</v>
      </c>
      <c r="N53" s="60">
        <f>IF(OR($E53="",$G53=""),"",IF(AND(K53=$E53,M53=$G53),Auxiliar!$C$11,IF(AND(SIGN($E53-$G53)=SIGN(K53-M53),MAX($E53,$G53)=MAX(K53,M53)),Auxiliar!$C$12,IF(ABS($E53-$G53)=ABS(K53-M53),Auxiliar!$C$13,IF(AND(SIGN($E53-$G53)=SIGN(K53-M53),MIN($E53,$G53)=MIN(K53,M53)),Auxiliar!$C$14,IF(SIGN($E53-$G53)=SIGN(K53-M53),Auxiliar!$C$15,IF(K53=M53,Auxiliar!$C$16,0)))))))</f>
        <v>15</v>
      </c>
      <c r="P53" s="9">
        <v>3</v>
      </c>
      <c r="Q53" s="10" t="s">
        <v>23</v>
      </c>
      <c r="R53" s="11">
        <v>1</v>
      </c>
      <c r="S53" s="60">
        <f>IF(OR($E53="",$G53=""),"",IF(AND(P53=$E53,R53=$G53),Auxiliar!$C$11,IF(AND(SIGN($E53-$G53)=SIGN(P53-R53),MAX($E53,$G53)=MAX(P53,R53)),Auxiliar!$C$12,IF(ABS($E53-$G53)=ABS(P53-R53),Auxiliar!$C$13,IF(AND(SIGN($E53-$G53)=SIGN(P53-R53),MIN($E53,$G53)=MIN(P53,R53)),Auxiliar!$C$14,IF(SIGN($E53-$G53)=SIGN(P53-R53),Auxiliar!$C$15,IF(P53=R53,Auxiliar!$C$16,0)))))))</f>
        <v>0</v>
      </c>
      <c r="U53" s="9">
        <v>4</v>
      </c>
      <c r="V53" s="10" t="s">
        <v>23</v>
      </c>
      <c r="W53" s="11">
        <v>0</v>
      </c>
      <c r="X53" s="60">
        <f>IF(OR($E53="",$G53=""),"",IF(AND(U53=$E53,W53=$G53),Auxiliar!$C$11,IF(AND(SIGN($E53-$G53)=SIGN(U53-W53),MAX($E53,$G53)=MAX(U53,W53)),Auxiliar!$C$12,IF(ABS($E53-$G53)=ABS(U53-W53),Auxiliar!$C$13,IF(AND(SIGN($E53-$G53)=SIGN(U53-W53),MIN($E53,$G53)=MIN(U53,W53)),Auxiliar!$C$14,IF(SIGN($E53-$G53)=SIGN(U53-W53),Auxiliar!$C$15,IF(U53=W53,Auxiliar!$C$16,0)))))))</f>
        <v>0</v>
      </c>
      <c r="Z53" s="9">
        <v>3</v>
      </c>
      <c r="AA53" s="10" t="s">
        <v>23</v>
      </c>
      <c r="AB53" s="11">
        <v>5</v>
      </c>
      <c r="AC53" s="60">
        <f>IF(OR($E53="",$G53=""),"",IF(AND(Z53=$E53,AB53=$G53),Auxiliar!$C$11,IF(AND(SIGN($E53-$G53)=SIGN(Z53-AB53),MAX($E53,$G53)=MAX(Z53,AB53)),Auxiliar!$C$12,IF(ABS($E53-$G53)=ABS(Z53-AB53),Auxiliar!$C$13,IF(AND(SIGN($E53-$G53)=SIGN(Z53-AB53),MIN($E53,$G53)=MIN(Z53,AB53)),Auxiliar!$C$14,IF(SIGN($E53-$G53)=SIGN(Z53-AB53),Auxiliar!$C$15,IF(Z53=AB53,Auxiliar!$C$16,0)))))))</f>
        <v>0</v>
      </c>
      <c r="AE53" s="9">
        <v>4</v>
      </c>
      <c r="AF53" s="10" t="s">
        <v>23</v>
      </c>
      <c r="AG53" s="11">
        <v>4</v>
      </c>
      <c r="AH53" s="60">
        <f>IF(OR($E53="",$G53=""),"",IF(AND(AE53=$E53,AG53=$G53),Auxiliar!$C$11,IF(AND(SIGN($E53-$G53)=SIGN(AE53-AG53),MAX($E53,$G53)=MAX(AE53,AG53)),Auxiliar!$C$12,IF(ABS($E53-$G53)=ABS(AE53-AG53),Auxiliar!$C$13,IF(AND(SIGN($E53-$G53)=SIGN(AE53-AG53),MIN($E53,$G53)=MIN(AE53,AG53)),Auxiliar!$C$14,IF(SIGN($E53-$G53)=SIGN(AE53-AG53),Auxiliar!$C$15,IF(AE53=AG53,Auxiliar!$C$16,0)))))))</f>
        <v>15</v>
      </c>
    </row>
    <row r="54" spans="3:34" x14ac:dyDescent="0.25">
      <c r="C54" s="24">
        <f t="shared" si="0"/>
        <v>4</v>
      </c>
      <c r="D54" s="18" t="s">
        <v>22</v>
      </c>
      <c r="E54" s="13">
        <v>0</v>
      </c>
      <c r="F54" s="12" t="s">
        <v>23</v>
      </c>
      <c r="G54" s="13">
        <v>0</v>
      </c>
      <c r="H54" s="14" t="s">
        <v>4</v>
      </c>
      <c r="K54" s="9">
        <v>0</v>
      </c>
      <c r="L54" s="10" t="s">
        <v>23</v>
      </c>
      <c r="M54" s="11">
        <v>2</v>
      </c>
      <c r="N54" s="60">
        <f>IF(OR($E54="",$G54=""),"",IF(AND(K54=$E54,M54=$G54),Auxiliar!$C$11,IF(AND(SIGN($E54-$G54)=SIGN(K54-M54),MAX($E54,$G54)=MAX(K54,M54)),Auxiliar!$C$12,IF(ABS($E54-$G54)=ABS(K54-M54),Auxiliar!$C$13,IF(AND(SIGN($E54-$G54)=SIGN(K54-M54),MIN($E54,$G54)=MIN(K54,M54)),Auxiliar!$C$14,IF(SIGN($E54-$G54)=SIGN(K54-M54),Auxiliar!$C$15,IF(K54=M54,Auxiliar!$C$16,0)))))))</f>
        <v>0</v>
      </c>
      <c r="P54" s="9">
        <v>4</v>
      </c>
      <c r="Q54" s="10" t="s">
        <v>23</v>
      </c>
      <c r="R54" s="11">
        <v>2</v>
      </c>
      <c r="S54" s="60">
        <f>IF(OR($E54="",$G54=""),"",IF(AND(P54=$E54,R54=$G54),Auxiliar!$C$11,IF(AND(SIGN($E54-$G54)=SIGN(P54-R54),MAX($E54,$G54)=MAX(P54,R54)),Auxiliar!$C$12,IF(ABS($E54-$G54)=ABS(P54-R54),Auxiliar!$C$13,IF(AND(SIGN($E54-$G54)=SIGN(P54-R54),MIN($E54,$G54)=MIN(P54,R54)),Auxiliar!$C$14,IF(SIGN($E54-$G54)=SIGN(P54-R54),Auxiliar!$C$15,IF(P54=R54,Auxiliar!$C$16,0)))))))</f>
        <v>0</v>
      </c>
      <c r="U54" s="9">
        <v>3</v>
      </c>
      <c r="V54" s="10" t="s">
        <v>23</v>
      </c>
      <c r="W54" s="11">
        <v>2</v>
      </c>
      <c r="X54" s="60">
        <f>IF(OR($E54="",$G54=""),"",IF(AND(U54=$E54,W54=$G54),Auxiliar!$C$11,IF(AND(SIGN($E54-$G54)=SIGN(U54-W54),MAX($E54,$G54)=MAX(U54,W54)),Auxiliar!$C$12,IF(ABS($E54-$G54)=ABS(U54-W54),Auxiliar!$C$13,IF(AND(SIGN($E54-$G54)=SIGN(U54-W54),MIN($E54,$G54)=MIN(U54,W54)),Auxiliar!$C$14,IF(SIGN($E54-$G54)=SIGN(U54-W54),Auxiliar!$C$15,IF(U54=W54,Auxiliar!$C$16,0)))))))</f>
        <v>0</v>
      </c>
      <c r="Z54" s="9">
        <v>5</v>
      </c>
      <c r="AA54" s="10" t="s">
        <v>23</v>
      </c>
      <c r="AB54" s="11">
        <v>1</v>
      </c>
      <c r="AC54" s="60">
        <f>IF(OR($E54="",$G54=""),"",IF(AND(Z54=$E54,AB54=$G54),Auxiliar!$C$11,IF(AND(SIGN($E54-$G54)=SIGN(Z54-AB54),MAX($E54,$G54)=MAX(Z54,AB54)),Auxiliar!$C$12,IF(ABS($E54-$G54)=ABS(Z54-AB54),Auxiliar!$C$13,IF(AND(SIGN($E54-$G54)=SIGN(Z54-AB54),MIN($E54,$G54)=MIN(Z54,AB54)),Auxiliar!$C$14,IF(SIGN($E54-$G54)=SIGN(Z54-AB54),Auxiliar!$C$15,IF(Z54=AB54,Auxiliar!$C$16,0)))))))</f>
        <v>0</v>
      </c>
      <c r="AE54" s="9">
        <v>4</v>
      </c>
      <c r="AF54" s="10" t="s">
        <v>23</v>
      </c>
      <c r="AG54" s="11">
        <v>5</v>
      </c>
      <c r="AH54" s="60">
        <f>IF(OR($E54="",$G54=""),"",IF(AND(AE54=$E54,AG54=$G54),Auxiliar!$C$11,IF(AND(SIGN($E54-$G54)=SIGN(AE54-AG54),MAX($E54,$G54)=MAX(AE54,AG54)),Auxiliar!$C$12,IF(ABS($E54-$G54)=ABS(AE54-AG54),Auxiliar!$C$13,IF(AND(SIGN($E54-$G54)=SIGN(AE54-AG54),MIN($E54,$G54)=MIN(AE54,AG54)),Auxiliar!$C$14,IF(SIGN($E54-$G54)=SIGN(AE54-AG54),Auxiliar!$C$15,IF(AE54=AG54,Auxiliar!$C$16,0)))))))</f>
        <v>0</v>
      </c>
    </row>
    <row r="55" spans="3:34" x14ac:dyDescent="0.25">
      <c r="C55" s="24">
        <f t="shared" si="0"/>
        <v>4</v>
      </c>
      <c r="D55" s="18" t="s">
        <v>12</v>
      </c>
      <c r="E55" s="13">
        <v>0</v>
      </c>
      <c r="F55" s="12" t="s">
        <v>23</v>
      </c>
      <c r="G55" s="13">
        <v>0</v>
      </c>
      <c r="H55" s="14" t="s">
        <v>14</v>
      </c>
      <c r="K55" s="9">
        <v>1</v>
      </c>
      <c r="L55" s="10" t="s">
        <v>23</v>
      </c>
      <c r="M55" s="11">
        <v>1</v>
      </c>
      <c r="N55" s="60">
        <f>IF(OR($E55="",$G55=""),"",IF(AND(K55=$E55,M55=$G55),Auxiliar!$C$11,IF(AND(SIGN($E55-$G55)=SIGN(K55-M55),MAX($E55,$G55)=MAX(K55,M55)),Auxiliar!$C$12,IF(ABS($E55-$G55)=ABS(K55-M55),Auxiliar!$C$13,IF(AND(SIGN($E55-$G55)=SIGN(K55-M55),MIN($E55,$G55)=MIN(K55,M55)),Auxiliar!$C$14,IF(SIGN($E55-$G55)=SIGN(K55-M55),Auxiliar!$C$15,IF(K55=M55,Auxiliar!$C$16,0)))))))</f>
        <v>15</v>
      </c>
      <c r="P55" s="9">
        <v>2</v>
      </c>
      <c r="Q55" s="10" t="s">
        <v>23</v>
      </c>
      <c r="R55" s="11">
        <v>4</v>
      </c>
      <c r="S55" s="60">
        <f>IF(OR($E55="",$G55=""),"",IF(AND(P55=$E55,R55=$G55),Auxiliar!$C$11,IF(AND(SIGN($E55-$G55)=SIGN(P55-R55),MAX($E55,$G55)=MAX(P55,R55)),Auxiliar!$C$12,IF(ABS($E55-$G55)=ABS(P55-R55),Auxiliar!$C$13,IF(AND(SIGN($E55-$G55)=SIGN(P55-R55),MIN($E55,$G55)=MIN(P55,R55)),Auxiliar!$C$14,IF(SIGN($E55-$G55)=SIGN(P55-R55),Auxiliar!$C$15,IF(P55=R55,Auxiliar!$C$16,0)))))))</f>
        <v>0</v>
      </c>
      <c r="U55" s="9">
        <v>2</v>
      </c>
      <c r="V55" s="10" t="s">
        <v>23</v>
      </c>
      <c r="W55" s="11">
        <v>1</v>
      </c>
      <c r="X55" s="60">
        <f>IF(OR($E55="",$G55=""),"",IF(AND(U55=$E55,W55=$G55),Auxiliar!$C$11,IF(AND(SIGN($E55-$G55)=SIGN(U55-W55),MAX($E55,$G55)=MAX(U55,W55)),Auxiliar!$C$12,IF(ABS($E55-$G55)=ABS(U55-W55),Auxiliar!$C$13,IF(AND(SIGN($E55-$G55)=SIGN(U55-W55),MIN($E55,$G55)=MIN(U55,W55)),Auxiliar!$C$14,IF(SIGN($E55-$G55)=SIGN(U55-W55),Auxiliar!$C$15,IF(U55=W55,Auxiliar!$C$16,0)))))))</f>
        <v>0</v>
      </c>
      <c r="Z55" s="9">
        <v>1</v>
      </c>
      <c r="AA55" s="10" t="s">
        <v>23</v>
      </c>
      <c r="AB55" s="11">
        <v>5</v>
      </c>
      <c r="AC55" s="60">
        <f>IF(OR($E55="",$G55=""),"",IF(AND(Z55=$E55,AB55=$G55),Auxiliar!$C$11,IF(AND(SIGN($E55-$G55)=SIGN(Z55-AB55),MAX($E55,$G55)=MAX(Z55,AB55)),Auxiliar!$C$12,IF(ABS($E55-$G55)=ABS(Z55-AB55),Auxiliar!$C$13,IF(AND(SIGN($E55-$G55)=SIGN(Z55-AB55),MIN($E55,$G55)=MIN(Z55,AB55)),Auxiliar!$C$14,IF(SIGN($E55-$G55)=SIGN(Z55-AB55),Auxiliar!$C$15,IF(Z55=AB55,Auxiliar!$C$16,0)))))))</f>
        <v>0</v>
      </c>
      <c r="AE55" s="9">
        <v>3</v>
      </c>
      <c r="AF55" s="10" t="s">
        <v>23</v>
      </c>
      <c r="AG55" s="11">
        <v>3</v>
      </c>
      <c r="AH55" s="60">
        <f>IF(OR($E55="",$G55=""),"",IF(AND(AE55=$E55,AG55=$G55),Auxiliar!$C$11,IF(AND(SIGN($E55-$G55)=SIGN(AE55-AG55),MAX($E55,$G55)=MAX(AE55,AG55)),Auxiliar!$C$12,IF(ABS($E55-$G55)=ABS(AE55-AG55),Auxiliar!$C$13,IF(AND(SIGN($E55-$G55)=SIGN(AE55-AG55),MIN($E55,$G55)=MIN(AE55,AG55)),Auxiliar!$C$14,IF(SIGN($E55-$G55)=SIGN(AE55-AG55),Auxiliar!$C$15,IF(AE55=AG55,Auxiliar!$C$16,0)))))))</f>
        <v>15</v>
      </c>
    </row>
    <row r="56" spans="3:34" x14ac:dyDescent="0.25">
      <c r="C56" s="24">
        <f t="shared" si="0"/>
        <v>4</v>
      </c>
      <c r="D56" s="18" t="s">
        <v>13</v>
      </c>
      <c r="E56" s="13">
        <v>4</v>
      </c>
      <c r="F56" s="12" t="s">
        <v>23</v>
      </c>
      <c r="G56" s="13">
        <v>2</v>
      </c>
      <c r="H56" s="14" t="s">
        <v>15</v>
      </c>
      <c r="K56" s="9">
        <v>3</v>
      </c>
      <c r="L56" s="10" t="s">
        <v>23</v>
      </c>
      <c r="M56" s="11">
        <v>1</v>
      </c>
      <c r="N56" s="60">
        <f>IF(OR($E56="",$G56=""),"",IF(AND(K56=$E56,M56=$G56),Auxiliar!$C$11,IF(AND(SIGN($E56-$G56)=SIGN(K56-M56),MAX($E56,$G56)=MAX(K56,M56)),Auxiliar!$C$12,IF(ABS($E56-$G56)=ABS(K56-M56),Auxiliar!$C$13,IF(AND(SIGN($E56-$G56)=SIGN(K56-M56),MIN($E56,$G56)=MIN(K56,M56)),Auxiliar!$C$14,IF(SIGN($E56-$G56)=SIGN(K56-M56),Auxiliar!$C$15,IF(K56=M56,Auxiliar!$C$16,0)))))))</f>
        <v>15</v>
      </c>
      <c r="P56" s="9">
        <v>2</v>
      </c>
      <c r="Q56" s="10" t="s">
        <v>23</v>
      </c>
      <c r="R56" s="11">
        <v>2</v>
      </c>
      <c r="S56" s="60">
        <f>IF(OR($E56="",$G56=""),"",IF(AND(P56=$E56,R56=$G56),Auxiliar!$C$11,IF(AND(SIGN($E56-$G56)=SIGN(P56-R56),MAX($E56,$G56)=MAX(P56,R56)),Auxiliar!$C$12,IF(ABS($E56-$G56)=ABS(P56-R56),Auxiliar!$C$13,IF(AND(SIGN($E56-$G56)=SIGN(P56-R56),MIN($E56,$G56)=MIN(P56,R56)),Auxiliar!$C$14,IF(SIGN($E56-$G56)=SIGN(P56-R56),Auxiliar!$C$15,IF(P56=R56,Auxiliar!$C$16,0)))))))</f>
        <v>5</v>
      </c>
      <c r="U56" s="9">
        <v>5</v>
      </c>
      <c r="V56" s="10" t="s">
        <v>23</v>
      </c>
      <c r="W56" s="11">
        <v>3</v>
      </c>
      <c r="X56" s="60">
        <f>IF(OR($E56="",$G56=""),"",IF(AND(U56=$E56,W56=$G56),Auxiliar!$C$11,IF(AND(SIGN($E56-$G56)=SIGN(U56-W56),MAX($E56,$G56)=MAX(U56,W56)),Auxiliar!$C$12,IF(ABS($E56-$G56)=ABS(U56-W56),Auxiliar!$C$13,IF(AND(SIGN($E56-$G56)=SIGN(U56-W56),MIN($E56,$G56)=MIN(U56,W56)),Auxiliar!$C$14,IF(SIGN($E56-$G56)=SIGN(U56-W56),Auxiliar!$C$15,IF(U56=W56,Auxiliar!$C$16,0)))))))</f>
        <v>15</v>
      </c>
      <c r="Z56" s="9">
        <v>2</v>
      </c>
      <c r="AA56" s="10" t="s">
        <v>23</v>
      </c>
      <c r="AB56" s="11">
        <v>4</v>
      </c>
      <c r="AC56" s="60">
        <f>IF(OR($E56="",$G56=""),"",IF(AND(Z56=$E56,AB56=$G56),Auxiliar!$C$11,IF(AND(SIGN($E56-$G56)=SIGN(Z56-AB56),MAX($E56,$G56)=MAX(Z56,AB56)),Auxiliar!$C$12,IF(ABS($E56-$G56)=ABS(Z56-AB56),Auxiliar!$C$13,IF(AND(SIGN($E56-$G56)=SIGN(Z56-AB56),MIN($E56,$G56)=MIN(Z56,AB56)),Auxiliar!$C$14,IF(SIGN($E56-$G56)=SIGN(Z56-AB56),Auxiliar!$C$15,IF(Z56=AB56,Auxiliar!$C$16,0)))))))</f>
        <v>15</v>
      </c>
      <c r="AE56" s="9">
        <v>0</v>
      </c>
      <c r="AF56" s="10" t="s">
        <v>23</v>
      </c>
      <c r="AG56" s="11">
        <v>5</v>
      </c>
      <c r="AH56" s="60">
        <f>IF(OR($E56="",$G56=""),"",IF(AND(AE56=$E56,AG56=$G56),Auxiliar!$C$11,IF(AND(SIGN($E56-$G56)=SIGN(AE56-AG56),MAX($E56,$G56)=MAX(AE56,AG56)),Auxiliar!$C$12,IF(ABS($E56-$G56)=ABS(AE56-AG56),Auxiliar!$C$13,IF(AND(SIGN($E56-$G56)=SIGN(AE56-AG56),MIN($E56,$G56)=MIN(AE56,AG56)),Auxiliar!$C$14,IF(SIGN($E56-$G56)=SIGN(AE56-AG56),Auxiliar!$C$15,IF(AE56=AG56,Auxiliar!$C$16,0)))))))</f>
        <v>0</v>
      </c>
    </row>
    <row r="57" spans="3:34" x14ac:dyDescent="0.25">
      <c r="C57" s="24">
        <f t="shared" si="0"/>
        <v>4</v>
      </c>
      <c r="D57" s="18" t="s">
        <v>20</v>
      </c>
      <c r="E57" s="13">
        <v>0</v>
      </c>
      <c r="F57" s="12" t="s">
        <v>23</v>
      </c>
      <c r="G57" s="13">
        <v>3</v>
      </c>
      <c r="H57" s="14" t="s">
        <v>21</v>
      </c>
      <c r="K57" s="9">
        <v>5</v>
      </c>
      <c r="L57" s="10" t="s">
        <v>23</v>
      </c>
      <c r="M57" s="11">
        <v>3</v>
      </c>
      <c r="N57" s="60">
        <f>IF(OR($E57="",$G57=""),"",IF(AND(K57=$E57,M57=$G57),Auxiliar!$C$11,IF(AND(SIGN($E57-$G57)=SIGN(K57-M57),MAX($E57,$G57)=MAX(K57,M57)),Auxiliar!$C$12,IF(ABS($E57-$G57)=ABS(K57-M57),Auxiliar!$C$13,IF(AND(SIGN($E57-$G57)=SIGN(K57-M57),MIN($E57,$G57)=MIN(K57,M57)),Auxiliar!$C$14,IF(SIGN($E57-$G57)=SIGN(K57-M57),Auxiliar!$C$15,IF(K57=M57,Auxiliar!$C$16,0)))))))</f>
        <v>0</v>
      </c>
      <c r="P57" s="9">
        <v>5</v>
      </c>
      <c r="Q57" s="10" t="s">
        <v>23</v>
      </c>
      <c r="R57" s="11">
        <v>4</v>
      </c>
      <c r="S57" s="60">
        <f>IF(OR($E57="",$G57=""),"",IF(AND(P57=$E57,R57=$G57),Auxiliar!$C$11,IF(AND(SIGN($E57-$G57)=SIGN(P57-R57),MAX($E57,$G57)=MAX(P57,R57)),Auxiliar!$C$12,IF(ABS($E57-$G57)=ABS(P57-R57),Auxiliar!$C$13,IF(AND(SIGN($E57-$G57)=SIGN(P57-R57),MIN($E57,$G57)=MIN(P57,R57)),Auxiliar!$C$14,IF(SIGN($E57-$G57)=SIGN(P57-R57),Auxiliar!$C$15,IF(P57=R57,Auxiliar!$C$16,0)))))))</f>
        <v>0</v>
      </c>
      <c r="U57" s="9">
        <v>1</v>
      </c>
      <c r="V57" s="10" t="s">
        <v>23</v>
      </c>
      <c r="W57" s="11">
        <v>2</v>
      </c>
      <c r="X57" s="60">
        <f>IF(OR($E57="",$G57=""),"",IF(AND(U57=$E57,W57=$G57),Auxiliar!$C$11,IF(AND(SIGN($E57-$G57)=SIGN(U57-W57),MAX($E57,$G57)=MAX(U57,W57)),Auxiliar!$C$12,IF(ABS($E57-$G57)=ABS(U57-W57),Auxiliar!$C$13,IF(AND(SIGN($E57-$G57)=SIGN(U57-W57),MIN($E57,$G57)=MIN(U57,W57)),Auxiliar!$C$14,IF(SIGN($E57-$G57)=SIGN(U57-W57),Auxiliar!$C$15,IF(U57=W57,Auxiliar!$C$16,0)))))))</f>
        <v>10</v>
      </c>
      <c r="Z57" s="9">
        <v>0</v>
      </c>
      <c r="AA57" s="10" t="s">
        <v>23</v>
      </c>
      <c r="AB57" s="11">
        <v>5</v>
      </c>
      <c r="AC57" s="60">
        <f>IF(OR($E57="",$G57=""),"",IF(AND(Z57=$E57,AB57=$G57),Auxiliar!$C$11,IF(AND(SIGN($E57-$G57)=SIGN(Z57-AB57),MAX($E57,$G57)=MAX(Z57,AB57)),Auxiliar!$C$12,IF(ABS($E57-$G57)=ABS(Z57-AB57),Auxiliar!$C$13,IF(AND(SIGN($E57-$G57)=SIGN(Z57-AB57),MIN($E57,$G57)=MIN(Z57,AB57)),Auxiliar!$C$14,IF(SIGN($E57-$G57)=SIGN(Z57-AB57),Auxiliar!$C$15,IF(Z57=AB57,Auxiliar!$C$16,0)))))))</f>
        <v>12</v>
      </c>
      <c r="AE57" s="9">
        <v>4</v>
      </c>
      <c r="AF57" s="10" t="s">
        <v>23</v>
      </c>
      <c r="AG57" s="11">
        <v>2</v>
      </c>
      <c r="AH57" s="60">
        <f>IF(OR($E57="",$G57=""),"",IF(AND(AE57=$E57,AG57=$G57),Auxiliar!$C$11,IF(AND(SIGN($E57-$G57)=SIGN(AE57-AG57),MAX($E57,$G57)=MAX(AE57,AG57)),Auxiliar!$C$12,IF(ABS($E57-$G57)=ABS(AE57-AG57),Auxiliar!$C$13,IF(AND(SIGN($E57-$G57)=SIGN(AE57-AG57),MIN($E57,$G57)=MIN(AE57,AG57)),Auxiliar!$C$14,IF(SIGN($E57-$G57)=SIGN(AE57-AG57),Auxiliar!$C$15,IF(AE57=AG57,Auxiliar!$C$16,0)))))))</f>
        <v>0</v>
      </c>
    </row>
    <row r="58" spans="3:34" x14ac:dyDescent="0.25">
      <c r="C58" s="24">
        <f t="shared" si="0"/>
        <v>4</v>
      </c>
      <c r="D58" s="18" t="s">
        <v>6</v>
      </c>
      <c r="E58" s="13">
        <v>3</v>
      </c>
      <c r="F58" s="12" t="s">
        <v>23</v>
      </c>
      <c r="G58" s="13">
        <v>0</v>
      </c>
      <c r="H58" s="14" t="s">
        <v>10</v>
      </c>
      <c r="K58" s="9">
        <v>2</v>
      </c>
      <c r="L58" s="10" t="s">
        <v>23</v>
      </c>
      <c r="M58" s="11">
        <v>2</v>
      </c>
      <c r="N58" s="60">
        <f>IF(OR($E58="",$G58=""),"",IF(AND(K58=$E58,M58=$G58),Auxiliar!$C$11,IF(AND(SIGN($E58-$G58)=SIGN(K58-M58),MAX($E58,$G58)=MAX(K58,M58)),Auxiliar!$C$12,IF(ABS($E58-$G58)=ABS(K58-M58),Auxiliar!$C$13,IF(AND(SIGN($E58-$G58)=SIGN(K58-M58),MIN($E58,$G58)=MIN(K58,M58)),Auxiliar!$C$14,IF(SIGN($E58-$G58)=SIGN(K58-M58),Auxiliar!$C$15,IF(K58=M58,Auxiliar!$C$16,0)))))))</f>
        <v>5</v>
      </c>
      <c r="P58" s="9">
        <v>2</v>
      </c>
      <c r="Q58" s="10" t="s">
        <v>23</v>
      </c>
      <c r="R58" s="11">
        <v>3</v>
      </c>
      <c r="S58" s="60">
        <f>IF(OR($E58="",$G58=""),"",IF(AND(P58=$E58,R58=$G58),Auxiliar!$C$11,IF(AND(SIGN($E58-$G58)=SIGN(P58-R58),MAX($E58,$G58)=MAX(P58,R58)),Auxiliar!$C$12,IF(ABS($E58-$G58)=ABS(P58-R58),Auxiliar!$C$13,IF(AND(SIGN($E58-$G58)=SIGN(P58-R58),MIN($E58,$G58)=MIN(P58,R58)),Auxiliar!$C$14,IF(SIGN($E58-$G58)=SIGN(P58-R58),Auxiliar!$C$15,IF(P58=R58,Auxiliar!$C$16,0)))))))</f>
        <v>0</v>
      </c>
      <c r="U58" s="9">
        <v>4</v>
      </c>
      <c r="V58" s="10" t="s">
        <v>23</v>
      </c>
      <c r="W58" s="11">
        <v>5</v>
      </c>
      <c r="X58" s="60">
        <f>IF(OR($E58="",$G58=""),"",IF(AND(U58=$E58,W58=$G58),Auxiliar!$C$11,IF(AND(SIGN($E58-$G58)=SIGN(U58-W58),MAX($E58,$G58)=MAX(U58,W58)),Auxiliar!$C$12,IF(ABS($E58-$G58)=ABS(U58-W58),Auxiliar!$C$13,IF(AND(SIGN($E58-$G58)=SIGN(U58-W58),MIN($E58,$G58)=MIN(U58,W58)),Auxiliar!$C$14,IF(SIGN($E58-$G58)=SIGN(U58-W58),Auxiliar!$C$15,IF(U58=W58,Auxiliar!$C$16,0)))))))</f>
        <v>0</v>
      </c>
      <c r="Z58" s="9">
        <v>3</v>
      </c>
      <c r="AA58" s="10" t="s">
        <v>23</v>
      </c>
      <c r="AB58" s="11">
        <v>0</v>
      </c>
      <c r="AC58" s="60">
        <f>IF(OR($E58="",$G58=""),"",IF(AND(Z58=$E58,AB58=$G58),Auxiliar!$C$11,IF(AND(SIGN($E58-$G58)=SIGN(Z58-AB58),MAX($E58,$G58)=MAX(Z58,AB58)),Auxiliar!$C$12,IF(ABS($E58-$G58)=ABS(Z58-AB58),Auxiliar!$C$13,IF(AND(SIGN($E58-$G58)=SIGN(Z58-AB58),MIN($E58,$G58)=MIN(Z58,AB58)),Auxiliar!$C$14,IF(SIGN($E58-$G58)=SIGN(Z58-AB58),Auxiliar!$C$15,IF(Z58=AB58,Auxiliar!$C$16,0)))))))</f>
        <v>25</v>
      </c>
      <c r="AE58" s="9">
        <v>1</v>
      </c>
      <c r="AF58" s="10" t="s">
        <v>23</v>
      </c>
      <c r="AG58" s="11">
        <v>1</v>
      </c>
      <c r="AH58" s="60">
        <f>IF(OR($E58="",$G58=""),"",IF(AND(AE58=$E58,AG58=$G58),Auxiliar!$C$11,IF(AND(SIGN($E58-$G58)=SIGN(AE58-AG58),MAX($E58,$G58)=MAX(AE58,AG58)),Auxiliar!$C$12,IF(ABS($E58-$G58)=ABS(AE58-AG58),Auxiliar!$C$13,IF(AND(SIGN($E58-$G58)=SIGN(AE58-AG58),MIN($E58,$G58)=MIN(AE58,AG58)),Auxiliar!$C$14,IF(SIGN($E58-$G58)=SIGN(AE58-AG58),Auxiliar!$C$15,IF(AE58=AG58,Auxiliar!$C$16,0)))))))</f>
        <v>5</v>
      </c>
    </row>
    <row r="59" spans="3:34" x14ac:dyDescent="0.25">
      <c r="C59" s="24">
        <f t="shared" si="0"/>
        <v>5</v>
      </c>
      <c r="D59" s="18" t="s">
        <v>3</v>
      </c>
      <c r="E59" s="13">
        <v>2</v>
      </c>
      <c r="F59" s="12" t="s">
        <v>23</v>
      </c>
      <c r="G59" s="13">
        <v>4</v>
      </c>
      <c r="H59" s="14" t="s">
        <v>18</v>
      </c>
      <c r="K59" s="9">
        <v>4</v>
      </c>
      <c r="L59" s="10" t="s">
        <v>23</v>
      </c>
      <c r="M59" s="11">
        <v>1</v>
      </c>
      <c r="N59" s="60">
        <f>IF(OR($E59="",$G59=""),"",IF(AND(K59=$E59,M59=$G59),Auxiliar!$C$11,IF(AND(SIGN($E59-$G59)=SIGN(K59-M59),MAX($E59,$G59)=MAX(K59,M59)),Auxiliar!$C$12,IF(ABS($E59-$G59)=ABS(K59-M59),Auxiliar!$C$13,IF(AND(SIGN($E59-$G59)=SIGN(K59-M59),MIN($E59,$G59)=MIN(K59,M59)),Auxiliar!$C$14,IF(SIGN($E59-$G59)=SIGN(K59-M59),Auxiliar!$C$15,IF(K59=M59,Auxiliar!$C$16,0)))))))</f>
        <v>0</v>
      </c>
      <c r="P59" s="9">
        <v>0</v>
      </c>
      <c r="Q59" s="10" t="s">
        <v>23</v>
      </c>
      <c r="R59" s="11">
        <v>0</v>
      </c>
      <c r="S59" s="60">
        <f>IF(OR($E59="",$G59=""),"",IF(AND(P59=$E59,R59=$G59),Auxiliar!$C$11,IF(AND(SIGN($E59-$G59)=SIGN(P59-R59),MAX($E59,$G59)=MAX(P59,R59)),Auxiliar!$C$12,IF(ABS($E59-$G59)=ABS(P59-R59),Auxiliar!$C$13,IF(AND(SIGN($E59-$G59)=SIGN(P59-R59),MIN($E59,$G59)=MIN(P59,R59)),Auxiliar!$C$14,IF(SIGN($E59-$G59)=SIGN(P59-R59),Auxiliar!$C$15,IF(P59=R59,Auxiliar!$C$16,0)))))))</f>
        <v>5</v>
      </c>
      <c r="U59" s="9">
        <v>4</v>
      </c>
      <c r="V59" s="10" t="s">
        <v>23</v>
      </c>
      <c r="W59" s="11">
        <v>1</v>
      </c>
      <c r="X59" s="60">
        <f>IF(OR($E59="",$G59=""),"",IF(AND(U59=$E59,W59=$G59),Auxiliar!$C$11,IF(AND(SIGN($E59-$G59)=SIGN(U59-W59),MAX($E59,$G59)=MAX(U59,W59)),Auxiliar!$C$12,IF(ABS($E59-$G59)=ABS(U59-W59),Auxiliar!$C$13,IF(AND(SIGN($E59-$G59)=SIGN(U59-W59),MIN($E59,$G59)=MIN(U59,W59)),Auxiliar!$C$14,IF(SIGN($E59-$G59)=SIGN(U59-W59),Auxiliar!$C$15,IF(U59=W59,Auxiliar!$C$16,0)))))))</f>
        <v>0</v>
      </c>
      <c r="Z59" s="9">
        <v>2</v>
      </c>
      <c r="AA59" s="10" t="s">
        <v>23</v>
      </c>
      <c r="AB59" s="11">
        <v>1</v>
      </c>
      <c r="AC59" s="60">
        <f>IF(OR($E59="",$G59=""),"",IF(AND(Z59=$E59,AB59=$G59),Auxiliar!$C$11,IF(AND(SIGN($E59-$G59)=SIGN(Z59-AB59),MAX($E59,$G59)=MAX(Z59,AB59)),Auxiliar!$C$12,IF(ABS($E59-$G59)=ABS(Z59-AB59),Auxiliar!$C$13,IF(AND(SIGN($E59-$G59)=SIGN(Z59-AB59),MIN($E59,$G59)=MIN(Z59,AB59)),Auxiliar!$C$14,IF(SIGN($E59-$G59)=SIGN(Z59-AB59),Auxiliar!$C$15,IF(Z59=AB59,Auxiliar!$C$16,0)))))))</f>
        <v>0</v>
      </c>
      <c r="AE59" s="9">
        <v>5</v>
      </c>
      <c r="AF59" s="10" t="s">
        <v>23</v>
      </c>
      <c r="AG59" s="11">
        <v>0</v>
      </c>
      <c r="AH59" s="60">
        <f>IF(OR($E59="",$G59=""),"",IF(AND(AE59=$E59,AG59=$G59),Auxiliar!$C$11,IF(AND(SIGN($E59-$G59)=SIGN(AE59-AG59),MAX($E59,$G59)=MAX(AE59,AG59)),Auxiliar!$C$12,IF(ABS($E59-$G59)=ABS(AE59-AG59),Auxiliar!$C$13,IF(AND(SIGN($E59-$G59)=SIGN(AE59-AG59),MIN($E59,$G59)=MIN(AE59,AG59)),Auxiliar!$C$14,IF(SIGN($E59-$G59)=SIGN(AE59-AG59),Auxiliar!$C$15,IF(AE59=AG59,Auxiliar!$C$16,0)))))))</f>
        <v>0</v>
      </c>
    </row>
    <row r="60" spans="3:34" x14ac:dyDescent="0.25">
      <c r="C60" s="24">
        <f t="shared" si="0"/>
        <v>5</v>
      </c>
      <c r="D60" s="18" t="s">
        <v>4</v>
      </c>
      <c r="E60" s="13">
        <v>0</v>
      </c>
      <c r="F60" s="12" t="s">
        <v>23</v>
      </c>
      <c r="G60" s="13">
        <v>3</v>
      </c>
      <c r="H60" s="14" t="s">
        <v>20</v>
      </c>
      <c r="K60" s="9">
        <v>0</v>
      </c>
      <c r="L60" s="10" t="s">
        <v>23</v>
      </c>
      <c r="M60" s="11">
        <v>5</v>
      </c>
      <c r="N60" s="60">
        <f>IF(OR($E60="",$G60=""),"",IF(AND(K60=$E60,M60=$G60),Auxiliar!$C$11,IF(AND(SIGN($E60-$G60)=SIGN(K60-M60),MAX($E60,$G60)=MAX(K60,M60)),Auxiliar!$C$12,IF(ABS($E60-$G60)=ABS(K60-M60),Auxiliar!$C$13,IF(AND(SIGN($E60-$G60)=SIGN(K60-M60),MIN($E60,$G60)=MIN(K60,M60)),Auxiliar!$C$14,IF(SIGN($E60-$G60)=SIGN(K60-M60),Auxiliar!$C$15,IF(K60=M60,Auxiliar!$C$16,0)))))))</f>
        <v>12</v>
      </c>
      <c r="P60" s="9">
        <v>4</v>
      </c>
      <c r="Q60" s="10" t="s">
        <v>23</v>
      </c>
      <c r="R60" s="11">
        <v>3</v>
      </c>
      <c r="S60" s="60">
        <f>IF(OR($E60="",$G60=""),"",IF(AND(P60=$E60,R60=$G60),Auxiliar!$C$11,IF(AND(SIGN($E60-$G60)=SIGN(P60-R60),MAX($E60,$G60)=MAX(P60,R60)),Auxiliar!$C$12,IF(ABS($E60-$G60)=ABS(P60-R60),Auxiliar!$C$13,IF(AND(SIGN($E60-$G60)=SIGN(P60-R60),MIN($E60,$G60)=MIN(P60,R60)),Auxiliar!$C$14,IF(SIGN($E60-$G60)=SIGN(P60-R60),Auxiliar!$C$15,IF(P60=R60,Auxiliar!$C$16,0)))))))</f>
        <v>0</v>
      </c>
      <c r="U60" s="9">
        <v>1</v>
      </c>
      <c r="V60" s="10" t="s">
        <v>23</v>
      </c>
      <c r="W60" s="11">
        <v>1</v>
      </c>
      <c r="X60" s="60">
        <f>IF(OR($E60="",$G60=""),"",IF(AND(U60=$E60,W60=$G60),Auxiliar!$C$11,IF(AND(SIGN($E60-$G60)=SIGN(U60-W60),MAX($E60,$G60)=MAX(U60,W60)),Auxiliar!$C$12,IF(ABS($E60-$G60)=ABS(U60-W60),Auxiliar!$C$13,IF(AND(SIGN($E60-$G60)=SIGN(U60-W60),MIN($E60,$G60)=MIN(U60,W60)),Auxiliar!$C$14,IF(SIGN($E60-$G60)=SIGN(U60-W60),Auxiliar!$C$15,IF(U60=W60,Auxiliar!$C$16,0)))))))</f>
        <v>5</v>
      </c>
      <c r="Z60" s="9">
        <v>3</v>
      </c>
      <c r="AA60" s="10" t="s">
        <v>23</v>
      </c>
      <c r="AB60" s="11">
        <v>5</v>
      </c>
      <c r="AC60" s="60">
        <f>IF(OR($E60="",$G60=""),"",IF(AND(Z60=$E60,AB60=$G60),Auxiliar!$C$11,IF(AND(SIGN($E60-$G60)=SIGN(Z60-AB60),MAX($E60,$G60)=MAX(Z60,AB60)),Auxiliar!$C$12,IF(ABS($E60-$G60)=ABS(Z60-AB60),Auxiliar!$C$13,IF(AND(SIGN($E60-$G60)=SIGN(Z60-AB60),MIN($E60,$G60)=MIN(Z60,AB60)),Auxiliar!$C$14,IF(SIGN($E60-$G60)=SIGN(Z60-AB60),Auxiliar!$C$15,IF(Z60=AB60,Auxiliar!$C$16,0)))))))</f>
        <v>10</v>
      </c>
      <c r="AE60" s="9">
        <v>3</v>
      </c>
      <c r="AF60" s="10" t="s">
        <v>23</v>
      </c>
      <c r="AG60" s="11">
        <v>2</v>
      </c>
      <c r="AH60" s="60">
        <f>IF(OR($E60="",$G60=""),"",IF(AND(AE60=$E60,AG60=$G60),Auxiliar!$C$11,IF(AND(SIGN($E60-$G60)=SIGN(AE60-AG60),MAX($E60,$G60)=MAX(AE60,AG60)),Auxiliar!$C$12,IF(ABS($E60-$G60)=ABS(AE60-AG60),Auxiliar!$C$13,IF(AND(SIGN($E60-$G60)=SIGN(AE60-AG60),MIN($E60,$G60)=MIN(AE60,AG60)),Auxiliar!$C$14,IF(SIGN($E60-$G60)=SIGN(AE60-AG60),Auxiliar!$C$15,IF(AE60=AG60,Auxiliar!$C$16,0)))))))</f>
        <v>0</v>
      </c>
    </row>
    <row r="61" spans="3:34" x14ac:dyDescent="0.25">
      <c r="C61" s="24">
        <f t="shared" si="0"/>
        <v>5</v>
      </c>
      <c r="D61" s="18" t="s">
        <v>16</v>
      </c>
      <c r="E61" s="13">
        <v>5</v>
      </c>
      <c r="F61" s="12" t="s">
        <v>23</v>
      </c>
      <c r="G61" s="13">
        <v>5</v>
      </c>
      <c r="H61" s="14" t="s">
        <v>7</v>
      </c>
      <c r="K61" s="9">
        <v>4</v>
      </c>
      <c r="L61" s="10" t="s">
        <v>23</v>
      </c>
      <c r="M61" s="11">
        <v>1</v>
      </c>
      <c r="N61" s="60">
        <f>IF(OR($E61="",$G61=""),"",IF(AND(K61=$E61,M61=$G61),Auxiliar!$C$11,IF(AND(SIGN($E61-$G61)=SIGN(K61-M61),MAX($E61,$G61)=MAX(K61,M61)),Auxiliar!$C$12,IF(ABS($E61-$G61)=ABS(K61-M61),Auxiliar!$C$13,IF(AND(SIGN($E61-$G61)=SIGN(K61-M61),MIN($E61,$G61)=MIN(K61,M61)),Auxiliar!$C$14,IF(SIGN($E61-$G61)=SIGN(K61-M61),Auxiliar!$C$15,IF(K61=M61,Auxiliar!$C$16,0)))))))</f>
        <v>0</v>
      </c>
      <c r="P61" s="9">
        <v>3</v>
      </c>
      <c r="Q61" s="10" t="s">
        <v>23</v>
      </c>
      <c r="R61" s="11">
        <v>1</v>
      </c>
      <c r="S61" s="60">
        <f>IF(OR($E61="",$G61=""),"",IF(AND(P61=$E61,R61=$G61),Auxiliar!$C$11,IF(AND(SIGN($E61-$G61)=SIGN(P61-R61),MAX($E61,$G61)=MAX(P61,R61)),Auxiliar!$C$12,IF(ABS($E61-$G61)=ABS(P61-R61),Auxiliar!$C$13,IF(AND(SIGN($E61-$G61)=SIGN(P61-R61),MIN($E61,$G61)=MIN(P61,R61)),Auxiliar!$C$14,IF(SIGN($E61-$G61)=SIGN(P61-R61),Auxiliar!$C$15,IF(P61=R61,Auxiliar!$C$16,0)))))))</f>
        <v>0</v>
      </c>
      <c r="U61" s="9">
        <v>2</v>
      </c>
      <c r="V61" s="10" t="s">
        <v>23</v>
      </c>
      <c r="W61" s="11">
        <v>0</v>
      </c>
      <c r="X61" s="60">
        <f>IF(OR($E61="",$G61=""),"",IF(AND(U61=$E61,W61=$G61),Auxiliar!$C$11,IF(AND(SIGN($E61-$G61)=SIGN(U61-W61),MAX($E61,$G61)=MAX(U61,W61)),Auxiliar!$C$12,IF(ABS($E61-$G61)=ABS(U61-W61),Auxiliar!$C$13,IF(AND(SIGN($E61-$G61)=SIGN(U61-W61),MIN($E61,$G61)=MIN(U61,W61)),Auxiliar!$C$14,IF(SIGN($E61-$G61)=SIGN(U61-W61),Auxiliar!$C$15,IF(U61=W61,Auxiliar!$C$16,0)))))))</f>
        <v>0</v>
      </c>
      <c r="Z61" s="9">
        <v>0</v>
      </c>
      <c r="AA61" s="10" t="s">
        <v>23</v>
      </c>
      <c r="AB61" s="11">
        <v>2</v>
      </c>
      <c r="AC61" s="60">
        <f>IF(OR($E61="",$G61=""),"",IF(AND(Z61=$E61,AB61=$G61),Auxiliar!$C$11,IF(AND(SIGN($E61-$G61)=SIGN(Z61-AB61),MAX($E61,$G61)=MAX(Z61,AB61)),Auxiliar!$C$12,IF(ABS($E61-$G61)=ABS(Z61-AB61),Auxiliar!$C$13,IF(AND(SIGN($E61-$G61)=SIGN(Z61-AB61),MIN($E61,$G61)=MIN(Z61,AB61)),Auxiliar!$C$14,IF(SIGN($E61-$G61)=SIGN(Z61-AB61),Auxiliar!$C$15,IF(Z61=AB61,Auxiliar!$C$16,0)))))))</f>
        <v>0</v>
      </c>
      <c r="AE61" s="9">
        <v>1</v>
      </c>
      <c r="AF61" s="10" t="s">
        <v>23</v>
      </c>
      <c r="AG61" s="11">
        <v>5</v>
      </c>
      <c r="AH61" s="60">
        <f>IF(OR($E61="",$G61=""),"",IF(AND(AE61=$E61,AG61=$G61),Auxiliar!$C$11,IF(AND(SIGN($E61-$G61)=SIGN(AE61-AG61),MAX($E61,$G61)=MAX(AE61,AG61)),Auxiliar!$C$12,IF(ABS($E61-$G61)=ABS(AE61-AG61),Auxiliar!$C$13,IF(AND(SIGN($E61-$G61)=SIGN(AE61-AG61),MIN($E61,$G61)=MIN(AE61,AG61)),Auxiliar!$C$14,IF(SIGN($E61-$G61)=SIGN(AE61-AG61),Auxiliar!$C$15,IF(AE61=AG61,Auxiliar!$C$16,0)))))))</f>
        <v>0</v>
      </c>
    </row>
    <row r="62" spans="3:34" x14ac:dyDescent="0.25">
      <c r="C62" s="24">
        <f t="shared" si="0"/>
        <v>5</v>
      </c>
      <c r="D62" s="18" t="s">
        <v>9</v>
      </c>
      <c r="E62" s="13">
        <v>4</v>
      </c>
      <c r="F62" s="12" t="s">
        <v>23</v>
      </c>
      <c r="G62" s="13">
        <v>5</v>
      </c>
      <c r="H62" s="14" t="s">
        <v>17</v>
      </c>
      <c r="K62" s="9">
        <v>3</v>
      </c>
      <c r="L62" s="10" t="s">
        <v>23</v>
      </c>
      <c r="M62" s="11">
        <v>5</v>
      </c>
      <c r="N62" s="60">
        <f>IF(OR($E62="",$G62=""),"",IF(AND(K62=$E62,M62=$G62),Auxiliar!$C$11,IF(AND(SIGN($E62-$G62)=SIGN(K62-M62),MAX($E62,$G62)=MAX(K62,M62)),Auxiliar!$C$12,IF(ABS($E62-$G62)=ABS(K62-M62),Auxiliar!$C$13,IF(AND(SIGN($E62-$G62)=SIGN(K62-M62),MIN($E62,$G62)=MIN(K62,M62)),Auxiliar!$C$14,IF(SIGN($E62-$G62)=SIGN(K62-M62),Auxiliar!$C$15,IF(K62=M62,Auxiliar!$C$16,0)))))))</f>
        <v>18</v>
      </c>
      <c r="P62" s="9">
        <v>2</v>
      </c>
      <c r="Q62" s="10" t="s">
        <v>23</v>
      </c>
      <c r="R62" s="11">
        <v>5</v>
      </c>
      <c r="S62" s="60">
        <f>IF(OR($E62="",$G62=""),"",IF(AND(P62=$E62,R62=$G62),Auxiliar!$C$11,IF(AND(SIGN($E62-$G62)=SIGN(P62-R62),MAX($E62,$G62)=MAX(P62,R62)),Auxiliar!$C$12,IF(ABS($E62-$G62)=ABS(P62-R62),Auxiliar!$C$13,IF(AND(SIGN($E62-$G62)=SIGN(P62-R62),MIN($E62,$G62)=MIN(P62,R62)),Auxiliar!$C$14,IF(SIGN($E62-$G62)=SIGN(P62-R62),Auxiliar!$C$15,IF(P62=R62,Auxiliar!$C$16,0)))))))</f>
        <v>18</v>
      </c>
      <c r="U62" s="9">
        <v>2</v>
      </c>
      <c r="V62" s="10" t="s">
        <v>23</v>
      </c>
      <c r="W62" s="11">
        <v>0</v>
      </c>
      <c r="X62" s="60">
        <f>IF(OR($E62="",$G62=""),"",IF(AND(U62=$E62,W62=$G62),Auxiliar!$C$11,IF(AND(SIGN($E62-$G62)=SIGN(U62-W62),MAX($E62,$G62)=MAX(U62,W62)),Auxiliar!$C$12,IF(ABS($E62-$G62)=ABS(U62-W62),Auxiliar!$C$13,IF(AND(SIGN($E62-$G62)=SIGN(U62-W62),MIN($E62,$G62)=MIN(U62,W62)),Auxiliar!$C$14,IF(SIGN($E62-$G62)=SIGN(U62-W62),Auxiliar!$C$15,IF(U62=W62,Auxiliar!$C$16,0)))))))</f>
        <v>0</v>
      </c>
      <c r="Z62" s="9">
        <v>0</v>
      </c>
      <c r="AA62" s="10" t="s">
        <v>23</v>
      </c>
      <c r="AB62" s="11">
        <v>4</v>
      </c>
      <c r="AC62" s="60">
        <f>IF(OR($E62="",$G62=""),"",IF(AND(Z62=$E62,AB62=$G62),Auxiliar!$C$11,IF(AND(SIGN($E62-$G62)=SIGN(Z62-AB62),MAX($E62,$G62)=MAX(Z62,AB62)),Auxiliar!$C$12,IF(ABS($E62-$G62)=ABS(Z62-AB62),Auxiliar!$C$13,IF(AND(SIGN($E62-$G62)=SIGN(Z62-AB62),MIN($E62,$G62)=MIN(Z62,AB62)),Auxiliar!$C$14,IF(SIGN($E62-$G62)=SIGN(Z62-AB62),Auxiliar!$C$15,IF(Z62=AB62,Auxiliar!$C$16,0)))))))</f>
        <v>10</v>
      </c>
      <c r="AE62" s="9">
        <v>5</v>
      </c>
      <c r="AF62" s="10" t="s">
        <v>23</v>
      </c>
      <c r="AG62" s="11">
        <v>5</v>
      </c>
      <c r="AH62" s="60">
        <f>IF(OR($E62="",$G62=""),"",IF(AND(AE62=$E62,AG62=$G62),Auxiliar!$C$11,IF(AND(SIGN($E62-$G62)=SIGN(AE62-AG62),MAX($E62,$G62)=MAX(AE62,AG62)),Auxiliar!$C$12,IF(ABS($E62-$G62)=ABS(AE62-AG62),Auxiliar!$C$13,IF(AND(SIGN($E62-$G62)=SIGN(AE62-AG62),MIN($E62,$G62)=MIN(AE62,AG62)),Auxiliar!$C$14,IF(SIGN($E62-$G62)=SIGN(AE62-AG62),Auxiliar!$C$15,IF(AE62=AG62,Auxiliar!$C$16,0)))))))</f>
        <v>5</v>
      </c>
    </row>
    <row r="63" spans="3:34" x14ac:dyDescent="0.25">
      <c r="C63" s="24">
        <f t="shared" si="0"/>
        <v>5</v>
      </c>
      <c r="D63" s="18" t="s">
        <v>11</v>
      </c>
      <c r="E63" s="13">
        <v>1</v>
      </c>
      <c r="F63" s="12" t="s">
        <v>23</v>
      </c>
      <c r="G63" s="13">
        <v>4</v>
      </c>
      <c r="H63" s="14" t="s">
        <v>13</v>
      </c>
      <c r="K63" s="9">
        <v>0</v>
      </c>
      <c r="L63" s="10" t="s">
        <v>23</v>
      </c>
      <c r="M63" s="11">
        <v>5</v>
      </c>
      <c r="N63" s="60">
        <f>IF(OR($E63="",$G63=""),"",IF(AND(K63=$E63,M63=$G63),Auxiliar!$C$11,IF(AND(SIGN($E63-$G63)=SIGN(K63-M63),MAX($E63,$G63)=MAX(K63,M63)),Auxiliar!$C$12,IF(ABS($E63-$G63)=ABS(K63-M63),Auxiliar!$C$13,IF(AND(SIGN($E63-$G63)=SIGN(K63-M63),MIN($E63,$G63)=MIN(K63,M63)),Auxiliar!$C$14,IF(SIGN($E63-$G63)=SIGN(K63-M63),Auxiliar!$C$15,IF(K63=M63,Auxiliar!$C$16,0)))))))</f>
        <v>10</v>
      </c>
      <c r="P63" s="9">
        <v>2</v>
      </c>
      <c r="Q63" s="10" t="s">
        <v>23</v>
      </c>
      <c r="R63" s="11">
        <v>0</v>
      </c>
      <c r="S63" s="60">
        <f>IF(OR($E63="",$G63=""),"",IF(AND(P63=$E63,R63=$G63),Auxiliar!$C$11,IF(AND(SIGN($E63-$G63)=SIGN(P63-R63),MAX($E63,$G63)=MAX(P63,R63)),Auxiliar!$C$12,IF(ABS($E63-$G63)=ABS(P63-R63),Auxiliar!$C$13,IF(AND(SIGN($E63-$G63)=SIGN(P63-R63),MIN($E63,$G63)=MIN(P63,R63)),Auxiliar!$C$14,IF(SIGN($E63-$G63)=SIGN(P63-R63),Auxiliar!$C$15,IF(P63=R63,Auxiliar!$C$16,0)))))))</f>
        <v>0</v>
      </c>
      <c r="U63" s="9">
        <v>2</v>
      </c>
      <c r="V63" s="10" t="s">
        <v>23</v>
      </c>
      <c r="W63" s="11">
        <v>5</v>
      </c>
      <c r="X63" s="60">
        <f>IF(OR($E63="",$G63=""),"",IF(AND(U63=$E63,W63=$G63),Auxiliar!$C$11,IF(AND(SIGN($E63-$G63)=SIGN(U63-W63),MAX($E63,$G63)=MAX(U63,W63)),Auxiliar!$C$12,IF(ABS($E63-$G63)=ABS(U63-W63),Auxiliar!$C$13,IF(AND(SIGN($E63-$G63)=SIGN(U63-W63),MIN($E63,$G63)=MIN(U63,W63)),Auxiliar!$C$14,IF(SIGN($E63-$G63)=SIGN(U63-W63),Auxiliar!$C$15,IF(U63=W63,Auxiliar!$C$16,0)))))))</f>
        <v>15</v>
      </c>
      <c r="Z63" s="9">
        <v>1</v>
      </c>
      <c r="AA63" s="10" t="s">
        <v>23</v>
      </c>
      <c r="AB63" s="11">
        <v>5</v>
      </c>
      <c r="AC63" s="60">
        <f>IF(OR($E63="",$G63=""),"",IF(AND(Z63=$E63,AB63=$G63),Auxiliar!$C$11,IF(AND(SIGN($E63-$G63)=SIGN(Z63-AB63),MAX($E63,$G63)=MAX(Z63,AB63)),Auxiliar!$C$12,IF(ABS($E63-$G63)=ABS(Z63-AB63),Auxiliar!$C$13,IF(AND(SIGN($E63-$G63)=SIGN(Z63-AB63),MIN($E63,$G63)=MIN(Z63,AB63)),Auxiliar!$C$14,IF(SIGN($E63-$G63)=SIGN(Z63-AB63),Auxiliar!$C$15,IF(Z63=AB63,Auxiliar!$C$16,0)))))))</f>
        <v>12</v>
      </c>
      <c r="AE63" s="9">
        <v>2</v>
      </c>
      <c r="AF63" s="10" t="s">
        <v>23</v>
      </c>
      <c r="AG63" s="11">
        <v>0</v>
      </c>
      <c r="AH63" s="60">
        <f>IF(OR($E63="",$G63=""),"",IF(AND(AE63=$E63,AG63=$G63),Auxiliar!$C$11,IF(AND(SIGN($E63-$G63)=SIGN(AE63-AG63),MAX($E63,$G63)=MAX(AE63,AG63)),Auxiliar!$C$12,IF(ABS($E63-$G63)=ABS(AE63-AG63),Auxiliar!$C$13,IF(AND(SIGN($E63-$G63)=SIGN(AE63-AG63),MIN($E63,$G63)=MIN(AE63,AG63)),Auxiliar!$C$14,IF(SIGN($E63-$G63)=SIGN(AE63-AG63),Auxiliar!$C$15,IF(AE63=AG63,Auxiliar!$C$16,0)))))))</f>
        <v>0</v>
      </c>
    </row>
    <row r="64" spans="3:34" x14ac:dyDescent="0.25">
      <c r="C64" s="24">
        <f t="shared" si="0"/>
        <v>5</v>
      </c>
      <c r="D64" s="18" t="s">
        <v>10</v>
      </c>
      <c r="E64" s="13">
        <v>5</v>
      </c>
      <c r="F64" s="12" t="s">
        <v>23</v>
      </c>
      <c r="G64" s="13">
        <v>0</v>
      </c>
      <c r="H64" s="14" t="s">
        <v>8</v>
      </c>
      <c r="K64" s="9">
        <v>0</v>
      </c>
      <c r="L64" s="10" t="s">
        <v>23</v>
      </c>
      <c r="M64" s="11">
        <v>5</v>
      </c>
      <c r="N64" s="60">
        <f>IF(OR($E64="",$G64=""),"",IF(AND(K64=$E64,M64=$G64),Auxiliar!$C$11,IF(AND(SIGN($E64-$G64)=SIGN(K64-M64),MAX($E64,$G64)=MAX(K64,M64)),Auxiliar!$C$12,IF(ABS($E64-$G64)=ABS(K64-M64),Auxiliar!$C$13,IF(AND(SIGN($E64-$G64)=SIGN(K64-M64),MIN($E64,$G64)=MIN(K64,M64)),Auxiliar!$C$14,IF(SIGN($E64-$G64)=SIGN(K64-M64),Auxiliar!$C$15,IF(K64=M64,Auxiliar!$C$16,0)))))))</f>
        <v>15</v>
      </c>
      <c r="P64" s="9">
        <v>1</v>
      </c>
      <c r="Q64" s="10" t="s">
        <v>23</v>
      </c>
      <c r="R64" s="11">
        <v>0</v>
      </c>
      <c r="S64" s="60">
        <f>IF(OR($E64="",$G64=""),"",IF(AND(P64=$E64,R64=$G64),Auxiliar!$C$11,IF(AND(SIGN($E64-$G64)=SIGN(P64-R64),MAX($E64,$G64)=MAX(P64,R64)),Auxiliar!$C$12,IF(ABS($E64-$G64)=ABS(P64-R64),Auxiliar!$C$13,IF(AND(SIGN($E64-$G64)=SIGN(P64-R64),MIN($E64,$G64)=MIN(P64,R64)),Auxiliar!$C$14,IF(SIGN($E64-$G64)=SIGN(P64-R64),Auxiliar!$C$15,IF(P64=R64,Auxiliar!$C$16,0)))))))</f>
        <v>12</v>
      </c>
      <c r="U64" s="9">
        <v>4</v>
      </c>
      <c r="V64" s="10" t="s">
        <v>23</v>
      </c>
      <c r="W64" s="11">
        <v>1</v>
      </c>
      <c r="X64" s="60">
        <f>IF(OR($E64="",$G64=""),"",IF(AND(U64=$E64,W64=$G64),Auxiliar!$C$11,IF(AND(SIGN($E64-$G64)=SIGN(U64-W64),MAX($E64,$G64)=MAX(U64,W64)),Auxiliar!$C$12,IF(ABS($E64-$G64)=ABS(U64-W64),Auxiliar!$C$13,IF(AND(SIGN($E64-$G64)=SIGN(U64-W64),MIN($E64,$G64)=MIN(U64,W64)),Auxiliar!$C$14,IF(SIGN($E64-$G64)=SIGN(U64-W64),Auxiliar!$C$15,IF(U64=W64,Auxiliar!$C$16,0)))))))</f>
        <v>10</v>
      </c>
      <c r="Z64" s="9">
        <v>2</v>
      </c>
      <c r="AA64" s="10" t="s">
        <v>23</v>
      </c>
      <c r="AB64" s="11">
        <v>3</v>
      </c>
      <c r="AC64" s="60">
        <f>IF(OR($E64="",$G64=""),"",IF(AND(Z64=$E64,AB64=$G64),Auxiliar!$C$11,IF(AND(SIGN($E64-$G64)=SIGN(Z64-AB64),MAX($E64,$G64)=MAX(Z64,AB64)),Auxiliar!$C$12,IF(ABS($E64-$G64)=ABS(Z64-AB64),Auxiliar!$C$13,IF(AND(SIGN($E64-$G64)=SIGN(Z64-AB64),MIN($E64,$G64)=MIN(Z64,AB64)),Auxiliar!$C$14,IF(SIGN($E64-$G64)=SIGN(Z64-AB64),Auxiliar!$C$15,IF(Z64=AB64,Auxiliar!$C$16,0)))))))</f>
        <v>0</v>
      </c>
      <c r="AE64" s="9">
        <v>1</v>
      </c>
      <c r="AF64" s="10" t="s">
        <v>23</v>
      </c>
      <c r="AG64" s="11">
        <v>3</v>
      </c>
      <c r="AH64" s="60">
        <f>IF(OR($E64="",$G64=""),"",IF(AND(AE64=$E64,AG64=$G64),Auxiliar!$C$11,IF(AND(SIGN($E64-$G64)=SIGN(AE64-AG64),MAX($E64,$G64)=MAX(AE64,AG64)),Auxiliar!$C$12,IF(ABS($E64-$G64)=ABS(AE64-AG64),Auxiliar!$C$13,IF(AND(SIGN($E64-$G64)=SIGN(AE64-AG64),MIN($E64,$G64)=MIN(AE64,AG64)),Auxiliar!$C$14,IF(SIGN($E64-$G64)=SIGN(AE64-AG64),Auxiliar!$C$15,IF(AE64=AG64,Auxiliar!$C$16,0)))))))</f>
        <v>0</v>
      </c>
    </row>
    <row r="65" spans="3:34" x14ac:dyDescent="0.25">
      <c r="C65" s="24">
        <f t="shared" si="0"/>
        <v>5</v>
      </c>
      <c r="D65" s="18" t="s">
        <v>15</v>
      </c>
      <c r="E65" s="13">
        <v>3</v>
      </c>
      <c r="F65" s="12" t="s">
        <v>23</v>
      </c>
      <c r="G65" s="13">
        <v>4</v>
      </c>
      <c r="H65" s="14" t="s">
        <v>5</v>
      </c>
      <c r="K65" s="9">
        <v>1</v>
      </c>
      <c r="L65" s="10" t="s">
        <v>23</v>
      </c>
      <c r="M65" s="11">
        <v>2</v>
      </c>
      <c r="N65" s="60">
        <f>IF(OR($E65="",$G65=""),"",IF(AND(K65=$E65,M65=$G65),Auxiliar!$C$11,IF(AND(SIGN($E65-$G65)=SIGN(K65-M65),MAX($E65,$G65)=MAX(K65,M65)),Auxiliar!$C$12,IF(ABS($E65-$G65)=ABS(K65-M65),Auxiliar!$C$13,IF(AND(SIGN($E65-$G65)=SIGN(K65-M65),MIN($E65,$G65)=MIN(K65,M65)),Auxiliar!$C$14,IF(SIGN($E65-$G65)=SIGN(K65-M65),Auxiliar!$C$15,IF(K65=M65,Auxiliar!$C$16,0)))))))</f>
        <v>15</v>
      </c>
      <c r="P65" s="9">
        <v>2</v>
      </c>
      <c r="Q65" s="10" t="s">
        <v>23</v>
      </c>
      <c r="R65" s="11">
        <v>4</v>
      </c>
      <c r="S65" s="60">
        <f>IF(OR($E65="",$G65=""),"",IF(AND(P65=$E65,R65=$G65),Auxiliar!$C$11,IF(AND(SIGN($E65-$G65)=SIGN(P65-R65),MAX($E65,$G65)=MAX(P65,R65)),Auxiliar!$C$12,IF(ABS($E65-$G65)=ABS(P65-R65),Auxiliar!$C$13,IF(AND(SIGN($E65-$G65)=SIGN(P65-R65),MIN($E65,$G65)=MIN(P65,R65)),Auxiliar!$C$14,IF(SIGN($E65-$G65)=SIGN(P65-R65),Auxiliar!$C$15,IF(P65=R65,Auxiliar!$C$16,0)))))))</f>
        <v>18</v>
      </c>
      <c r="U65" s="9">
        <v>2</v>
      </c>
      <c r="V65" s="10" t="s">
        <v>23</v>
      </c>
      <c r="W65" s="11">
        <v>0</v>
      </c>
      <c r="X65" s="60">
        <f>IF(OR($E65="",$G65=""),"",IF(AND(U65=$E65,W65=$G65),Auxiliar!$C$11,IF(AND(SIGN($E65-$G65)=SIGN(U65-W65),MAX($E65,$G65)=MAX(U65,W65)),Auxiliar!$C$12,IF(ABS($E65-$G65)=ABS(U65-W65),Auxiliar!$C$13,IF(AND(SIGN($E65-$G65)=SIGN(U65-W65),MIN($E65,$G65)=MIN(U65,W65)),Auxiliar!$C$14,IF(SIGN($E65-$G65)=SIGN(U65-W65),Auxiliar!$C$15,IF(U65=W65,Auxiliar!$C$16,0)))))))</f>
        <v>0</v>
      </c>
      <c r="Z65" s="9">
        <v>0</v>
      </c>
      <c r="AA65" s="10" t="s">
        <v>23</v>
      </c>
      <c r="AB65" s="11">
        <v>1</v>
      </c>
      <c r="AC65" s="60">
        <f>IF(OR($E65="",$G65=""),"",IF(AND(Z65=$E65,AB65=$G65),Auxiliar!$C$11,IF(AND(SIGN($E65-$G65)=SIGN(Z65-AB65),MAX($E65,$G65)=MAX(Z65,AB65)),Auxiliar!$C$12,IF(ABS($E65-$G65)=ABS(Z65-AB65),Auxiliar!$C$13,IF(AND(SIGN($E65-$G65)=SIGN(Z65-AB65),MIN($E65,$G65)=MIN(Z65,AB65)),Auxiliar!$C$14,IF(SIGN($E65-$G65)=SIGN(Z65-AB65),Auxiliar!$C$15,IF(Z65=AB65,Auxiliar!$C$16,0)))))))</f>
        <v>15</v>
      </c>
      <c r="AE65" s="9">
        <v>3</v>
      </c>
      <c r="AF65" s="10" t="s">
        <v>23</v>
      </c>
      <c r="AG65" s="11">
        <v>1</v>
      </c>
      <c r="AH65" s="60">
        <f>IF(OR($E65="",$G65=""),"",IF(AND(AE65=$E65,AG65=$G65),Auxiliar!$C$11,IF(AND(SIGN($E65-$G65)=SIGN(AE65-AG65),MAX($E65,$G65)=MAX(AE65,AG65)),Auxiliar!$C$12,IF(ABS($E65-$G65)=ABS(AE65-AG65),Auxiliar!$C$13,IF(AND(SIGN($E65-$G65)=SIGN(AE65-AG65),MIN($E65,$G65)=MIN(AE65,AG65)),Auxiliar!$C$14,IF(SIGN($E65-$G65)=SIGN(AE65-AG65),Auxiliar!$C$15,IF(AE65=AG65,Auxiliar!$C$16,0)))))))</f>
        <v>0</v>
      </c>
    </row>
    <row r="66" spans="3:34" x14ac:dyDescent="0.25">
      <c r="C66" s="24">
        <f t="shared" si="0"/>
        <v>5</v>
      </c>
      <c r="D66" s="18" t="s">
        <v>19</v>
      </c>
      <c r="E66" s="13">
        <v>1</v>
      </c>
      <c r="F66" s="12" t="s">
        <v>23</v>
      </c>
      <c r="G66" s="13">
        <v>5</v>
      </c>
      <c r="H66" s="14" t="s">
        <v>6</v>
      </c>
      <c r="K66" s="9">
        <v>3</v>
      </c>
      <c r="L66" s="10" t="s">
        <v>23</v>
      </c>
      <c r="M66" s="11">
        <v>3</v>
      </c>
      <c r="N66" s="60">
        <f>IF(OR($E66="",$G66=""),"",IF(AND(K66=$E66,M66=$G66),Auxiliar!$C$11,IF(AND(SIGN($E66-$G66)=SIGN(K66-M66),MAX($E66,$G66)=MAX(K66,M66)),Auxiliar!$C$12,IF(ABS($E66-$G66)=ABS(K66-M66),Auxiliar!$C$13,IF(AND(SIGN($E66-$G66)=SIGN(K66-M66),MIN($E66,$G66)=MIN(K66,M66)),Auxiliar!$C$14,IF(SIGN($E66-$G66)=SIGN(K66-M66),Auxiliar!$C$15,IF(K66=M66,Auxiliar!$C$16,0)))))))</f>
        <v>5</v>
      </c>
      <c r="P66" s="9">
        <v>0</v>
      </c>
      <c r="Q66" s="10" t="s">
        <v>23</v>
      </c>
      <c r="R66" s="11">
        <v>1</v>
      </c>
      <c r="S66" s="60">
        <f>IF(OR($E66="",$G66=""),"",IF(AND(P66=$E66,R66=$G66),Auxiliar!$C$11,IF(AND(SIGN($E66-$G66)=SIGN(P66-R66),MAX($E66,$G66)=MAX(P66,R66)),Auxiliar!$C$12,IF(ABS($E66-$G66)=ABS(P66-R66),Auxiliar!$C$13,IF(AND(SIGN($E66-$G66)=SIGN(P66-R66),MIN($E66,$G66)=MIN(P66,R66)),Auxiliar!$C$14,IF(SIGN($E66-$G66)=SIGN(P66-R66),Auxiliar!$C$15,IF(P66=R66,Auxiliar!$C$16,0)))))))</f>
        <v>10</v>
      </c>
      <c r="U66" s="9">
        <v>4</v>
      </c>
      <c r="V66" s="10" t="s">
        <v>23</v>
      </c>
      <c r="W66" s="11">
        <v>0</v>
      </c>
      <c r="X66" s="60">
        <f>IF(OR($E66="",$G66=""),"",IF(AND(U66=$E66,W66=$G66),Auxiliar!$C$11,IF(AND(SIGN($E66-$G66)=SIGN(U66-W66),MAX($E66,$G66)=MAX(U66,W66)),Auxiliar!$C$12,IF(ABS($E66-$G66)=ABS(U66-W66),Auxiliar!$C$13,IF(AND(SIGN($E66-$G66)=SIGN(U66-W66),MIN($E66,$G66)=MIN(U66,W66)),Auxiliar!$C$14,IF(SIGN($E66-$G66)=SIGN(U66-W66),Auxiliar!$C$15,IF(U66=W66,Auxiliar!$C$16,0)))))))</f>
        <v>15</v>
      </c>
      <c r="Z66" s="9">
        <v>2</v>
      </c>
      <c r="AA66" s="10" t="s">
        <v>23</v>
      </c>
      <c r="AB66" s="11">
        <v>0</v>
      </c>
      <c r="AC66" s="60">
        <f>IF(OR($E66="",$G66=""),"",IF(AND(Z66=$E66,AB66=$G66),Auxiliar!$C$11,IF(AND(SIGN($E66-$G66)=SIGN(Z66-AB66),MAX($E66,$G66)=MAX(Z66,AB66)),Auxiliar!$C$12,IF(ABS($E66-$G66)=ABS(Z66-AB66),Auxiliar!$C$13,IF(AND(SIGN($E66-$G66)=SIGN(Z66-AB66),MIN($E66,$G66)=MIN(Z66,AB66)),Auxiliar!$C$14,IF(SIGN($E66-$G66)=SIGN(Z66-AB66),Auxiliar!$C$15,IF(Z66=AB66,Auxiliar!$C$16,0)))))))</f>
        <v>0</v>
      </c>
      <c r="AE66" s="9">
        <v>4</v>
      </c>
      <c r="AF66" s="10" t="s">
        <v>23</v>
      </c>
      <c r="AG66" s="11">
        <v>1</v>
      </c>
      <c r="AH66" s="60">
        <f>IF(OR($E66="",$G66=""),"",IF(AND(AE66=$E66,AG66=$G66),Auxiliar!$C$11,IF(AND(SIGN($E66-$G66)=SIGN(AE66-AG66),MAX($E66,$G66)=MAX(AE66,AG66)),Auxiliar!$C$12,IF(ABS($E66-$G66)=ABS(AE66-AG66),Auxiliar!$C$13,IF(AND(SIGN($E66-$G66)=SIGN(AE66-AG66),MIN($E66,$G66)=MIN(AE66,AG66)),Auxiliar!$C$14,IF(SIGN($E66-$G66)=SIGN(AE66-AG66),Auxiliar!$C$15,IF(AE66=AG66,Auxiliar!$C$16,0)))))))</f>
        <v>0</v>
      </c>
    </row>
    <row r="67" spans="3:34" x14ac:dyDescent="0.25">
      <c r="C67" s="24">
        <f t="shared" si="0"/>
        <v>5</v>
      </c>
      <c r="D67" s="18" t="s">
        <v>21</v>
      </c>
      <c r="E67" s="13">
        <v>0</v>
      </c>
      <c r="F67" s="12" t="s">
        <v>23</v>
      </c>
      <c r="G67" s="13">
        <v>5</v>
      </c>
      <c r="H67" s="14" t="s">
        <v>14</v>
      </c>
      <c r="K67" s="9">
        <v>1</v>
      </c>
      <c r="L67" s="10" t="s">
        <v>23</v>
      </c>
      <c r="M67" s="11">
        <v>2</v>
      </c>
      <c r="N67" s="60">
        <f>IF(OR($E67="",$G67=""),"",IF(AND(K67=$E67,M67=$G67),Auxiliar!$C$11,IF(AND(SIGN($E67-$G67)=SIGN(K67-M67),MAX($E67,$G67)=MAX(K67,M67)),Auxiliar!$C$12,IF(ABS($E67-$G67)=ABS(K67-M67),Auxiliar!$C$13,IF(AND(SIGN($E67-$G67)=SIGN(K67-M67),MIN($E67,$G67)=MIN(K67,M67)),Auxiliar!$C$14,IF(SIGN($E67-$G67)=SIGN(K67-M67),Auxiliar!$C$15,IF(K67=M67,Auxiliar!$C$16,0)))))))</f>
        <v>10</v>
      </c>
      <c r="P67" s="9">
        <v>3</v>
      </c>
      <c r="Q67" s="10" t="s">
        <v>23</v>
      </c>
      <c r="R67" s="11">
        <v>5</v>
      </c>
      <c r="S67" s="60">
        <f>IF(OR($E67="",$G67=""),"",IF(AND(P67=$E67,R67=$G67),Auxiliar!$C$11,IF(AND(SIGN($E67-$G67)=SIGN(P67-R67),MAX($E67,$G67)=MAX(P67,R67)),Auxiliar!$C$12,IF(ABS($E67-$G67)=ABS(P67-R67),Auxiliar!$C$13,IF(AND(SIGN($E67-$G67)=SIGN(P67-R67),MIN($E67,$G67)=MIN(P67,R67)),Auxiliar!$C$14,IF(SIGN($E67-$G67)=SIGN(P67-R67),Auxiliar!$C$15,IF(P67=R67,Auxiliar!$C$16,0)))))))</f>
        <v>18</v>
      </c>
      <c r="U67" s="9">
        <v>0</v>
      </c>
      <c r="V67" s="10" t="s">
        <v>23</v>
      </c>
      <c r="W67" s="11">
        <v>0</v>
      </c>
      <c r="X67" s="60">
        <f>IF(OR($E67="",$G67=""),"",IF(AND(U67=$E67,W67=$G67),Auxiliar!$C$11,IF(AND(SIGN($E67-$G67)=SIGN(U67-W67),MAX($E67,$G67)=MAX(U67,W67)),Auxiliar!$C$12,IF(ABS($E67-$G67)=ABS(U67-W67),Auxiliar!$C$13,IF(AND(SIGN($E67-$G67)=SIGN(U67-W67),MIN($E67,$G67)=MIN(U67,W67)),Auxiliar!$C$14,IF(SIGN($E67-$G67)=SIGN(U67-W67),Auxiliar!$C$15,IF(U67=W67,Auxiliar!$C$16,0)))))))</f>
        <v>5</v>
      </c>
      <c r="Z67" s="9">
        <v>1</v>
      </c>
      <c r="AA67" s="10" t="s">
        <v>23</v>
      </c>
      <c r="AB67" s="11">
        <v>0</v>
      </c>
      <c r="AC67" s="60">
        <f>IF(OR($E67="",$G67=""),"",IF(AND(Z67=$E67,AB67=$G67),Auxiliar!$C$11,IF(AND(SIGN($E67-$G67)=SIGN(Z67-AB67),MAX($E67,$G67)=MAX(Z67,AB67)),Auxiliar!$C$12,IF(ABS($E67-$G67)=ABS(Z67-AB67),Auxiliar!$C$13,IF(AND(SIGN($E67-$G67)=SIGN(Z67-AB67),MIN($E67,$G67)=MIN(Z67,AB67)),Auxiliar!$C$14,IF(SIGN($E67-$G67)=SIGN(Z67-AB67),Auxiliar!$C$15,IF(Z67=AB67,Auxiliar!$C$16,0)))))))</f>
        <v>0</v>
      </c>
      <c r="AE67" s="9">
        <v>3</v>
      </c>
      <c r="AF67" s="10" t="s">
        <v>23</v>
      </c>
      <c r="AG67" s="11">
        <v>0</v>
      </c>
      <c r="AH67" s="60">
        <f>IF(OR($E67="",$G67=""),"",IF(AND(AE67=$E67,AG67=$G67),Auxiliar!$C$11,IF(AND(SIGN($E67-$G67)=SIGN(AE67-AG67),MAX($E67,$G67)=MAX(AE67,AG67)),Auxiliar!$C$12,IF(ABS($E67-$G67)=ABS(AE67-AG67),Auxiliar!$C$13,IF(AND(SIGN($E67-$G67)=SIGN(AE67-AG67),MIN($E67,$G67)=MIN(AE67,AG67)),Auxiliar!$C$14,IF(SIGN($E67-$G67)=SIGN(AE67-AG67),Auxiliar!$C$15,IF(AE67=AG67,Auxiliar!$C$16,0)))))))</f>
        <v>0</v>
      </c>
    </row>
    <row r="68" spans="3:34" x14ac:dyDescent="0.25">
      <c r="C68" s="24">
        <f t="shared" si="0"/>
        <v>5</v>
      </c>
      <c r="D68" s="18" t="s">
        <v>22</v>
      </c>
      <c r="E68" s="13">
        <v>0</v>
      </c>
      <c r="F68" s="12" t="s">
        <v>23</v>
      </c>
      <c r="G68" s="13">
        <v>3</v>
      </c>
      <c r="H68" s="14" t="s">
        <v>12</v>
      </c>
      <c r="K68" s="9">
        <v>0</v>
      </c>
      <c r="L68" s="10" t="s">
        <v>23</v>
      </c>
      <c r="M68" s="11">
        <v>4</v>
      </c>
      <c r="N68" s="60">
        <f>IF(OR($E68="",$G68=""),"",IF(AND(K68=$E68,M68=$G68),Auxiliar!$C$11,IF(AND(SIGN($E68-$G68)=SIGN(K68-M68),MAX($E68,$G68)=MAX(K68,M68)),Auxiliar!$C$12,IF(ABS($E68-$G68)=ABS(K68-M68),Auxiliar!$C$13,IF(AND(SIGN($E68-$G68)=SIGN(K68-M68),MIN($E68,$G68)=MIN(K68,M68)),Auxiliar!$C$14,IF(SIGN($E68-$G68)=SIGN(K68-M68),Auxiliar!$C$15,IF(K68=M68,Auxiliar!$C$16,0)))))))</f>
        <v>12</v>
      </c>
      <c r="P68" s="9">
        <v>1</v>
      </c>
      <c r="Q68" s="10" t="s">
        <v>23</v>
      </c>
      <c r="R68" s="11">
        <v>0</v>
      </c>
      <c r="S68" s="60">
        <f>IF(OR($E68="",$G68=""),"",IF(AND(P68=$E68,R68=$G68),Auxiliar!$C$11,IF(AND(SIGN($E68-$G68)=SIGN(P68-R68),MAX($E68,$G68)=MAX(P68,R68)),Auxiliar!$C$12,IF(ABS($E68-$G68)=ABS(P68-R68),Auxiliar!$C$13,IF(AND(SIGN($E68-$G68)=SIGN(P68-R68),MIN($E68,$G68)=MIN(P68,R68)),Auxiliar!$C$14,IF(SIGN($E68-$G68)=SIGN(P68-R68),Auxiliar!$C$15,IF(P68=R68,Auxiliar!$C$16,0)))))))</f>
        <v>0</v>
      </c>
      <c r="U68" s="9">
        <v>0</v>
      </c>
      <c r="V68" s="10" t="s">
        <v>23</v>
      </c>
      <c r="W68" s="11">
        <v>3</v>
      </c>
      <c r="X68" s="60">
        <f>IF(OR($E68="",$G68=""),"",IF(AND(U68=$E68,W68=$G68),Auxiliar!$C$11,IF(AND(SIGN($E68-$G68)=SIGN(U68-W68),MAX($E68,$G68)=MAX(U68,W68)),Auxiliar!$C$12,IF(ABS($E68-$G68)=ABS(U68-W68),Auxiliar!$C$13,IF(AND(SIGN($E68-$G68)=SIGN(U68-W68),MIN($E68,$G68)=MIN(U68,W68)),Auxiliar!$C$14,IF(SIGN($E68-$G68)=SIGN(U68-W68),Auxiliar!$C$15,IF(U68=W68,Auxiliar!$C$16,0)))))))</f>
        <v>25</v>
      </c>
      <c r="Z68" s="9">
        <v>1</v>
      </c>
      <c r="AA68" s="10" t="s">
        <v>23</v>
      </c>
      <c r="AB68" s="11">
        <v>1</v>
      </c>
      <c r="AC68" s="60">
        <f>IF(OR($E68="",$G68=""),"",IF(AND(Z68=$E68,AB68=$G68),Auxiliar!$C$11,IF(AND(SIGN($E68-$G68)=SIGN(Z68-AB68),MAX($E68,$G68)=MAX(Z68,AB68)),Auxiliar!$C$12,IF(ABS($E68-$G68)=ABS(Z68-AB68),Auxiliar!$C$13,IF(AND(SIGN($E68-$G68)=SIGN(Z68-AB68),MIN($E68,$G68)=MIN(Z68,AB68)),Auxiliar!$C$14,IF(SIGN($E68-$G68)=SIGN(Z68-AB68),Auxiliar!$C$15,IF(Z68=AB68,Auxiliar!$C$16,0)))))))</f>
        <v>5</v>
      </c>
      <c r="AE68" s="9">
        <v>0</v>
      </c>
      <c r="AF68" s="10" t="s">
        <v>23</v>
      </c>
      <c r="AG68" s="11">
        <v>3</v>
      </c>
      <c r="AH68" s="60">
        <f>IF(OR($E68="",$G68=""),"",IF(AND(AE68=$E68,AG68=$G68),Auxiliar!$C$11,IF(AND(SIGN($E68-$G68)=SIGN(AE68-AG68),MAX($E68,$G68)=MAX(AE68,AG68)),Auxiliar!$C$12,IF(ABS($E68-$G68)=ABS(AE68-AG68),Auxiliar!$C$13,IF(AND(SIGN($E68-$G68)=SIGN(AE68-AG68),MIN($E68,$G68)=MIN(AE68,AG68)),Auxiliar!$C$14,IF(SIGN($E68-$G68)=SIGN(AE68-AG68),Auxiliar!$C$15,IF(AE68=AG68,Auxiliar!$C$16,0)))))))</f>
        <v>25</v>
      </c>
    </row>
    <row r="69" spans="3:34" x14ac:dyDescent="0.25">
      <c r="C69" s="24">
        <f t="shared" si="0"/>
        <v>6</v>
      </c>
      <c r="D69" s="18" t="s">
        <v>3</v>
      </c>
      <c r="E69" s="13">
        <v>0</v>
      </c>
      <c r="F69" s="12" t="s">
        <v>23</v>
      </c>
      <c r="G69" s="13">
        <v>4</v>
      </c>
      <c r="H69" s="14" t="s">
        <v>10</v>
      </c>
      <c r="K69" s="9">
        <v>1</v>
      </c>
      <c r="L69" s="10" t="s">
        <v>23</v>
      </c>
      <c r="M69" s="11">
        <v>1</v>
      </c>
      <c r="N69" s="60">
        <f>IF(OR($E69="",$G69=""),"",IF(AND(K69=$E69,M69=$G69),Auxiliar!$C$11,IF(AND(SIGN($E69-$G69)=SIGN(K69-M69),MAX($E69,$G69)=MAX(K69,M69)),Auxiliar!$C$12,IF(ABS($E69-$G69)=ABS(K69-M69),Auxiliar!$C$13,IF(AND(SIGN($E69-$G69)=SIGN(K69-M69),MIN($E69,$G69)=MIN(K69,M69)),Auxiliar!$C$14,IF(SIGN($E69-$G69)=SIGN(K69-M69),Auxiliar!$C$15,IF(K69=M69,Auxiliar!$C$16,0)))))))</f>
        <v>5</v>
      </c>
      <c r="P69" s="9">
        <v>2</v>
      </c>
      <c r="Q69" s="10" t="s">
        <v>23</v>
      </c>
      <c r="R69" s="11">
        <v>5</v>
      </c>
      <c r="S69" s="60">
        <f>IF(OR($E69="",$G69=""),"",IF(AND(P69=$E69,R69=$G69),Auxiliar!$C$11,IF(AND(SIGN($E69-$G69)=SIGN(P69-R69),MAX($E69,$G69)=MAX(P69,R69)),Auxiliar!$C$12,IF(ABS($E69-$G69)=ABS(P69-R69),Auxiliar!$C$13,IF(AND(SIGN($E69-$G69)=SIGN(P69-R69),MIN($E69,$G69)=MIN(P69,R69)),Auxiliar!$C$14,IF(SIGN($E69-$G69)=SIGN(P69-R69),Auxiliar!$C$15,IF(P69=R69,Auxiliar!$C$16,0)))))))</f>
        <v>10</v>
      </c>
      <c r="U69" s="9">
        <v>0</v>
      </c>
      <c r="V69" s="10" t="s">
        <v>23</v>
      </c>
      <c r="W69" s="11">
        <v>2</v>
      </c>
      <c r="X69" s="60">
        <f>IF(OR($E69="",$G69=""),"",IF(AND(U69=$E69,W69=$G69),Auxiliar!$C$11,IF(AND(SIGN($E69-$G69)=SIGN(U69-W69),MAX($E69,$G69)=MAX(U69,W69)),Auxiliar!$C$12,IF(ABS($E69-$G69)=ABS(U69-W69),Auxiliar!$C$13,IF(AND(SIGN($E69-$G69)=SIGN(U69-W69),MIN($E69,$G69)=MIN(U69,W69)),Auxiliar!$C$14,IF(SIGN($E69-$G69)=SIGN(U69-W69),Auxiliar!$C$15,IF(U69=W69,Auxiliar!$C$16,0)))))))</f>
        <v>12</v>
      </c>
      <c r="Z69" s="9">
        <v>4</v>
      </c>
      <c r="AA69" s="10" t="s">
        <v>23</v>
      </c>
      <c r="AB69" s="11">
        <v>3</v>
      </c>
      <c r="AC69" s="60">
        <f>IF(OR($E69="",$G69=""),"",IF(AND(Z69=$E69,AB69=$G69),Auxiliar!$C$11,IF(AND(SIGN($E69-$G69)=SIGN(Z69-AB69),MAX($E69,$G69)=MAX(Z69,AB69)),Auxiliar!$C$12,IF(ABS($E69-$G69)=ABS(Z69-AB69),Auxiliar!$C$13,IF(AND(SIGN($E69-$G69)=SIGN(Z69-AB69),MIN($E69,$G69)=MIN(Z69,AB69)),Auxiliar!$C$14,IF(SIGN($E69-$G69)=SIGN(Z69-AB69),Auxiliar!$C$15,IF(Z69=AB69,Auxiliar!$C$16,0)))))))</f>
        <v>0</v>
      </c>
      <c r="AE69" s="9">
        <v>0</v>
      </c>
      <c r="AF69" s="10" t="s">
        <v>23</v>
      </c>
      <c r="AG69" s="11">
        <v>0</v>
      </c>
      <c r="AH69" s="60">
        <f>IF(OR($E69="",$G69=""),"",IF(AND(AE69=$E69,AG69=$G69),Auxiliar!$C$11,IF(AND(SIGN($E69-$G69)=SIGN(AE69-AG69),MAX($E69,$G69)=MAX(AE69,AG69)),Auxiliar!$C$12,IF(ABS($E69-$G69)=ABS(AE69-AG69),Auxiliar!$C$13,IF(AND(SIGN($E69-$G69)=SIGN(AE69-AG69),MIN($E69,$G69)=MIN(AE69,AG69)),Auxiliar!$C$14,IF(SIGN($E69-$G69)=SIGN(AE69-AG69),Auxiliar!$C$15,IF(AE69=AG69,Auxiliar!$C$16,0)))))))</f>
        <v>5</v>
      </c>
    </row>
    <row r="70" spans="3:34" x14ac:dyDescent="0.25">
      <c r="C70" s="24">
        <f t="shared" si="0"/>
        <v>6</v>
      </c>
      <c r="D70" s="18" t="s">
        <v>5</v>
      </c>
      <c r="E70" s="13">
        <v>0</v>
      </c>
      <c r="F70" s="12" t="s">
        <v>23</v>
      </c>
      <c r="G70" s="13">
        <v>4</v>
      </c>
      <c r="H70" s="14" t="s">
        <v>12</v>
      </c>
      <c r="K70" s="9">
        <v>0</v>
      </c>
      <c r="L70" s="10" t="s">
        <v>23</v>
      </c>
      <c r="M70" s="11">
        <v>1</v>
      </c>
      <c r="N70" s="60">
        <f>IF(OR($E70="",$G70=""),"",IF(AND(K70=$E70,M70=$G70),Auxiliar!$C$11,IF(AND(SIGN($E70-$G70)=SIGN(K70-M70),MAX($E70,$G70)=MAX(K70,M70)),Auxiliar!$C$12,IF(ABS($E70-$G70)=ABS(K70-M70),Auxiliar!$C$13,IF(AND(SIGN($E70-$G70)=SIGN(K70-M70),MIN($E70,$G70)=MIN(K70,M70)),Auxiliar!$C$14,IF(SIGN($E70-$G70)=SIGN(K70-M70),Auxiliar!$C$15,IF(K70=M70,Auxiliar!$C$16,0)))))))</f>
        <v>12</v>
      </c>
      <c r="P70" s="9">
        <v>5</v>
      </c>
      <c r="Q70" s="10" t="s">
        <v>23</v>
      </c>
      <c r="R70" s="11">
        <v>2</v>
      </c>
      <c r="S70" s="60">
        <f>IF(OR($E70="",$G70=""),"",IF(AND(P70=$E70,R70=$G70),Auxiliar!$C$11,IF(AND(SIGN($E70-$G70)=SIGN(P70-R70),MAX($E70,$G70)=MAX(P70,R70)),Auxiliar!$C$12,IF(ABS($E70-$G70)=ABS(P70-R70),Auxiliar!$C$13,IF(AND(SIGN($E70-$G70)=SIGN(P70-R70),MIN($E70,$G70)=MIN(P70,R70)),Auxiliar!$C$14,IF(SIGN($E70-$G70)=SIGN(P70-R70),Auxiliar!$C$15,IF(P70=R70,Auxiliar!$C$16,0)))))))</f>
        <v>0</v>
      </c>
      <c r="U70" s="9">
        <v>1</v>
      </c>
      <c r="V70" s="10" t="s">
        <v>23</v>
      </c>
      <c r="W70" s="11">
        <v>4</v>
      </c>
      <c r="X70" s="60">
        <f>IF(OR($E70="",$G70=""),"",IF(AND(U70=$E70,W70=$G70),Auxiliar!$C$11,IF(AND(SIGN($E70-$G70)=SIGN(U70-W70),MAX($E70,$G70)=MAX(U70,W70)),Auxiliar!$C$12,IF(ABS($E70-$G70)=ABS(U70-W70),Auxiliar!$C$13,IF(AND(SIGN($E70-$G70)=SIGN(U70-W70),MIN($E70,$G70)=MIN(U70,W70)),Auxiliar!$C$14,IF(SIGN($E70-$G70)=SIGN(U70-W70),Auxiliar!$C$15,IF(U70=W70,Auxiliar!$C$16,0)))))))</f>
        <v>18</v>
      </c>
      <c r="Z70" s="9">
        <v>0</v>
      </c>
      <c r="AA70" s="10" t="s">
        <v>23</v>
      </c>
      <c r="AB70" s="11">
        <v>2</v>
      </c>
      <c r="AC70" s="60">
        <f>IF(OR($E70="",$G70=""),"",IF(AND(Z70=$E70,AB70=$G70),Auxiliar!$C$11,IF(AND(SIGN($E70-$G70)=SIGN(Z70-AB70),MAX($E70,$G70)=MAX(Z70,AB70)),Auxiliar!$C$12,IF(ABS($E70-$G70)=ABS(Z70-AB70),Auxiliar!$C$13,IF(AND(SIGN($E70-$G70)=SIGN(Z70-AB70),MIN($E70,$G70)=MIN(Z70,AB70)),Auxiliar!$C$14,IF(SIGN($E70-$G70)=SIGN(Z70-AB70),Auxiliar!$C$15,IF(Z70=AB70,Auxiliar!$C$16,0)))))))</f>
        <v>12</v>
      </c>
      <c r="AE70" s="9">
        <v>5</v>
      </c>
      <c r="AF70" s="10" t="s">
        <v>23</v>
      </c>
      <c r="AG70" s="11">
        <v>2</v>
      </c>
      <c r="AH70" s="60">
        <f>IF(OR($E70="",$G70=""),"",IF(AND(AE70=$E70,AG70=$G70),Auxiliar!$C$11,IF(AND(SIGN($E70-$G70)=SIGN(AE70-AG70),MAX($E70,$G70)=MAX(AE70,AG70)),Auxiliar!$C$12,IF(ABS($E70-$G70)=ABS(AE70-AG70),Auxiliar!$C$13,IF(AND(SIGN($E70-$G70)=SIGN(AE70-AG70),MIN($E70,$G70)=MIN(AE70,AG70)),Auxiliar!$C$14,IF(SIGN($E70-$G70)=SIGN(AE70-AG70),Auxiliar!$C$15,IF(AE70=AG70,Auxiliar!$C$16,0)))))))</f>
        <v>0</v>
      </c>
    </row>
    <row r="71" spans="3:34" x14ac:dyDescent="0.25">
      <c r="C71" s="24">
        <f t="shared" si="0"/>
        <v>6</v>
      </c>
      <c r="D71" s="18" t="s">
        <v>7</v>
      </c>
      <c r="E71" s="13">
        <v>0</v>
      </c>
      <c r="F71" s="12" t="s">
        <v>23</v>
      </c>
      <c r="G71" s="13">
        <v>0</v>
      </c>
      <c r="H71" s="14" t="s">
        <v>21</v>
      </c>
      <c r="K71" s="9">
        <v>2</v>
      </c>
      <c r="L71" s="10" t="s">
        <v>23</v>
      </c>
      <c r="M71" s="11">
        <v>3</v>
      </c>
      <c r="N71" s="60">
        <f>IF(OR($E71="",$G71=""),"",IF(AND(K71=$E71,M71=$G71),Auxiliar!$C$11,IF(AND(SIGN($E71-$G71)=SIGN(K71-M71),MAX($E71,$G71)=MAX(K71,M71)),Auxiliar!$C$12,IF(ABS($E71-$G71)=ABS(K71-M71),Auxiliar!$C$13,IF(AND(SIGN($E71-$G71)=SIGN(K71-M71),MIN($E71,$G71)=MIN(K71,M71)),Auxiliar!$C$14,IF(SIGN($E71-$G71)=SIGN(K71-M71),Auxiliar!$C$15,IF(K71=M71,Auxiliar!$C$16,0)))))))</f>
        <v>0</v>
      </c>
      <c r="P71" s="9">
        <v>2</v>
      </c>
      <c r="Q71" s="10" t="s">
        <v>23</v>
      </c>
      <c r="R71" s="11">
        <v>1</v>
      </c>
      <c r="S71" s="60">
        <f>IF(OR($E71="",$G71=""),"",IF(AND(P71=$E71,R71=$G71),Auxiliar!$C$11,IF(AND(SIGN($E71-$G71)=SIGN(P71-R71),MAX($E71,$G71)=MAX(P71,R71)),Auxiliar!$C$12,IF(ABS($E71-$G71)=ABS(P71-R71),Auxiliar!$C$13,IF(AND(SIGN($E71-$G71)=SIGN(P71-R71),MIN($E71,$G71)=MIN(P71,R71)),Auxiliar!$C$14,IF(SIGN($E71-$G71)=SIGN(P71-R71),Auxiliar!$C$15,IF(P71=R71,Auxiliar!$C$16,0)))))))</f>
        <v>0</v>
      </c>
      <c r="U71" s="9">
        <v>4</v>
      </c>
      <c r="V71" s="10" t="s">
        <v>23</v>
      </c>
      <c r="W71" s="11">
        <v>0</v>
      </c>
      <c r="X71" s="60">
        <f>IF(OR($E71="",$G71=""),"",IF(AND(U71=$E71,W71=$G71),Auxiliar!$C$11,IF(AND(SIGN($E71-$G71)=SIGN(U71-W71),MAX($E71,$G71)=MAX(U71,W71)),Auxiliar!$C$12,IF(ABS($E71-$G71)=ABS(U71-W71),Auxiliar!$C$13,IF(AND(SIGN($E71-$G71)=SIGN(U71-W71),MIN($E71,$G71)=MIN(U71,W71)),Auxiliar!$C$14,IF(SIGN($E71-$G71)=SIGN(U71-W71),Auxiliar!$C$15,IF(U71=W71,Auxiliar!$C$16,0)))))))</f>
        <v>0</v>
      </c>
      <c r="Z71" s="9">
        <v>2</v>
      </c>
      <c r="AA71" s="10" t="s">
        <v>23</v>
      </c>
      <c r="AB71" s="11">
        <v>1</v>
      </c>
      <c r="AC71" s="60">
        <f>IF(OR($E71="",$G71=""),"",IF(AND(Z71=$E71,AB71=$G71),Auxiliar!$C$11,IF(AND(SIGN($E71-$G71)=SIGN(Z71-AB71),MAX($E71,$G71)=MAX(Z71,AB71)),Auxiliar!$C$12,IF(ABS($E71-$G71)=ABS(Z71-AB71),Auxiliar!$C$13,IF(AND(SIGN($E71-$G71)=SIGN(Z71-AB71),MIN($E71,$G71)=MIN(Z71,AB71)),Auxiliar!$C$14,IF(SIGN($E71-$G71)=SIGN(Z71-AB71),Auxiliar!$C$15,IF(Z71=AB71,Auxiliar!$C$16,0)))))))</f>
        <v>0</v>
      </c>
      <c r="AE71" s="9">
        <v>5</v>
      </c>
      <c r="AF71" s="10" t="s">
        <v>23</v>
      </c>
      <c r="AG71" s="11">
        <v>3</v>
      </c>
      <c r="AH71" s="60">
        <f>IF(OR($E71="",$G71=""),"",IF(AND(AE71=$E71,AG71=$G71),Auxiliar!$C$11,IF(AND(SIGN($E71-$G71)=SIGN(AE71-AG71),MAX($E71,$G71)=MAX(AE71,AG71)),Auxiliar!$C$12,IF(ABS($E71-$G71)=ABS(AE71-AG71),Auxiliar!$C$13,IF(AND(SIGN($E71-$G71)=SIGN(AE71-AG71),MIN($E71,$G71)=MIN(AE71,AG71)),Auxiliar!$C$14,IF(SIGN($E71-$G71)=SIGN(AE71-AG71),Auxiliar!$C$15,IF(AE71=AG71,Auxiliar!$C$16,0)))))))</f>
        <v>0</v>
      </c>
    </row>
    <row r="72" spans="3:34" x14ac:dyDescent="0.25">
      <c r="C72" s="24">
        <f t="shared" si="0"/>
        <v>6</v>
      </c>
      <c r="D72" s="18" t="s">
        <v>20</v>
      </c>
      <c r="E72" s="13">
        <v>0</v>
      </c>
      <c r="F72" s="12" t="s">
        <v>23</v>
      </c>
      <c r="G72" s="13">
        <v>5</v>
      </c>
      <c r="H72" s="14" t="s">
        <v>22</v>
      </c>
      <c r="K72" s="9">
        <v>3</v>
      </c>
      <c r="L72" s="10" t="s">
        <v>23</v>
      </c>
      <c r="M72" s="11">
        <v>1</v>
      </c>
      <c r="N72" s="60">
        <f>IF(OR($E72="",$G72=""),"",IF(AND(K72=$E72,M72=$G72),Auxiliar!$C$11,IF(AND(SIGN($E72-$G72)=SIGN(K72-M72),MAX($E72,$G72)=MAX(K72,M72)),Auxiliar!$C$12,IF(ABS($E72-$G72)=ABS(K72-M72),Auxiliar!$C$13,IF(AND(SIGN($E72-$G72)=SIGN(K72-M72),MIN($E72,$G72)=MIN(K72,M72)),Auxiliar!$C$14,IF(SIGN($E72-$G72)=SIGN(K72-M72),Auxiliar!$C$15,IF(K72=M72,Auxiliar!$C$16,0)))))))</f>
        <v>0</v>
      </c>
      <c r="P72" s="9">
        <v>4</v>
      </c>
      <c r="Q72" s="10" t="s">
        <v>23</v>
      </c>
      <c r="R72" s="11">
        <v>4</v>
      </c>
      <c r="S72" s="60">
        <f>IF(OR($E72="",$G72=""),"",IF(AND(P72=$E72,R72=$G72),Auxiliar!$C$11,IF(AND(SIGN($E72-$G72)=SIGN(P72-R72),MAX($E72,$G72)=MAX(P72,R72)),Auxiliar!$C$12,IF(ABS($E72-$G72)=ABS(P72-R72),Auxiliar!$C$13,IF(AND(SIGN($E72-$G72)=SIGN(P72-R72),MIN($E72,$G72)=MIN(P72,R72)),Auxiliar!$C$14,IF(SIGN($E72-$G72)=SIGN(P72-R72),Auxiliar!$C$15,IF(P72=R72,Auxiliar!$C$16,0)))))))</f>
        <v>5</v>
      </c>
      <c r="U72" s="9">
        <v>5</v>
      </c>
      <c r="V72" s="10" t="s">
        <v>23</v>
      </c>
      <c r="W72" s="11">
        <v>2</v>
      </c>
      <c r="X72" s="60">
        <f>IF(OR($E72="",$G72=""),"",IF(AND(U72=$E72,W72=$G72),Auxiliar!$C$11,IF(AND(SIGN($E72-$G72)=SIGN(U72-W72),MAX($E72,$G72)=MAX(U72,W72)),Auxiliar!$C$12,IF(ABS($E72-$G72)=ABS(U72-W72),Auxiliar!$C$13,IF(AND(SIGN($E72-$G72)=SIGN(U72-W72),MIN($E72,$G72)=MIN(U72,W72)),Auxiliar!$C$14,IF(SIGN($E72-$G72)=SIGN(U72-W72),Auxiliar!$C$15,IF(U72=W72,Auxiliar!$C$16,0)))))))</f>
        <v>0</v>
      </c>
      <c r="Z72" s="9">
        <v>3</v>
      </c>
      <c r="AA72" s="10" t="s">
        <v>23</v>
      </c>
      <c r="AB72" s="11">
        <v>2</v>
      </c>
      <c r="AC72" s="60">
        <f>IF(OR($E72="",$G72=""),"",IF(AND(Z72=$E72,AB72=$G72),Auxiliar!$C$11,IF(AND(SIGN($E72-$G72)=SIGN(Z72-AB72),MAX($E72,$G72)=MAX(Z72,AB72)),Auxiliar!$C$12,IF(ABS($E72-$G72)=ABS(Z72-AB72),Auxiliar!$C$13,IF(AND(SIGN($E72-$G72)=SIGN(Z72-AB72),MIN($E72,$G72)=MIN(Z72,AB72)),Auxiliar!$C$14,IF(SIGN($E72-$G72)=SIGN(Z72-AB72),Auxiliar!$C$15,IF(Z72=AB72,Auxiliar!$C$16,0)))))))</f>
        <v>0</v>
      </c>
      <c r="AE72" s="9">
        <v>1</v>
      </c>
      <c r="AF72" s="10" t="s">
        <v>23</v>
      </c>
      <c r="AG72" s="11">
        <v>3</v>
      </c>
      <c r="AH72" s="60">
        <f>IF(OR($E72="",$G72=""),"",IF(AND(AE72=$E72,AG72=$G72),Auxiliar!$C$11,IF(AND(SIGN($E72-$G72)=SIGN(AE72-AG72),MAX($E72,$G72)=MAX(AE72,AG72)),Auxiliar!$C$12,IF(ABS($E72-$G72)=ABS(AE72-AG72),Auxiliar!$C$13,IF(AND(SIGN($E72-$G72)=SIGN(AE72-AG72),MIN($E72,$G72)=MIN(AE72,AG72)),Auxiliar!$C$14,IF(SIGN($E72-$G72)=SIGN(AE72-AG72),Auxiliar!$C$15,IF(AE72=AG72,Auxiliar!$C$16,0)))))))</f>
        <v>10</v>
      </c>
    </row>
    <row r="73" spans="3:34" x14ac:dyDescent="0.25">
      <c r="C73" s="24">
        <f t="shared" si="0"/>
        <v>6</v>
      </c>
      <c r="D73" s="18" t="s">
        <v>14</v>
      </c>
      <c r="E73" s="13">
        <v>0</v>
      </c>
      <c r="F73" s="12" t="s">
        <v>23</v>
      </c>
      <c r="G73" s="13">
        <v>1</v>
      </c>
      <c r="H73" s="14" t="s">
        <v>16</v>
      </c>
      <c r="K73" s="9">
        <v>0</v>
      </c>
      <c r="L73" s="10" t="s">
        <v>23</v>
      </c>
      <c r="M73" s="11">
        <v>0</v>
      </c>
      <c r="N73" s="60">
        <f>IF(OR($E73="",$G73=""),"",IF(AND(K73=$E73,M73=$G73),Auxiliar!$C$11,IF(AND(SIGN($E73-$G73)=SIGN(K73-M73),MAX($E73,$G73)=MAX(K73,M73)),Auxiliar!$C$12,IF(ABS($E73-$G73)=ABS(K73-M73),Auxiliar!$C$13,IF(AND(SIGN($E73-$G73)=SIGN(K73-M73),MIN($E73,$G73)=MIN(K73,M73)),Auxiliar!$C$14,IF(SIGN($E73-$G73)=SIGN(K73-M73),Auxiliar!$C$15,IF(K73=M73,Auxiliar!$C$16,0)))))))</f>
        <v>5</v>
      </c>
      <c r="P73" s="9">
        <v>4</v>
      </c>
      <c r="Q73" s="10" t="s">
        <v>23</v>
      </c>
      <c r="R73" s="11">
        <v>4</v>
      </c>
      <c r="S73" s="60">
        <f>IF(OR($E73="",$G73=""),"",IF(AND(P73=$E73,R73=$G73),Auxiliar!$C$11,IF(AND(SIGN($E73-$G73)=SIGN(P73-R73),MAX($E73,$G73)=MAX(P73,R73)),Auxiliar!$C$12,IF(ABS($E73-$G73)=ABS(P73-R73),Auxiliar!$C$13,IF(AND(SIGN($E73-$G73)=SIGN(P73-R73),MIN($E73,$G73)=MIN(P73,R73)),Auxiliar!$C$14,IF(SIGN($E73-$G73)=SIGN(P73-R73),Auxiliar!$C$15,IF(P73=R73,Auxiliar!$C$16,0)))))))</f>
        <v>5</v>
      </c>
      <c r="U73" s="9">
        <v>4</v>
      </c>
      <c r="V73" s="10" t="s">
        <v>23</v>
      </c>
      <c r="W73" s="11">
        <v>4</v>
      </c>
      <c r="X73" s="60">
        <f>IF(OR($E73="",$G73=""),"",IF(AND(U73=$E73,W73=$G73),Auxiliar!$C$11,IF(AND(SIGN($E73-$G73)=SIGN(U73-W73),MAX($E73,$G73)=MAX(U73,W73)),Auxiliar!$C$12,IF(ABS($E73-$G73)=ABS(U73-W73),Auxiliar!$C$13,IF(AND(SIGN($E73-$G73)=SIGN(U73-W73),MIN($E73,$G73)=MIN(U73,W73)),Auxiliar!$C$14,IF(SIGN($E73-$G73)=SIGN(U73-W73),Auxiliar!$C$15,IF(U73=W73,Auxiliar!$C$16,0)))))))</f>
        <v>5</v>
      </c>
      <c r="Z73" s="9">
        <v>5</v>
      </c>
      <c r="AA73" s="10" t="s">
        <v>23</v>
      </c>
      <c r="AB73" s="11">
        <v>3</v>
      </c>
      <c r="AC73" s="60">
        <f>IF(OR($E73="",$G73=""),"",IF(AND(Z73=$E73,AB73=$G73),Auxiliar!$C$11,IF(AND(SIGN($E73-$G73)=SIGN(Z73-AB73),MAX($E73,$G73)=MAX(Z73,AB73)),Auxiliar!$C$12,IF(ABS($E73-$G73)=ABS(Z73-AB73),Auxiliar!$C$13,IF(AND(SIGN($E73-$G73)=SIGN(Z73-AB73),MIN($E73,$G73)=MIN(Z73,AB73)),Auxiliar!$C$14,IF(SIGN($E73-$G73)=SIGN(Z73-AB73),Auxiliar!$C$15,IF(Z73=AB73,Auxiliar!$C$16,0)))))))</f>
        <v>0</v>
      </c>
      <c r="AE73" s="9">
        <v>2</v>
      </c>
      <c r="AF73" s="10" t="s">
        <v>23</v>
      </c>
      <c r="AG73" s="11">
        <v>3</v>
      </c>
      <c r="AH73" s="60">
        <f>IF(OR($E73="",$G73=""),"",IF(AND(AE73=$E73,AG73=$G73),Auxiliar!$C$11,IF(AND(SIGN($E73-$G73)=SIGN(AE73-AG73),MAX($E73,$G73)=MAX(AE73,AG73)),Auxiliar!$C$12,IF(ABS($E73-$G73)=ABS(AE73-AG73),Auxiliar!$C$13,IF(AND(SIGN($E73-$G73)=SIGN(AE73-AG73),MIN($E73,$G73)=MIN(AE73,AG73)),Auxiliar!$C$14,IF(SIGN($E73-$G73)=SIGN(AE73-AG73),Auxiliar!$C$15,IF(AE73=AG73,Auxiliar!$C$16,0)))))))</f>
        <v>15</v>
      </c>
    </row>
    <row r="74" spans="3:34" x14ac:dyDescent="0.25">
      <c r="C74" s="24">
        <f t="shared" si="0"/>
        <v>6</v>
      </c>
      <c r="D74" s="18" t="s">
        <v>13</v>
      </c>
      <c r="E74" s="13">
        <v>3</v>
      </c>
      <c r="F74" s="12" t="s">
        <v>23</v>
      </c>
      <c r="G74" s="13">
        <v>2</v>
      </c>
      <c r="H74" s="14" t="s">
        <v>9</v>
      </c>
      <c r="K74" s="9">
        <v>0</v>
      </c>
      <c r="L74" s="10" t="s">
        <v>23</v>
      </c>
      <c r="M74" s="11">
        <v>5</v>
      </c>
      <c r="N74" s="60">
        <f>IF(OR($E74="",$G74=""),"",IF(AND(K74=$E74,M74=$G74),Auxiliar!$C$11,IF(AND(SIGN($E74-$G74)=SIGN(K74-M74),MAX($E74,$G74)=MAX(K74,M74)),Auxiliar!$C$12,IF(ABS($E74-$G74)=ABS(K74-M74),Auxiliar!$C$13,IF(AND(SIGN($E74-$G74)=SIGN(K74-M74),MIN($E74,$G74)=MIN(K74,M74)),Auxiliar!$C$14,IF(SIGN($E74-$G74)=SIGN(K74-M74),Auxiliar!$C$15,IF(K74=M74,Auxiliar!$C$16,0)))))))</f>
        <v>0</v>
      </c>
      <c r="P74" s="9">
        <v>0</v>
      </c>
      <c r="Q74" s="10" t="s">
        <v>23</v>
      </c>
      <c r="R74" s="11">
        <v>5</v>
      </c>
      <c r="S74" s="60">
        <f>IF(OR($E74="",$G74=""),"",IF(AND(P74=$E74,R74=$G74),Auxiliar!$C$11,IF(AND(SIGN($E74-$G74)=SIGN(P74-R74),MAX($E74,$G74)=MAX(P74,R74)),Auxiliar!$C$12,IF(ABS($E74-$G74)=ABS(P74-R74),Auxiliar!$C$13,IF(AND(SIGN($E74-$G74)=SIGN(P74-R74),MIN($E74,$G74)=MIN(P74,R74)),Auxiliar!$C$14,IF(SIGN($E74-$G74)=SIGN(P74-R74),Auxiliar!$C$15,IF(P74=R74,Auxiliar!$C$16,0)))))))</f>
        <v>0</v>
      </c>
      <c r="U74" s="9">
        <v>4</v>
      </c>
      <c r="V74" s="10" t="s">
        <v>23</v>
      </c>
      <c r="W74" s="11">
        <v>1</v>
      </c>
      <c r="X74" s="60">
        <f>IF(OR($E74="",$G74=""),"",IF(AND(U74=$E74,W74=$G74),Auxiliar!$C$11,IF(AND(SIGN($E74-$G74)=SIGN(U74-W74),MAX($E74,$G74)=MAX(U74,W74)),Auxiliar!$C$12,IF(ABS($E74-$G74)=ABS(U74-W74),Auxiliar!$C$13,IF(AND(SIGN($E74-$G74)=SIGN(U74-W74),MIN($E74,$G74)=MIN(U74,W74)),Auxiliar!$C$14,IF(SIGN($E74-$G74)=SIGN(U74-W74),Auxiliar!$C$15,IF(U74=W74,Auxiliar!$C$16,0)))))))</f>
        <v>10</v>
      </c>
      <c r="Z74" s="9">
        <v>5</v>
      </c>
      <c r="AA74" s="10" t="s">
        <v>23</v>
      </c>
      <c r="AB74" s="11">
        <v>0</v>
      </c>
      <c r="AC74" s="60">
        <f>IF(OR($E74="",$G74=""),"",IF(AND(Z74=$E74,AB74=$G74),Auxiliar!$C$11,IF(AND(SIGN($E74-$G74)=SIGN(Z74-AB74),MAX($E74,$G74)=MAX(Z74,AB74)),Auxiliar!$C$12,IF(ABS($E74-$G74)=ABS(Z74-AB74),Auxiliar!$C$13,IF(AND(SIGN($E74-$G74)=SIGN(Z74-AB74),MIN($E74,$G74)=MIN(Z74,AB74)),Auxiliar!$C$14,IF(SIGN($E74-$G74)=SIGN(Z74-AB74),Auxiliar!$C$15,IF(Z74=AB74,Auxiliar!$C$16,0)))))))</f>
        <v>10</v>
      </c>
      <c r="AE74" s="9">
        <v>3</v>
      </c>
      <c r="AF74" s="10" t="s">
        <v>23</v>
      </c>
      <c r="AG74" s="11">
        <v>1</v>
      </c>
      <c r="AH74" s="60">
        <f>IF(OR($E74="",$G74=""),"",IF(AND(AE74=$E74,AG74=$G74),Auxiliar!$C$11,IF(AND(SIGN($E74-$G74)=SIGN(AE74-AG74),MAX($E74,$G74)=MAX(AE74,AG74)),Auxiliar!$C$12,IF(ABS($E74-$G74)=ABS(AE74-AG74),Auxiliar!$C$13,IF(AND(SIGN($E74-$G74)=SIGN(AE74-AG74),MIN($E74,$G74)=MIN(AE74,AG74)),Auxiliar!$C$14,IF(SIGN($E74-$G74)=SIGN(AE74-AG74),Auxiliar!$C$15,IF(AE74=AG74,Auxiliar!$C$16,0)))))))</f>
        <v>18</v>
      </c>
    </row>
    <row r="75" spans="3:34" x14ac:dyDescent="0.25">
      <c r="C75" s="24">
        <f t="shared" si="0"/>
        <v>6</v>
      </c>
      <c r="D75" s="18" t="s">
        <v>18</v>
      </c>
      <c r="E75" s="13">
        <v>2</v>
      </c>
      <c r="F75" s="12" t="s">
        <v>23</v>
      </c>
      <c r="G75" s="13">
        <v>5</v>
      </c>
      <c r="H75" s="14" t="s">
        <v>4</v>
      </c>
      <c r="K75" s="9">
        <v>0</v>
      </c>
      <c r="L75" s="10" t="s">
        <v>23</v>
      </c>
      <c r="M75" s="11">
        <v>2</v>
      </c>
      <c r="N75" s="60">
        <f>IF(OR($E75="",$G75=""),"",IF(AND(K75=$E75,M75=$G75),Auxiliar!$C$11,IF(AND(SIGN($E75-$G75)=SIGN(K75-M75),MAX($E75,$G75)=MAX(K75,M75)),Auxiliar!$C$12,IF(ABS($E75-$G75)=ABS(K75-M75),Auxiliar!$C$13,IF(AND(SIGN($E75-$G75)=SIGN(K75-M75),MIN($E75,$G75)=MIN(K75,M75)),Auxiliar!$C$14,IF(SIGN($E75-$G75)=SIGN(K75-M75),Auxiliar!$C$15,IF(K75=M75,Auxiliar!$C$16,0)))))))</f>
        <v>10</v>
      </c>
      <c r="P75" s="9">
        <v>2</v>
      </c>
      <c r="Q75" s="10" t="s">
        <v>23</v>
      </c>
      <c r="R75" s="11">
        <v>4</v>
      </c>
      <c r="S75" s="60">
        <f>IF(OR($E75="",$G75=""),"",IF(AND(P75=$E75,R75=$G75),Auxiliar!$C$11,IF(AND(SIGN($E75-$G75)=SIGN(P75-R75),MAX($E75,$G75)=MAX(P75,R75)),Auxiliar!$C$12,IF(ABS($E75-$G75)=ABS(P75-R75),Auxiliar!$C$13,IF(AND(SIGN($E75-$G75)=SIGN(P75-R75),MIN($E75,$G75)=MIN(P75,R75)),Auxiliar!$C$14,IF(SIGN($E75-$G75)=SIGN(P75-R75),Auxiliar!$C$15,IF(P75=R75,Auxiliar!$C$16,0)))))))</f>
        <v>12</v>
      </c>
      <c r="U75" s="9">
        <v>5</v>
      </c>
      <c r="V75" s="10" t="s">
        <v>23</v>
      </c>
      <c r="W75" s="11">
        <v>4</v>
      </c>
      <c r="X75" s="60">
        <f>IF(OR($E75="",$G75=""),"",IF(AND(U75=$E75,W75=$G75),Auxiliar!$C$11,IF(AND(SIGN($E75-$G75)=SIGN(U75-W75),MAX($E75,$G75)=MAX(U75,W75)),Auxiliar!$C$12,IF(ABS($E75-$G75)=ABS(U75-W75),Auxiliar!$C$13,IF(AND(SIGN($E75-$G75)=SIGN(U75-W75),MIN($E75,$G75)=MIN(U75,W75)),Auxiliar!$C$14,IF(SIGN($E75-$G75)=SIGN(U75-W75),Auxiliar!$C$15,IF(U75=W75,Auxiliar!$C$16,0)))))))</f>
        <v>0</v>
      </c>
      <c r="Z75" s="9">
        <v>4</v>
      </c>
      <c r="AA75" s="10" t="s">
        <v>23</v>
      </c>
      <c r="AB75" s="11">
        <v>3</v>
      </c>
      <c r="AC75" s="60">
        <f>IF(OR($E75="",$G75=""),"",IF(AND(Z75=$E75,AB75=$G75),Auxiliar!$C$11,IF(AND(SIGN($E75-$G75)=SIGN(Z75-AB75),MAX($E75,$G75)=MAX(Z75,AB75)),Auxiliar!$C$12,IF(ABS($E75-$G75)=ABS(Z75-AB75),Auxiliar!$C$13,IF(AND(SIGN($E75-$G75)=SIGN(Z75-AB75),MIN($E75,$G75)=MIN(Z75,AB75)),Auxiliar!$C$14,IF(SIGN($E75-$G75)=SIGN(Z75-AB75),Auxiliar!$C$15,IF(Z75=AB75,Auxiliar!$C$16,0)))))))</f>
        <v>0</v>
      </c>
      <c r="AE75" s="9">
        <v>2</v>
      </c>
      <c r="AF75" s="10" t="s">
        <v>23</v>
      </c>
      <c r="AG75" s="11">
        <v>2</v>
      </c>
      <c r="AH75" s="60">
        <f>IF(OR($E75="",$G75=""),"",IF(AND(AE75=$E75,AG75=$G75),Auxiliar!$C$11,IF(AND(SIGN($E75-$G75)=SIGN(AE75-AG75),MAX($E75,$G75)=MAX(AE75,AG75)),Auxiliar!$C$12,IF(ABS($E75-$G75)=ABS(AE75-AG75),Auxiliar!$C$13,IF(AND(SIGN($E75-$G75)=SIGN(AE75-AG75),MIN($E75,$G75)=MIN(AE75,AG75)),Auxiliar!$C$14,IF(SIGN($E75-$G75)=SIGN(AE75-AG75),Auxiliar!$C$15,IF(AE75=AG75,Auxiliar!$C$16,0)))))))</f>
        <v>5</v>
      </c>
    </row>
    <row r="76" spans="3:34" x14ac:dyDescent="0.25">
      <c r="C76" s="24">
        <f t="shared" si="0"/>
        <v>6</v>
      </c>
      <c r="D76" s="18" t="s">
        <v>15</v>
      </c>
      <c r="E76" s="13">
        <v>0</v>
      </c>
      <c r="F76" s="12" t="s">
        <v>23</v>
      </c>
      <c r="G76" s="13">
        <v>3</v>
      </c>
      <c r="H76" s="14" t="s">
        <v>19</v>
      </c>
      <c r="K76" s="9">
        <v>3</v>
      </c>
      <c r="L76" s="10" t="s">
        <v>23</v>
      </c>
      <c r="M76" s="11">
        <v>2</v>
      </c>
      <c r="N76" s="60">
        <f>IF(OR($E76="",$G76=""),"",IF(AND(K76=$E76,M76=$G76),Auxiliar!$C$11,IF(AND(SIGN($E76-$G76)=SIGN(K76-M76),MAX($E76,$G76)=MAX(K76,M76)),Auxiliar!$C$12,IF(ABS($E76-$G76)=ABS(K76-M76),Auxiliar!$C$13,IF(AND(SIGN($E76-$G76)=SIGN(K76-M76),MIN($E76,$G76)=MIN(K76,M76)),Auxiliar!$C$14,IF(SIGN($E76-$G76)=SIGN(K76-M76),Auxiliar!$C$15,IF(K76=M76,Auxiliar!$C$16,0)))))))</f>
        <v>0</v>
      </c>
      <c r="P76" s="9">
        <v>4</v>
      </c>
      <c r="Q76" s="10" t="s">
        <v>23</v>
      </c>
      <c r="R76" s="11">
        <v>1</v>
      </c>
      <c r="S76" s="60">
        <f>IF(OR($E76="",$G76=""),"",IF(AND(P76=$E76,R76=$G76),Auxiliar!$C$11,IF(AND(SIGN($E76-$G76)=SIGN(P76-R76),MAX($E76,$G76)=MAX(P76,R76)),Auxiliar!$C$12,IF(ABS($E76-$G76)=ABS(P76-R76),Auxiliar!$C$13,IF(AND(SIGN($E76-$G76)=SIGN(P76-R76),MIN($E76,$G76)=MIN(P76,R76)),Auxiliar!$C$14,IF(SIGN($E76-$G76)=SIGN(P76-R76),Auxiliar!$C$15,IF(P76=R76,Auxiliar!$C$16,0)))))))</f>
        <v>15</v>
      </c>
      <c r="U76" s="9">
        <v>4</v>
      </c>
      <c r="V76" s="10" t="s">
        <v>23</v>
      </c>
      <c r="W76" s="11">
        <v>0</v>
      </c>
      <c r="X76" s="60">
        <f>IF(OR($E76="",$G76=""),"",IF(AND(U76=$E76,W76=$G76),Auxiliar!$C$11,IF(AND(SIGN($E76-$G76)=SIGN(U76-W76),MAX($E76,$G76)=MAX(U76,W76)),Auxiliar!$C$12,IF(ABS($E76-$G76)=ABS(U76-W76),Auxiliar!$C$13,IF(AND(SIGN($E76-$G76)=SIGN(U76-W76),MIN($E76,$G76)=MIN(U76,W76)),Auxiliar!$C$14,IF(SIGN($E76-$G76)=SIGN(U76-W76),Auxiliar!$C$15,IF(U76=W76,Auxiliar!$C$16,0)))))))</f>
        <v>0</v>
      </c>
      <c r="Z76" s="9">
        <v>3</v>
      </c>
      <c r="AA76" s="10" t="s">
        <v>23</v>
      </c>
      <c r="AB76" s="11">
        <v>0</v>
      </c>
      <c r="AC76" s="60">
        <f>IF(OR($E76="",$G76=""),"",IF(AND(Z76=$E76,AB76=$G76),Auxiliar!$C$11,IF(AND(SIGN($E76-$G76)=SIGN(Z76-AB76),MAX($E76,$G76)=MAX(Z76,AB76)),Auxiliar!$C$12,IF(ABS($E76-$G76)=ABS(Z76-AB76),Auxiliar!$C$13,IF(AND(SIGN($E76-$G76)=SIGN(Z76-AB76),MIN($E76,$G76)=MIN(Z76,AB76)),Auxiliar!$C$14,IF(SIGN($E76-$G76)=SIGN(Z76-AB76),Auxiliar!$C$15,IF(Z76=AB76,Auxiliar!$C$16,0)))))))</f>
        <v>15</v>
      </c>
      <c r="AE76" s="9">
        <v>2</v>
      </c>
      <c r="AF76" s="10" t="s">
        <v>23</v>
      </c>
      <c r="AG76" s="11">
        <v>4</v>
      </c>
      <c r="AH76" s="60">
        <f>IF(OR($E76="",$G76=""),"",IF(AND(AE76=$E76,AG76=$G76),Auxiliar!$C$11,IF(AND(SIGN($E76-$G76)=SIGN(AE76-AG76),MAX($E76,$G76)=MAX(AE76,AG76)),Auxiliar!$C$12,IF(ABS($E76-$G76)=ABS(AE76-AG76),Auxiliar!$C$13,IF(AND(SIGN($E76-$G76)=SIGN(AE76-AG76),MIN($E76,$G76)=MIN(AE76,AG76)),Auxiliar!$C$14,IF(SIGN($E76-$G76)=SIGN(AE76-AG76),Auxiliar!$C$15,IF(AE76=AG76,Auxiliar!$C$16,0)))))))</f>
        <v>10</v>
      </c>
    </row>
    <row r="77" spans="3:34" x14ac:dyDescent="0.25">
      <c r="C77" s="24">
        <f t="shared" si="0"/>
        <v>6</v>
      </c>
      <c r="D77" s="18" t="s">
        <v>17</v>
      </c>
      <c r="E77" s="13">
        <v>0</v>
      </c>
      <c r="F77" s="12" t="s">
        <v>23</v>
      </c>
      <c r="G77" s="13">
        <v>1</v>
      </c>
      <c r="H77" s="14" t="s">
        <v>11</v>
      </c>
      <c r="K77" s="9">
        <v>0</v>
      </c>
      <c r="L77" s="10" t="s">
        <v>23</v>
      </c>
      <c r="M77" s="11">
        <v>2</v>
      </c>
      <c r="N77" s="60">
        <f>IF(OR($E77="",$G77=""),"",IF(AND(K77=$E77,M77=$G77),Auxiliar!$C$11,IF(AND(SIGN($E77-$G77)=SIGN(K77-M77),MAX($E77,$G77)=MAX(K77,M77)),Auxiliar!$C$12,IF(ABS($E77-$G77)=ABS(K77-M77),Auxiliar!$C$13,IF(AND(SIGN($E77-$G77)=SIGN(K77-M77),MIN($E77,$G77)=MIN(K77,M77)),Auxiliar!$C$14,IF(SIGN($E77-$G77)=SIGN(K77-M77),Auxiliar!$C$15,IF(K77=M77,Auxiliar!$C$16,0)))))))</f>
        <v>12</v>
      </c>
      <c r="P77" s="9">
        <v>5</v>
      </c>
      <c r="Q77" s="10" t="s">
        <v>23</v>
      </c>
      <c r="R77" s="11">
        <v>5</v>
      </c>
      <c r="S77" s="60">
        <f>IF(OR($E77="",$G77=""),"",IF(AND(P77=$E77,R77=$G77),Auxiliar!$C$11,IF(AND(SIGN($E77-$G77)=SIGN(P77-R77),MAX($E77,$G77)=MAX(P77,R77)),Auxiliar!$C$12,IF(ABS($E77-$G77)=ABS(P77-R77),Auxiliar!$C$13,IF(AND(SIGN($E77-$G77)=SIGN(P77-R77),MIN($E77,$G77)=MIN(P77,R77)),Auxiliar!$C$14,IF(SIGN($E77-$G77)=SIGN(P77-R77),Auxiliar!$C$15,IF(P77=R77,Auxiliar!$C$16,0)))))))</f>
        <v>5</v>
      </c>
      <c r="U77" s="9">
        <v>1</v>
      </c>
      <c r="V77" s="10" t="s">
        <v>23</v>
      </c>
      <c r="W77" s="11">
        <v>1</v>
      </c>
      <c r="X77" s="60">
        <f>IF(OR($E77="",$G77=""),"",IF(AND(U77=$E77,W77=$G77),Auxiliar!$C$11,IF(AND(SIGN($E77-$G77)=SIGN(U77-W77),MAX($E77,$G77)=MAX(U77,W77)),Auxiliar!$C$12,IF(ABS($E77-$G77)=ABS(U77-W77),Auxiliar!$C$13,IF(AND(SIGN($E77-$G77)=SIGN(U77-W77),MIN($E77,$G77)=MIN(U77,W77)),Auxiliar!$C$14,IF(SIGN($E77-$G77)=SIGN(U77-W77),Auxiliar!$C$15,IF(U77=W77,Auxiliar!$C$16,0)))))))</f>
        <v>5</v>
      </c>
      <c r="Z77" s="9">
        <v>5</v>
      </c>
      <c r="AA77" s="10" t="s">
        <v>23</v>
      </c>
      <c r="AB77" s="11">
        <v>3</v>
      </c>
      <c r="AC77" s="60">
        <f>IF(OR($E77="",$G77=""),"",IF(AND(Z77=$E77,AB77=$G77),Auxiliar!$C$11,IF(AND(SIGN($E77-$G77)=SIGN(Z77-AB77),MAX($E77,$G77)=MAX(Z77,AB77)),Auxiliar!$C$12,IF(ABS($E77-$G77)=ABS(Z77-AB77),Auxiliar!$C$13,IF(AND(SIGN($E77-$G77)=SIGN(Z77-AB77),MIN($E77,$G77)=MIN(Z77,AB77)),Auxiliar!$C$14,IF(SIGN($E77-$G77)=SIGN(Z77-AB77),Auxiliar!$C$15,IF(Z77=AB77,Auxiliar!$C$16,0)))))))</f>
        <v>0</v>
      </c>
      <c r="AE77" s="9">
        <v>2</v>
      </c>
      <c r="AF77" s="10" t="s">
        <v>23</v>
      </c>
      <c r="AG77" s="11">
        <v>1</v>
      </c>
      <c r="AH77" s="60">
        <f>IF(OR($E77="",$G77=""),"",IF(AND(AE77=$E77,AG77=$G77),Auxiliar!$C$11,IF(AND(SIGN($E77-$G77)=SIGN(AE77-AG77),MAX($E77,$G77)=MAX(AE77,AG77)),Auxiliar!$C$12,IF(ABS($E77-$G77)=ABS(AE77-AG77),Auxiliar!$C$13,IF(AND(SIGN($E77-$G77)=SIGN(AE77-AG77),MIN($E77,$G77)=MIN(AE77,AG77)),Auxiliar!$C$14,IF(SIGN($E77-$G77)=SIGN(AE77-AG77),Auxiliar!$C$15,IF(AE77=AG77,Auxiliar!$C$16,0)))))))</f>
        <v>15</v>
      </c>
    </row>
    <row r="78" spans="3:34" x14ac:dyDescent="0.25">
      <c r="C78" s="24">
        <f t="shared" si="0"/>
        <v>6</v>
      </c>
      <c r="D78" s="18" t="s">
        <v>6</v>
      </c>
      <c r="E78" s="13">
        <v>2</v>
      </c>
      <c r="F78" s="12" t="s">
        <v>23</v>
      </c>
      <c r="G78" s="13">
        <v>0</v>
      </c>
      <c r="H78" s="14" t="s">
        <v>8</v>
      </c>
      <c r="K78" s="9">
        <v>2</v>
      </c>
      <c r="L78" s="10" t="s">
        <v>23</v>
      </c>
      <c r="M78" s="11">
        <v>2</v>
      </c>
      <c r="N78" s="60">
        <f>IF(OR($E78="",$G78=""),"",IF(AND(K78=$E78,M78=$G78),Auxiliar!$C$11,IF(AND(SIGN($E78-$G78)=SIGN(K78-M78),MAX($E78,$G78)=MAX(K78,M78)),Auxiliar!$C$12,IF(ABS($E78-$G78)=ABS(K78-M78),Auxiliar!$C$13,IF(AND(SIGN($E78-$G78)=SIGN(K78-M78),MIN($E78,$G78)=MIN(K78,M78)),Auxiliar!$C$14,IF(SIGN($E78-$G78)=SIGN(K78-M78),Auxiliar!$C$15,IF(K78=M78,Auxiliar!$C$16,0)))))))</f>
        <v>5</v>
      </c>
      <c r="P78" s="9">
        <v>3</v>
      </c>
      <c r="Q78" s="10" t="s">
        <v>23</v>
      </c>
      <c r="R78" s="11">
        <v>5</v>
      </c>
      <c r="S78" s="60">
        <f>IF(OR($E78="",$G78=""),"",IF(AND(P78=$E78,R78=$G78),Auxiliar!$C$11,IF(AND(SIGN($E78-$G78)=SIGN(P78-R78),MAX($E78,$G78)=MAX(P78,R78)),Auxiliar!$C$12,IF(ABS($E78-$G78)=ABS(P78-R78),Auxiliar!$C$13,IF(AND(SIGN($E78-$G78)=SIGN(P78-R78),MIN($E78,$G78)=MIN(P78,R78)),Auxiliar!$C$14,IF(SIGN($E78-$G78)=SIGN(P78-R78),Auxiliar!$C$15,IF(P78=R78,Auxiliar!$C$16,0)))))))</f>
        <v>15</v>
      </c>
      <c r="U78" s="9">
        <v>2</v>
      </c>
      <c r="V78" s="10" t="s">
        <v>23</v>
      </c>
      <c r="W78" s="11">
        <v>4</v>
      </c>
      <c r="X78" s="60">
        <f>IF(OR($E78="",$G78=""),"",IF(AND(U78=$E78,W78=$G78),Auxiliar!$C$11,IF(AND(SIGN($E78-$G78)=SIGN(U78-W78),MAX($E78,$G78)=MAX(U78,W78)),Auxiliar!$C$12,IF(ABS($E78-$G78)=ABS(U78-W78),Auxiliar!$C$13,IF(AND(SIGN($E78-$G78)=SIGN(U78-W78),MIN($E78,$G78)=MIN(U78,W78)),Auxiliar!$C$14,IF(SIGN($E78-$G78)=SIGN(U78-W78),Auxiliar!$C$15,IF(U78=W78,Auxiliar!$C$16,0)))))))</f>
        <v>15</v>
      </c>
      <c r="Z78" s="9">
        <v>4</v>
      </c>
      <c r="AA78" s="10" t="s">
        <v>23</v>
      </c>
      <c r="AB78" s="11">
        <v>5</v>
      </c>
      <c r="AC78" s="60">
        <f>IF(OR($E78="",$G78=""),"",IF(AND(Z78=$E78,AB78=$G78),Auxiliar!$C$11,IF(AND(SIGN($E78-$G78)=SIGN(Z78-AB78),MAX($E78,$G78)=MAX(Z78,AB78)),Auxiliar!$C$12,IF(ABS($E78-$G78)=ABS(Z78-AB78),Auxiliar!$C$13,IF(AND(SIGN($E78-$G78)=SIGN(Z78-AB78),MIN($E78,$G78)=MIN(Z78,AB78)),Auxiliar!$C$14,IF(SIGN($E78-$G78)=SIGN(Z78-AB78),Auxiliar!$C$15,IF(Z78=AB78,Auxiliar!$C$16,0)))))))</f>
        <v>0</v>
      </c>
      <c r="AE78" s="9">
        <v>4</v>
      </c>
      <c r="AF78" s="10" t="s">
        <v>23</v>
      </c>
      <c r="AG78" s="11">
        <v>3</v>
      </c>
      <c r="AH78" s="60">
        <f>IF(OR($E78="",$G78=""),"",IF(AND(AE78=$E78,AG78=$G78),Auxiliar!$C$11,IF(AND(SIGN($E78-$G78)=SIGN(AE78-AG78),MAX($E78,$G78)=MAX(AE78,AG78)),Auxiliar!$C$12,IF(ABS($E78-$G78)=ABS(AE78-AG78),Auxiliar!$C$13,IF(AND(SIGN($E78-$G78)=SIGN(AE78-AG78),MIN($E78,$G78)=MIN(AE78,AG78)),Auxiliar!$C$14,IF(SIGN($E78-$G78)=SIGN(AE78-AG78),Auxiliar!$C$15,IF(AE78=AG78,Auxiliar!$C$16,0)))))))</f>
        <v>10</v>
      </c>
    </row>
    <row r="79" spans="3:34" x14ac:dyDescent="0.25">
      <c r="C79" s="24">
        <f t="shared" si="0"/>
        <v>7</v>
      </c>
      <c r="D79" s="18" t="s">
        <v>8</v>
      </c>
      <c r="E79" s="13">
        <v>4</v>
      </c>
      <c r="F79" s="12" t="s">
        <v>23</v>
      </c>
      <c r="G79" s="13">
        <v>3</v>
      </c>
      <c r="H79" s="14" t="s">
        <v>5</v>
      </c>
      <c r="K79" s="9">
        <v>2</v>
      </c>
      <c r="L79" s="10" t="s">
        <v>23</v>
      </c>
      <c r="M79" s="11">
        <v>1</v>
      </c>
      <c r="N79" s="60">
        <f>IF(OR($E79="",$G79=""),"",IF(AND(K79=$E79,M79=$G79),Auxiliar!$C$11,IF(AND(SIGN($E79-$G79)=SIGN(K79-M79),MAX($E79,$G79)=MAX(K79,M79)),Auxiliar!$C$12,IF(ABS($E79-$G79)=ABS(K79-M79),Auxiliar!$C$13,IF(AND(SIGN($E79-$G79)=SIGN(K79-M79),MIN($E79,$G79)=MIN(K79,M79)),Auxiliar!$C$14,IF(SIGN($E79-$G79)=SIGN(K79-M79),Auxiliar!$C$15,IF(K79=M79,Auxiliar!$C$16,0)))))))</f>
        <v>15</v>
      </c>
      <c r="P79" s="9">
        <v>0</v>
      </c>
      <c r="Q79" s="10" t="s">
        <v>23</v>
      </c>
      <c r="R79" s="11">
        <v>1</v>
      </c>
      <c r="S79" s="60">
        <f>IF(OR($E79="",$G79=""),"",IF(AND(P79=$E79,R79=$G79),Auxiliar!$C$11,IF(AND(SIGN($E79-$G79)=SIGN(P79-R79),MAX($E79,$G79)=MAX(P79,R79)),Auxiliar!$C$12,IF(ABS($E79-$G79)=ABS(P79-R79),Auxiliar!$C$13,IF(AND(SIGN($E79-$G79)=SIGN(P79-R79),MIN($E79,$G79)=MIN(P79,R79)),Auxiliar!$C$14,IF(SIGN($E79-$G79)=SIGN(P79-R79),Auxiliar!$C$15,IF(P79=R79,Auxiliar!$C$16,0)))))))</f>
        <v>15</v>
      </c>
      <c r="U79" s="9">
        <v>1</v>
      </c>
      <c r="V79" s="10" t="s">
        <v>23</v>
      </c>
      <c r="W79" s="11">
        <v>3</v>
      </c>
      <c r="X79" s="60">
        <f>IF(OR($E79="",$G79=""),"",IF(AND(U79=$E79,W79=$G79),Auxiliar!$C$11,IF(AND(SIGN($E79-$G79)=SIGN(U79-W79),MAX($E79,$G79)=MAX(U79,W79)),Auxiliar!$C$12,IF(ABS($E79-$G79)=ABS(U79-W79),Auxiliar!$C$13,IF(AND(SIGN($E79-$G79)=SIGN(U79-W79),MIN($E79,$G79)=MIN(U79,W79)),Auxiliar!$C$14,IF(SIGN($E79-$G79)=SIGN(U79-W79),Auxiliar!$C$15,IF(U79=W79,Auxiliar!$C$16,0)))))))</f>
        <v>0</v>
      </c>
      <c r="Z79" s="9">
        <v>2</v>
      </c>
      <c r="AA79" s="10" t="s">
        <v>23</v>
      </c>
      <c r="AB79" s="11">
        <v>1</v>
      </c>
      <c r="AC79" s="60">
        <f>IF(OR($E79="",$G79=""),"",IF(AND(Z79=$E79,AB79=$G79),Auxiliar!$C$11,IF(AND(SIGN($E79-$G79)=SIGN(Z79-AB79),MAX($E79,$G79)=MAX(Z79,AB79)),Auxiliar!$C$12,IF(ABS($E79-$G79)=ABS(Z79-AB79),Auxiliar!$C$13,IF(AND(SIGN($E79-$G79)=SIGN(Z79-AB79),MIN($E79,$G79)=MIN(Z79,AB79)),Auxiliar!$C$14,IF(SIGN($E79-$G79)=SIGN(Z79-AB79),Auxiliar!$C$15,IF(Z79=AB79,Auxiliar!$C$16,0)))))))</f>
        <v>15</v>
      </c>
      <c r="AE79" s="9">
        <v>3</v>
      </c>
      <c r="AF79" s="10" t="s">
        <v>23</v>
      </c>
      <c r="AG79" s="11">
        <v>5</v>
      </c>
      <c r="AH79" s="60">
        <f>IF(OR($E79="",$G79=""),"",IF(AND(AE79=$E79,AG79=$G79),Auxiliar!$C$11,IF(AND(SIGN($E79-$G79)=SIGN(AE79-AG79),MAX($E79,$G79)=MAX(AE79,AG79)),Auxiliar!$C$12,IF(ABS($E79-$G79)=ABS(AE79-AG79),Auxiliar!$C$13,IF(AND(SIGN($E79-$G79)=SIGN(AE79-AG79),MIN($E79,$G79)=MIN(AE79,AG79)),Auxiliar!$C$14,IF(SIGN($E79-$G79)=SIGN(AE79-AG79),Auxiliar!$C$15,IF(AE79=AG79,Auxiliar!$C$16,0)))))))</f>
        <v>0</v>
      </c>
    </row>
    <row r="80" spans="3:34" x14ac:dyDescent="0.25">
      <c r="C80" s="24">
        <f t="shared" si="0"/>
        <v>7</v>
      </c>
      <c r="D80" s="18" t="s">
        <v>4</v>
      </c>
      <c r="E80" s="13">
        <v>2</v>
      </c>
      <c r="F80" s="12" t="s">
        <v>23</v>
      </c>
      <c r="G80" s="13">
        <v>2</v>
      </c>
      <c r="H80" s="14" t="s">
        <v>15</v>
      </c>
      <c r="K80" s="9">
        <v>1</v>
      </c>
      <c r="L80" s="10" t="s">
        <v>23</v>
      </c>
      <c r="M80" s="11">
        <v>1</v>
      </c>
      <c r="N80" s="60">
        <f>IF(OR($E80="",$G80=""),"",IF(AND(K80=$E80,M80=$G80),Auxiliar!$C$11,IF(AND(SIGN($E80-$G80)=SIGN(K80-M80),MAX($E80,$G80)=MAX(K80,M80)),Auxiliar!$C$12,IF(ABS($E80-$G80)=ABS(K80-M80),Auxiliar!$C$13,IF(AND(SIGN($E80-$G80)=SIGN(K80-M80),MIN($E80,$G80)=MIN(K80,M80)),Auxiliar!$C$14,IF(SIGN($E80-$G80)=SIGN(K80-M80),Auxiliar!$C$15,IF(K80=M80,Auxiliar!$C$16,0)))))))</f>
        <v>15</v>
      </c>
      <c r="P80" s="9">
        <v>5</v>
      </c>
      <c r="Q80" s="10" t="s">
        <v>23</v>
      </c>
      <c r="R80" s="11">
        <v>2</v>
      </c>
      <c r="S80" s="60">
        <f>IF(OR($E80="",$G80=""),"",IF(AND(P80=$E80,R80=$G80),Auxiliar!$C$11,IF(AND(SIGN($E80-$G80)=SIGN(P80-R80),MAX($E80,$G80)=MAX(P80,R80)),Auxiliar!$C$12,IF(ABS($E80-$G80)=ABS(P80-R80),Auxiliar!$C$13,IF(AND(SIGN($E80-$G80)=SIGN(P80-R80),MIN($E80,$G80)=MIN(P80,R80)),Auxiliar!$C$14,IF(SIGN($E80-$G80)=SIGN(P80-R80),Auxiliar!$C$15,IF(P80=R80,Auxiliar!$C$16,0)))))))</f>
        <v>0</v>
      </c>
      <c r="U80" s="9">
        <v>3</v>
      </c>
      <c r="V80" s="10" t="s">
        <v>23</v>
      </c>
      <c r="W80" s="11">
        <v>1</v>
      </c>
      <c r="X80" s="60">
        <f>IF(OR($E80="",$G80=""),"",IF(AND(U80=$E80,W80=$G80),Auxiliar!$C$11,IF(AND(SIGN($E80-$G80)=SIGN(U80-W80),MAX($E80,$G80)=MAX(U80,W80)),Auxiliar!$C$12,IF(ABS($E80-$G80)=ABS(U80-W80),Auxiliar!$C$13,IF(AND(SIGN($E80-$G80)=SIGN(U80-W80),MIN($E80,$G80)=MIN(U80,W80)),Auxiliar!$C$14,IF(SIGN($E80-$G80)=SIGN(U80-W80),Auxiliar!$C$15,IF(U80=W80,Auxiliar!$C$16,0)))))))</f>
        <v>0</v>
      </c>
      <c r="Z80" s="9">
        <v>1</v>
      </c>
      <c r="AA80" s="10" t="s">
        <v>23</v>
      </c>
      <c r="AB80" s="11">
        <v>4</v>
      </c>
      <c r="AC80" s="60">
        <f>IF(OR($E80="",$G80=""),"",IF(AND(Z80=$E80,AB80=$G80),Auxiliar!$C$11,IF(AND(SIGN($E80-$G80)=SIGN(Z80-AB80),MAX($E80,$G80)=MAX(Z80,AB80)),Auxiliar!$C$12,IF(ABS($E80-$G80)=ABS(Z80-AB80),Auxiliar!$C$13,IF(AND(SIGN($E80-$G80)=SIGN(Z80-AB80),MIN($E80,$G80)=MIN(Z80,AB80)),Auxiliar!$C$14,IF(SIGN($E80-$G80)=SIGN(Z80-AB80),Auxiliar!$C$15,IF(Z80=AB80,Auxiliar!$C$16,0)))))))</f>
        <v>0</v>
      </c>
      <c r="AE80" s="9">
        <v>2</v>
      </c>
      <c r="AF80" s="10" t="s">
        <v>23</v>
      </c>
      <c r="AG80" s="11">
        <v>3</v>
      </c>
      <c r="AH80" s="60">
        <f>IF(OR($E80="",$G80=""),"",IF(AND(AE80=$E80,AG80=$G80),Auxiliar!$C$11,IF(AND(SIGN($E80-$G80)=SIGN(AE80-AG80),MAX($E80,$G80)=MAX(AE80,AG80)),Auxiliar!$C$12,IF(ABS($E80-$G80)=ABS(AE80-AG80),Auxiliar!$C$13,IF(AND(SIGN($E80-$G80)=SIGN(AE80-AG80),MIN($E80,$G80)=MIN(AE80,AG80)),Auxiliar!$C$14,IF(SIGN($E80-$G80)=SIGN(AE80-AG80),Auxiliar!$C$15,IF(AE80=AG80,Auxiliar!$C$16,0)))))))</f>
        <v>0</v>
      </c>
    </row>
    <row r="81" spans="3:34" x14ac:dyDescent="0.25">
      <c r="C81" s="24">
        <f t="shared" si="0"/>
        <v>7</v>
      </c>
      <c r="D81" s="18" t="s">
        <v>16</v>
      </c>
      <c r="E81" s="13">
        <v>1</v>
      </c>
      <c r="F81" s="12" t="s">
        <v>23</v>
      </c>
      <c r="G81" s="13">
        <v>0</v>
      </c>
      <c r="H81" s="14" t="s">
        <v>9</v>
      </c>
      <c r="K81" s="9">
        <v>1</v>
      </c>
      <c r="L81" s="10" t="s">
        <v>23</v>
      </c>
      <c r="M81" s="11">
        <v>2</v>
      </c>
      <c r="N81" s="60">
        <f>IF(OR($E81="",$G81=""),"",IF(AND(K81=$E81,M81=$G81),Auxiliar!$C$11,IF(AND(SIGN($E81-$G81)=SIGN(K81-M81),MAX($E81,$G81)=MAX(K81,M81)),Auxiliar!$C$12,IF(ABS($E81-$G81)=ABS(K81-M81),Auxiliar!$C$13,IF(AND(SIGN($E81-$G81)=SIGN(K81-M81),MIN($E81,$G81)=MIN(K81,M81)),Auxiliar!$C$14,IF(SIGN($E81-$G81)=SIGN(K81-M81),Auxiliar!$C$15,IF(K81=M81,Auxiliar!$C$16,0)))))))</f>
        <v>15</v>
      </c>
      <c r="P81" s="9">
        <v>1</v>
      </c>
      <c r="Q81" s="10" t="s">
        <v>23</v>
      </c>
      <c r="R81" s="11">
        <v>2</v>
      </c>
      <c r="S81" s="60">
        <f>IF(OR($E81="",$G81=""),"",IF(AND(P81=$E81,R81=$G81),Auxiliar!$C$11,IF(AND(SIGN($E81-$G81)=SIGN(P81-R81),MAX($E81,$G81)=MAX(P81,R81)),Auxiliar!$C$12,IF(ABS($E81-$G81)=ABS(P81-R81),Auxiliar!$C$13,IF(AND(SIGN($E81-$G81)=SIGN(P81-R81),MIN($E81,$G81)=MIN(P81,R81)),Auxiliar!$C$14,IF(SIGN($E81-$G81)=SIGN(P81-R81),Auxiliar!$C$15,IF(P81=R81,Auxiliar!$C$16,0)))))))</f>
        <v>15</v>
      </c>
      <c r="U81" s="9">
        <v>1</v>
      </c>
      <c r="V81" s="10" t="s">
        <v>23</v>
      </c>
      <c r="W81" s="11">
        <v>0</v>
      </c>
      <c r="X81" s="60">
        <f>IF(OR($E81="",$G81=""),"",IF(AND(U81=$E81,W81=$G81),Auxiliar!$C$11,IF(AND(SIGN($E81-$G81)=SIGN(U81-W81),MAX($E81,$G81)=MAX(U81,W81)),Auxiliar!$C$12,IF(ABS($E81-$G81)=ABS(U81-W81),Auxiliar!$C$13,IF(AND(SIGN($E81-$G81)=SIGN(U81-W81),MIN($E81,$G81)=MIN(U81,W81)),Auxiliar!$C$14,IF(SIGN($E81-$G81)=SIGN(U81-W81),Auxiliar!$C$15,IF(U81=W81,Auxiliar!$C$16,0)))))))</f>
        <v>25</v>
      </c>
      <c r="Z81" s="9">
        <v>5</v>
      </c>
      <c r="AA81" s="10" t="s">
        <v>23</v>
      </c>
      <c r="AB81" s="11">
        <v>1</v>
      </c>
      <c r="AC81" s="60">
        <f>IF(OR($E81="",$G81=""),"",IF(AND(Z81=$E81,AB81=$G81),Auxiliar!$C$11,IF(AND(SIGN($E81-$G81)=SIGN(Z81-AB81),MAX($E81,$G81)=MAX(Z81,AB81)),Auxiliar!$C$12,IF(ABS($E81-$G81)=ABS(Z81-AB81),Auxiliar!$C$13,IF(AND(SIGN($E81-$G81)=SIGN(Z81-AB81),MIN($E81,$G81)=MIN(Z81,AB81)),Auxiliar!$C$14,IF(SIGN($E81-$G81)=SIGN(Z81-AB81),Auxiliar!$C$15,IF(Z81=AB81,Auxiliar!$C$16,0)))))))</f>
        <v>10</v>
      </c>
      <c r="AE81" s="9">
        <v>2</v>
      </c>
      <c r="AF81" s="10" t="s">
        <v>23</v>
      </c>
      <c r="AG81" s="11">
        <v>1</v>
      </c>
      <c r="AH81" s="60">
        <f>IF(OR($E81="",$G81=""),"",IF(AND(AE81=$E81,AG81=$G81),Auxiliar!$C$11,IF(AND(SIGN($E81-$G81)=SIGN(AE81-AG81),MAX($E81,$G81)=MAX(AE81,AG81)),Auxiliar!$C$12,IF(ABS($E81-$G81)=ABS(AE81-AG81),Auxiliar!$C$13,IF(AND(SIGN($E81-$G81)=SIGN(AE81-AG81),MIN($E81,$G81)=MIN(AE81,AG81)),Auxiliar!$C$14,IF(SIGN($E81-$G81)=SIGN(AE81-AG81),Auxiliar!$C$15,IF(AE81=AG81,Auxiliar!$C$16,0)))))))</f>
        <v>15</v>
      </c>
    </row>
    <row r="82" spans="3:34" x14ac:dyDescent="0.25">
      <c r="C82" s="24">
        <f t="shared" si="0"/>
        <v>7</v>
      </c>
      <c r="D82" s="18" t="s">
        <v>20</v>
      </c>
      <c r="E82" s="13">
        <v>5</v>
      </c>
      <c r="F82" s="12" t="s">
        <v>23</v>
      </c>
      <c r="G82" s="13">
        <v>4</v>
      </c>
      <c r="H82" s="14" t="s">
        <v>11</v>
      </c>
      <c r="K82" s="9">
        <v>4</v>
      </c>
      <c r="L82" s="10" t="s">
        <v>23</v>
      </c>
      <c r="M82" s="11">
        <v>1</v>
      </c>
      <c r="N82" s="60">
        <f>IF(OR($E82="",$G82=""),"",IF(AND(K82=$E82,M82=$G82),Auxiliar!$C$11,IF(AND(SIGN($E82-$G82)=SIGN(K82-M82),MAX($E82,$G82)=MAX(K82,M82)),Auxiliar!$C$12,IF(ABS($E82-$G82)=ABS(K82-M82),Auxiliar!$C$13,IF(AND(SIGN($E82-$G82)=SIGN(K82-M82),MIN($E82,$G82)=MIN(K82,M82)),Auxiliar!$C$14,IF(SIGN($E82-$G82)=SIGN(K82-M82),Auxiliar!$C$15,IF(K82=M82,Auxiliar!$C$16,0)))))))</f>
        <v>10</v>
      </c>
      <c r="P82" s="9">
        <v>0</v>
      </c>
      <c r="Q82" s="10" t="s">
        <v>23</v>
      </c>
      <c r="R82" s="11">
        <v>2</v>
      </c>
      <c r="S82" s="60">
        <f>IF(OR($E82="",$G82=""),"",IF(AND(P82=$E82,R82=$G82),Auxiliar!$C$11,IF(AND(SIGN($E82-$G82)=SIGN(P82-R82),MAX($E82,$G82)=MAX(P82,R82)),Auxiliar!$C$12,IF(ABS($E82-$G82)=ABS(P82-R82),Auxiliar!$C$13,IF(AND(SIGN($E82-$G82)=SIGN(P82-R82),MIN($E82,$G82)=MIN(P82,R82)),Auxiliar!$C$14,IF(SIGN($E82-$G82)=SIGN(P82-R82),Auxiliar!$C$15,IF(P82=R82,Auxiliar!$C$16,0)))))))</f>
        <v>0</v>
      </c>
      <c r="U82" s="9">
        <v>1</v>
      </c>
      <c r="V82" s="10" t="s">
        <v>23</v>
      </c>
      <c r="W82" s="11">
        <v>5</v>
      </c>
      <c r="X82" s="60">
        <f>IF(OR($E82="",$G82=""),"",IF(AND(U82=$E82,W82=$G82),Auxiliar!$C$11,IF(AND(SIGN($E82-$G82)=SIGN(U82-W82),MAX($E82,$G82)=MAX(U82,W82)),Auxiliar!$C$12,IF(ABS($E82-$G82)=ABS(U82-W82),Auxiliar!$C$13,IF(AND(SIGN($E82-$G82)=SIGN(U82-W82),MIN($E82,$G82)=MIN(U82,W82)),Auxiliar!$C$14,IF(SIGN($E82-$G82)=SIGN(U82-W82),Auxiliar!$C$15,IF(U82=W82,Auxiliar!$C$16,0)))))))</f>
        <v>0</v>
      </c>
      <c r="Z82" s="9">
        <v>1</v>
      </c>
      <c r="AA82" s="10" t="s">
        <v>23</v>
      </c>
      <c r="AB82" s="11">
        <v>0</v>
      </c>
      <c r="AC82" s="60">
        <f>IF(OR($E82="",$G82=""),"",IF(AND(Z82=$E82,AB82=$G82),Auxiliar!$C$11,IF(AND(SIGN($E82-$G82)=SIGN(Z82-AB82),MAX($E82,$G82)=MAX(Z82,AB82)),Auxiliar!$C$12,IF(ABS($E82-$G82)=ABS(Z82-AB82),Auxiliar!$C$13,IF(AND(SIGN($E82-$G82)=SIGN(Z82-AB82),MIN($E82,$G82)=MIN(Z82,AB82)),Auxiliar!$C$14,IF(SIGN($E82-$G82)=SIGN(Z82-AB82),Auxiliar!$C$15,IF(Z82=AB82,Auxiliar!$C$16,0)))))))</f>
        <v>15</v>
      </c>
      <c r="AE82" s="9">
        <v>0</v>
      </c>
      <c r="AF82" s="10" t="s">
        <v>23</v>
      </c>
      <c r="AG82" s="11">
        <v>2</v>
      </c>
      <c r="AH82" s="60">
        <f>IF(OR($E82="",$G82=""),"",IF(AND(AE82=$E82,AG82=$G82),Auxiliar!$C$11,IF(AND(SIGN($E82-$G82)=SIGN(AE82-AG82),MAX($E82,$G82)=MAX(AE82,AG82)),Auxiliar!$C$12,IF(ABS($E82-$G82)=ABS(AE82-AG82),Auxiliar!$C$13,IF(AND(SIGN($E82-$G82)=SIGN(AE82-AG82),MIN($E82,$G82)=MIN(AE82,AG82)),Auxiliar!$C$14,IF(SIGN($E82-$G82)=SIGN(AE82-AG82),Auxiliar!$C$15,IF(AE82=AG82,Auxiliar!$C$16,0)))))))</f>
        <v>0</v>
      </c>
    </row>
    <row r="83" spans="3:34" x14ac:dyDescent="0.25">
      <c r="C83" s="24">
        <f t="shared" si="0"/>
        <v>7</v>
      </c>
      <c r="D83" s="18" t="s">
        <v>14</v>
      </c>
      <c r="E83" s="13">
        <v>2</v>
      </c>
      <c r="F83" s="12" t="s">
        <v>23</v>
      </c>
      <c r="G83" s="13">
        <v>4</v>
      </c>
      <c r="H83" s="14" t="s">
        <v>10</v>
      </c>
      <c r="K83" s="9">
        <v>1</v>
      </c>
      <c r="L83" s="10" t="s">
        <v>23</v>
      </c>
      <c r="M83" s="11">
        <v>5</v>
      </c>
      <c r="N83" s="60">
        <f>IF(OR($E83="",$G83=""),"",IF(AND(K83=$E83,M83=$G83),Auxiliar!$C$11,IF(AND(SIGN($E83-$G83)=SIGN(K83-M83),MAX($E83,$G83)=MAX(K83,M83)),Auxiliar!$C$12,IF(ABS($E83-$G83)=ABS(K83-M83),Auxiliar!$C$13,IF(AND(SIGN($E83-$G83)=SIGN(K83-M83),MIN($E83,$G83)=MIN(K83,M83)),Auxiliar!$C$14,IF(SIGN($E83-$G83)=SIGN(K83-M83),Auxiliar!$C$15,IF(K83=M83,Auxiliar!$C$16,0)))))))</f>
        <v>10</v>
      </c>
      <c r="P83" s="9">
        <v>5</v>
      </c>
      <c r="Q83" s="10" t="s">
        <v>23</v>
      </c>
      <c r="R83" s="11">
        <v>0</v>
      </c>
      <c r="S83" s="60">
        <f>IF(OR($E83="",$G83=""),"",IF(AND(P83=$E83,R83=$G83),Auxiliar!$C$11,IF(AND(SIGN($E83-$G83)=SIGN(P83-R83),MAX($E83,$G83)=MAX(P83,R83)),Auxiliar!$C$12,IF(ABS($E83-$G83)=ABS(P83-R83),Auxiliar!$C$13,IF(AND(SIGN($E83-$G83)=SIGN(P83-R83),MIN($E83,$G83)=MIN(P83,R83)),Auxiliar!$C$14,IF(SIGN($E83-$G83)=SIGN(P83-R83),Auxiliar!$C$15,IF(P83=R83,Auxiliar!$C$16,0)))))))</f>
        <v>0</v>
      </c>
      <c r="U83" s="9">
        <v>1</v>
      </c>
      <c r="V83" s="10" t="s">
        <v>23</v>
      </c>
      <c r="W83" s="11">
        <v>5</v>
      </c>
      <c r="X83" s="60">
        <f>IF(OR($E83="",$G83=""),"",IF(AND(U83=$E83,W83=$G83),Auxiliar!$C$11,IF(AND(SIGN($E83-$G83)=SIGN(U83-W83),MAX($E83,$G83)=MAX(U83,W83)),Auxiliar!$C$12,IF(ABS($E83-$G83)=ABS(U83-W83),Auxiliar!$C$13,IF(AND(SIGN($E83-$G83)=SIGN(U83-W83),MIN($E83,$G83)=MIN(U83,W83)),Auxiliar!$C$14,IF(SIGN($E83-$G83)=SIGN(U83-W83),Auxiliar!$C$15,IF(U83=W83,Auxiliar!$C$16,0)))))))</f>
        <v>10</v>
      </c>
      <c r="Z83" s="9">
        <v>3</v>
      </c>
      <c r="AA83" s="10" t="s">
        <v>23</v>
      </c>
      <c r="AB83" s="11">
        <v>4</v>
      </c>
      <c r="AC83" s="60">
        <f>IF(OR($E83="",$G83=""),"",IF(AND(Z83=$E83,AB83=$G83),Auxiliar!$C$11,IF(AND(SIGN($E83-$G83)=SIGN(Z83-AB83),MAX($E83,$G83)=MAX(Z83,AB83)),Auxiliar!$C$12,IF(ABS($E83-$G83)=ABS(Z83-AB83),Auxiliar!$C$13,IF(AND(SIGN($E83-$G83)=SIGN(Z83-AB83),MIN($E83,$G83)=MIN(Z83,AB83)),Auxiliar!$C$14,IF(SIGN($E83-$G83)=SIGN(Z83-AB83),Auxiliar!$C$15,IF(Z83=AB83,Auxiliar!$C$16,0)))))))</f>
        <v>18</v>
      </c>
      <c r="AE83" s="9">
        <v>5</v>
      </c>
      <c r="AF83" s="10" t="s">
        <v>23</v>
      </c>
      <c r="AG83" s="11">
        <v>5</v>
      </c>
      <c r="AH83" s="60">
        <f>IF(OR($E83="",$G83=""),"",IF(AND(AE83=$E83,AG83=$G83),Auxiliar!$C$11,IF(AND(SIGN($E83-$G83)=SIGN(AE83-AG83),MAX($E83,$G83)=MAX(AE83,AG83)),Auxiliar!$C$12,IF(ABS($E83-$G83)=ABS(AE83-AG83),Auxiliar!$C$13,IF(AND(SIGN($E83-$G83)=SIGN(AE83-AG83),MIN($E83,$G83)=MIN(AE83,AG83)),Auxiliar!$C$14,IF(SIGN($E83-$G83)=SIGN(AE83-AG83),Auxiliar!$C$15,IF(AE83=AG83,Auxiliar!$C$16,0)))))))</f>
        <v>5</v>
      </c>
    </row>
    <row r="84" spans="3:34" x14ac:dyDescent="0.25">
      <c r="C84" s="24">
        <f t="shared" si="0"/>
        <v>7</v>
      </c>
      <c r="D84" s="18" t="s">
        <v>13</v>
      </c>
      <c r="E84" s="13">
        <v>3</v>
      </c>
      <c r="F84" s="12" t="s">
        <v>23</v>
      </c>
      <c r="G84" s="13">
        <v>5</v>
      </c>
      <c r="H84" s="14" t="s">
        <v>7</v>
      </c>
      <c r="K84" s="9">
        <v>2</v>
      </c>
      <c r="L84" s="10" t="s">
        <v>23</v>
      </c>
      <c r="M84" s="11">
        <v>3</v>
      </c>
      <c r="N84" s="60">
        <f>IF(OR($E84="",$G84=""),"",IF(AND(K84=$E84,M84=$G84),Auxiliar!$C$11,IF(AND(SIGN($E84-$G84)=SIGN(K84-M84),MAX($E84,$G84)=MAX(K84,M84)),Auxiliar!$C$12,IF(ABS($E84-$G84)=ABS(K84-M84),Auxiliar!$C$13,IF(AND(SIGN($E84-$G84)=SIGN(K84-M84),MIN($E84,$G84)=MIN(K84,M84)),Auxiliar!$C$14,IF(SIGN($E84-$G84)=SIGN(K84-M84),Auxiliar!$C$15,IF(K84=M84,Auxiliar!$C$16,0)))))))</f>
        <v>10</v>
      </c>
      <c r="P84" s="9">
        <v>4</v>
      </c>
      <c r="Q84" s="10" t="s">
        <v>23</v>
      </c>
      <c r="R84" s="11">
        <v>0</v>
      </c>
      <c r="S84" s="60">
        <f>IF(OR($E84="",$G84=""),"",IF(AND(P84=$E84,R84=$G84),Auxiliar!$C$11,IF(AND(SIGN($E84-$G84)=SIGN(P84-R84),MAX($E84,$G84)=MAX(P84,R84)),Auxiliar!$C$12,IF(ABS($E84-$G84)=ABS(P84-R84),Auxiliar!$C$13,IF(AND(SIGN($E84-$G84)=SIGN(P84-R84),MIN($E84,$G84)=MIN(P84,R84)),Auxiliar!$C$14,IF(SIGN($E84-$G84)=SIGN(P84-R84),Auxiliar!$C$15,IF(P84=R84,Auxiliar!$C$16,0)))))))</f>
        <v>0</v>
      </c>
      <c r="U84" s="9">
        <v>2</v>
      </c>
      <c r="V84" s="10" t="s">
        <v>23</v>
      </c>
      <c r="W84" s="11">
        <v>5</v>
      </c>
      <c r="X84" s="60">
        <f>IF(OR($E84="",$G84=""),"",IF(AND(U84=$E84,W84=$G84),Auxiliar!$C$11,IF(AND(SIGN($E84-$G84)=SIGN(U84-W84),MAX($E84,$G84)=MAX(U84,W84)),Auxiliar!$C$12,IF(ABS($E84-$G84)=ABS(U84-W84),Auxiliar!$C$13,IF(AND(SIGN($E84-$G84)=SIGN(U84-W84),MIN($E84,$G84)=MIN(U84,W84)),Auxiliar!$C$14,IF(SIGN($E84-$G84)=SIGN(U84-W84),Auxiliar!$C$15,IF(U84=W84,Auxiliar!$C$16,0)))))))</f>
        <v>18</v>
      </c>
      <c r="Z84" s="9">
        <v>1</v>
      </c>
      <c r="AA84" s="10" t="s">
        <v>23</v>
      </c>
      <c r="AB84" s="11">
        <v>3</v>
      </c>
      <c r="AC84" s="60">
        <f>IF(OR($E84="",$G84=""),"",IF(AND(Z84=$E84,AB84=$G84),Auxiliar!$C$11,IF(AND(SIGN($E84-$G84)=SIGN(Z84-AB84),MAX($E84,$G84)=MAX(Z84,AB84)),Auxiliar!$C$12,IF(ABS($E84-$G84)=ABS(Z84-AB84),Auxiliar!$C$13,IF(AND(SIGN($E84-$G84)=SIGN(Z84-AB84),MIN($E84,$G84)=MIN(Z84,AB84)),Auxiliar!$C$14,IF(SIGN($E84-$G84)=SIGN(Z84-AB84),Auxiliar!$C$15,IF(Z84=AB84,Auxiliar!$C$16,0)))))))</f>
        <v>15</v>
      </c>
      <c r="AE84" s="9">
        <v>3</v>
      </c>
      <c r="AF84" s="10" t="s">
        <v>23</v>
      </c>
      <c r="AG84" s="11">
        <v>2</v>
      </c>
      <c r="AH84" s="60">
        <f>IF(OR($E84="",$G84=""),"",IF(AND(AE84=$E84,AG84=$G84),Auxiliar!$C$11,IF(AND(SIGN($E84-$G84)=SIGN(AE84-AG84),MAX($E84,$G84)=MAX(AE84,AG84)),Auxiliar!$C$12,IF(ABS($E84-$G84)=ABS(AE84-AG84),Auxiliar!$C$13,IF(AND(SIGN($E84-$G84)=SIGN(AE84-AG84),MIN($E84,$G84)=MIN(AE84,AG84)),Auxiliar!$C$14,IF(SIGN($E84-$G84)=SIGN(AE84-AG84),Auxiliar!$C$15,IF(AE84=AG84,Auxiliar!$C$16,0)))))))</f>
        <v>0</v>
      </c>
    </row>
    <row r="85" spans="3:34" x14ac:dyDescent="0.25">
      <c r="C85" s="24">
        <f t="shared" si="0"/>
        <v>7</v>
      </c>
      <c r="D85" s="18" t="s">
        <v>22</v>
      </c>
      <c r="E85" s="13">
        <v>4</v>
      </c>
      <c r="F85" s="12" t="s">
        <v>23</v>
      </c>
      <c r="G85" s="13">
        <v>2</v>
      </c>
      <c r="H85" s="14" t="s">
        <v>3</v>
      </c>
      <c r="K85" s="9">
        <v>1</v>
      </c>
      <c r="L85" s="10" t="s">
        <v>23</v>
      </c>
      <c r="M85" s="11">
        <v>5</v>
      </c>
      <c r="N85" s="60">
        <f>IF(OR($E85="",$G85=""),"",IF(AND(K85=$E85,M85=$G85),Auxiliar!$C$11,IF(AND(SIGN($E85-$G85)=SIGN(K85-M85),MAX($E85,$G85)=MAX(K85,M85)),Auxiliar!$C$12,IF(ABS($E85-$G85)=ABS(K85-M85),Auxiliar!$C$13,IF(AND(SIGN($E85-$G85)=SIGN(K85-M85),MIN($E85,$G85)=MIN(K85,M85)),Auxiliar!$C$14,IF(SIGN($E85-$G85)=SIGN(K85-M85),Auxiliar!$C$15,IF(K85=M85,Auxiliar!$C$16,0)))))))</f>
        <v>0</v>
      </c>
      <c r="P85" s="9">
        <v>4</v>
      </c>
      <c r="Q85" s="10" t="s">
        <v>23</v>
      </c>
      <c r="R85" s="11">
        <v>2</v>
      </c>
      <c r="S85" s="60">
        <f>IF(OR($E85="",$G85=""),"",IF(AND(P85=$E85,R85=$G85),Auxiliar!$C$11,IF(AND(SIGN($E85-$G85)=SIGN(P85-R85),MAX($E85,$G85)=MAX(P85,R85)),Auxiliar!$C$12,IF(ABS($E85-$G85)=ABS(P85-R85),Auxiliar!$C$13,IF(AND(SIGN($E85-$G85)=SIGN(P85-R85),MIN($E85,$G85)=MIN(P85,R85)),Auxiliar!$C$14,IF(SIGN($E85-$G85)=SIGN(P85-R85),Auxiliar!$C$15,IF(P85=R85,Auxiliar!$C$16,0)))))))</f>
        <v>25</v>
      </c>
      <c r="U85" s="9">
        <v>0</v>
      </c>
      <c r="V85" s="10" t="s">
        <v>23</v>
      </c>
      <c r="W85" s="11">
        <v>4</v>
      </c>
      <c r="X85" s="60">
        <f>IF(OR($E85="",$G85=""),"",IF(AND(U85=$E85,W85=$G85),Auxiliar!$C$11,IF(AND(SIGN($E85-$G85)=SIGN(U85-W85),MAX($E85,$G85)=MAX(U85,W85)),Auxiliar!$C$12,IF(ABS($E85-$G85)=ABS(U85-W85),Auxiliar!$C$13,IF(AND(SIGN($E85-$G85)=SIGN(U85-W85),MIN($E85,$G85)=MIN(U85,W85)),Auxiliar!$C$14,IF(SIGN($E85-$G85)=SIGN(U85-W85),Auxiliar!$C$15,IF(U85=W85,Auxiliar!$C$16,0)))))))</f>
        <v>0</v>
      </c>
      <c r="Z85" s="9">
        <v>5</v>
      </c>
      <c r="AA85" s="10" t="s">
        <v>23</v>
      </c>
      <c r="AB85" s="11">
        <v>2</v>
      </c>
      <c r="AC85" s="60">
        <f>IF(OR($E85="",$G85=""),"",IF(AND(Z85=$E85,AB85=$G85),Auxiliar!$C$11,IF(AND(SIGN($E85-$G85)=SIGN(Z85-AB85),MAX($E85,$G85)=MAX(Z85,AB85)),Auxiliar!$C$12,IF(ABS($E85-$G85)=ABS(Z85-AB85),Auxiliar!$C$13,IF(AND(SIGN($E85-$G85)=SIGN(Z85-AB85),MIN($E85,$G85)=MIN(Z85,AB85)),Auxiliar!$C$14,IF(SIGN($E85-$G85)=SIGN(Z85-AB85),Auxiliar!$C$15,IF(Z85=AB85,Auxiliar!$C$16,0)))))))</f>
        <v>12</v>
      </c>
      <c r="AE85" s="9">
        <v>0</v>
      </c>
      <c r="AF85" s="10" t="s">
        <v>23</v>
      </c>
      <c r="AG85" s="11">
        <v>3</v>
      </c>
      <c r="AH85" s="60">
        <f>IF(OR($E85="",$G85=""),"",IF(AND(AE85=$E85,AG85=$G85),Auxiliar!$C$11,IF(AND(SIGN($E85-$G85)=SIGN(AE85-AG85),MAX($E85,$G85)=MAX(AE85,AG85)),Auxiliar!$C$12,IF(ABS($E85-$G85)=ABS(AE85-AG85),Auxiliar!$C$13,IF(AND(SIGN($E85-$G85)=SIGN(AE85-AG85),MIN($E85,$G85)=MIN(AE85,AG85)),Auxiliar!$C$14,IF(SIGN($E85-$G85)=SIGN(AE85-AG85),Auxiliar!$C$15,IF(AE85=AG85,Auxiliar!$C$16,0)))))))</f>
        <v>0</v>
      </c>
    </row>
    <row r="86" spans="3:34" x14ac:dyDescent="0.25">
      <c r="C86" s="24">
        <f t="shared" si="0"/>
        <v>7</v>
      </c>
      <c r="D86" s="18" t="s">
        <v>12</v>
      </c>
      <c r="E86" s="13">
        <v>3</v>
      </c>
      <c r="F86" s="12" t="s">
        <v>23</v>
      </c>
      <c r="G86" s="13">
        <v>5</v>
      </c>
      <c r="H86" s="14" t="s">
        <v>21</v>
      </c>
      <c r="K86" s="9">
        <v>2</v>
      </c>
      <c r="L86" s="10" t="s">
        <v>23</v>
      </c>
      <c r="M86" s="11">
        <v>4</v>
      </c>
      <c r="N86" s="60">
        <f>IF(OR($E86="",$G86=""),"",IF(AND(K86=$E86,M86=$G86),Auxiliar!$C$11,IF(AND(SIGN($E86-$G86)=SIGN(K86-M86),MAX($E86,$G86)=MAX(K86,M86)),Auxiliar!$C$12,IF(ABS($E86-$G86)=ABS(K86-M86),Auxiliar!$C$13,IF(AND(SIGN($E86-$G86)=SIGN(K86-M86),MIN($E86,$G86)=MIN(K86,M86)),Auxiliar!$C$14,IF(SIGN($E86-$G86)=SIGN(K86-M86),Auxiliar!$C$15,IF(K86=M86,Auxiliar!$C$16,0)))))))</f>
        <v>15</v>
      </c>
      <c r="P86" s="9">
        <v>2</v>
      </c>
      <c r="Q86" s="10" t="s">
        <v>23</v>
      </c>
      <c r="R86" s="11">
        <v>0</v>
      </c>
      <c r="S86" s="60">
        <f>IF(OR($E86="",$G86=""),"",IF(AND(P86=$E86,R86=$G86),Auxiliar!$C$11,IF(AND(SIGN($E86-$G86)=SIGN(P86-R86),MAX($E86,$G86)=MAX(P86,R86)),Auxiliar!$C$12,IF(ABS($E86-$G86)=ABS(P86-R86),Auxiliar!$C$13,IF(AND(SIGN($E86-$G86)=SIGN(P86-R86),MIN($E86,$G86)=MIN(P86,R86)),Auxiliar!$C$14,IF(SIGN($E86-$G86)=SIGN(P86-R86),Auxiliar!$C$15,IF(P86=R86,Auxiliar!$C$16,0)))))))</f>
        <v>15</v>
      </c>
      <c r="U86" s="9">
        <v>0</v>
      </c>
      <c r="V86" s="10" t="s">
        <v>23</v>
      </c>
      <c r="W86" s="11">
        <v>2</v>
      </c>
      <c r="X86" s="60">
        <f>IF(OR($E86="",$G86=""),"",IF(AND(U86=$E86,W86=$G86),Auxiliar!$C$11,IF(AND(SIGN($E86-$G86)=SIGN(U86-W86),MAX($E86,$G86)=MAX(U86,W86)),Auxiliar!$C$12,IF(ABS($E86-$G86)=ABS(U86-W86),Auxiliar!$C$13,IF(AND(SIGN($E86-$G86)=SIGN(U86-W86),MIN($E86,$G86)=MIN(U86,W86)),Auxiliar!$C$14,IF(SIGN($E86-$G86)=SIGN(U86-W86),Auxiliar!$C$15,IF(U86=W86,Auxiliar!$C$16,0)))))))</f>
        <v>15</v>
      </c>
      <c r="Z86" s="9">
        <v>3</v>
      </c>
      <c r="AA86" s="10" t="s">
        <v>23</v>
      </c>
      <c r="AB86" s="11">
        <v>1</v>
      </c>
      <c r="AC86" s="60">
        <f>IF(OR($E86="",$G86=""),"",IF(AND(Z86=$E86,AB86=$G86),Auxiliar!$C$11,IF(AND(SIGN($E86-$G86)=SIGN(Z86-AB86),MAX($E86,$G86)=MAX(Z86,AB86)),Auxiliar!$C$12,IF(ABS($E86-$G86)=ABS(Z86-AB86),Auxiliar!$C$13,IF(AND(SIGN($E86-$G86)=SIGN(Z86-AB86),MIN($E86,$G86)=MIN(Z86,AB86)),Auxiliar!$C$14,IF(SIGN($E86-$G86)=SIGN(Z86-AB86),Auxiliar!$C$15,IF(Z86=AB86,Auxiliar!$C$16,0)))))))</f>
        <v>15</v>
      </c>
      <c r="AE86" s="9">
        <v>2</v>
      </c>
      <c r="AF86" s="10" t="s">
        <v>23</v>
      </c>
      <c r="AG86" s="11">
        <v>0</v>
      </c>
      <c r="AH86" s="60">
        <f>IF(OR($E86="",$G86=""),"",IF(AND(AE86=$E86,AG86=$G86),Auxiliar!$C$11,IF(AND(SIGN($E86-$G86)=SIGN(AE86-AG86),MAX($E86,$G86)=MAX(AE86,AG86)),Auxiliar!$C$12,IF(ABS($E86-$G86)=ABS(AE86-AG86),Auxiliar!$C$13,IF(AND(SIGN($E86-$G86)=SIGN(AE86-AG86),MIN($E86,$G86)=MIN(AE86,AG86)),Auxiliar!$C$14,IF(SIGN($E86-$G86)=SIGN(AE86-AG86),Auxiliar!$C$15,IF(AE86=AG86,Auxiliar!$C$16,0)))))))</f>
        <v>15</v>
      </c>
    </row>
    <row r="87" spans="3:34" x14ac:dyDescent="0.25">
      <c r="C87" s="24">
        <f t="shared" si="0"/>
        <v>7</v>
      </c>
      <c r="D87" s="18" t="s">
        <v>19</v>
      </c>
      <c r="E87" s="13">
        <v>0</v>
      </c>
      <c r="F87" s="12" t="s">
        <v>23</v>
      </c>
      <c r="G87" s="13">
        <v>0</v>
      </c>
      <c r="H87" s="14" t="s">
        <v>17</v>
      </c>
      <c r="K87" s="9">
        <v>2</v>
      </c>
      <c r="L87" s="10" t="s">
        <v>23</v>
      </c>
      <c r="M87" s="11">
        <v>2</v>
      </c>
      <c r="N87" s="60">
        <f>IF(OR($E87="",$G87=""),"",IF(AND(K87=$E87,M87=$G87),Auxiliar!$C$11,IF(AND(SIGN($E87-$G87)=SIGN(K87-M87),MAX($E87,$G87)=MAX(K87,M87)),Auxiliar!$C$12,IF(ABS($E87-$G87)=ABS(K87-M87),Auxiliar!$C$13,IF(AND(SIGN($E87-$G87)=SIGN(K87-M87),MIN($E87,$G87)=MIN(K87,M87)),Auxiliar!$C$14,IF(SIGN($E87-$G87)=SIGN(K87-M87),Auxiliar!$C$15,IF(K87=M87,Auxiliar!$C$16,0)))))))</f>
        <v>15</v>
      </c>
      <c r="P87" s="9">
        <v>2</v>
      </c>
      <c r="Q87" s="10" t="s">
        <v>23</v>
      </c>
      <c r="R87" s="11">
        <v>5</v>
      </c>
      <c r="S87" s="60">
        <f>IF(OR($E87="",$G87=""),"",IF(AND(P87=$E87,R87=$G87),Auxiliar!$C$11,IF(AND(SIGN($E87-$G87)=SIGN(P87-R87),MAX($E87,$G87)=MAX(P87,R87)),Auxiliar!$C$12,IF(ABS($E87-$G87)=ABS(P87-R87),Auxiliar!$C$13,IF(AND(SIGN($E87-$G87)=SIGN(P87-R87),MIN($E87,$G87)=MIN(P87,R87)),Auxiliar!$C$14,IF(SIGN($E87-$G87)=SIGN(P87-R87),Auxiliar!$C$15,IF(P87=R87,Auxiliar!$C$16,0)))))))</f>
        <v>0</v>
      </c>
      <c r="U87" s="9">
        <v>2</v>
      </c>
      <c r="V87" s="10" t="s">
        <v>23</v>
      </c>
      <c r="W87" s="11">
        <v>4</v>
      </c>
      <c r="X87" s="60">
        <f>IF(OR($E87="",$G87=""),"",IF(AND(U87=$E87,W87=$G87),Auxiliar!$C$11,IF(AND(SIGN($E87-$G87)=SIGN(U87-W87),MAX($E87,$G87)=MAX(U87,W87)),Auxiliar!$C$12,IF(ABS($E87-$G87)=ABS(U87-W87),Auxiliar!$C$13,IF(AND(SIGN($E87-$G87)=SIGN(U87-W87),MIN($E87,$G87)=MIN(U87,W87)),Auxiliar!$C$14,IF(SIGN($E87-$G87)=SIGN(U87-W87),Auxiliar!$C$15,IF(U87=W87,Auxiliar!$C$16,0)))))))</f>
        <v>0</v>
      </c>
      <c r="Z87" s="9">
        <v>0</v>
      </c>
      <c r="AA87" s="10" t="s">
        <v>23</v>
      </c>
      <c r="AB87" s="11">
        <v>0</v>
      </c>
      <c r="AC87" s="60">
        <f>IF(OR($E87="",$G87=""),"",IF(AND(Z87=$E87,AB87=$G87),Auxiliar!$C$11,IF(AND(SIGN($E87-$G87)=SIGN(Z87-AB87),MAX($E87,$G87)=MAX(Z87,AB87)),Auxiliar!$C$12,IF(ABS($E87-$G87)=ABS(Z87-AB87),Auxiliar!$C$13,IF(AND(SIGN($E87-$G87)=SIGN(Z87-AB87),MIN($E87,$G87)=MIN(Z87,AB87)),Auxiliar!$C$14,IF(SIGN($E87-$G87)=SIGN(Z87-AB87),Auxiliar!$C$15,IF(Z87=AB87,Auxiliar!$C$16,0)))))))</f>
        <v>25</v>
      </c>
      <c r="AE87" s="9">
        <v>1</v>
      </c>
      <c r="AF87" s="10" t="s">
        <v>23</v>
      </c>
      <c r="AG87" s="11">
        <v>5</v>
      </c>
      <c r="AH87" s="60">
        <f>IF(OR($E87="",$G87=""),"",IF(AND(AE87=$E87,AG87=$G87),Auxiliar!$C$11,IF(AND(SIGN($E87-$G87)=SIGN(AE87-AG87),MAX($E87,$G87)=MAX(AE87,AG87)),Auxiliar!$C$12,IF(ABS($E87-$G87)=ABS(AE87-AG87),Auxiliar!$C$13,IF(AND(SIGN($E87-$G87)=SIGN(AE87-AG87),MIN($E87,$G87)=MIN(AE87,AG87)),Auxiliar!$C$14,IF(SIGN($E87-$G87)=SIGN(AE87-AG87),Auxiliar!$C$15,IF(AE87=AG87,Auxiliar!$C$16,0)))))))</f>
        <v>0</v>
      </c>
    </row>
    <row r="88" spans="3:34" x14ac:dyDescent="0.25">
      <c r="C88" s="24">
        <f t="shared" si="0"/>
        <v>7</v>
      </c>
      <c r="D88" s="18" t="s">
        <v>6</v>
      </c>
      <c r="E88" s="13">
        <v>3</v>
      </c>
      <c r="F88" s="12" t="s">
        <v>23</v>
      </c>
      <c r="G88" s="13">
        <v>1</v>
      </c>
      <c r="H88" s="14" t="s">
        <v>18</v>
      </c>
      <c r="K88" s="9">
        <v>3</v>
      </c>
      <c r="L88" s="10" t="s">
        <v>23</v>
      </c>
      <c r="M88" s="11">
        <v>0</v>
      </c>
      <c r="N88" s="60">
        <f>IF(OR($E88="",$G88=""),"",IF(AND(K88=$E88,M88=$G88),Auxiliar!$C$11,IF(AND(SIGN($E88-$G88)=SIGN(K88-M88),MAX($E88,$G88)=MAX(K88,M88)),Auxiliar!$C$12,IF(ABS($E88-$G88)=ABS(K88-M88),Auxiliar!$C$13,IF(AND(SIGN($E88-$G88)=SIGN(K88-M88),MIN($E88,$G88)=MIN(K88,M88)),Auxiliar!$C$14,IF(SIGN($E88-$G88)=SIGN(K88-M88),Auxiliar!$C$15,IF(K88=M88,Auxiliar!$C$16,0)))))))</f>
        <v>18</v>
      </c>
      <c r="P88" s="9">
        <v>0</v>
      </c>
      <c r="Q88" s="10" t="s">
        <v>23</v>
      </c>
      <c r="R88" s="11">
        <v>0</v>
      </c>
      <c r="S88" s="60">
        <f>IF(OR($E88="",$G88=""),"",IF(AND(P88=$E88,R88=$G88),Auxiliar!$C$11,IF(AND(SIGN($E88-$G88)=SIGN(P88-R88),MAX($E88,$G88)=MAX(P88,R88)),Auxiliar!$C$12,IF(ABS($E88-$G88)=ABS(P88-R88),Auxiliar!$C$13,IF(AND(SIGN($E88-$G88)=SIGN(P88-R88),MIN($E88,$G88)=MIN(P88,R88)),Auxiliar!$C$14,IF(SIGN($E88-$G88)=SIGN(P88-R88),Auxiliar!$C$15,IF(P88=R88,Auxiliar!$C$16,0)))))))</f>
        <v>5</v>
      </c>
      <c r="U88" s="9">
        <v>0</v>
      </c>
      <c r="V88" s="10" t="s">
        <v>23</v>
      </c>
      <c r="W88" s="11">
        <v>0</v>
      </c>
      <c r="X88" s="60">
        <f>IF(OR($E88="",$G88=""),"",IF(AND(U88=$E88,W88=$G88),Auxiliar!$C$11,IF(AND(SIGN($E88-$G88)=SIGN(U88-W88),MAX($E88,$G88)=MAX(U88,W88)),Auxiliar!$C$12,IF(ABS($E88-$G88)=ABS(U88-W88),Auxiliar!$C$13,IF(AND(SIGN($E88-$G88)=SIGN(U88-W88),MIN($E88,$G88)=MIN(U88,W88)),Auxiliar!$C$14,IF(SIGN($E88-$G88)=SIGN(U88-W88),Auxiliar!$C$15,IF(U88=W88,Auxiliar!$C$16,0)))))))</f>
        <v>5</v>
      </c>
      <c r="Z88" s="9">
        <v>0</v>
      </c>
      <c r="AA88" s="10" t="s">
        <v>23</v>
      </c>
      <c r="AB88" s="11">
        <v>5</v>
      </c>
      <c r="AC88" s="60">
        <f>IF(OR($E88="",$G88=""),"",IF(AND(Z88=$E88,AB88=$G88),Auxiliar!$C$11,IF(AND(SIGN($E88-$G88)=SIGN(Z88-AB88),MAX($E88,$G88)=MAX(Z88,AB88)),Auxiliar!$C$12,IF(ABS($E88-$G88)=ABS(Z88-AB88),Auxiliar!$C$13,IF(AND(SIGN($E88-$G88)=SIGN(Z88-AB88),MIN($E88,$G88)=MIN(Z88,AB88)),Auxiliar!$C$14,IF(SIGN($E88-$G88)=SIGN(Z88-AB88),Auxiliar!$C$15,IF(Z88=AB88,Auxiliar!$C$16,0)))))))</f>
        <v>0</v>
      </c>
      <c r="AE88" s="9">
        <v>4</v>
      </c>
      <c r="AF88" s="10" t="s">
        <v>23</v>
      </c>
      <c r="AG88" s="11">
        <v>2</v>
      </c>
      <c r="AH88" s="60">
        <f>IF(OR($E88="",$G88=""),"",IF(AND(AE88=$E88,AG88=$G88),Auxiliar!$C$11,IF(AND(SIGN($E88-$G88)=SIGN(AE88-AG88),MAX($E88,$G88)=MAX(AE88,AG88)),Auxiliar!$C$12,IF(ABS($E88-$G88)=ABS(AE88-AG88),Auxiliar!$C$13,IF(AND(SIGN($E88-$G88)=SIGN(AE88-AG88),MIN($E88,$G88)=MIN(AE88,AG88)),Auxiliar!$C$14,IF(SIGN($E88-$G88)=SIGN(AE88-AG88),Auxiliar!$C$15,IF(AE88=AG88,Auxiliar!$C$16,0)))))))</f>
        <v>15</v>
      </c>
    </row>
    <row r="89" spans="3:34" x14ac:dyDescent="0.25">
      <c r="C89" s="24">
        <f t="shared" si="0"/>
        <v>8</v>
      </c>
      <c r="D89" s="18" t="s">
        <v>21</v>
      </c>
      <c r="E89" s="13">
        <v>0</v>
      </c>
      <c r="F89" s="12" t="s">
        <v>23</v>
      </c>
      <c r="G89" s="13">
        <v>4</v>
      </c>
      <c r="H89" s="14" t="s">
        <v>3</v>
      </c>
      <c r="K89" s="9">
        <v>1</v>
      </c>
      <c r="L89" s="10" t="s">
        <v>23</v>
      </c>
      <c r="M89" s="11">
        <v>5</v>
      </c>
      <c r="N89" s="60">
        <f>IF(OR($E89="",$G89=""),"",IF(AND(K89=$E89,M89=$G89),Auxiliar!$C$11,IF(AND(SIGN($E89-$G89)=SIGN(K89-M89),MAX($E89,$G89)=MAX(K89,M89)),Auxiliar!$C$12,IF(ABS($E89-$G89)=ABS(K89-M89),Auxiliar!$C$13,IF(AND(SIGN($E89-$G89)=SIGN(K89-M89),MIN($E89,$G89)=MIN(K89,M89)),Auxiliar!$C$14,IF(SIGN($E89-$G89)=SIGN(K89-M89),Auxiliar!$C$15,IF(K89=M89,Auxiliar!$C$16,0)))))))</f>
        <v>15</v>
      </c>
      <c r="P89" s="9">
        <v>0</v>
      </c>
      <c r="Q89" s="10" t="s">
        <v>23</v>
      </c>
      <c r="R89" s="11">
        <v>2</v>
      </c>
      <c r="S89" s="60">
        <f>IF(OR($E89="",$G89=""),"",IF(AND(P89=$E89,R89=$G89),Auxiliar!$C$11,IF(AND(SIGN($E89-$G89)=SIGN(P89-R89),MAX($E89,$G89)=MAX(P89,R89)),Auxiliar!$C$12,IF(ABS($E89-$G89)=ABS(P89-R89),Auxiliar!$C$13,IF(AND(SIGN($E89-$G89)=SIGN(P89-R89),MIN($E89,$G89)=MIN(P89,R89)),Auxiliar!$C$14,IF(SIGN($E89-$G89)=SIGN(P89-R89),Auxiliar!$C$15,IF(P89=R89,Auxiliar!$C$16,0)))))))</f>
        <v>12</v>
      </c>
      <c r="U89" s="9">
        <v>2</v>
      </c>
      <c r="V89" s="10" t="s">
        <v>23</v>
      </c>
      <c r="W89" s="11">
        <v>2</v>
      </c>
      <c r="X89" s="60">
        <f>IF(OR($E89="",$G89=""),"",IF(AND(U89=$E89,W89=$G89),Auxiliar!$C$11,IF(AND(SIGN($E89-$G89)=SIGN(U89-W89),MAX($E89,$G89)=MAX(U89,W89)),Auxiliar!$C$12,IF(ABS($E89-$G89)=ABS(U89-W89),Auxiliar!$C$13,IF(AND(SIGN($E89-$G89)=SIGN(U89-W89),MIN($E89,$G89)=MIN(U89,W89)),Auxiliar!$C$14,IF(SIGN($E89-$G89)=SIGN(U89-W89),Auxiliar!$C$15,IF(U89=W89,Auxiliar!$C$16,0)))))))</f>
        <v>5</v>
      </c>
      <c r="Z89" s="9">
        <v>1</v>
      </c>
      <c r="AA89" s="10" t="s">
        <v>23</v>
      </c>
      <c r="AB89" s="11">
        <v>5</v>
      </c>
      <c r="AC89" s="60">
        <f>IF(OR($E89="",$G89=""),"",IF(AND(Z89=$E89,AB89=$G89),Auxiliar!$C$11,IF(AND(SIGN($E89-$G89)=SIGN(Z89-AB89),MAX($E89,$G89)=MAX(Z89,AB89)),Auxiliar!$C$12,IF(ABS($E89-$G89)=ABS(Z89-AB89),Auxiliar!$C$13,IF(AND(SIGN($E89-$G89)=SIGN(Z89-AB89),MIN($E89,$G89)=MIN(Z89,AB89)),Auxiliar!$C$14,IF(SIGN($E89-$G89)=SIGN(Z89-AB89),Auxiliar!$C$15,IF(Z89=AB89,Auxiliar!$C$16,0)))))))</f>
        <v>15</v>
      </c>
      <c r="AE89" s="9">
        <v>2</v>
      </c>
      <c r="AF89" s="10" t="s">
        <v>23</v>
      </c>
      <c r="AG89" s="11">
        <v>5</v>
      </c>
      <c r="AH89" s="60">
        <f>IF(OR($E89="",$G89=""),"",IF(AND(AE89=$E89,AG89=$G89),Auxiliar!$C$11,IF(AND(SIGN($E89-$G89)=SIGN(AE89-AG89),MAX($E89,$G89)=MAX(AE89,AG89)),Auxiliar!$C$12,IF(ABS($E89-$G89)=ABS(AE89-AG89),Auxiliar!$C$13,IF(AND(SIGN($E89-$G89)=SIGN(AE89-AG89),MIN($E89,$G89)=MIN(AE89,AG89)),Auxiliar!$C$14,IF(SIGN($E89-$G89)=SIGN(AE89-AG89),Auxiliar!$C$15,IF(AE89=AG89,Auxiliar!$C$16,0)))))))</f>
        <v>10</v>
      </c>
    </row>
    <row r="90" spans="3:34" x14ac:dyDescent="0.25">
      <c r="C90" s="24">
        <f t="shared" si="0"/>
        <v>8</v>
      </c>
      <c r="D90" s="18" t="s">
        <v>8</v>
      </c>
      <c r="E90" s="13">
        <v>2</v>
      </c>
      <c r="F90" s="12" t="s">
        <v>23</v>
      </c>
      <c r="G90" s="13">
        <v>4</v>
      </c>
      <c r="H90" s="14" t="s">
        <v>19</v>
      </c>
      <c r="K90" s="9">
        <v>5</v>
      </c>
      <c r="L90" s="10" t="s">
        <v>23</v>
      </c>
      <c r="M90" s="11">
        <v>2</v>
      </c>
      <c r="N90" s="60">
        <f>IF(OR($E90="",$G90=""),"",IF(AND(K90=$E90,M90=$G90),Auxiliar!$C$11,IF(AND(SIGN($E90-$G90)=SIGN(K90-M90),MAX($E90,$G90)=MAX(K90,M90)),Auxiliar!$C$12,IF(ABS($E90-$G90)=ABS(K90-M90),Auxiliar!$C$13,IF(AND(SIGN($E90-$G90)=SIGN(K90-M90),MIN($E90,$G90)=MIN(K90,M90)),Auxiliar!$C$14,IF(SIGN($E90-$G90)=SIGN(K90-M90),Auxiliar!$C$15,IF(K90=M90,Auxiliar!$C$16,0)))))))</f>
        <v>0</v>
      </c>
      <c r="P90" s="9">
        <v>3</v>
      </c>
      <c r="Q90" s="10" t="s">
        <v>23</v>
      </c>
      <c r="R90" s="11">
        <v>5</v>
      </c>
      <c r="S90" s="60">
        <f>IF(OR($E90="",$G90=""),"",IF(AND(P90=$E90,R90=$G90),Auxiliar!$C$11,IF(AND(SIGN($E90-$G90)=SIGN(P90-R90),MAX($E90,$G90)=MAX(P90,R90)),Auxiliar!$C$12,IF(ABS($E90-$G90)=ABS(P90-R90),Auxiliar!$C$13,IF(AND(SIGN($E90-$G90)=SIGN(P90-R90),MIN($E90,$G90)=MIN(P90,R90)),Auxiliar!$C$14,IF(SIGN($E90-$G90)=SIGN(P90-R90),Auxiliar!$C$15,IF(P90=R90,Auxiliar!$C$16,0)))))))</f>
        <v>15</v>
      </c>
      <c r="U90" s="9">
        <v>2</v>
      </c>
      <c r="V90" s="10" t="s">
        <v>23</v>
      </c>
      <c r="W90" s="11">
        <v>3</v>
      </c>
      <c r="X90" s="60">
        <f>IF(OR($E90="",$G90=""),"",IF(AND(U90=$E90,W90=$G90),Auxiliar!$C$11,IF(AND(SIGN($E90-$G90)=SIGN(U90-W90),MAX($E90,$G90)=MAX(U90,W90)),Auxiliar!$C$12,IF(ABS($E90-$G90)=ABS(U90-W90),Auxiliar!$C$13,IF(AND(SIGN($E90-$G90)=SIGN(U90-W90),MIN($E90,$G90)=MIN(U90,W90)),Auxiliar!$C$14,IF(SIGN($E90-$G90)=SIGN(U90-W90),Auxiliar!$C$15,IF(U90=W90,Auxiliar!$C$16,0)))))))</f>
        <v>12</v>
      </c>
      <c r="Z90" s="9">
        <v>0</v>
      </c>
      <c r="AA90" s="10" t="s">
        <v>23</v>
      </c>
      <c r="AB90" s="11">
        <v>5</v>
      </c>
      <c r="AC90" s="60">
        <f>IF(OR($E90="",$G90=""),"",IF(AND(Z90=$E90,AB90=$G90),Auxiliar!$C$11,IF(AND(SIGN($E90-$G90)=SIGN(Z90-AB90),MAX($E90,$G90)=MAX(Z90,AB90)),Auxiliar!$C$12,IF(ABS($E90-$G90)=ABS(Z90-AB90),Auxiliar!$C$13,IF(AND(SIGN($E90-$G90)=SIGN(Z90-AB90),MIN($E90,$G90)=MIN(Z90,AB90)),Auxiliar!$C$14,IF(SIGN($E90-$G90)=SIGN(Z90-AB90),Auxiliar!$C$15,IF(Z90=AB90,Auxiliar!$C$16,0)))))))</f>
        <v>10</v>
      </c>
      <c r="AE90" s="9">
        <v>1</v>
      </c>
      <c r="AF90" s="10" t="s">
        <v>23</v>
      </c>
      <c r="AG90" s="11">
        <v>4</v>
      </c>
      <c r="AH90" s="60">
        <f>IF(OR($E90="",$G90=""),"",IF(AND(AE90=$E90,AG90=$G90),Auxiliar!$C$11,IF(AND(SIGN($E90-$G90)=SIGN(AE90-AG90),MAX($E90,$G90)=MAX(AE90,AG90)),Auxiliar!$C$12,IF(ABS($E90-$G90)=ABS(AE90-AG90),Auxiliar!$C$13,IF(AND(SIGN($E90-$G90)=SIGN(AE90-AG90),MIN($E90,$G90)=MIN(AE90,AG90)),Auxiliar!$C$14,IF(SIGN($E90-$G90)=SIGN(AE90-AG90),Auxiliar!$C$15,IF(AE90=AG90,Auxiliar!$C$16,0)))))))</f>
        <v>18</v>
      </c>
    </row>
    <row r="91" spans="3:34" x14ac:dyDescent="0.25">
      <c r="C91" s="24">
        <f t="shared" si="0"/>
        <v>8</v>
      </c>
      <c r="D91" s="18" t="s">
        <v>5</v>
      </c>
      <c r="E91" s="13">
        <v>0</v>
      </c>
      <c r="F91" s="12" t="s">
        <v>23</v>
      </c>
      <c r="G91" s="13">
        <v>0</v>
      </c>
      <c r="H91" s="14" t="s">
        <v>7</v>
      </c>
      <c r="K91" s="9">
        <v>5</v>
      </c>
      <c r="L91" s="10" t="s">
        <v>23</v>
      </c>
      <c r="M91" s="11">
        <v>4</v>
      </c>
      <c r="N91" s="60">
        <f>IF(OR($E91="",$G91=""),"",IF(AND(K91=$E91,M91=$G91),Auxiliar!$C$11,IF(AND(SIGN($E91-$G91)=SIGN(K91-M91),MAX($E91,$G91)=MAX(K91,M91)),Auxiliar!$C$12,IF(ABS($E91-$G91)=ABS(K91-M91),Auxiliar!$C$13,IF(AND(SIGN($E91-$G91)=SIGN(K91-M91),MIN($E91,$G91)=MIN(K91,M91)),Auxiliar!$C$14,IF(SIGN($E91-$G91)=SIGN(K91-M91),Auxiliar!$C$15,IF(K91=M91,Auxiliar!$C$16,0)))))))</f>
        <v>0</v>
      </c>
      <c r="P91" s="9">
        <v>3</v>
      </c>
      <c r="Q91" s="10" t="s">
        <v>23</v>
      </c>
      <c r="R91" s="11">
        <v>0</v>
      </c>
      <c r="S91" s="60">
        <f>IF(OR($E91="",$G91=""),"",IF(AND(P91=$E91,R91=$G91),Auxiliar!$C$11,IF(AND(SIGN($E91-$G91)=SIGN(P91-R91),MAX($E91,$G91)=MAX(P91,R91)),Auxiliar!$C$12,IF(ABS($E91-$G91)=ABS(P91-R91),Auxiliar!$C$13,IF(AND(SIGN($E91-$G91)=SIGN(P91-R91),MIN($E91,$G91)=MIN(P91,R91)),Auxiliar!$C$14,IF(SIGN($E91-$G91)=SIGN(P91-R91),Auxiliar!$C$15,IF(P91=R91,Auxiliar!$C$16,0)))))))</f>
        <v>0</v>
      </c>
      <c r="U91" s="9">
        <v>3</v>
      </c>
      <c r="V91" s="10" t="s">
        <v>23</v>
      </c>
      <c r="W91" s="11">
        <v>0</v>
      </c>
      <c r="X91" s="60">
        <f>IF(OR($E91="",$G91=""),"",IF(AND(U91=$E91,W91=$G91),Auxiliar!$C$11,IF(AND(SIGN($E91-$G91)=SIGN(U91-W91),MAX($E91,$G91)=MAX(U91,W91)),Auxiliar!$C$12,IF(ABS($E91-$G91)=ABS(U91-W91),Auxiliar!$C$13,IF(AND(SIGN($E91-$G91)=SIGN(U91-W91),MIN($E91,$G91)=MIN(U91,W91)),Auxiliar!$C$14,IF(SIGN($E91-$G91)=SIGN(U91-W91),Auxiliar!$C$15,IF(U91=W91,Auxiliar!$C$16,0)))))))</f>
        <v>0</v>
      </c>
      <c r="Z91" s="9">
        <v>4</v>
      </c>
      <c r="AA91" s="10" t="s">
        <v>23</v>
      </c>
      <c r="AB91" s="11">
        <v>0</v>
      </c>
      <c r="AC91" s="60">
        <f>IF(OR($E91="",$G91=""),"",IF(AND(Z91=$E91,AB91=$G91),Auxiliar!$C$11,IF(AND(SIGN($E91-$G91)=SIGN(Z91-AB91),MAX($E91,$G91)=MAX(Z91,AB91)),Auxiliar!$C$12,IF(ABS($E91-$G91)=ABS(Z91-AB91),Auxiliar!$C$13,IF(AND(SIGN($E91-$G91)=SIGN(Z91-AB91),MIN($E91,$G91)=MIN(Z91,AB91)),Auxiliar!$C$14,IF(SIGN($E91-$G91)=SIGN(Z91-AB91),Auxiliar!$C$15,IF(Z91=AB91,Auxiliar!$C$16,0)))))))</f>
        <v>0</v>
      </c>
      <c r="AE91" s="9">
        <v>0</v>
      </c>
      <c r="AF91" s="10" t="s">
        <v>23</v>
      </c>
      <c r="AG91" s="11">
        <v>2</v>
      </c>
      <c r="AH91" s="60">
        <f>IF(OR($E91="",$G91=""),"",IF(AND(AE91=$E91,AG91=$G91),Auxiliar!$C$11,IF(AND(SIGN($E91-$G91)=SIGN(AE91-AG91),MAX($E91,$G91)=MAX(AE91,AG91)),Auxiliar!$C$12,IF(ABS($E91-$G91)=ABS(AE91-AG91),Auxiliar!$C$13,IF(AND(SIGN($E91-$G91)=SIGN(AE91-AG91),MIN($E91,$G91)=MIN(AE91,AG91)),Auxiliar!$C$14,IF(SIGN($E91-$G91)=SIGN(AE91-AG91),Auxiliar!$C$15,IF(AE91=AG91,Auxiliar!$C$16,0)))))))</f>
        <v>0</v>
      </c>
    </row>
    <row r="92" spans="3:34" x14ac:dyDescent="0.25">
      <c r="C92" s="24">
        <f t="shared" si="0"/>
        <v>8</v>
      </c>
      <c r="D92" s="18" t="s">
        <v>16</v>
      </c>
      <c r="E92" s="13">
        <v>4</v>
      </c>
      <c r="F92" s="12" t="s">
        <v>23</v>
      </c>
      <c r="G92" s="13">
        <v>0</v>
      </c>
      <c r="H92" s="14" t="s">
        <v>12</v>
      </c>
      <c r="K92" s="9">
        <v>2</v>
      </c>
      <c r="L92" s="10" t="s">
        <v>23</v>
      </c>
      <c r="M92" s="11">
        <v>2</v>
      </c>
      <c r="N92" s="60">
        <f>IF(OR($E92="",$G92=""),"",IF(AND(K92=$E92,M92=$G92),Auxiliar!$C$11,IF(AND(SIGN($E92-$G92)=SIGN(K92-M92),MAX($E92,$G92)=MAX(K92,M92)),Auxiliar!$C$12,IF(ABS($E92-$G92)=ABS(K92-M92),Auxiliar!$C$13,IF(AND(SIGN($E92-$G92)=SIGN(K92-M92),MIN($E92,$G92)=MIN(K92,M92)),Auxiliar!$C$14,IF(SIGN($E92-$G92)=SIGN(K92-M92),Auxiliar!$C$15,IF(K92=M92,Auxiliar!$C$16,0)))))))</f>
        <v>5</v>
      </c>
      <c r="P92" s="9">
        <v>4</v>
      </c>
      <c r="Q92" s="10" t="s">
        <v>23</v>
      </c>
      <c r="R92" s="11">
        <v>0</v>
      </c>
      <c r="S92" s="60">
        <f>IF(OR($E92="",$G92=""),"",IF(AND(P92=$E92,R92=$G92),Auxiliar!$C$11,IF(AND(SIGN($E92-$G92)=SIGN(P92-R92),MAX($E92,$G92)=MAX(P92,R92)),Auxiliar!$C$12,IF(ABS($E92-$G92)=ABS(P92-R92),Auxiliar!$C$13,IF(AND(SIGN($E92-$G92)=SIGN(P92-R92),MIN($E92,$G92)=MIN(P92,R92)),Auxiliar!$C$14,IF(SIGN($E92-$G92)=SIGN(P92-R92),Auxiliar!$C$15,IF(P92=R92,Auxiliar!$C$16,0)))))))</f>
        <v>25</v>
      </c>
      <c r="U92" s="9">
        <v>2</v>
      </c>
      <c r="V92" s="10" t="s">
        <v>23</v>
      </c>
      <c r="W92" s="11">
        <v>5</v>
      </c>
      <c r="X92" s="60">
        <f>IF(OR($E92="",$G92=""),"",IF(AND(U92=$E92,W92=$G92),Auxiliar!$C$11,IF(AND(SIGN($E92-$G92)=SIGN(U92-W92),MAX($E92,$G92)=MAX(U92,W92)),Auxiliar!$C$12,IF(ABS($E92-$G92)=ABS(U92-W92),Auxiliar!$C$13,IF(AND(SIGN($E92-$G92)=SIGN(U92-W92),MIN($E92,$G92)=MIN(U92,W92)),Auxiliar!$C$14,IF(SIGN($E92-$G92)=SIGN(U92-W92),Auxiliar!$C$15,IF(U92=W92,Auxiliar!$C$16,0)))))))</f>
        <v>0</v>
      </c>
      <c r="Z92" s="9">
        <v>1</v>
      </c>
      <c r="AA92" s="10" t="s">
        <v>23</v>
      </c>
      <c r="AB92" s="11">
        <v>4</v>
      </c>
      <c r="AC92" s="60">
        <f>IF(OR($E92="",$G92=""),"",IF(AND(Z92=$E92,AB92=$G92),Auxiliar!$C$11,IF(AND(SIGN($E92-$G92)=SIGN(Z92-AB92),MAX($E92,$G92)=MAX(Z92,AB92)),Auxiliar!$C$12,IF(ABS($E92-$G92)=ABS(Z92-AB92),Auxiliar!$C$13,IF(AND(SIGN($E92-$G92)=SIGN(Z92-AB92),MIN($E92,$G92)=MIN(Z92,AB92)),Auxiliar!$C$14,IF(SIGN($E92-$G92)=SIGN(Z92-AB92),Auxiliar!$C$15,IF(Z92=AB92,Auxiliar!$C$16,0)))))))</f>
        <v>0</v>
      </c>
      <c r="AE92" s="9">
        <v>0</v>
      </c>
      <c r="AF92" s="10" t="s">
        <v>23</v>
      </c>
      <c r="AG92" s="11">
        <v>1</v>
      </c>
      <c r="AH92" s="60">
        <f>IF(OR($E92="",$G92=""),"",IF(AND(AE92=$E92,AG92=$G92),Auxiliar!$C$11,IF(AND(SIGN($E92-$G92)=SIGN(AE92-AG92),MAX($E92,$G92)=MAX(AE92,AG92)),Auxiliar!$C$12,IF(ABS($E92-$G92)=ABS(AE92-AG92),Auxiliar!$C$13,IF(AND(SIGN($E92-$G92)=SIGN(AE92-AG92),MIN($E92,$G92)=MIN(AE92,AG92)),Auxiliar!$C$14,IF(SIGN($E92-$G92)=SIGN(AE92-AG92),Auxiliar!$C$15,IF(AE92=AG92,Auxiliar!$C$16,0)))))))</f>
        <v>0</v>
      </c>
    </row>
    <row r="93" spans="3:34" x14ac:dyDescent="0.25">
      <c r="C93" s="24">
        <f t="shared" si="0"/>
        <v>8</v>
      </c>
      <c r="D93" s="18" t="s">
        <v>9</v>
      </c>
      <c r="E93" s="13">
        <v>5</v>
      </c>
      <c r="F93" s="12" t="s">
        <v>23</v>
      </c>
      <c r="G93" s="13">
        <v>1</v>
      </c>
      <c r="H93" s="14" t="s">
        <v>6</v>
      </c>
      <c r="K93" s="9">
        <v>5</v>
      </c>
      <c r="L93" s="10" t="s">
        <v>23</v>
      </c>
      <c r="M93" s="11">
        <v>3</v>
      </c>
      <c r="N93" s="60">
        <f>IF(OR($E93="",$G93=""),"",IF(AND(K93=$E93,M93=$G93),Auxiliar!$C$11,IF(AND(SIGN($E93-$G93)=SIGN(K93-M93),MAX($E93,$G93)=MAX(K93,M93)),Auxiliar!$C$12,IF(ABS($E93-$G93)=ABS(K93-M93),Auxiliar!$C$13,IF(AND(SIGN($E93-$G93)=SIGN(K93-M93),MIN($E93,$G93)=MIN(K93,M93)),Auxiliar!$C$14,IF(SIGN($E93-$G93)=SIGN(K93-M93),Auxiliar!$C$15,IF(K93=M93,Auxiliar!$C$16,0)))))))</f>
        <v>18</v>
      </c>
      <c r="P93" s="9">
        <v>4</v>
      </c>
      <c r="Q93" s="10" t="s">
        <v>23</v>
      </c>
      <c r="R93" s="11">
        <v>3</v>
      </c>
      <c r="S93" s="60">
        <f>IF(OR($E93="",$G93=""),"",IF(AND(P93=$E93,R93=$G93),Auxiliar!$C$11,IF(AND(SIGN($E93-$G93)=SIGN(P93-R93),MAX($E93,$G93)=MAX(P93,R93)),Auxiliar!$C$12,IF(ABS($E93-$G93)=ABS(P93-R93),Auxiliar!$C$13,IF(AND(SIGN($E93-$G93)=SIGN(P93-R93),MIN($E93,$G93)=MIN(P93,R93)),Auxiliar!$C$14,IF(SIGN($E93-$G93)=SIGN(P93-R93),Auxiliar!$C$15,IF(P93=R93,Auxiliar!$C$16,0)))))))</f>
        <v>10</v>
      </c>
      <c r="U93" s="9">
        <v>1</v>
      </c>
      <c r="V93" s="10" t="s">
        <v>23</v>
      </c>
      <c r="W93" s="11">
        <v>2</v>
      </c>
      <c r="X93" s="60">
        <f>IF(OR($E93="",$G93=""),"",IF(AND(U93=$E93,W93=$G93),Auxiliar!$C$11,IF(AND(SIGN($E93-$G93)=SIGN(U93-W93),MAX($E93,$G93)=MAX(U93,W93)),Auxiliar!$C$12,IF(ABS($E93-$G93)=ABS(U93-W93),Auxiliar!$C$13,IF(AND(SIGN($E93-$G93)=SIGN(U93-W93),MIN($E93,$G93)=MIN(U93,W93)),Auxiliar!$C$14,IF(SIGN($E93-$G93)=SIGN(U93-W93),Auxiliar!$C$15,IF(U93=W93,Auxiliar!$C$16,0)))))))</f>
        <v>0</v>
      </c>
      <c r="Z93" s="9">
        <v>3</v>
      </c>
      <c r="AA93" s="10" t="s">
        <v>23</v>
      </c>
      <c r="AB93" s="11">
        <v>4</v>
      </c>
      <c r="AC93" s="60">
        <f>IF(OR($E93="",$G93=""),"",IF(AND(Z93=$E93,AB93=$G93),Auxiliar!$C$11,IF(AND(SIGN($E93-$G93)=SIGN(Z93-AB93),MAX($E93,$G93)=MAX(Z93,AB93)),Auxiliar!$C$12,IF(ABS($E93-$G93)=ABS(Z93-AB93),Auxiliar!$C$13,IF(AND(SIGN($E93-$G93)=SIGN(Z93-AB93),MIN($E93,$G93)=MIN(Z93,AB93)),Auxiliar!$C$14,IF(SIGN($E93-$G93)=SIGN(Z93-AB93),Auxiliar!$C$15,IF(Z93=AB93,Auxiliar!$C$16,0)))))))</f>
        <v>0</v>
      </c>
      <c r="AE93" s="9">
        <v>4</v>
      </c>
      <c r="AF93" s="10" t="s">
        <v>23</v>
      </c>
      <c r="AG93" s="11">
        <v>4</v>
      </c>
      <c r="AH93" s="60">
        <f>IF(OR($E93="",$G93=""),"",IF(AND(AE93=$E93,AG93=$G93),Auxiliar!$C$11,IF(AND(SIGN($E93-$G93)=SIGN(AE93-AG93),MAX($E93,$G93)=MAX(AE93,AG93)),Auxiliar!$C$12,IF(ABS($E93-$G93)=ABS(AE93-AG93),Auxiliar!$C$13,IF(AND(SIGN($E93-$G93)=SIGN(AE93-AG93),MIN($E93,$G93)=MIN(AE93,AG93)),Auxiliar!$C$14,IF(SIGN($E93-$G93)=SIGN(AE93-AG93),Auxiliar!$C$15,IF(AE93=AG93,Auxiliar!$C$16,0)))))))</f>
        <v>5</v>
      </c>
    </row>
    <row r="94" spans="3:34" x14ac:dyDescent="0.25">
      <c r="C94" s="24">
        <f t="shared" ref="C94:C157" si="1">C84+1</f>
        <v>8</v>
      </c>
      <c r="D94" s="18" t="s">
        <v>11</v>
      </c>
      <c r="E94" s="13">
        <v>1</v>
      </c>
      <c r="F94" s="12" t="s">
        <v>23</v>
      </c>
      <c r="G94" s="13">
        <v>1</v>
      </c>
      <c r="H94" s="14" t="s">
        <v>4</v>
      </c>
      <c r="K94" s="9">
        <v>3</v>
      </c>
      <c r="L94" s="10" t="s">
        <v>23</v>
      </c>
      <c r="M94" s="11">
        <v>0</v>
      </c>
      <c r="N94" s="60">
        <f>IF(OR($E94="",$G94=""),"",IF(AND(K94=$E94,M94=$G94),Auxiliar!$C$11,IF(AND(SIGN($E94-$G94)=SIGN(K94-M94),MAX($E94,$G94)=MAX(K94,M94)),Auxiliar!$C$12,IF(ABS($E94-$G94)=ABS(K94-M94),Auxiliar!$C$13,IF(AND(SIGN($E94-$G94)=SIGN(K94-M94),MIN($E94,$G94)=MIN(K94,M94)),Auxiliar!$C$14,IF(SIGN($E94-$G94)=SIGN(K94-M94),Auxiliar!$C$15,IF(K94=M94,Auxiliar!$C$16,0)))))))</f>
        <v>0</v>
      </c>
      <c r="P94" s="9">
        <v>2</v>
      </c>
      <c r="Q94" s="10" t="s">
        <v>23</v>
      </c>
      <c r="R94" s="11">
        <v>5</v>
      </c>
      <c r="S94" s="60">
        <f>IF(OR($E94="",$G94=""),"",IF(AND(P94=$E94,R94=$G94),Auxiliar!$C$11,IF(AND(SIGN($E94-$G94)=SIGN(P94-R94),MAX($E94,$G94)=MAX(P94,R94)),Auxiliar!$C$12,IF(ABS($E94-$G94)=ABS(P94-R94),Auxiliar!$C$13,IF(AND(SIGN($E94-$G94)=SIGN(P94-R94),MIN($E94,$G94)=MIN(P94,R94)),Auxiliar!$C$14,IF(SIGN($E94-$G94)=SIGN(P94-R94),Auxiliar!$C$15,IF(P94=R94,Auxiliar!$C$16,0)))))))</f>
        <v>0</v>
      </c>
      <c r="U94" s="9">
        <v>5</v>
      </c>
      <c r="V94" s="10" t="s">
        <v>23</v>
      </c>
      <c r="W94" s="11">
        <v>1</v>
      </c>
      <c r="X94" s="60">
        <f>IF(OR($E94="",$G94=""),"",IF(AND(U94=$E94,W94=$G94),Auxiliar!$C$11,IF(AND(SIGN($E94-$G94)=SIGN(U94-W94),MAX($E94,$G94)=MAX(U94,W94)),Auxiliar!$C$12,IF(ABS($E94-$G94)=ABS(U94-W94),Auxiliar!$C$13,IF(AND(SIGN($E94-$G94)=SIGN(U94-W94),MIN($E94,$G94)=MIN(U94,W94)),Auxiliar!$C$14,IF(SIGN($E94-$G94)=SIGN(U94-W94),Auxiliar!$C$15,IF(U94=W94,Auxiliar!$C$16,0)))))))</f>
        <v>0</v>
      </c>
      <c r="Z94" s="9">
        <v>5</v>
      </c>
      <c r="AA94" s="10" t="s">
        <v>23</v>
      </c>
      <c r="AB94" s="11">
        <v>2</v>
      </c>
      <c r="AC94" s="60">
        <f>IF(OR($E94="",$G94=""),"",IF(AND(Z94=$E94,AB94=$G94),Auxiliar!$C$11,IF(AND(SIGN($E94-$G94)=SIGN(Z94-AB94),MAX($E94,$G94)=MAX(Z94,AB94)),Auxiliar!$C$12,IF(ABS($E94-$G94)=ABS(Z94-AB94),Auxiliar!$C$13,IF(AND(SIGN($E94-$G94)=SIGN(Z94-AB94),MIN($E94,$G94)=MIN(Z94,AB94)),Auxiliar!$C$14,IF(SIGN($E94-$G94)=SIGN(Z94-AB94),Auxiliar!$C$15,IF(Z94=AB94,Auxiliar!$C$16,0)))))))</f>
        <v>0</v>
      </c>
      <c r="AE94" s="9">
        <v>3</v>
      </c>
      <c r="AF94" s="10" t="s">
        <v>23</v>
      </c>
      <c r="AG94" s="11">
        <v>5</v>
      </c>
      <c r="AH94" s="60">
        <f>IF(OR($E94="",$G94=""),"",IF(AND(AE94=$E94,AG94=$G94),Auxiliar!$C$11,IF(AND(SIGN($E94-$G94)=SIGN(AE94-AG94),MAX($E94,$G94)=MAX(AE94,AG94)),Auxiliar!$C$12,IF(ABS($E94-$G94)=ABS(AE94-AG94),Auxiliar!$C$13,IF(AND(SIGN($E94-$G94)=SIGN(AE94-AG94),MIN($E94,$G94)=MIN(AE94,AG94)),Auxiliar!$C$14,IF(SIGN($E94-$G94)=SIGN(AE94-AG94),Auxiliar!$C$15,IF(AE94=AG94,Auxiliar!$C$16,0)))))))</f>
        <v>0</v>
      </c>
    </row>
    <row r="95" spans="3:34" x14ac:dyDescent="0.25">
      <c r="C95" s="24">
        <f t="shared" si="1"/>
        <v>8</v>
      </c>
      <c r="D95" s="18" t="s">
        <v>10</v>
      </c>
      <c r="E95" s="13">
        <v>4</v>
      </c>
      <c r="F95" s="12" t="s">
        <v>23</v>
      </c>
      <c r="G95" s="13">
        <v>0</v>
      </c>
      <c r="H95" s="14" t="s">
        <v>17</v>
      </c>
      <c r="K95" s="9">
        <v>1</v>
      </c>
      <c r="L95" s="10" t="s">
        <v>23</v>
      </c>
      <c r="M95" s="11">
        <v>0</v>
      </c>
      <c r="N95" s="60">
        <f>IF(OR($E95="",$G95=""),"",IF(AND(K95=$E95,M95=$G95),Auxiliar!$C$11,IF(AND(SIGN($E95-$G95)=SIGN(K95-M95),MAX($E95,$G95)=MAX(K95,M95)),Auxiliar!$C$12,IF(ABS($E95-$G95)=ABS(K95-M95),Auxiliar!$C$13,IF(AND(SIGN($E95-$G95)=SIGN(K95-M95),MIN($E95,$G95)=MIN(K95,M95)),Auxiliar!$C$14,IF(SIGN($E95-$G95)=SIGN(K95-M95),Auxiliar!$C$15,IF(K95=M95,Auxiliar!$C$16,0)))))))</f>
        <v>12</v>
      </c>
      <c r="P95" s="9">
        <v>4</v>
      </c>
      <c r="Q95" s="10" t="s">
        <v>23</v>
      </c>
      <c r="R95" s="11">
        <v>0</v>
      </c>
      <c r="S95" s="60">
        <f>IF(OR($E95="",$G95=""),"",IF(AND(P95=$E95,R95=$G95),Auxiliar!$C$11,IF(AND(SIGN($E95-$G95)=SIGN(P95-R95),MAX($E95,$G95)=MAX(P95,R95)),Auxiliar!$C$12,IF(ABS($E95-$G95)=ABS(P95-R95),Auxiliar!$C$13,IF(AND(SIGN($E95-$G95)=SIGN(P95-R95),MIN($E95,$G95)=MIN(P95,R95)),Auxiliar!$C$14,IF(SIGN($E95-$G95)=SIGN(P95-R95),Auxiliar!$C$15,IF(P95=R95,Auxiliar!$C$16,0)))))))</f>
        <v>25</v>
      </c>
      <c r="U95" s="9">
        <v>5</v>
      </c>
      <c r="V95" s="10" t="s">
        <v>23</v>
      </c>
      <c r="W95" s="11">
        <v>2</v>
      </c>
      <c r="X95" s="60">
        <f>IF(OR($E95="",$G95=""),"",IF(AND(U95=$E95,W95=$G95),Auxiliar!$C$11,IF(AND(SIGN($E95-$G95)=SIGN(U95-W95),MAX($E95,$G95)=MAX(U95,W95)),Auxiliar!$C$12,IF(ABS($E95-$G95)=ABS(U95-W95),Auxiliar!$C$13,IF(AND(SIGN($E95-$G95)=SIGN(U95-W95),MIN($E95,$G95)=MIN(U95,W95)),Auxiliar!$C$14,IF(SIGN($E95-$G95)=SIGN(U95-W95),Auxiliar!$C$15,IF(U95=W95,Auxiliar!$C$16,0)))))))</f>
        <v>10</v>
      </c>
      <c r="Z95" s="9">
        <v>3</v>
      </c>
      <c r="AA95" s="10" t="s">
        <v>23</v>
      </c>
      <c r="AB95" s="11">
        <v>2</v>
      </c>
      <c r="AC95" s="60">
        <f>IF(OR($E95="",$G95=""),"",IF(AND(Z95=$E95,AB95=$G95),Auxiliar!$C$11,IF(AND(SIGN($E95-$G95)=SIGN(Z95-AB95),MAX($E95,$G95)=MAX(Z95,AB95)),Auxiliar!$C$12,IF(ABS($E95-$G95)=ABS(Z95-AB95),Auxiliar!$C$13,IF(AND(SIGN($E95-$G95)=SIGN(Z95-AB95),MIN($E95,$G95)=MIN(Z95,AB95)),Auxiliar!$C$14,IF(SIGN($E95-$G95)=SIGN(Z95-AB95),Auxiliar!$C$15,IF(Z95=AB95,Auxiliar!$C$16,0)))))))</f>
        <v>10</v>
      </c>
      <c r="AE95" s="9">
        <v>5</v>
      </c>
      <c r="AF95" s="10" t="s">
        <v>23</v>
      </c>
      <c r="AG95" s="11">
        <v>1</v>
      </c>
      <c r="AH95" s="60">
        <f>IF(OR($E95="",$G95=""),"",IF(AND(AE95=$E95,AG95=$G95),Auxiliar!$C$11,IF(AND(SIGN($E95-$G95)=SIGN(AE95-AG95),MAX($E95,$G95)=MAX(AE95,AG95)),Auxiliar!$C$12,IF(ABS($E95-$G95)=ABS(AE95-AG95),Auxiliar!$C$13,IF(AND(SIGN($E95-$G95)=SIGN(AE95-AG95),MIN($E95,$G95)=MIN(AE95,AG95)),Auxiliar!$C$14,IF(SIGN($E95-$G95)=SIGN(AE95-AG95),Auxiliar!$C$15,IF(AE95=AG95,Auxiliar!$C$16,0)))))))</f>
        <v>15</v>
      </c>
    </row>
    <row r="96" spans="3:34" x14ac:dyDescent="0.25">
      <c r="C96" s="24">
        <f t="shared" si="1"/>
        <v>8</v>
      </c>
      <c r="D96" s="18" t="s">
        <v>22</v>
      </c>
      <c r="E96" s="13">
        <v>1</v>
      </c>
      <c r="F96" s="12" t="s">
        <v>23</v>
      </c>
      <c r="G96" s="13">
        <v>1</v>
      </c>
      <c r="H96" s="14" t="s">
        <v>14</v>
      </c>
      <c r="K96" s="9">
        <v>5</v>
      </c>
      <c r="L96" s="10" t="s">
        <v>23</v>
      </c>
      <c r="M96" s="11">
        <v>2</v>
      </c>
      <c r="N96" s="60">
        <f>IF(OR($E96="",$G96=""),"",IF(AND(K96=$E96,M96=$G96),Auxiliar!$C$11,IF(AND(SIGN($E96-$G96)=SIGN(K96-M96),MAX($E96,$G96)=MAX(K96,M96)),Auxiliar!$C$12,IF(ABS($E96-$G96)=ABS(K96-M96),Auxiliar!$C$13,IF(AND(SIGN($E96-$G96)=SIGN(K96-M96),MIN($E96,$G96)=MIN(K96,M96)),Auxiliar!$C$14,IF(SIGN($E96-$G96)=SIGN(K96-M96),Auxiliar!$C$15,IF(K96=M96,Auxiliar!$C$16,0)))))))</f>
        <v>0</v>
      </c>
      <c r="P96" s="9">
        <v>4</v>
      </c>
      <c r="Q96" s="10" t="s">
        <v>23</v>
      </c>
      <c r="R96" s="11">
        <v>0</v>
      </c>
      <c r="S96" s="60">
        <f>IF(OR($E96="",$G96=""),"",IF(AND(P96=$E96,R96=$G96),Auxiliar!$C$11,IF(AND(SIGN($E96-$G96)=SIGN(P96-R96),MAX($E96,$G96)=MAX(P96,R96)),Auxiliar!$C$12,IF(ABS($E96-$G96)=ABS(P96-R96),Auxiliar!$C$13,IF(AND(SIGN($E96-$G96)=SIGN(P96-R96),MIN($E96,$G96)=MIN(P96,R96)),Auxiliar!$C$14,IF(SIGN($E96-$G96)=SIGN(P96-R96),Auxiliar!$C$15,IF(P96=R96,Auxiliar!$C$16,0)))))))</f>
        <v>0</v>
      </c>
      <c r="U96" s="9">
        <v>0</v>
      </c>
      <c r="V96" s="10" t="s">
        <v>23</v>
      </c>
      <c r="W96" s="11">
        <v>2</v>
      </c>
      <c r="X96" s="60">
        <f>IF(OR($E96="",$G96=""),"",IF(AND(U96=$E96,W96=$G96),Auxiliar!$C$11,IF(AND(SIGN($E96-$G96)=SIGN(U96-W96),MAX($E96,$G96)=MAX(U96,W96)),Auxiliar!$C$12,IF(ABS($E96-$G96)=ABS(U96-W96),Auxiliar!$C$13,IF(AND(SIGN($E96-$G96)=SIGN(U96-W96),MIN($E96,$G96)=MIN(U96,W96)),Auxiliar!$C$14,IF(SIGN($E96-$G96)=SIGN(U96-W96),Auxiliar!$C$15,IF(U96=W96,Auxiliar!$C$16,0)))))))</f>
        <v>0</v>
      </c>
      <c r="Z96" s="9">
        <v>1</v>
      </c>
      <c r="AA96" s="10" t="s">
        <v>23</v>
      </c>
      <c r="AB96" s="11">
        <v>3</v>
      </c>
      <c r="AC96" s="60">
        <f>IF(OR($E96="",$G96=""),"",IF(AND(Z96=$E96,AB96=$G96),Auxiliar!$C$11,IF(AND(SIGN($E96-$G96)=SIGN(Z96-AB96),MAX($E96,$G96)=MAX(Z96,AB96)),Auxiliar!$C$12,IF(ABS($E96-$G96)=ABS(Z96-AB96),Auxiliar!$C$13,IF(AND(SIGN($E96-$G96)=SIGN(Z96-AB96),MIN($E96,$G96)=MIN(Z96,AB96)),Auxiliar!$C$14,IF(SIGN($E96-$G96)=SIGN(Z96-AB96),Auxiliar!$C$15,IF(Z96=AB96,Auxiliar!$C$16,0)))))))</f>
        <v>0</v>
      </c>
      <c r="AE96" s="9">
        <v>3</v>
      </c>
      <c r="AF96" s="10" t="s">
        <v>23</v>
      </c>
      <c r="AG96" s="11">
        <v>5</v>
      </c>
      <c r="AH96" s="60">
        <f>IF(OR($E96="",$G96=""),"",IF(AND(AE96=$E96,AG96=$G96),Auxiliar!$C$11,IF(AND(SIGN($E96-$G96)=SIGN(AE96-AG96),MAX($E96,$G96)=MAX(AE96,AG96)),Auxiliar!$C$12,IF(ABS($E96-$G96)=ABS(AE96-AG96),Auxiliar!$C$13,IF(AND(SIGN($E96-$G96)=SIGN(AE96-AG96),MIN($E96,$G96)=MIN(AE96,AG96)),Auxiliar!$C$14,IF(SIGN($E96-$G96)=SIGN(AE96-AG96),Auxiliar!$C$15,IF(AE96=AG96,Auxiliar!$C$16,0)))))))</f>
        <v>0</v>
      </c>
    </row>
    <row r="97" spans="3:34" x14ac:dyDescent="0.25">
      <c r="C97" s="24">
        <f t="shared" si="1"/>
        <v>8</v>
      </c>
      <c r="D97" s="18" t="s">
        <v>15</v>
      </c>
      <c r="E97" s="13">
        <v>5</v>
      </c>
      <c r="F97" s="12" t="s">
        <v>23</v>
      </c>
      <c r="G97" s="13">
        <v>5</v>
      </c>
      <c r="H97" s="14" t="s">
        <v>20</v>
      </c>
      <c r="K97" s="9">
        <v>5</v>
      </c>
      <c r="L97" s="10" t="s">
        <v>23</v>
      </c>
      <c r="M97" s="11">
        <v>3</v>
      </c>
      <c r="N97" s="60">
        <f>IF(OR($E97="",$G97=""),"",IF(AND(K97=$E97,M97=$G97),Auxiliar!$C$11,IF(AND(SIGN($E97-$G97)=SIGN(K97-M97),MAX($E97,$G97)=MAX(K97,M97)),Auxiliar!$C$12,IF(ABS($E97-$G97)=ABS(K97-M97),Auxiliar!$C$13,IF(AND(SIGN($E97-$G97)=SIGN(K97-M97),MIN($E97,$G97)=MIN(K97,M97)),Auxiliar!$C$14,IF(SIGN($E97-$G97)=SIGN(K97-M97),Auxiliar!$C$15,IF(K97=M97,Auxiliar!$C$16,0)))))))</f>
        <v>0</v>
      </c>
      <c r="P97" s="9">
        <v>4</v>
      </c>
      <c r="Q97" s="10" t="s">
        <v>23</v>
      </c>
      <c r="R97" s="11">
        <v>4</v>
      </c>
      <c r="S97" s="60">
        <f>IF(OR($E97="",$G97=""),"",IF(AND(P97=$E97,R97=$G97),Auxiliar!$C$11,IF(AND(SIGN($E97-$G97)=SIGN(P97-R97),MAX($E97,$G97)=MAX(P97,R97)),Auxiliar!$C$12,IF(ABS($E97-$G97)=ABS(P97-R97),Auxiliar!$C$13,IF(AND(SIGN($E97-$G97)=SIGN(P97-R97),MIN($E97,$G97)=MIN(P97,R97)),Auxiliar!$C$14,IF(SIGN($E97-$G97)=SIGN(P97-R97),Auxiliar!$C$15,IF(P97=R97,Auxiliar!$C$16,0)))))))</f>
        <v>15</v>
      </c>
      <c r="U97" s="9">
        <v>0</v>
      </c>
      <c r="V97" s="10" t="s">
        <v>23</v>
      </c>
      <c r="W97" s="11">
        <v>5</v>
      </c>
      <c r="X97" s="60">
        <f>IF(OR($E97="",$G97=""),"",IF(AND(U97=$E97,W97=$G97),Auxiliar!$C$11,IF(AND(SIGN($E97-$G97)=SIGN(U97-W97),MAX($E97,$G97)=MAX(U97,W97)),Auxiliar!$C$12,IF(ABS($E97-$G97)=ABS(U97-W97),Auxiliar!$C$13,IF(AND(SIGN($E97-$G97)=SIGN(U97-W97),MIN($E97,$G97)=MIN(U97,W97)),Auxiliar!$C$14,IF(SIGN($E97-$G97)=SIGN(U97-W97),Auxiliar!$C$15,IF(U97=W97,Auxiliar!$C$16,0)))))))</f>
        <v>0</v>
      </c>
      <c r="Z97" s="9">
        <v>4</v>
      </c>
      <c r="AA97" s="10" t="s">
        <v>23</v>
      </c>
      <c r="AB97" s="11">
        <v>5</v>
      </c>
      <c r="AC97" s="60">
        <f>IF(OR($E97="",$G97=""),"",IF(AND(Z97=$E97,AB97=$G97),Auxiliar!$C$11,IF(AND(SIGN($E97-$G97)=SIGN(Z97-AB97),MAX($E97,$G97)=MAX(Z97,AB97)),Auxiliar!$C$12,IF(ABS($E97-$G97)=ABS(Z97-AB97),Auxiliar!$C$13,IF(AND(SIGN($E97-$G97)=SIGN(Z97-AB97),MIN($E97,$G97)=MIN(Z97,AB97)),Auxiliar!$C$14,IF(SIGN($E97-$G97)=SIGN(Z97-AB97),Auxiliar!$C$15,IF(Z97=AB97,Auxiliar!$C$16,0)))))))</f>
        <v>0</v>
      </c>
      <c r="AE97" s="9">
        <v>2</v>
      </c>
      <c r="AF97" s="10" t="s">
        <v>23</v>
      </c>
      <c r="AG97" s="11">
        <v>0</v>
      </c>
      <c r="AH97" s="60">
        <f>IF(OR($E97="",$G97=""),"",IF(AND(AE97=$E97,AG97=$G97),Auxiliar!$C$11,IF(AND(SIGN($E97-$G97)=SIGN(AE97-AG97),MAX($E97,$G97)=MAX(AE97,AG97)),Auxiliar!$C$12,IF(ABS($E97-$G97)=ABS(AE97-AG97),Auxiliar!$C$13,IF(AND(SIGN($E97-$G97)=SIGN(AE97-AG97),MIN($E97,$G97)=MIN(AE97,AG97)),Auxiliar!$C$14,IF(SIGN($E97-$G97)=SIGN(AE97-AG97),Auxiliar!$C$15,IF(AE97=AG97,Auxiliar!$C$16,0)))))))</f>
        <v>0</v>
      </c>
    </row>
    <row r="98" spans="3:34" x14ac:dyDescent="0.25">
      <c r="C98" s="24">
        <f t="shared" si="1"/>
        <v>8</v>
      </c>
      <c r="D98" s="18" t="s">
        <v>18</v>
      </c>
      <c r="E98" s="13">
        <v>5</v>
      </c>
      <c r="F98" s="12" t="s">
        <v>23</v>
      </c>
      <c r="G98" s="13">
        <v>0</v>
      </c>
      <c r="H98" s="14" t="s">
        <v>13</v>
      </c>
      <c r="K98" s="9">
        <v>1</v>
      </c>
      <c r="L98" s="10" t="s">
        <v>23</v>
      </c>
      <c r="M98" s="11">
        <v>0</v>
      </c>
      <c r="N98" s="60">
        <f>IF(OR($E98="",$G98=""),"",IF(AND(K98=$E98,M98=$G98),Auxiliar!$C$11,IF(AND(SIGN($E98-$G98)=SIGN(K98-M98),MAX($E98,$G98)=MAX(K98,M98)),Auxiliar!$C$12,IF(ABS($E98-$G98)=ABS(K98-M98),Auxiliar!$C$13,IF(AND(SIGN($E98-$G98)=SIGN(K98-M98),MIN($E98,$G98)=MIN(K98,M98)),Auxiliar!$C$14,IF(SIGN($E98-$G98)=SIGN(K98-M98),Auxiliar!$C$15,IF(K98=M98,Auxiliar!$C$16,0)))))))</f>
        <v>12</v>
      </c>
      <c r="P98" s="9">
        <v>5</v>
      </c>
      <c r="Q98" s="10" t="s">
        <v>23</v>
      </c>
      <c r="R98" s="11">
        <v>3</v>
      </c>
      <c r="S98" s="60">
        <f>IF(OR($E98="",$G98=""),"",IF(AND(P98=$E98,R98=$G98),Auxiliar!$C$11,IF(AND(SIGN($E98-$G98)=SIGN(P98-R98),MAX($E98,$G98)=MAX(P98,R98)),Auxiliar!$C$12,IF(ABS($E98-$G98)=ABS(P98-R98),Auxiliar!$C$13,IF(AND(SIGN($E98-$G98)=SIGN(P98-R98),MIN($E98,$G98)=MIN(P98,R98)),Auxiliar!$C$14,IF(SIGN($E98-$G98)=SIGN(P98-R98),Auxiliar!$C$15,IF(P98=R98,Auxiliar!$C$16,0)))))))</f>
        <v>18</v>
      </c>
      <c r="U98" s="9">
        <v>2</v>
      </c>
      <c r="V98" s="10" t="s">
        <v>23</v>
      </c>
      <c r="W98" s="11">
        <v>4</v>
      </c>
      <c r="X98" s="60">
        <f>IF(OR($E98="",$G98=""),"",IF(AND(U98=$E98,W98=$G98),Auxiliar!$C$11,IF(AND(SIGN($E98-$G98)=SIGN(U98-W98),MAX($E98,$G98)=MAX(U98,W98)),Auxiliar!$C$12,IF(ABS($E98-$G98)=ABS(U98-W98),Auxiliar!$C$13,IF(AND(SIGN($E98-$G98)=SIGN(U98-W98),MIN($E98,$G98)=MIN(U98,W98)),Auxiliar!$C$14,IF(SIGN($E98-$G98)=SIGN(U98-W98),Auxiliar!$C$15,IF(U98=W98,Auxiliar!$C$16,0)))))))</f>
        <v>0</v>
      </c>
      <c r="Z98" s="9">
        <v>2</v>
      </c>
      <c r="AA98" s="10" t="s">
        <v>23</v>
      </c>
      <c r="AB98" s="11">
        <v>3</v>
      </c>
      <c r="AC98" s="60">
        <f>IF(OR($E98="",$G98=""),"",IF(AND(Z98=$E98,AB98=$G98),Auxiliar!$C$11,IF(AND(SIGN($E98-$G98)=SIGN(Z98-AB98),MAX($E98,$G98)=MAX(Z98,AB98)),Auxiliar!$C$12,IF(ABS($E98-$G98)=ABS(Z98-AB98),Auxiliar!$C$13,IF(AND(SIGN($E98-$G98)=SIGN(Z98-AB98),MIN($E98,$G98)=MIN(Z98,AB98)),Auxiliar!$C$14,IF(SIGN($E98-$G98)=SIGN(Z98-AB98),Auxiliar!$C$15,IF(Z98=AB98,Auxiliar!$C$16,0)))))))</f>
        <v>0</v>
      </c>
      <c r="AE98" s="9">
        <v>2</v>
      </c>
      <c r="AF98" s="10" t="s">
        <v>23</v>
      </c>
      <c r="AG98" s="11">
        <v>1</v>
      </c>
      <c r="AH98" s="60">
        <f>IF(OR($E98="",$G98=""),"",IF(AND(AE98=$E98,AG98=$G98),Auxiliar!$C$11,IF(AND(SIGN($E98-$G98)=SIGN(AE98-AG98),MAX($E98,$G98)=MAX(AE98,AG98)),Auxiliar!$C$12,IF(ABS($E98-$G98)=ABS(AE98-AG98),Auxiliar!$C$13,IF(AND(SIGN($E98-$G98)=SIGN(AE98-AG98),MIN($E98,$G98)=MIN(AE98,AG98)),Auxiliar!$C$14,IF(SIGN($E98-$G98)=SIGN(AE98-AG98),Auxiliar!$C$15,IF(AE98=AG98,Auxiliar!$C$16,0)))))))</f>
        <v>10</v>
      </c>
    </row>
    <row r="99" spans="3:34" x14ac:dyDescent="0.25">
      <c r="C99" s="24">
        <f t="shared" si="1"/>
        <v>9</v>
      </c>
      <c r="D99" s="18" t="s">
        <v>3</v>
      </c>
      <c r="E99" s="13">
        <v>4</v>
      </c>
      <c r="F99" s="12" t="s">
        <v>23</v>
      </c>
      <c r="G99" s="13">
        <v>1</v>
      </c>
      <c r="H99" s="14" t="s">
        <v>8</v>
      </c>
      <c r="K99" s="9">
        <v>5</v>
      </c>
      <c r="L99" s="10" t="s">
        <v>23</v>
      </c>
      <c r="M99" s="11">
        <v>1</v>
      </c>
      <c r="N99" s="60">
        <f>IF(OR($E99="",$G99=""),"",IF(AND(K99=$E99,M99=$G99),Auxiliar!$C$11,IF(AND(SIGN($E99-$G99)=SIGN(K99-M99),MAX($E99,$G99)=MAX(K99,M99)),Auxiliar!$C$12,IF(ABS($E99-$G99)=ABS(K99-M99),Auxiliar!$C$13,IF(AND(SIGN($E99-$G99)=SIGN(K99-M99),MIN($E99,$G99)=MIN(K99,M99)),Auxiliar!$C$14,IF(SIGN($E99-$G99)=SIGN(K99-M99),Auxiliar!$C$15,IF(K99=M99,Auxiliar!$C$16,0)))))))</f>
        <v>12</v>
      </c>
      <c r="P99" s="9">
        <v>2</v>
      </c>
      <c r="Q99" s="10" t="s">
        <v>23</v>
      </c>
      <c r="R99" s="11">
        <v>1</v>
      </c>
      <c r="S99" s="60">
        <f>IF(OR($E99="",$G99=""),"",IF(AND(P99=$E99,R99=$G99),Auxiliar!$C$11,IF(AND(SIGN($E99-$G99)=SIGN(P99-R99),MAX($E99,$G99)=MAX(P99,R99)),Auxiliar!$C$12,IF(ABS($E99-$G99)=ABS(P99-R99),Auxiliar!$C$13,IF(AND(SIGN($E99-$G99)=SIGN(P99-R99),MIN($E99,$G99)=MIN(P99,R99)),Auxiliar!$C$14,IF(SIGN($E99-$G99)=SIGN(P99-R99),Auxiliar!$C$15,IF(P99=R99,Auxiliar!$C$16,0)))))))</f>
        <v>12</v>
      </c>
      <c r="U99" s="9">
        <v>2</v>
      </c>
      <c r="V99" s="10" t="s">
        <v>23</v>
      </c>
      <c r="W99" s="11">
        <v>5</v>
      </c>
      <c r="X99" s="60">
        <f>IF(OR($E99="",$G99=""),"",IF(AND(U99=$E99,W99=$G99),Auxiliar!$C$11,IF(AND(SIGN($E99-$G99)=SIGN(U99-W99),MAX($E99,$G99)=MAX(U99,W99)),Auxiliar!$C$12,IF(ABS($E99-$G99)=ABS(U99-W99),Auxiliar!$C$13,IF(AND(SIGN($E99-$G99)=SIGN(U99-W99),MIN($E99,$G99)=MIN(U99,W99)),Auxiliar!$C$14,IF(SIGN($E99-$G99)=SIGN(U99-W99),Auxiliar!$C$15,IF(U99=W99,Auxiliar!$C$16,0)))))))</f>
        <v>15</v>
      </c>
      <c r="Z99" s="9">
        <v>4</v>
      </c>
      <c r="AA99" s="10" t="s">
        <v>23</v>
      </c>
      <c r="AB99" s="11">
        <v>1</v>
      </c>
      <c r="AC99" s="60">
        <f>IF(OR($E99="",$G99=""),"",IF(AND(Z99=$E99,AB99=$G99),Auxiliar!$C$11,IF(AND(SIGN($E99-$G99)=SIGN(Z99-AB99),MAX($E99,$G99)=MAX(Z99,AB99)),Auxiliar!$C$12,IF(ABS($E99-$G99)=ABS(Z99-AB99),Auxiliar!$C$13,IF(AND(SIGN($E99-$G99)=SIGN(Z99-AB99),MIN($E99,$G99)=MIN(Z99,AB99)),Auxiliar!$C$14,IF(SIGN($E99-$G99)=SIGN(Z99-AB99),Auxiliar!$C$15,IF(Z99=AB99,Auxiliar!$C$16,0)))))))</f>
        <v>25</v>
      </c>
      <c r="AE99" s="9">
        <v>2</v>
      </c>
      <c r="AF99" s="10" t="s">
        <v>23</v>
      </c>
      <c r="AG99" s="11">
        <v>3</v>
      </c>
      <c r="AH99" s="60">
        <f>IF(OR($E99="",$G99=""),"",IF(AND(AE99=$E99,AG99=$G99),Auxiliar!$C$11,IF(AND(SIGN($E99-$G99)=SIGN(AE99-AG99),MAX($E99,$G99)=MAX(AE99,AG99)),Auxiliar!$C$12,IF(ABS($E99-$G99)=ABS(AE99-AG99),Auxiliar!$C$13,IF(AND(SIGN($E99-$G99)=SIGN(AE99-AG99),MIN($E99,$G99)=MIN(AE99,AG99)),Auxiliar!$C$14,IF(SIGN($E99-$G99)=SIGN(AE99-AG99),Auxiliar!$C$15,IF(AE99=AG99,Auxiliar!$C$16,0)))))))</f>
        <v>0</v>
      </c>
    </row>
    <row r="100" spans="3:34" x14ac:dyDescent="0.25">
      <c r="C100" s="24">
        <f t="shared" si="1"/>
        <v>9</v>
      </c>
      <c r="D100" s="18" t="s">
        <v>5</v>
      </c>
      <c r="E100" s="13">
        <v>5</v>
      </c>
      <c r="F100" s="12" t="s">
        <v>23</v>
      </c>
      <c r="G100" s="13">
        <v>0</v>
      </c>
      <c r="H100" s="14" t="s">
        <v>11</v>
      </c>
      <c r="K100" s="9">
        <v>0</v>
      </c>
      <c r="L100" s="10" t="s">
        <v>23</v>
      </c>
      <c r="M100" s="11">
        <v>4</v>
      </c>
      <c r="N100" s="60">
        <f>IF(OR($E100="",$G100=""),"",IF(AND(K100=$E100,M100=$G100),Auxiliar!$C$11,IF(AND(SIGN($E100-$G100)=SIGN(K100-M100),MAX($E100,$G100)=MAX(K100,M100)),Auxiliar!$C$12,IF(ABS($E100-$G100)=ABS(K100-M100),Auxiliar!$C$13,IF(AND(SIGN($E100-$G100)=SIGN(K100-M100),MIN($E100,$G100)=MIN(K100,M100)),Auxiliar!$C$14,IF(SIGN($E100-$G100)=SIGN(K100-M100),Auxiliar!$C$15,IF(K100=M100,Auxiliar!$C$16,0)))))))</f>
        <v>0</v>
      </c>
      <c r="P100" s="9">
        <v>5</v>
      </c>
      <c r="Q100" s="10" t="s">
        <v>23</v>
      </c>
      <c r="R100" s="11">
        <v>0</v>
      </c>
      <c r="S100" s="60">
        <f>IF(OR($E100="",$G100=""),"",IF(AND(P100=$E100,R100=$G100),Auxiliar!$C$11,IF(AND(SIGN($E100-$G100)=SIGN(P100-R100),MAX($E100,$G100)=MAX(P100,R100)),Auxiliar!$C$12,IF(ABS($E100-$G100)=ABS(P100-R100),Auxiliar!$C$13,IF(AND(SIGN($E100-$G100)=SIGN(P100-R100),MIN($E100,$G100)=MIN(P100,R100)),Auxiliar!$C$14,IF(SIGN($E100-$G100)=SIGN(P100-R100),Auxiliar!$C$15,IF(P100=R100,Auxiliar!$C$16,0)))))))</f>
        <v>25</v>
      </c>
      <c r="U100" s="9">
        <v>3</v>
      </c>
      <c r="V100" s="10" t="s">
        <v>23</v>
      </c>
      <c r="W100" s="11">
        <v>1</v>
      </c>
      <c r="X100" s="60">
        <f>IF(OR($E100="",$G100=""),"",IF(AND(U100=$E100,W100=$G100),Auxiliar!$C$11,IF(AND(SIGN($E100-$G100)=SIGN(U100-W100),MAX($E100,$G100)=MAX(U100,W100)),Auxiliar!$C$12,IF(ABS($E100-$G100)=ABS(U100-W100),Auxiliar!$C$13,IF(AND(SIGN($E100-$G100)=SIGN(U100-W100),MIN($E100,$G100)=MIN(U100,W100)),Auxiliar!$C$14,IF(SIGN($E100-$G100)=SIGN(U100-W100),Auxiliar!$C$15,IF(U100=W100,Auxiliar!$C$16,0)))))))</f>
        <v>10</v>
      </c>
      <c r="Z100" s="9">
        <v>4</v>
      </c>
      <c r="AA100" s="10" t="s">
        <v>23</v>
      </c>
      <c r="AB100" s="11">
        <v>4</v>
      </c>
      <c r="AC100" s="60">
        <f>IF(OR($E100="",$G100=""),"",IF(AND(Z100=$E100,AB100=$G100),Auxiliar!$C$11,IF(AND(SIGN($E100-$G100)=SIGN(Z100-AB100),MAX($E100,$G100)=MAX(Z100,AB100)),Auxiliar!$C$12,IF(ABS($E100-$G100)=ABS(Z100-AB100),Auxiliar!$C$13,IF(AND(SIGN($E100-$G100)=SIGN(Z100-AB100),MIN($E100,$G100)=MIN(Z100,AB100)),Auxiliar!$C$14,IF(SIGN($E100-$G100)=SIGN(Z100-AB100),Auxiliar!$C$15,IF(Z100=AB100,Auxiliar!$C$16,0)))))))</f>
        <v>5</v>
      </c>
      <c r="AE100" s="9">
        <v>2</v>
      </c>
      <c r="AF100" s="10" t="s">
        <v>23</v>
      </c>
      <c r="AG100" s="11">
        <v>1</v>
      </c>
      <c r="AH100" s="60">
        <f>IF(OR($E100="",$G100=""),"",IF(AND(AE100=$E100,AG100=$G100),Auxiliar!$C$11,IF(AND(SIGN($E100-$G100)=SIGN(AE100-AG100),MAX($E100,$G100)=MAX(AE100,AG100)),Auxiliar!$C$12,IF(ABS($E100-$G100)=ABS(AE100-AG100),Auxiliar!$C$13,IF(AND(SIGN($E100-$G100)=SIGN(AE100-AG100),MIN($E100,$G100)=MIN(AE100,AG100)),Auxiliar!$C$14,IF(SIGN($E100-$G100)=SIGN(AE100-AG100),Auxiliar!$C$15,IF(AE100=AG100,Auxiliar!$C$16,0)))))))</f>
        <v>10</v>
      </c>
    </row>
    <row r="101" spans="3:34" x14ac:dyDescent="0.25">
      <c r="C101" s="24">
        <f t="shared" si="1"/>
        <v>9</v>
      </c>
      <c r="D101" s="18" t="s">
        <v>7</v>
      </c>
      <c r="E101" s="13">
        <v>4</v>
      </c>
      <c r="F101" s="12" t="s">
        <v>23</v>
      </c>
      <c r="G101" s="13">
        <v>2</v>
      </c>
      <c r="H101" s="14" t="s">
        <v>18</v>
      </c>
      <c r="K101" s="9">
        <v>5</v>
      </c>
      <c r="L101" s="10" t="s">
        <v>23</v>
      </c>
      <c r="M101" s="11">
        <v>0</v>
      </c>
      <c r="N101" s="60">
        <f>IF(OR($E101="",$G101=""),"",IF(AND(K101=$E101,M101=$G101),Auxiliar!$C$11,IF(AND(SIGN($E101-$G101)=SIGN(K101-M101),MAX($E101,$G101)=MAX(K101,M101)),Auxiliar!$C$12,IF(ABS($E101-$G101)=ABS(K101-M101),Auxiliar!$C$13,IF(AND(SIGN($E101-$G101)=SIGN(K101-M101),MIN($E101,$G101)=MIN(K101,M101)),Auxiliar!$C$14,IF(SIGN($E101-$G101)=SIGN(K101-M101),Auxiliar!$C$15,IF(K101=M101,Auxiliar!$C$16,0)))))))</f>
        <v>10</v>
      </c>
      <c r="P101" s="9">
        <v>2</v>
      </c>
      <c r="Q101" s="10" t="s">
        <v>23</v>
      </c>
      <c r="R101" s="11">
        <v>0</v>
      </c>
      <c r="S101" s="60">
        <f>IF(OR($E101="",$G101=""),"",IF(AND(P101=$E101,R101=$G101),Auxiliar!$C$11,IF(AND(SIGN($E101-$G101)=SIGN(P101-R101),MAX($E101,$G101)=MAX(P101,R101)),Auxiliar!$C$12,IF(ABS($E101-$G101)=ABS(P101-R101),Auxiliar!$C$13,IF(AND(SIGN($E101-$G101)=SIGN(P101-R101),MIN($E101,$G101)=MIN(P101,R101)),Auxiliar!$C$14,IF(SIGN($E101-$G101)=SIGN(P101-R101),Auxiliar!$C$15,IF(P101=R101,Auxiliar!$C$16,0)))))))</f>
        <v>15</v>
      </c>
      <c r="U101" s="9">
        <v>1</v>
      </c>
      <c r="V101" s="10" t="s">
        <v>23</v>
      </c>
      <c r="W101" s="11">
        <v>1</v>
      </c>
      <c r="X101" s="60">
        <f>IF(OR($E101="",$G101=""),"",IF(AND(U101=$E101,W101=$G101),Auxiliar!$C$11,IF(AND(SIGN($E101-$G101)=SIGN(U101-W101),MAX($E101,$G101)=MAX(U101,W101)),Auxiliar!$C$12,IF(ABS($E101-$G101)=ABS(U101-W101),Auxiliar!$C$13,IF(AND(SIGN($E101-$G101)=SIGN(U101-W101),MIN($E101,$G101)=MIN(U101,W101)),Auxiliar!$C$14,IF(SIGN($E101-$G101)=SIGN(U101-W101),Auxiliar!$C$15,IF(U101=W101,Auxiliar!$C$16,0)))))))</f>
        <v>5</v>
      </c>
      <c r="Z101" s="9">
        <v>5</v>
      </c>
      <c r="AA101" s="10" t="s">
        <v>23</v>
      </c>
      <c r="AB101" s="11">
        <v>1</v>
      </c>
      <c r="AC101" s="60">
        <f>IF(OR($E101="",$G101=""),"",IF(AND(Z101=$E101,AB101=$G101),Auxiliar!$C$11,IF(AND(SIGN($E101-$G101)=SIGN(Z101-AB101),MAX($E101,$G101)=MAX(Z101,AB101)),Auxiliar!$C$12,IF(ABS($E101-$G101)=ABS(Z101-AB101),Auxiliar!$C$13,IF(AND(SIGN($E101-$G101)=SIGN(Z101-AB101),MIN($E101,$G101)=MIN(Z101,AB101)),Auxiliar!$C$14,IF(SIGN($E101-$G101)=SIGN(Z101-AB101),Auxiliar!$C$15,IF(Z101=AB101,Auxiliar!$C$16,0)))))))</f>
        <v>10</v>
      </c>
      <c r="AE101" s="9">
        <v>0</v>
      </c>
      <c r="AF101" s="10" t="s">
        <v>23</v>
      </c>
      <c r="AG101" s="11">
        <v>5</v>
      </c>
      <c r="AH101" s="60">
        <f>IF(OR($E101="",$G101=""),"",IF(AND(AE101=$E101,AG101=$G101),Auxiliar!$C$11,IF(AND(SIGN($E101-$G101)=SIGN(AE101-AG101),MAX($E101,$G101)=MAX(AE101,AG101)),Auxiliar!$C$12,IF(ABS($E101-$G101)=ABS(AE101-AG101),Auxiliar!$C$13,IF(AND(SIGN($E101-$G101)=SIGN(AE101-AG101),MIN($E101,$G101)=MIN(AE101,AG101)),Auxiliar!$C$14,IF(SIGN($E101-$G101)=SIGN(AE101-AG101),Auxiliar!$C$15,IF(AE101=AG101,Auxiliar!$C$16,0)))))))</f>
        <v>0</v>
      </c>
    </row>
    <row r="102" spans="3:34" x14ac:dyDescent="0.25">
      <c r="C102" s="24">
        <f t="shared" si="1"/>
        <v>9</v>
      </c>
      <c r="D102" s="18" t="s">
        <v>20</v>
      </c>
      <c r="E102" s="13">
        <v>0</v>
      </c>
      <c r="F102" s="12" t="s">
        <v>23</v>
      </c>
      <c r="G102" s="13">
        <v>4</v>
      </c>
      <c r="H102" s="14" t="s">
        <v>16</v>
      </c>
      <c r="K102" s="9">
        <v>1</v>
      </c>
      <c r="L102" s="10" t="s">
        <v>23</v>
      </c>
      <c r="M102" s="11">
        <v>3</v>
      </c>
      <c r="N102" s="60">
        <f>IF(OR($E102="",$G102=""),"",IF(AND(K102=$E102,M102=$G102),Auxiliar!$C$11,IF(AND(SIGN($E102-$G102)=SIGN(K102-M102),MAX($E102,$G102)=MAX(K102,M102)),Auxiliar!$C$12,IF(ABS($E102-$G102)=ABS(K102-M102),Auxiliar!$C$13,IF(AND(SIGN($E102-$G102)=SIGN(K102-M102),MIN($E102,$G102)=MIN(K102,M102)),Auxiliar!$C$14,IF(SIGN($E102-$G102)=SIGN(K102-M102),Auxiliar!$C$15,IF(K102=M102,Auxiliar!$C$16,0)))))))</f>
        <v>10</v>
      </c>
      <c r="P102" s="9">
        <v>0</v>
      </c>
      <c r="Q102" s="10" t="s">
        <v>23</v>
      </c>
      <c r="R102" s="11">
        <v>1</v>
      </c>
      <c r="S102" s="60">
        <f>IF(OR($E102="",$G102=""),"",IF(AND(P102=$E102,R102=$G102),Auxiliar!$C$11,IF(AND(SIGN($E102-$G102)=SIGN(P102-R102),MAX($E102,$G102)=MAX(P102,R102)),Auxiliar!$C$12,IF(ABS($E102-$G102)=ABS(P102-R102),Auxiliar!$C$13,IF(AND(SIGN($E102-$G102)=SIGN(P102-R102),MIN($E102,$G102)=MIN(P102,R102)),Auxiliar!$C$14,IF(SIGN($E102-$G102)=SIGN(P102-R102),Auxiliar!$C$15,IF(P102=R102,Auxiliar!$C$16,0)))))))</f>
        <v>12</v>
      </c>
      <c r="U102" s="9">
        <v>0</v>
      </c>
      <c r="V102" s="10" t="s">
        <v>23</v>
      </c>
      <c r="W102" s="11">
        <v>3</v>
      </c>
      <c r="X102" s="60">
        <f>IF(OR($E102="",$G102=""),"",IF(AND(U102=$E102,W102=$G102),Auxiliar!$C$11,IF(AND(SIGN($E102-$G102)=SIGN(U102-W102),MAX($E102,$G102)=MAX(U102,W102)),Auxiliar!$C$12,IF(ABS($E102-$G102)=ABS(U102-W102),Auxiliar!$C$13,IF(AND(SIGN($E102-$G102)=SIGN(U102-W102),MIN($E102,$G102)=MIN(U102,W102)),Auxiliar!$C$14,IF(SIGN($E102-$G102)=SIGN(U102-W102),Auxiliar!$C$15,IF(U102=W102,Auxiliar!$C$16,0)))))))</f>
        <v>12</v>
      </c>
      <c r="Z102" s="9">
        <v>0</v>
      </c>
      <c r="AA102" s="10" t="s">
        <v>23</v>
      </c>
      <c r="AB102" s="11">
        <v>3</v>
      </c>
      <c r="AC102" s="60">
        <f>IF(OR($E102="",$G102=""),"",IF(AND(Z102=$E102,AB102=$G102),Auxiliar!$C$11,IF(AND(SIGN($E102-$G102)=SIGN(Z102-AB102),MAX($E102,$G102)=MAX(Z102,AB102)),Auxiliar!$C$12,IF(ABS($E102-$G102)=ABS(Z102-AB102),Auxiliar!$C$13,IF(AND(SIGN($E102-$G102)=SIGN(Z102-AB102),MIN($E102,$G102)=MIN(Z102,AB102)),Auxiliar!$C$14,IF(SIGN($E102-$G102)=SIGN(Z102-AB102),Auxiliar!$C$15,IF(Z102=AB102,Auxiliar!$C$16,0)))))))</f>
        <v>12</v>
      </c>
      <c r="AE102" s="9">
        <v>1</v>
      </c>
      <c r="AF102" s="10" t="s">
        <v>23</v>
      </c>
      <c r="AG102" s="11">
        <v>4</v>
      </c>
      <c r="AH102" s="60">
        <f>IF(OR($E102="",$G102=""),"",IF(AND(AE102=$E102,AG102=$G102),Auxiliar!$C$11,IF(AND(SIGN($E102-$G102)=SIGN(AE102-AG102),MAX($E102,$G102)=MAX(AE102,AG102)),Auxiliar!$C$12,IF(ABS($E102-$G102)=ABS(AE102-AG102),Auxiliar!$C$13,IF(AND(SIGN($E102-$G102)=SIGN(AE102-AG102),MIN($E102,$G102)=MIN(AE102,AG102)),Auxiliar!$C$14,IF(SIGN($E102-$G102)=SIGN(AE102-AG102),Auxiliar!$C$15,IF(AE102=AG102,Auxiliar!$C$16,0)))))))</f>
        <v>18</v>
      </c>
    </row>
    <row r="103" spans="3:34" x14ac:dyDescent="0.25">
      <c r="C103" s="24">
        <f t="shared" si="1"/>
        <v>9</v>
      </c>
      <c r="D103" s="18" t="s">
        <v>12</v>
      </c>
      <c r="E103" s="13">
        <v>4</v>
      </c>
      <c r="F103" s="12" t="s">
        <v>23</v>
      </c>
      <c r="G103" s="13">
        <v>2</v>
      </c>
      <c r="H103" s="14" t="s">
        <v>4</v>
      </c>
      <c r="K103" s="9">
        <v>3</v>
      </c>
      <c r="L103" s="10" t="s">
        <v>23</v>
      </c>
      <c r="M103" s="11">
        <v>5</v>
      </c>
      <c r="N103" s="60">
        <f>IF(OR($E103="",$G103=""),"",IF(AND(K103=$E103,M103=$G103),Auxiliar!$C$11,IF(AND(SIGN($E103-$G103)=SIGN(K103-M103),MAX($E103,$G103)=MAX(K103,M103)),Auxiliar!$C$12,IF(ABS($E103-$G103)=ABS(K103-M103),Auxiliar!$C$13,IF(AND(SIGN($E103-$G103)=SIGN(K103-M103),MIN($E103,$G103)=MIN(K103,M103)),Auxiliar!$C$14,IF(SIGN($E103-$G103)=SIGN(K103-M103),Auxiliar!$C$15,IF(K103=M103,Auxiliar!$C$16,0)))))))</f>
        <v>15</v>
      </c>
      <c r="P103" s="9">
        <v>5</v>
      </c>
      <c r="Q103" s="10" t="s">
        <v>23</v>
      </c>
      <c r="R103" s="11">
        <v>2</v>
      </c>
      <c r="S103" s="60">
        <f>IF(OR($E103="",$G103=""),"",IF(AND(P103=$E103,R103=$G103),Auxiliar!$C$11,IF(AND(SIGN($E103-$G103)=SIGN(P103-R103),MAX($E103,$G103)=MAX(P103,R103)),Auxiliar!$C$12,IF(ABS($E103-$G103)=ABS(P103-R103),Auxiliar!$C$13,IF(AND(SIGN($E103-$G103)=SIGN(P103-R103),MIN($E103,$G103)=MIN(P103,R103)),Auxiliar!$C$14,IF(SIGN($E103-$G103)=SIGN(P103-R103),Auxiliar!$C$15,IF(P103=R103,Auxiliar!$C$16,0)))))))</f>
        <v>12</v>
      </c>
      <c r="U103" s="9">
        <v>4</v>
      </c>
      <c r="V103" s="10" t="s">
        <v>23</v>
      </c>
      <c r="W103" s="11">
        <v>0</v>
      </c>
      <c r="X103" s="60">
        <f>IF(OR($E103="",$G103=""),"",IF(AND(U103=$E103,W103=$G103),Auxiliar!$C$11,IF(AND(SIGN($E103-$G103)=SIGN(U103-W103),MAX($E103,$G103)=MAX(U103,W103)),Auxiliar!$C$12,IF(ABS($E103-$G103)=ABS(U103-W103),Auxiliar!$C$13,IF(AND(SIGN($E103-$G103)=SIGN(U103-W103),MIN($E103,$G103)=MIN(U103,W103)),Auxiliar!$C$14,IF(SIGN($E103-$G103)=SIGN(U103-W103),Auxiliar!$C$15,IF(U103=W103,Auxiliar!$C$16,0)))))))</f>
        <v>18</v>
      </c>
      <c r="Z103" s="9">
        <v>2</v>
      </c>
      <c r="AA103" s="10" t="s">
        <v>23</v>
      </c>
      <c r="AB103" s="11">
        <v>4</v>
      </c>
      <c r="AC103" s="60">
        <f>IF(OR($E103="",$G103=""),"",IF(AND(Z103=$E103,AB103=$G103),Auxiliar!$C$11,IF(AND(SIGN($E103-$G103)=SIGN(Z103-AB103),MAX($E103,$G103)=MAX(Z103,AB103)),Auxiliar!$C$12,IF(ABS($E103-$G103)=ABS(Z103-AB103),Auxiliar!$C$13,IF(AND(SIGN($E103-$G103)=SIGN(Z103-AB103),MIN($E103,$G103)=MIN(Z103,AB103)),Auxiliar!$C$14,IF(SIGN($E103-$G103)=SIGN(Z103-AB103),Auxiliar!$C$15,IF(Z103=AB103,Auxiliar!$C$16,0)))))))</f>
        <v>15</v>
      </c>
      <c r="AE103" s="9">
        <v>3</v>
      </c>
      <c r="AF103" s="10" t="s">
        <v>23</v>
      </c>
      <c r="AG103" s="11">
        <v>2</v>
      </c>
      <c r="AH103" s="60">
        <f>IF(OR($E103="",$G103=""),"",IF(AND(AE103=$E103,AG103=$G103),Auxiliar!$C$11,IF(AND(SIGN($E103-$G103)=SIGN(AE103-AG103),MAX($E103,$G103)=MAX(AE103,AG103)),Auxiliar!$C$12,IF(ABS($E103-$G103)=ABS(AE103-AG103),Auxiliar!$C$13,IF(AND(SIGN($E103-$G103)=SIGN(AE103-AG103),MIN($E103,$G103)=MIN(AE103,AG103)),Auxiliar!$C$14,IF(SIGN($E103-$G103)=SIGN(AE103-AG103),Auxiliar!$C$15,IF(AE103=AG103,Auxiliar!$C$16,0)))))))</f>
        <v>12</v>
      </c>
    </row>
    <row r="104" spans="3:34" x14ac:dyDescent="0.25">
      <c r="C104" s="24">
        <f t="shared" si="1"/>
        <v>9</v>
      </c>
      <c r="D104" s="18" t="s">
        <v>14</v>
      </c>
      <c r="E104" s="13">
        <v>3</v>
      </c>
      <c r="F104" s="12" t="s">
        <v>23</v>
      </c>
      <c r="G104" s="13">
        <v>2</v>
      </c>
      <c r="H104" s="14" t="s">
        <v>6</v>
      </c>
      <c r="K104" s="9">
        <v>1</v>
      </c>
      <c r="L104" s="10" t="s">
        <v>23</v>
      </c>
      <c r="M104" s="11">
        <v>3</v>
      </c>
      <c r="N104" s="60">
        <f>IF(OR($E104="",$G104=""),"",IF(AND(K104=$E104,M104=$G104),Auxiliar!$C$11,IF(AND(SIGN($E104-$G104)=SIGN(K104-M104),MAX($E104,$G104)=MAX(K104,M104)),Auxiliar!$C$12,IF(ABS($E104-$G104)=ABS(K104-M104),Auxiliar!$C$13,IF(AND(SIGN($E104-$G104)=SIGN(K104-M104),MIN($E104,$G104)=MIN(K104,M104)),Auxiliar!$C$14,IF(SIGN($E104-$G104)=SIGN(K104-M104),Auxiliar!$C$15,IF(K104=M104,Auxiliar!$C$16,0)))))))</f>
        <v>0</v>
      </c>
      <c r="P104" s="9">
        <v>1</v>
      </c>
      <c r="Q104" s="10" t="s">
        <v>23</v>
      </c>
      <c r="R104" s="11">
        <v>2</v>
      </c>
      <c r="S104" s="60">
        <f>IF(OR($E104="",$G104=""),"",IF(AND(P104=$E104,R104=$G104),Auxiliar!$C$11,IF(AND(SIGN($E104-$G104)=SIGN(P104-R104),MAX($E104,$G104)=MAX(P104,R104)),Auxiliar!$C$12,IF(ABS($E104-$G104)=ABS(P104-R104),Auxiliar!$C$13,IF(AND(SIGN($E104-$G104)=SIGN(P104-R104),MIN($E104,$G104)=MIN(P104,R104)),Auxiliar!$C$14,IF(SIGN($E104-$G104)=SIGN(P104-R104),Auxiliar!$C$15,IF(P104=R104,Auxiliar!$C$16,0)))))))</f>
        <v>15</v>
      </c>
      <c r="U104" s="9">
        <v>0</v>
      </c>
      <c r="V104" s="10" t="s">
        <v>23</v>
      </c>
      <c r="W104" s="11">
        <v>5</v>
      </c>
      <c r="X104" s="60">
        <f>IF(OR($E104="",$G104=""),"",IF(AND(U104=$E104,W104=$G104),Auxiliar!$C$11,IF(AND(SIGN($E104-$G104)=SIGN(U104-W104),MAX($E104,$G104)=MAX(U104,W104)),Auxiliar!$C$12,IF(ABS($E104-$G104)=ABS(U104-W104),Auxiliar!$C$13,IF(AND(SIGN($E104-$G104)=SIGN(U104-W104),MIN($E104,$G104)=MIN(U104,W104)),Auxiliar!$C$14,IF(SIGN($E104-$G104)=SIGN(U104-W104),Auxiliar!$C$15,IF(U104=W104,Auxiliar!$C$16,0)))))))</f>
        <v>0</v>
      </c>
      <c r="Z104" s="9">
        <v>0</v>
      </c>
      <c r="AA104" s="10" t="s">
        <v>23</v>
      </c>
      <c r="AB104" s="11">
        <v>4</v>
      </c>
      <c r="AC104" s="60">
        <f>IF(OR($E104="",$G104=""),"",IF(AND(Z104=$E104,AB104=$G104),Auxiliar!$C$11,IF(AND(SIGN($E104-$G104)=SIGN(Z104-AB104),MAX($E104,$G104)=MAX(Z104,AB104)),Auxiliar!$C$12,IF(ABS($E104-$G104)=ABS(Z104-AB104),Auxiliar!$C$13,IF(AND(SIGN($E104-$G104)=SIGN(Z104-AB104),MIN($E104,$G104)=MIN(Z104,AB104)),Auxiliar!$C$14,IF(SIGN($E104-$G104)=SIGN(Z104-AB104),Auxiliar!$C$15,IF(Z104=AB104,Auxiliar!$C$16,0)))))))</f>
        <v>0</v>
      </c>
      <c r="AE104" s="9">
        <v>0</v>
      </c>
      <c r="AF104" s="10" t="s">
        <v>23</v>
      </c>
      <c r="AG104" s="11">
        <v>4</v>
      </c>
      <c r="AH104" s="60">
        <f>IF(OR($E104="",$G104=""),"",IF(AND(AE104=$E104,AG104=$G104),Auxiliar!$C$11,IF(AND(SIGN($E104-$G104)=SIGN(AE104-AG104),MAX($E104,$G104)=MAX(AE104,AG104)),Auxiliar!$C$12,IF(ABS($E104-$G104)=ABS(AE104-AG104),Auxiliar!$C$13,IF(AND(SIGN($E104-$G104)=SIGN(AE104-AG104),MIN($E104,$G104)=MIN(AE104,AG104)),Auxiliar!$C$14,IF(SIGN($E104-$G104)=SIGN(AE104-AG104),Auxiliar!$C$15,IF(AE104=AG104,Auxiliar!$C$16,0)))))))</f>
        <v>0</v>
      </c>
    </row>
    <row r="105" spans="3:34" x14ac:dyDescent="0.25">
      <c r="C105" s="24">
        <f t="shared" si="1"/>
        <v>9</v>
      </c>
      <c r="D105" s="18" t="s">
        <v>13</v>
      </c>
      <c r="E105" s="13">
        <v>3</v>
      </c>
      <c r="F105" s="12" t="s">
        <v>23</v>
      </c>
      <c r="G105" s="13">
        <v>5</v>
      </c>
      <c r="H105" s="14" t="s">
        <v>22</v>
      </c>
      <c r="K105" s="9">
        <v>3</v>
      </c>
      <c r="L105" s="10" t="s">
        <v>23</v>
      </c>
      <c r="M105" s="11">
        <v>4</v>
      </c>
      <c r="N105" s="60">
        <f>IF(OR($E105="",$G105=""),"",IF(AND(K105=$E105,M105=$G105),Auxiliar!$C$11,IF(AND(SIGN($E105-$G105)=SIGN(K105-M105),MAX($E105,$G105)=MAX(K105,M105)),Auxiliar!$C$12,IF(ABS($E105-$G105)=ABS(K105-M105),Auxiliar!$C$13,IF(AND(SIGN($E105-$G105)=SIGN(K105-M105),MIN($E105,$G105)=MIN(K105,M105)),Auxiliar!$C$14,IF(SIGN($E105-$G105)=SIGN(K105-M105),Auxiliar!$C$15,IF(K105=M105,Auxiliar!$C$16,0)))))))</f>
        <v>12</v>
      </c>
      <c r="P105" s="9">
        <v>2</v>
      </c>
      <c r="Q105" s="10" t="s">
        <v>23</v>
      </c>
      <c r="R105" s="11">
        <v>0</v>
      </c>
      <c r="S105" s="60">
        <f>IF(OR($E105="",$G105=""),"",IF(AND(P105=$E105,R105=$G105),Auxiliar!$C$11,IF(AND(SIGN($E105-$G105)=SIGN(P105-R105),MAX($E105,$G105)=MAX(P105,R105)),Auxiliar!$C$12,IF(ABS($E105-$G105)=ABS(P105-R105),Auxiliar!$C$13,IF(AND(SIGN($E105-$G105)=SIGN(P105-R105),MIN($E105,$G105)=MIN(P105,R105)),Auxiliar!$C$14,IF(SIGN($E105-$G105)=SIGN(P105-R105),Auxiliar!$C$15,IF(P105=R105,Auxiliar!$C$16,0)))))))</f>
        <v>15</v>
      </c>
      <c r="U105" s="9">
        <v>1</v>
      </c>
      <c r="V105" s="10" t="s">
        <v>23</v>
      </c>
      <c r="W105" s="11">
        <v>5</v>
      </c>
      <c r="X105" s="60">
        <f>IF(OR($E105="",$G105=""),"",IF(AND(U105=$E105,W105=$G105),Auxiliar!$C$11,IF(AND(SIGN($E105-$G105)=SIGN(U105-W105),MAX($E105,$G105)=MAX(U105,W105)),Auxiliar!$C$12,IF(ABS($E105-$G105)=ABS(U105-W105),Auxiliar!$C$13,IF(AND(SIGN($E105-$G105)=SIGN(U105-W105),MIN($E105,$G105)=MIN(U105,W105)),Auxiliar!$C$14,IF(SIGN($E105-$G105)=SIGN(U105-W105),Auxiliar!$C$15,IF(U105=W105,Auxiliar!$C$16,0)))))))</f>
        <v>18</v>
      </c>
      <c r="Z105" s="9">
        <v>5</v>
      </c>
      <c r="AA105" s="10" t="s">
        <v>23</v>
      </c>
      <c r="AB105" s="11">
        <v>0</v>
      </c>
      <c r="AC105" s="60">
        <f>IF(OR($E105="",$G105=""),"",IF(AND(Z105=$E105,AB105=$G105),Auxiliar!$C$11,IF(AND(SIGN($E105-$G105)=SIGN(Z105-AB105),MAX($E105,$G105)=MAX(Z105,AB105)),Auxiliar!$C$12,IF(ABS($E105-$G105)=ABS(Z105-AB105),Auxiliar!$C$13,IF(AND(SIGN($E105-$G105)=SIGN(Z105-AB105),MIN($E105,$G105)=MIN(Z105,AB105)),Auxiliar!$C$14,IF(SIGN($E105-$G105)=SIGN(Z105-AB105),Auxiliar!$C$15,IF(Z105=AB105,Auxiliar!$C$16,0)))))))</f>
        <v>0</v>
      </c>
      <c r="AE105" s="9">
        <v>0</v>
      </c>
      <c r="AF105" s="10" t="s">
        <v>23</v>
      </c>
      <c r="AG105" s="11">
        <v>4</v>
      </c>
      <c r="AH105" s="60">
        <f>IF(OR($E105="",$G105=""),"",IF(AND(AE105=$E105,AG105=$G105),Auxiliar!$C$11,IF(AND(SIGN($E105-$G105)=SIGN(AE105-AG105),MAX($E105,$G105)=MAX(AE105,AG105)),Auxiliar!$C$12,IF(ABS($E105-$G105)=ABS(AE105-AG105),Auxiliar!$C$13,IF(AND(SIGN($E105-$G105)=SIGN(AE105-AG105),MIN($E105,$G105)=MIN(AE105,AG105)),Auxiliar!$C$14,IF(SIGN($E105-$G105)=SIGN(AE105-AG105),Auxiliar!$C$15,IF(AE105=AG105,Auxiliar!$C$16,0)))))))</f>
        <v>10</v>
      </c>
    </row>
    <row r="106" spans="3:34" x14ac:dyDescent="0.25">
      <c r="C106" s="24">
        <f t="shared" si="1"/>
        <v>9</v>
      </c>
      <c r="D106" s="18" t="s">
        <v>19</v>
      </c>
      <c r="E106" s="13">
        <v>5</v>
      </c>
      <c r="F106" s="12" t="s">
        <v>23</v>
      </c>
      <c r="G106" s="13">
        <v>4</v>
      </c>
      <c r="H106" s="14" t="s">
        <v>10</v>
      </c>
      <c r="K106" s="9">
        <v>1</v>
      </c>
      <c r="L106" s="10" t="s">
        <v>23</v>
      </c>
      <c r="M106" s="11">
        <v>0</v>
      </c>
      <c r="N106" s="60">
        <f>IF(OR($E106="",$G106=""),"",IF(AND(K106=$E106,M106=$G106),Auxiliar!$C$11,IF(AND(SIGN($E106-$G106)=SIGN(K106-M106),MAX($E106,$G106)=MAX(K106,M106)),Auxiliar!$C$12,IF(ABS($E106-$G106)=ABS(K106-M106),Auxiliar!$C$13,IF(AND(SIGN($E106-$G106)=SIGN(K106-M106),MIN($E106,$G106)=MIN(K106,M106)),Auxiliar!$C$14,IF(SIGN($E106-$G106)=SIGN(K106-M106),Auxiliar!$C$15,IF(K106=M106,Auxiliar!$C$16,0)))))))</f>
        <v>15</v>
      </c>
      <c r="P106" s="9">
        <v>4</v>
      </c>
      <c r="Q106" s="10" t="s">
        <v>23</v>
      </c>
      <c r="R106" s="11">
        <v>0</v>
      </c>
      <c r="S106" s="60">
        <f>IF(OR($E106="",$G106=""),"",IF(AND(P106=$E106,R106=$G106),Auxiliar!$C$11,IF(AND(SIGN($E106-$G106)=SIGN(P106-R106),MAX($E106,$G106)=MAX(P106,R106)),Auxiliar!$C$12,IF(ABS($E106-$G106)=ABS(P106-R106),Auxiliar!$C$13,IF(AND(SIGN($E106-$G106)=SIGN(P106-R106),MIN($E106,$G106)=MIN(P106,R106)),Auxiliar!$C$14,IF(SIGN($E106-$G106)=SIGN(P106-R106),Auxiliar!$C$15,IF(P106=R106,Auxiliar!$C$16,0)))))))</f>
        <v>10</v>
      </c>
      <c r="U106" s="9">
        <v>2</v>
      </c>
      <c r="V106" s="10" t="s">
        <v>23</v>
      </c>
      <c r="W106" s="11">
        <v>0</v>
      </c>
      <c r="X106" s="60">
        <f>IF(OR($E106="",$G106=""),"",IF(AND(U106=$E106,W106=$G106),Auxiliar!$C$11,IF(AND(SIGN($E106-$G106)=SIGN(U106-W106),MAX($E106,$G106)=MAX(U106,W106)),Auxiliar!$C$12,IF(ABS($E106-$G106)=ABS(U106-W106),Auxiliar!$C$13,IF(AND(SIGN($E106-$G106)=SIGN(U106-W106),MIN($E106,$G106)=MIN(U106,W106)),Auxiliar!$C$14,IF(SIGN($E106-$G106)=SIGN(U106-W106),Auxiliar!$C$15,IF(U106=W106,Auxiliar!$C$16,0)))))))</f>
        <v>10</v>
      </c>
      <c r="Z106" s="9">
        <v>2</v>
      </c>
      <c r="AA106" s="10" t="s">
        <v>23</v>
      </c>
      <c r="AB106" s="11">
        <v>1</v>
      </c>
      <c r="AC106" s="60">
        <f>IF(OR($E106="",$G106=""),"",IF(AND(Z106=$E106,AB106=$G106),Auxiliar!$C$11,IF(AND(SIGN($E106-$G106)=SIGN(Z106-AB106),MAX($E106,$G106)=MAX(Z106,AB106)),Auxiliar!$C$12,IF(ABS($E106-$G106)=ABS(Z106-AB106),Auxiliar!$C$13,IF(AND(SIGN($E106-$G106)=SIGN(Z106-AB106),MIN($E106,$G106)=MIN(Z106,AB106)),Auxiliar!$C$14,IF(SIGN($E106-$G106)=SIGN(Z106-AB106),Auxiliar!$C$15,IF(Z106=AB106,Auxiliar!$C$16,0)))))))</f>
        <v>15</v>
      </c>
      <c r="AE106" s="9">
        <v>2</v>
      </c>
      <c r="AF106" s="10" t="s">
        <v>23</v>
      </c>
      <c r="AG106" s="11">
        <v>1</v>
      </c>
      <c r="AH106" s="60">
        <f>IF(OR($E106="",$G106=""),"",IF(AND(AE106=$E106,AG106=$G106),Auxiliar!$C$11,IF(AND(SIGN($E106-$G106)=SIGN(AE106-AG106),MAX($E106,$G106)=MAX(AE106,AG106)),Auxiliar!$C$12,IF(ABS($E106-$G106)=ABS(AE106-AG106),Auxiliar!$C$13,IF(AND(SIGN($E106-$G106)=SIGN(AE106-AG106),MIN($E106,$G106)=MIN(AE106,AG106)),Auxiliar!$C$14,IF(SIGN($E106-$G106)=SIGN(AE106-AG106),Auxiliar!$C$15,IF(AE106=AG106,Auxiliar!$C$16,0)))))))</f>
        <v>15</v>
      </c>
    </row>
    <row r="107" spans="3:34" x14ac:dyDescent="0.25">
      <c r="C107" s="24">
        <f t="shared" si="1"/>
        <v>9</v>
      </c>
      <c r="D107" s="18" t="s">
        <v>21</v>
      </c>
      <c r="E107" s="13">
        <v>1</v>
      </c>
      <c r="F107" s="12" t="s">
        <v>23</v>
      </c>
      <c r="G107" s="13">
        <v>1</v>
      </c>
      <c r="H107" s="14" t="s">
        <v>9</v>
      </c>
      <c r="K107" s="9">
        <v>5</v>
      </c>
      <c r="L107" s="10" t="s">
        <v>23</v>
      </c>
      <c r="M107" s="11">
        <v>0</v>
      </c>
      <c r="N107" s="60">
        <f>IF(OR($E107="",$G107=""),"",IF(AND(K107=$E107,M107=$G107),Auxiliar!$C$11,IF(AND(SIGN($E107-$G107)=SIGN(K107-M107),MAX($E107,$G107)=MAX(K107,M107)),Auxiliar!$C$12,IF(ABS($E107-$G107)=ABS(K107-M107),Auxiliar!$C$13,IF(AND(SIGN($E107-$G107)=SIGN(K107-M107),MIN($E107,$G107)=MIN(K107,M107)),Auxiliar!$C$14,IF(SIGN($E107-$G107)=SIGN(K107-M107),Auxiliar!$C$15,IF(K107=M107,Auxiliar!$C$16,0)))))))</f>
        <v>0</v>
      </c>
      <c r="P107" s="9">
        <v>5</v>
      </c>
      <c r="Q107" s="10" t="s">
        <v>23</v>
      </c>
      <c r="R107" s="11">
        <v>0</v>
      </c>
      <c r="S107" s="60">
        <f>IF(OR($E107="",$G107=""),"",IF(AND(P107=$E107,R107=$G107),Auxiliar!$C$11,IF(AND(SIGN($E107-$G107)=SIGN(P107-R107),MAX($E107,$G107)=MAX(P107,R107)),Auxiliar!$C$12,IF(ABS($E107-$G107)=ABS(P107-R107),Auxiliar!$C$13,IF(AND(SIGN($E107-$G107)=SIGN(P107-R107),MIN($E107,$G107)=MIN(P107,R107)),Auxiliar!$C$14,IF(SIGN($E107-$G107)=SIGN(P107-R107),Auxiliar!$C$15,IF(P107=R107,Auxiliar!$C$16,0)))))))</f>
        <v>0</v>
      </c>
      <c r="U107" s="9">
        <v>3</v>
      </c>
      <c r="V107" s="10" t="s">
        <v>23</v>
      </c>
      <c r="W107" s="11">
        <v>5</v>
      </c>
      <c r="X107" s="60">
        <f>IF(OR($E107="",$G107=""),"",IF(AND(U107=$E107,W107=$G107),Auxiliar!$C$11,IF(AND(SIGN($E107-$G107)=SIGN(U107-W107),MAX($E107,$G107)=MAX(U107,W107)),Auxiliar!$C$12,IF(ABS($E107-$G107)=ABS(U107-W107),Auxiliar!$C$13,IF(AND(SIGN($E107-$G107)=SIGN(U107-W107),MIN($E107,$G107)=MIN(U107,W107)),Auxiliar!$C$14,IF(SIGN($E107-$G107)=SIGN(U107-W107),Auxiliar!$C$15,IF(U107=W107,Auxiliar!$C$16,0)))))))</f>
        <v>0</v>
      </c>
      <c r="Z107" s="9">
        <v>0</v>
      </c>
      <c r="AA107" s="10" t="s">
        <v>23</v>
      </c>
      <c r="AB107" s="11">
        <v>4</v>
      </c>
      <c r="AC107" s="60">
        <f>IF(OR($E107="",$G107=""),"",IF(AND(Z107=$E107,AB107=$G107),Auxiliar!$C$11,IF(AND(SIGN($E107-$G107)=SIGN(Z107-AB107),MAX($E107,$G107)=MAX(Z107,AB107)),Auxiliar!$C$12,IF(ABS($E107-$G107)=ABS(Z107-AB107),Auxiliar!$C$13,IF(AND(SIGN($E107-$G107)=SIGN(Z107-AB107),MIN($E107,$G107)=MIN(Z107,AB107)),Auxiliar!$C$14,IF(SIGN($E107-$G107)=SIGN(Z107-AB107),Auxiliar!$C$15,IF(Z107=AB107,Auxiliar!$C$16,0)))))))</f>
        <v>0</v>
      </c>
      <c r="AE107" s="9">
        <v>0</v>
      </c>
      <c r="AF107" s="10" t="s">
        <v>23</v>
      </c>
      <c r="AG107" s="11">
        <v>0</v>
      </c>
      <c r="AH107" s="60">
        <f>IF(OR($E107="",$G107=""),"",IF(AND(AE107=$E107,AG107=$G107),Auxiliar!$C$11,IF(AND(SIGN($E107-$G107)=SIGN(AE107-AG107),MAX($E107,$G107)=MAX(AE107,AG107)),Auxiliar!$C$12,IF(ABS($E107-$G107)=ABS(AE107-AG107),Auxiliar!$C$13,IF(AND(SIGN($E107-$G107)=SIGN(AE107-AG107),MIN($E107,$G107)=MIN(AE107,AG107)),Auxiliar!$C$14,IF(SIGN($E107-$G107)=SIGN(AE107-AG107),Auxiliar!$C$15,IF(AE107=AG107,Auxiliar!$C$16,0)))))))</f>
        <v>15</v>
      </c>
    </row>
    <row r="108" spans="3:34" x14ac:dyDescent="0.25">
      <c r="C108" s="24">
        <f t="shared" si="1"/>
        <v>9</v>
      </c>
      <c r="D108" s="18" t="s">
        <v>17</v>
      </c>
      <c r="E108" s="13">
        <v>5</v>
      </c>
      <c r="F108" s="12" t="s">
        <v>23</v>
      </c>
      <c r="G108" s="13">
        <v>0</v>
      </c>
      <c r="H108" s="14" t="s">
        <v>15</v>
      </c>
      <c r="K108" s="9">
        <v>0</v>
      </c>
      <c r="L108" s="10" t="s">
        <v>23</v>
      </c>
      <c r="M108" s="11">
        <v>4</v>
      </c>
      <c r="N108" s="60">
        <f>IF(OR($E108="",$G108=""),"",IF(AND(K108=$E108,M108=$G108),Auxiliar!$C$11,IF(AND(SIGN($E108-$G108)=SIGN(K108-M108),MAX($E108,$G108)=MAX(K108,M108)),Auxiliar!$C$12,IF(ABS($E108-$G108)=ABS(K108-M108),Auxiliar!$C$13,IF(AND(SIGN($E108-$G108)=SIGN(K108-M108),MIN($E108,$G108)=MIN(K108,M108)),Auxiliar!$C$14,IF(SIGN($E108-$G108)=SIGN(K108-M108),Auxiliar!$C$15,IF(K108=M108,Auxiliar!$C$16,0)))))))</f>
        <v>0</v>
      </c>
      <c r="P108" s="9">
        <v>2</v>
      </c>
      <c r="Q108" s="10" t="s">
        <v>23</v>
      </c>
      <c r="R108" s="11">
        <v>3</v>
      </c>
      <c r="S108" s="60">
        <f>IF(OR($E108="",$G108=""),"",IF(AND(P108=$E108,R108=$G108),Auxiliar!$C$11,IF(AND(SIGN($E108-$G108)=SIGN(P108-R108),MAX($E108,$G108)=MAX(P108,R108)),Auxiliar!$C$12,IF(ABS($E108-$G108)=ABS(P108-R108),Auxiliar!$C$13,IF(AND(SIGN($E108-$G108)=SIGN(P108-R108),MIN($E108,$G108)=MIN(P108,R108)),Auxiliar!$C$14,IF(SIGN($E108-$G108)=SIGN(P108-R108),Auxiliar!$C$15,IF(P108=R108,Auxiliar!$C$16,0)))))))</f>
        <v>0</v>
      </c>
      <c r="U108" s="9">
        <v>4</v>
      </c>
      <c r="V108" s="10" t="s">
        <v>23</v>
      </c>
      <c r="W108" s="11">
        <v>4</v>
      </c>
      <c r="X108" s="60">
        <f>IF(OR($E108="",$G108=""),"",IF(AND(U108=$E108,W108=$G108),Auxiliar!$C$11,IF(AND(SIGN($E108-$G108)=SIGN(U108-W108),MAX($E108,$G108)=MAX(U108,W108)),Auxiliar!$C$12,IF(ABS($E108-$G108)=ABS(U108-W108),Auxiliar!$C$13,IF(AND(SIGN($E108-$G108)=SIGN(U108-W108),MIN($E108,$G108)=MIN(U108,W108)),Auxiliar!$C$14,IF(SIGN($E108-$G108)=SIGN(U108-W108),Auxiliar!$C$15,IF(U108=W108,Auxiliar!$C$16,0)))))))</f>
        <v>5</v>
      </c>
      <c r="Z108" s="9">
        <v>3</v>
      </c>
      <c r="AA108" s="10" t="s">
        <v>23</v>
      </c>
      <c r="AB108" s="11">
        <v>5</v>
      </c>
      <c r="AC108" s="60">
        <f>IF(OR($E108="",$G108=""),"",IF(AND(Z108=$E108,AB108=$G108),Auxiliar!$C$11,IF(AND(SIGN($E108-$G108)=SIGN(Z108-AB108),MAX($E108,$G108)=MAX(Z108,AB108)),Auxiliar!$C$12,IF(ABS($E108-$G108)=ABS(Z108-AB108),Auxiliar!$C$13,IF(AND(SIGN($E108-$G108)=SIGN(Z108-AB108),MIN($E108,$G108)=MIN(Z108,AB108)),Auxiliar!$C$14,IF(SIGN($E108-$G108)=SIGN(Z108-AB108),Auxiliar!$C$15,IF(Z108=AB108,Auxiliar!$C$16,0)))))))</f>
        <v>0</v>
      </c>
      <c r="AE108" s="9">
        <v>0</v>
      </c>
      <c r="AF108" s="10" t="s">
        <v>23</v>
      </c>
      <c r="AG108" s="11">
        <v>4</v>
      </c>
      <c r="AH108" s="60">
        <f>IF(OR($E108="",$G108=""),"",IF(AND(AE108=$E108,AG108=$G108),Auxiliar!$C$11,IF(AND(SIGN($E108-$G108)=SIGN(AE108-AG108),MAX($E108,$G108)=MAX(AE108,AG108)),Auxiliar!$C$12,IF(ABS($E108-$G108)=ABS(AE108-AG108),Auxiliar!$C$13,IF(AND(SIGN($E108-$G108)=SIGN(AE108-AG108),MIN($E108,$G108)=MIN(AE108,AG108)),Auxiliar!$C$14,IF(SIGN($E108-$G108)=SIGN(AE108-AG108),Auxiliar!$C$15,IF(AE108=AG108,Auxiliar!$C$16,0)))))))</f>
        <v>0</v>
      </c>
    </row>
    <row r="109" spans="3:34" x14ac:dyDescent="0.25">
      <c r="C109" s="24">
        <f t="shared" si="1"/>
        <v>10</v>
      </c>
      <c r="D109" s="18"/>
      <c r="E109" s="13"/>
      <c r="F109" s="12" t="s">
        <v>23</v>
      </c>
      <c r="G109" s="13"/>
      <c r="H109" s="14"/>
      <c r="K109" s="9">
        <v>4</v>
      </c>
      <c r="L109" s="10" t="s">
        <v>23</v>
      </c>
      <c r="M109" s="11">
        <v>3</v>
      </c>
      <c r="N109" s="60" t="str">
        <f>IF(OR($E109="",$G109=""),"",IF(AND(K109=$E109,M109=$G109),Auxiliar!$C$11,IF(AND(SIGN($E109-$G109)=SIGN(K109-M109),MAX($E109,$G109)=MAX(K109,M109)),Auxiliar!$C$12,IF(ABS($E109-$G109)=ABS(K109-M109),Auxiliar!$C$13,IF(AND(SIGN($E109-$G109)=SIGN(K109-M109),MIN($E109,$G109)=MIN(K109,M109)),Auxiliar!$C$14,IF(SIGN($E109-$G109)=SIGN(K109-M109),Auxiliar!$C$15,IF(K109=M109,Auxiliar!$C$16,0)))))))</f>
        <v/>
      </c>
      <c r="P109" s="9">
        <v>4</v>
      </c>
      <c r="Q109" s="10" t="s">
        <v>23</v>
      </c>
      <c r="R109" s="11">
        <v>1</v>
      </c>
      <c r="S109" s="60" t="str">
        <f>IF(OR($E109="",$G109=""),"",IF(AND(P109=$E109,R109=$G109),Auxiliar!$C$11,IF(AND(SIGN($E109-$G109)=SIGN(P109-R109),MAX($E109,$G109)=MAX(P109,R109)),Auxiliar!$C$12,IF(ABS($E109-$G109)=ABS(P109-R109),Auxiliar!$C$13,IF(AND(SIGN($E109-$G109)=SIGN(P109-R109),MIN($E109,$G109)=MIN(P109,R109)),Auxiliar!$C$14,IF(SIGN($E109-$G109)=SIGN(P109-R109),Auxiliar!$C$15,IF(P109=R109,Auxiliar!$C$16,0)))))))</f>
        <v/>
      </c>
      <c r="U109" s="9">
        <v>3</v>
      </c>
      <c r="V109" s="10" t="s">
        <v>23</v>
      </c>
      <c r="W109" s="11">
        <v>2</v>
      </c>
      <c r="X109" s="60" t="str">
        <f>IF(OR($E109="",$G109=""),"",IF(AND(U109=$E109,W109=$G109),Auxiliar!$C$11,IF(AND(SIGN($E109-$G109)=SIGN(U109-W109),MAX($E109,$G109)=MAX(U109,W109)),Auxiliar!$C$12,IF(ABS($E109-$G109)=ABS(U109-W109),Auxiliar!$C$13,IF(AND(SIGN($E109-$G109)=SIGN(U109-W109),MIN($E109,$G109)=MIN(U109,W109)),Auxiliar!$C$14,IF(SIGN($E109-$G109)=SIGN(U109-W109),Auxiliar!$C$15,IF(U109=W109,Auxiliar!$C$16,0)))))))</f>
        <v/>
      </c>
      <c r="Z109" s="9">
        <v>5</v>
      </c>
      <c r="AA109" s="10" t="s">
        <v>23</v>
      </c>
      <c r="AB109" s="11">
        <v>5</v>
      </c>
      <c r="AC109" s="60" t="str">
        <f>IF(OR($E109="",$G109=""),"",IF(AND(Z109=$E109,AB109=$G109),Auxiliar!$C$11,IF(AND(SIGN($E109-$G109)=SIGN(Z109-AB109),MAX($E109,$G109)=MAX(Z109,AB109)),Auxiliar!$C$12,IF(ABS($E109-$G109)=ABS(Z109-AB109),Auxiliar!$C$13,IF(AND(SIGN($E109-$G109)=SIGN(Z109-AB109),MIN($E109,$G109)=MIN(Z109,AB109)),Auxiliar!$C$14,IF(SIGN($E109-$G109)=SIGN(Z109-AB109),Auxiliar!$C$15,IF(Z109=AB109,Auxiliar!$C$16,0)))))))</f>
        <v/>
      </c>
      <c r="AE109" s="9">
        <v>5</v>
      </c>
      <c r="AF109" s="10" t="s">
        <v>23</v>
      </c>
      <c r="AG109" s="11">
        <v>3</v>
      </c>
      <c r="AH109" s="60" t="str">
        <f>IF(OR($E109="",$G109=""),"",IF(AND(AE109=$E109,AG109=$G109),Auxiliar!$C$11,IF(AND(SIGN($E109-$G109)=SIGN(AE109-AG109),MAX($E109,$G109)=MAX(AE109,AG109)),Auxiliar!$C$12,IF(ABS($E109-$G109)=ABS(AE109-AG109),Auxiliar!$C$13,IF(AND(SIGN($E109-$G109)=SIGN(AE109-AG109),MIN($E109,$G109)=MIN(AE109,AG109)),Auxiliar!$C$14,IF(SIGN($E109-$G109)=SIGN(AE109-AG109),Auxiliar!$C$15,IF(AE109=AG109,Auxiliar!$C$16,0)))))))</f>
        <v/>
      </c>
    </row>
    <row r="110" spans="3:34" x14ac:dyDescent="0.25">
      <c r="C110" s="24">
        <f t="shared" si="1"/>
        <v>10</v>
      </c>
      <c r="D110" s="18"/>
      <c r="E110" s="13"/>
      <c r="F110" s="12" t="s">
        <v>23</v>
      </c>
      <c r="G110" s="13"/>
      <c r="H110" s="14"/>
      <c r="K110" s="9">
        <v>1</v>
      </c>
      <c r="L110" s="10" t="s">
        <v>23</v>
      </c>
      <c r="M110" s="11">
        <v>4</v>
      </c>
      <c r="N110" s="60" t="str">
        <f>IF(OR($E110="",$G110=""),"",IF(AND(K110=$E110,M110=$G110),Auxiliar!$C$11,IF(AND(SIGN($E110-$G110)=SIGN(K110-M110),MAX($E110,$G110)=MAX(K110,M110)),Auxiliar!$C$12,IF(ABS($E110-$G110)=ABS(K110-M110),Auxiliar!$C$13,IF(AND(SIGN($E110-$G110)=SIGN(K110-M110),MIN($E110,$G110)=MIN(K110,M110)),Auxiliar!$C$14,IF(SIGN($E110-$G110)=SIGN(K110-M110),Auxiliar!$C$15,IF(K110=M110,Auxiliar!$C$16,0)))))))</f>
        <v/>
      </c>
      <c r="P110" s="9">
        <v>2</v>
      </c>
      <c r="Q110" s="10" t="s">
        <v>23</v>
      </c>
      <c r="R110" s="11">
        <v>2</v>
      </c>
      <c r="S110" s="60" t="str">
        <f>IF(OR($E110="",$G110=""),"",IF(AND(P110=$E110,R110=$G110),Auxiliar!$C$11,IF(AND(SIGN($E110-$G110)=SIGN(P110-R110),MAX($E110,$G110)=MAX(P110,R110)),Auxiliar!$C$12,IF(ABS($E110-$G110)=ABS(P110-R110),Auxiliar!$C$13,IF(AND(SIGN($E110-$G110)=SIGN(P110-R110),MIN($E110,$G110)=MIN(P110,R110)),Auxiliar!$C$14,IF(SIGN($E110-$G110)=SIGN(P110-R110),Auxiliar!$C$15,IF(P110=R110,Auxiliar!$C$16,0)))))))</f>
        <v/>
      </c>
      <c r="U110" s="9">
        <v>2</v>
      </c>
      <c r="V110" s="10" t="s">
        <v>23</v>
      </c>
      <c r="W110" s="11">
        <v>4</v>
      </c>
      <c r="X110" s="60" t="str">
        <f>IF(OR($E110="",$G110=""),"",IF(AND(U110=$E110,W110=$G110),Auxiliar!$C$11,IF(AND(SIGN($E110-$G110)=SIGN(U110-W110),MAX($E110,$G110)=MAX(U110,W110)),Auxiliar!$C$12,IF(ABS($E110-$G110)=ABS(U110-W110),Auxiliar!$C$13,IF(AND(SIGN($E110-$G110)=SIGN(U110-W110),MIN($E110,$G110)=MIN(U110,W110)),Auxiliar!$C$14,IF(SIGN($E110-$G110)=SIGN(U110-W110),Auxiliar!$C$15,IF(U110=W110,Auxiliar!$C$16,0)))))))</f>
        <v/>
      </c>
      <c r="Z110" s="9">
        <v>1</v>
      </c>
      <c r="AA110" s="10" t="s">
        <v>23</v>
      </c>
      <c r="AB110" s="11">
        <v>1</v>
      </c>
      <c r="AC110" s="60" t="str">
        <f>IF(OR($E110="",$G110=""),"",IF(AND(Z110=$E110,AB110=$G110),Auxiliar!$C$11,IF(AND(SIGN($E110-$G110)=SIGN(Z110-AB110),MAX($E110,$G110)=MAX(Z110,AB110)),Auxiliar!$C$12,IF(ABS($E110-$G110)=ABS(Z110-AB110),Auxiliar!$C$13,IF(AND(SIGN($E110-$G110)=SIGN(Z110-AB110),MIN($E110,$G110)=MIN(Z110,AB110)),Auxiliar!$C$14,IF(SIGN($E110-$G110)=SIGN(Z110-AB110),Auxiliar!$C$15,IF(Z110=AB110,Auxiliar!$C$16,0)))))))</f>
        <v/>
      </c>
      <c r="AE110" s="9">
        <v>2</v>
      </c>
      <c r="AF110" s="10" t="s">
        <v>23</v>
      </c>
      <c r="AG110" s="11">
        <v>3</v>
      </c>
      <c r="AH110" s="60" t="str">
        <f>IF(OR($E110="",$G110=""),"",IF(AND(AE110=$E110,AG110=$G110),Auxiliar!$C$11,IF(AND(SIGN($E110-$G110)=SIGN(AE110-AG110),MAX($E110,$G110)=MAX(AE110,AG110)),Auxiliar!$C$12,IF(ABS($E110-$G110)=ABS(AE110-AG110),Auxiliar!$C$13,IF(AND(SIGN($E110-$G110)=SIGN(AE110-AG110),MIN($E110,$G110)=MIN(AE110,AG110)),Auxiliar!$C$14,IF(SIGN($E110-$G110)=SIGN(AE110-AG110),Auxiliar!$C$15,IF(AE110=AG110,Auxiliar!$C$16,0)))))))</f>
        <v/>
      </c>
    </row>
    <row r="111" spans="3:34" x14ac:dyDescent="0.25">
      <c r="C111" s="24">
        <f t="shared" si="1"/>
        <v>10</v>
      </c>
      <c r="D111" s="18"/>
      <c r="E111" s="13"/>
      <c r="F111" s="12" t="s">
        <v>23</v>
      </c>
      <c r="G111" s="13"/>
      <c r="H111" s="14"/>
      <c r="K111" s="9">
        <v>0</v>
      </c>
      <c r="L111" s="10" t="s">
        <v>23</v>
      </c>
      <c r="M111" s="11">
        <v>0</v>
      </c>
      <c r="N111" s="60" t="str">
        <f>IF(OR($E111="",$G111=""),"",IF(AND(K111=$E111,M111=$G111),Auxiliar!$C$11,IF(AND(SIGN($E111-$G111)=SIGN(K111-M111),MAX($E111,$G111)=MAX(K111,M111)),Auxiliar!$C$12,IF(ABS($E111-$G111)=ABS(K111-M111),Auxiliar!$C$13,IF(AND(SIGN($E111-$G111)=SIGN(K111-M111),MIN($E111,$G111)=MIN(K111,M111)),Auxiliar!$C$14,IF(SIGN($E111-$G111)=SIGN(K111-M111),Auxiliar!$C$15,IF(K111=M111,Auxiliar!$C$16,0)))))))</f>
        <v/>
      </c>
      <c r="P111" s="9">
        <v>1</v>
      </c>
      <c r="Q111" s="10" t="s">
        <v>23</v>
      </c>
      <c r="R111" s="11">
        <v>0</v>
      </c>
      <c r="S111" s="60" t="str">
        <f>IF(OR($E111="",$G111=""),"",IF(AND(P111=$E111,R111=$G111),Auxiliar!$C$11,IF(AND(SIGN($E111-$G111)=SIGN(P111-R111),MAX($E111,$G111)=MAX(P111,R111)),Auxiliar!$C$12,IF(ABS($E111-$G111)=ABS(P111-R111),Auxiliar!$C$13,IF(AND(SIGN($E111-$G111)=SIGN(P111-R111),MIN($E111,$G111)=MIN(P111,R111)),Auxiliar!$C$14,IF(SIGN($E111-$G111)=SIGN(P111-R111),Auxiliar!$C$15,IF(P111=R111,Auxiliar!$C$16,0)))))))</f>
        <v/>
      </c>
      <c r="U111" s="9">
        <v>5</v>
      </c>
      <c r="V111" s="10" t="s">
        <v>23</v>
      </c>
      <c r="W111" s="11">
        <v>1</v>
      </c>
      <c r="X111" s="60" t="str">
        <f>IF(OR($E111="",$G111=""),"",IF(AND(U111=$E111,W111=$G111),Auxiliar!$C$11,IF(AND(SIGN($E111-$G111)=SIGN(U111-W111),MAX($E111,$G111)=MAX(U111,W111)),Auxiliar!$C$12,IF(ABS($E111-$G111)=ABS(U111-W111),Auxiliar!$C$13,IF(AND(SIGN($E111-$G111)=SIGN(U111-W111),MIN($E111,$G111)=MIN(U111,W111)),Auxiliar!$C$14,IF(SIGN($E111-$G111)=SIGN(U111-W111),Auxiliar!$C$15,IF(U111=W111,Auxiliar!$C$16,0)))))))</f>
        <v/>
      </c>
      <c r="Z111" s="9">
        <v>2</v>
      </c>
      <c r="AA111" s="10" t="s">
        <v>23</v>
      </c>
      <c r="AB111" s="11">
        <v>2</v>
      </c>
      <c r="AC111" s="60" t="str">
        <f>IF(OR($E111="",$G111=""),"",IF(AND(Z111=$E111,AB111=$G111),Auxiliar!$C$11,IF(AND(SIGN($E111-$G111)=SIGN(Z111-AB111),MAX($E111,$G111)=MAX(Z111,AB111)),Auxiliar!$C$12,IF(ABS($E111-$G111)=ABS(Z111-AB111),Auxiliar!$C$13,IF(AND(SIGN($E111-$G111)=SIGN(Z111-AB111),MIN($E111,$G111)=MIN(Z111,AB111)),Auxiliar!$C$14,IF(SIGN($E111-$G111)=SIGN(Z111-AB111),Auxiliar!$C$15,IF(Z111=AB111,Auxiliar!$C$16,0)))))))</f>
        <v/>
      </c>
      <c r="AE111" s="9">
        <v>1</v>
      </c>
      <c r="AF111" s="10" t="s">
        <v>23</v>
      </c>
      <c r="AG111" s="11">
        <v>0</v>
      </c>
      <c r="AH111" s="60" t="str">
        <f>IF(OR($E111="",$G111=""),"",IF(AND(AE111=$E111,AG111=$G111),Auxiliar!$C$11,IF(AND(SIGN($E111-$G111)=SIGN(AE111-AG111),MAX($E111,$G111)=MAX(AE111,AG111)),Auxiliar!$C$12,IF(ABS($E111-$G111)=ABS(AE111-AG111),Auxiliar!$C$13,IF(AND(SIGN($E111-$G111)=SIGN(AE111-AG111),MIN($E111,$G111)=MIN(AE111,AG111)),Auxiliar!$C$14,IF(SIGN($E111-$G111)=SIGN(AE111-AG111),Auxiliar!$C$15,IF(AE111=AG111,Auxiliar!$C$16,0)))))))</f>
        <v/>
      </c>
    </row>
    <row r="112" spans="3:34" x14ac:dyDescent="0.25">
      <c r="C112" s="24">
        <f t="shared" si="1"/>
        <v>10</v>
      </c>
      <c r="D112" s="18"/>
      <c r="E112" s="13"/>
      <c r="F112" s="12" t="s">
        <v>23</v>
      </c>
      <c r="G112" s="13"/>
      <c r="H112" s="14"/>
      <c r="K112" s="9">
        <v>5</v>
      </c>
      <c r="L112" s="10" t="s">
        <v>23</v>
      </c>
      <c r="M112" s="11">
        <v>1</v>
      </c>
      <c r="N112" s="60" t="str">
        <f>IF(OR($E112="",$G112=""),"",IF(AND(K112=$E112,M112=$G112),Auxiliar!$C$11,IF(AND(SIGN($E112-$G112)=SIGN(K112-M112),MAX($E112,$G112)=MAX(K112,M112)),Auxiliar!$C$12,IF(ABS($E112-$G112)=ABS(K112-M112),Auxiliar!$C$13,IF(AND(SIGN($E112-$G112)=SIGN(K112-M112),MIN($E112,$G112)=MIN(K112,M112)),Auxiliar!$C$14,IF(SIGN($E112-$G112)=SIGN(K112-M112),Auxiliar!$C$15,IF(K112=M112,Auxiliar!$C$16,0)))))))</f>
        <v/>
      </c>
      <c r="P112" s="9">
        <v>1</v>
      </c>
      <c r="Q112" s="10" t="s">
        <v>23</v>
      </c>
      <c r="R112" s="11">
        <v>3</v>
      </c>
      <c r="S112" s="60" t="str">
        <f>IF(OR($E112="",$G112=""),"",IF(AND(P112=$E112,R112=$G112),Auxiliar!$C$11,IF(AND(SIGN($E112-$G112)=SIGN(P112-R112),MAX($E112,$G112)=MAX(P112,R112)),Auxiliar!$C$12,IF(ABS($E112-$G112)=ABS(P112-R112),Auxiliar!$C$13,IF(AND(SIGN($E112-$G112)=SIGN(P112-R112),MIN($E112,$G112)=MIN(P112,R112)),Auxiliar!$C$14,IF(SIGN($E112-$G112)=SIGN(P112-R112),Auxiliar!$C$15,IF(P112=R112,Auxiliar!$C$16,0)))))))</f>
        <v/>
      </c>
      <c r="U112" s="9">
        <v>5</v>
      </c>
      <c r="V112" s="10" t="s">
        <v>23</v>
      </c>
      <c r="W112" s="11">
        <v>2</v>
      </c>
      <c r="X112" s="60" t="str">
        <f>IF(OR($E112="",$G112=""),"",IF(AND(U112=$E112,W112=$G112),Auxiliar!$C$11,IF(AND(SIGN($E112-$G112)=SIGN(U112-W112),MAX($E112,$G112)=MAX(U112,W112)),Auxiliar!$C$12,IF(ABS($E112-$G112)=ABS(U112-W112),Auxiliar!$C$13,IF(AND(SIGN($E112-$G112)=SIGN(U112-W112),MIN($E112,$G112)=MIN(U112,W112)),Auxiliar!$C$14,IF(SIGN($E112-$G112)=SIGN(U112-W112),Auxiliar!$C$15,IF(U112=W112,Auxiliar!$C$16,0)))))))</f>
        <v/>
      </c>
      <c r="Z112" s="9">
        <v>0</v>
      </c>
      <c r="AA112" s="10" t="s">
        <v>23</v>
      </c>
      <c r="AB112" s="11">
        <v>1</v>
      </c>
      <c r="AC112" s="60" t="str">
        <f>IF(OR($E112="",$G112=""),"",IF(AND(Z112=$E112,AB112=$G112),Auxiliar!$C$11,IF(AND(SIGN($E112-$G112)=SIGN(Z112-AB112),MAX($E112,$G112)=MAX(Z112,AB112)),Auxiliar!$C$12,IF(ABS($E112-$G112)=ABS(Z112-AB112),Auxiliar!$C$13,IF(AND(SIGN($E112-$G112)=SIGN(Z112-AB112),MIN($E112,$G112)=MIN(Z112,AB112)),Auxiliar!$C$14,IF(SIGN($E112-$G112)=SIGN(Z112-AB112),Auxiliar!$C$15,IF(Z112=AB112,Auxiliar!$C$16,0)))))))</f>
        <v/>
      </c>
      <c r="AE112" s="9">
        <v>2</v>
      </c>
      <c r="AF112" s="10" t="s">
        <v>23</v>
      </c>
      <c r="AG112" s="11">
        <v>4</v>
      </c>
      <c r="AH112" s="60" t="str">
        <f>IF(OR($E112="",$G112=""),"",IF(AND(AE112=$E112,AG112=$G112),Auxiliar!$C$11,IF(AND(SIGN($E112-$G112)=SIGN(AE112-AG112),MAX($E112,$G112)=MAX(AE112,AG112)),Auxiliar!$C$12,IF(ABS($E112-$G112)=ABS(AE112-AG112),Auxiliar!$C$13,IF(AND(SIGN($E112-$G112)=SIGN(AE112-AG112),MIN($E112,$G112)=MIN(AE112,AG112)),Auxiliar!$C$14,IF(SIGN($E112-$G112)=SIGN(AE112-AG112),Auxiliar!$C$15,IF(AE112=AG112,Auxiliar!$C$16,0)))))))</f>
        <v/>
      </c>
    </row>
    <row r="113" spans="3:34" x14ac:dyDescent="0.25">
      <c r="C113" s="24">
        <f t="shared" si="1"/>
        <v>10</v>
      </c>
      <c r="D113" s="18"/>
      <c r="E113" s="13"/>
      <c r="F113" s="12" t="s">
        <v>23</v>
      </c>
      <c r="G113" s="13"/>
      <c r="H113" s="14"/>
      <c r="K113" s="9">
        <v>5</v>
      </c>
      <c r="L113" s="10" t="s">
        <v>23</v>
      </c>
      <c r="M113" s="11">
        <v>4</v>
      </c>
      <c r="N113" s="60" t="str">
        <f>IF(OR($E113="",$G113=""),"",IF(AND(K113=$E113,M113=$G113),Auxiliar!$C$11,IF(AND(SIGN($E113-$G113)=SIGN(K113-M113),MAX($E113,$G113)=MAX(K113,M113)),Auxiliar!$C$12,IF(ABS($E113-$G113)=ABS(K113-M113),Auxiliar!$C$13,IF(AND(SIGN($E113-$G113)=SIGN(K113-M113),MIN($E113,$G113)=MIN(K113,M113)),Auxiliar!$C$14,IF(SIGN($E113-$G113)=SIGN(K113-M113),Auxiliar!$C$15,IF(K113=M113,Auxiliar!$C$16,0)))))))</f>
        <v/>
      </c>
      <c r="P113" s="9">
        <v>3</v>
      </c>
      <c r="Q113" s="10" t="s">
        <v>23</v>
      </c>
      <c r="R113" s="11">
        <v>4</v>
      </c>
      <c r="S113" s="60" t="str">
        <f>IF(OR($E113="",$G113=""),"",IF(AND(P113=$E113,R113=$G113),Auxiliar!$C$11,IF(AND(SIGN($E113-$G113)=SIGN(P113-R113),MAX($E113,$G113)=MAX(P113,R113)),Auxiliar!$C$12,IF(ABS($E113-$G113)=ABS(P113-R113),Auxiliar!$C$13,IF(AND(SIGN($E113-$G113)=SIGN(P113-R113),MIN($E113,$G113)=MIN(P113,R113)),Auxiliar!$C$14,IF(SIGN($E113-$G113)=SIGN(P113-R113),Auxiliar!$C$15,IF(P113=R113,Auxiliar!$C$16,0)))))))</f>
        <v/>
      </c>
      <c r="U113" s="9">
        <v>4</v>
      </c>
      <c r="V113" s="10" t="s">
        <v>23</v>
      </c>
      <c r="W113" s="11">
        <v>2</v>
      </c>
      <c r="X113" s="60" t="str">
        <f>IF(OR($E113="",$G113=""),"",IF(AND(U113=$E113,W113=$G113),Auxiliar!$C$11,IF(AND(SIGN($E113-$G113)=SIGN(U113-W113),MAX($E113,$G113)=MAX(U113,W113)),Auxiliar!$C$12,IF(ABS($E113-$G113)=ABS(U113-W113),Auxiliar!$C$13,IF(AND(SIGN($E113-$G113)=SIGN(U113-W113),MIN($E113,$G113)=MIN(U113,W113)),Auxiliar!$C$14,IF(SIGN($E113-$G113)=SIGN(U113-W113),Auxiliar!$C$15,IF(U113=W113,Auxiliar!$C$16,0)))))))</f>
        <v/>
      </c>
      <c r="Z113" s="9">
        <v>2</v>
      </c>
      <c r="AA113" s="10" t="s">
        <v>23</v>
      </c>
      <c r="AB113" s="11">
        <v>4</v>
      </c>
      <c r="AC113" s="60" t="str">
        <f>IF(OR($E113="",$G113=""),"",IF(AND(Z113=$E113,AB113=$G113),Auxiliar!$C$11,IF(AND(SIGN($E113-$G113)=SIGN(Z113-AB113),MAX($E113,$G113)=MAX(Z113,AB113)),Auxiliar!$C$12,IF(ABS($E113-$G113)=ABS(Z113-AB113),Auxiliar!$C$13,IF(AND(SIGN($E113-$G113)=SIGN(Z113-AB113),MIN($E113,$G113)=MIN(Z113,AB113)),Auxiliar!$C$14,IF(SIGN($E113-$G113)=SIGN(Z113-AB113),Auxiliar!$C$15,IF(Z113=AB113,Auxiliar!$C$16,0)))))))</f>
        <v/>
      </c>
      <c r="AE113" s="9">
        <v>4</v>
      </c>
      <c r="AF113" s="10" t="s">
        <v>23</v>
      </c>
      <c r="AG113" s="11">
        <v>0</v>
      </c>
      <c r="AH113" s="60" t="str">
        <f>IF(OR($E113="",$G113=""),"",IF(AND(AE113=$E113,AG113=$G113),Auxiliar!$C$11,IF(AND(SIGN($E113-$G113)=SIGN(AE113-AG113),MAX($E113,$G113)=MAX(AE113,AG113)),Auxiliar!$C$12,IF(ABS($E113-$G113)=ABS(AE113-AG113),Auxiliar!$C$13,IF(AND(SIGN($E113-$G113)=SIGN(AE113-AG113),MIN($E113,$G113)=MIN(AE113,AG113)),Auxiliar!$C$14,IF(SIGN($E113-$G113)=SIGN(AE113-AG113),Auxiliar!$C$15,IF(AE113=AG113,Auxiliar!$C$16,0)))))))</f>
        <v/>
      </c>
    </row>
    <row r="114" spans="3:34" x14ac:dyDescent="0.25">
      <c r="C114" s="24">
        <f t="shared" si="1"/>
        <v>10</v>
      </c>
      <c r="D114" s="18"/>
      <c r="E114" s="13"/>
      <c r="F114" s="12" t="s">
        <v>23</v>
      </c>
      <c r="G114" s="13"/>
      <c r="H114" s="14"/>
      <c r="K114" s="9">
        <v>2</v>
      </c>
      <c r="L114" s="10" t="s">
        <v>23</v>
      </c>
      <c r="M114" s="11">
        <v>1</v>
      </c>
      <c r="N114" s="60" t="str">
        <f>IF(OR($E114="",$G114=""),"",IF(AND(K114=$E114,M114=$G114),Auxiliar!$C$11,IF(AND(SIGN($E114-$G114)=SIGN(K114-M114),MAX($E114,$G114)=MAX(K114,M114)),Auxiliar!$C$12,IF(ABS($E114-$G114)=ABS(K114-M114),Auxiliar!$C$13,IF(AND(SIGN($E114-$G114)=SIGN(K114-M114),MIN($E114,$G114)=MIN(K114,M114)),Auxiliar!$C$14,IF(SIGN($E114-$G114)=SIGN(K114-M114),Auxiliar!$C$15,IF(K114=M114,Auxiliar!$C$16,0)))))))</f>
        <v/>
      </c>
      <c r="P114" s="9">
        <v>5</v>
      </c>
      <c r="Q114" s="10" t="s">
        <v>23</v>
      </c>
      <c r="R114" s="11">
        <v>4</v>
      </c>
      <c r="S114" s="60" t="str">
        <f>IF(OR($E114="",$G114=""),"",IF(AND(P114=$E114,R114=$G114),Auxiliar!$C$11,IF(AND(SIGN($E114-$G114)=SIGN(P114-R114),MAX($E114,$G114)=MAX(P114,R114)),Auxiliar!$C$12,IF(ABS($E114-$G114)=ABS(P114-R114),Auxiliar!$C$13,IF(AND(SIGN($E114-$G114)=SIGN(P114-R114),MIN($E114,$G114)=MIN(P114,R114)),Auxiliar!$C$14,IF(SIGN($E114-$G114)=SIGN(P114-R114),Auxiliar!$C$15,IF(P114=R114,Auxiliar!$C$16,0)))))))</f>
        <v/>
      </c>
      <c r="U114" s="9">
        <v>2</v>
      </c>
      <c r="V114" s="10" t="s">
        <v>23</v>
      </c>
      <c r="W114" s="11">
        <v>2</v>
      </c>
      <c r="X114" s="60" t="str">
        <f>IF(OR($E114="",$G114=""),"",IF(AND(U114=$E114,W114=$G114),Auxiliar!$C$11,IF(AND(SIGN($E114-$G114)=SIGN(U114-W114),MAX($E114,$G114)=MAX(U114,W114)),Auxiliar!$C$12,IF(ABS($E114-$G114)=ABS(U114-W114),Auxiliar!$C$13,IF(AND(SIGN($E114-$G114)=SIGN(U114-W114),MIN($E114,$G114)=MIN(U114,W114)),Auxiliar!$C$14,IF(SIGN($E114-$G114)=SIGN(U114-W114),Auxiliar!$C$15,IF(U114=W114,Auxiliar!$C$16,0)))))))</f>
        <v/>
      </c>
      <c r="Z114" s="9">
        <v>2</v>
      </c>
      <c r="AA114" s="10" t="s">
        <v>23</v>
      </c>
      <c r="AB114" s="11">
        <v>0</v>
      </c>
      <c r="AC114" s="60" t="str">
        <f>IF(OR($E114="",$G114=""),"",IF(AND(Z114=$E114,AB114=$G114),Auxiliar!$C$11,IF(AND(SIGN($E114-$G114)=SIGN(Z114-AB114),MAX($E114,$G114)=MAX(Z114,AB114)),Auxiliar!$C$12,IF(ABS($E114-$G114)=ABS(Z114-AB114),Auxiliar!$C$13,IF(AND(SIGN($E114-$G114)=SIGN(Z114-AB114),MIN($E114,$G114)=MIN(Z114,AB114)),Auxiliar!$C$14,IF(SIGN($E114-$G114)=SIGN(Z114-AB114),Auxiliar!$C$15,IF(Z114=AB114,Auxiliar!$C$16,0)))))))</f>
        <v/>
      </c>
      <c r="AE114" s="9">
        <v>1</v>
      </c>
      <c r="AF114" s="10" t="s">
        <v>23</v>
      </c>
      <c r="AG114" s="11">
        <v>5</v>
      </c>
      <c r="AH114" s="60" t="str">
        <f>IF(OR($E114="",$G114=""),"",IF(AND(AE114=$E114,AG114=$G114),Auxiliar!$C$11,IF(AND(SIGN($E114-$G114)=SIGN(AE114-AG114),MAX($E114,$G114)=MAX(AE114,AG114)),Auxiliar!$C$12,IF(ABS($E114-$G114)=ABS(AE114-AG114),Auxiliar!$C$13,IF(AND(SIGN($E114-$G114)=SIGN(AE114-AG114),MIN($E114,$G114)=MIN(AE114,AG114)),Auxiliar!$C$14,IF(SIGN($E114-$G114)=SIGN(AE114-AG114),Auxiliar!$C$15,IF(AE114=AG114,Auxiliar!$C$16,0)))))))</f>
        <v/>
      </c>
    </row>
    <row r="115" spans="3:34" x14ac:dyDescent="0.25">
      <c r="C115" s="24">
        <f t="shared" si="1"/>
        <v>10</v>
      </c>
      <c r="D115" s="18"/>
      <c r="E115" s="13"/>
      <c r="F115" s="12" t="s">
        <v>23</v>
      </c>
      <c r="G115" s="13"/>
      <c r="H115" s="14"/>
      <c r="K115" s="9">
        <v>5</v>
      </c>
      <c r="L115" s="10" t="s">
        <v>23</v>
      </c>
      <c r="M115" s="11">
        <v>1</v>
      </c>
      <c r="N115" s="60" t="str">
        <f>IF(OR($E115="",$G115=""),"",IF(AND(K115=$E115,M115=$G115),Auxiliar!$C$11,IF(AND(SIGN($E115-$G115)=SIGN(K115-M115),MAX($E115,$G115)=MAX(K115,M115)),Auxiliar!$C$12,IF(ABS($E115-$G115)=ABS(K115-M115),Auxiliar!$C$13,IF(AND(SIGN($E115-$G115)=SIGN(K115-M115),MIN($E115,$G115)=MIN(K115,M115)),Auxiliar!$C$14,IF(SIGN($E115-$G115)=SIGN(K115-M115),Auxiliar!$C$15,IF(K115=M115,Auxiliar!$C$16,0)))))))</f>
        <v/>
      </c>
      <c r="P115" s="9">
        <v>4</v>
      </c>
      <c r="Q115" s="10" t="s">
        <v>23</v>
      </c>
      <c r="R115" s="11">
        <v>0</v>
      </c>
      <c r="S115" s="60" t="str">
        <f>IF(OR($E115="",$G115=""),"",IF(AND(P115=$E115,R115=$G115),Auxiliar!$C$11,IF(AND(SIGN($E115-$G115)=SIGN(P115-R115),MAX($E115,$G115)=MAX(P115,R115)),Auxiliar!$C$12,IF(ABS($E115-$G115)=ABS(P115-R115),Auxiliar!$C$13,IF(AND(SIGN($E115-$G115)=SIGN(P115-R115),MIN($E115,$G115)=MIN(P115,R115)),Auxiliar!$C$14,IF(SIGN($E115-$G115)=SIGN(P115-R115),Auxiliar!$C$15,IF(P115=R115,Auxiliar!$C$16,0)))))))</f>
        <v/>
      </c>
      <c r="U115" s="9">
        <v>0</v>
      </c>
      <c r="V115" s="10" t="s">
        <v>23</v>
      </c>
      <c r="W115" s="11">
        <v>1</v>
      </c>
      <c r="X115" s="60" t="str">
        <f>IF(OR($E115="",$G115=""),"",IF(AND(U115=$E115,W115=$G115),Auxiliar!$C$11,IF(AND(SIGN($E115-$G115)=SIGN(U115-W115),MAX($E115,$G115)=MAX(U115,W115)),Auxiliar!$C$12,IF(ABS($E115-$G115)=ABS(U115-W115),Auxiliar!$C$13,IF(AND(SIGN($E115-$G115)=SIGN(U115-W115),MIN($E115,$G115)=MIN(U115,W115)),Auxiliar!$C$14,IF(SIGN($E115-$G115)=SIGN(U115-W115),Auxiliar!$C$15,IF(U115=W115,Auxiliar!$C$16,0)))))))</f>
        <v/>
      </c>
      <c r="Z115" s="9">
        <v>0</v>
      </c>
      <c r="AA115" s="10" t="s">
        <v>23</v>
      </c>
      <c r="AB115" s="11">
        <v>1</v>
      </c>
      <c r="AC115" s="60" t="str">
        <f>IF(OR($E115="",$G115=""),"",IF(AND(Z115=$E115,AB115=$G115),Auxiliar!$C$11,IF(AND(SIGN($E115-$G115)=SIGN(Z115-AB115),MAX($E115,$G115)=MAX(Z115,AB115)),Auxiliar!$C$12,IF(ABS($E115-$G115)=ABS(Z115-AB115),Auxiliar!$C$13,IF(AND(SIGN($E115-$G115)=SIGN(Z115-AB115),MIN($E115,$G115)=MIN(Z115,AB115)),Auxiliar!$C$14,IF(SIGN($E115-$G115)=SIGN(Z115-AB115),Auxiliar!$C$15,IF(Z115=AB115,Auxiliar!$C$16,0)))))))</f>
        <v/>
      </c>
      <c r="AE115" s="9">
        <v>5</v>
      </c>
      <c r="AF115" s="10" t="s">
        <v>23</v>
      </c>
      <c r="AG115" s="11">
        <v>3</v>
      </c>
      <c r="AH115" s="60" t="str">
        <f>IF(OR($E115="",$G115=""),"",IF(AND(AE115=$E115,AG115=$G115),Auxiliar!$C$11,IF(AND(SIGN($E115-$G115)=SIGN(AE115-AG115),MAX($E115,$G115)=MAX(AE115,AG115)),Auxiliar!$C$12,IF(ABS($E115-$G115)=ABS(AE115-AG115),Auxiliar!$C$13,IF(AND(SIGN($E115-$G115)=SIGN(AE115-AG115),MIN($E115,$G115)=MIN(AE115,AG115)),Auxiliar!$C$14,IF(SIGN($E115-$G115)=SIGN(AE115-AG115),Auxiliar!$C$15,IF(AE115=AG115,Auxiliar!$C$16,0)))))))</f>
        <v/>
      </c>
    </row>
    <row r="116" spans="3:34" x14ac:dyDescent="0.25">
      <c r="C116" s="24">
        <f t="shared" si="1"/>
        <v>10</v>
      </c>
      <c r="D116" s="18"/>
      <c r="E116" s="13"/>
      <c r="F116" s="12" t="s">
        <v>23</v>
      </c>
      <c r="G116" s="13"/>
      <c r="H116" s="14"/>
      <c r="K116" s="9">
        <v>4</v>
      </c>
      <c r="L116" s="10" t="s">
        <v>23</v>
      </c>
      <c r="M116" s="11">
        <v>0</v>
      </c>
      <c r="N116" s="60" t="str">
        <f>IF(OR($E116="",$G116=""),"",IF(AND(K116=$E116,M116=$G116),Auxiliar!$C$11,IF(AND(SIGN($E116-$G116)=SIGN(K116-M116),MAX($E116,$G116)=MAX(K116,M116)),Auxiliar!$C$12,IF(ABS($E116-$G116)=ABS(K116-M116),Auxiliar!$C$13,IF(AND(SIGN($E116-$G116)=SIGN(K116-M116),MIN($E116,$G116)=MIN(K116,M116)),Auxiliar!$C$14,IF(SIGN($E116-$G116)=SIGN(K116-M116),Auxiliar!$C$15,IF(K116=M116,Auxiliar!$C$16,0)))))))</f>
        <v/>
      </c>
      <c r="P116" s="9">
        <v>3</v>
      </c>
      <c r="Q116" s="10" t="s">
        <v>23</v>
      </c>
      <c r="R116" s="11">
        <v>5</v>
      </c>
      <c r="S116" s="60" t="str">
        <f>IF(OR($E116="",$G116=""),"",IF(AND(P116=$E116,R116=$G116),Auxiliar!$C$11,IF(AND(SIGN($E116-$G116)=SIGN(P116-R116),MAX($E116,$G116)=MAX(P116,R116)),Auxiliar!$C$12,IF(ABS($E116-$G116)=ABS(P116-R116),Auxiliar!$C$13,IF(AND(SIGN($E116-$G116)=SIGN(P116-R116),MIN($E116,$G116)=MIN(P116,R116)),Auxiliar!$C$14,IF(SIGN($E116-$G116)=SIGN(P116-R116),Auxiliar!$C$15,IF(P116=R116,Auxiliar!$C$16,0)))))))</f>
        <v/>
      </c>
      <c r="U116" s="9">
        <v>2</v>
      </c>
      <c r="V116" s="10" t="s">
        <v>23</v>
      </c>
      <c r="W116" s="11">
        <v>0</v>
      </c>
      <c r="X116" s="60" t="str">
        <f>IF(OR($E116="",$G116=""),"",IF(AND(U116=$E116,W116=$G116),Auxiliar!$C$11,IF(AND(SIGN($E116-$G116)=SIGN(U116-W116),MAX($E116,$G116)=MAX(U116,W116)),Auxiliar!$C$12,IF(ABS($E116-$G116)=ABS(U116-W116),Auxiliar!$C$13,IF(AND(SIGN($E116-$G116)=SIGN(U116-W116),MIN($E116,$G116)=MIN(U116,W116)),Auxiliar!$C$14,IF(SIGN($E116-$G116)=SIGN(U116-W116),Auxiliar!$C$15,IF(U116=W116,Auxiliar!$C$16,0)))))))</f>
        <v/>
      </c>
      <c r="Z116" s="9">
        <v>5</v>
      </c>
      <c r="AA116" s="10" t="s">
        <v>23</v>
      </c>
      <c r="AB116" s="11">
        <v>2</v>
      </c>
      <c r="AC116" s="60" t="str">
        <f>IF(OR($E116="",$G116=""),"",IF(AND(Z116=$E116,AB116=$G116),Auxiliar!$C$11,IF(AND(SIGN($E116-$G116)=SIGN(Z116-AB116),MAX($E116,$G116)=MAX(Z116,AB116)),Auxiliar!$C$12,IF(ABS($E116-$G116)=ABS(Z116-AB116),Auxiliar!$C$13,IF(AND(SIGN($E116-$G116)=SIGN(Z116-AB116),MIN($E116,$G116)=MIN(Z116,AB116)),Auxiliar!$C$14,IF(SIGN($E116-$G116)=SIGN(Z116-AB116),Auxiliar!$C$15,IF(Z116=AB116,Auxiliar!$C$16,0)))))))</f>
        <v/>
      </c>
      <c r="AE116" s="9">
        <v>2</v>
      </c>
      <c r="AF116" s="10" t="s">
        <v>23</v>
      </c>
      <c r="AG116" s="11">
        <v>4</v>
      </c>
      <c r="AH116" s="60" t="str">
        <f>IF(OR($E116="",$G116=""),"",IF(AND(AE116=$E116,AG116=$G116),Auxiliar!$C$11,IF(AND(SIGN($E116-$G116)=SIGN(AE116-AG116),MAX($E116,$G116)=MAX(AE116,AG116)),Auxiliar!$C$12,IF(ABS($E116-$G116)=ABS(AE116-AG116),Auxiliar!$C$13,IF(AND(SIGN($E116-$G116)=SIGN(AE116-AG116),MIN($E116,$G116)=MIN(AE116,AG116)),Auxiliar!$C$14,IF(SIGN($E116-$G116)=SIGN(AE116-AG116),Auxiliar!$C$15,IF(AE116=AG116,Auxiliar!$C$16,0)))))))</f>
        <v/>
      </c>
    </row>
    <row r="117" spans="3:34" x14ac:dyDescent="0.25">
      <c r="C117" s="24">
        <f t="shared" si="1"/>
        <v>10</v>
      </c>
      <c r="D117" s="18"/>
      <c r="E117" s="13"/>
      <c r="F117" s="12" t="s">
        <v>23</v>
      </c>
      <c r="G117" s="13"/>
      <c r="H117" s="14"/>
      <c r="K117" s="9">
        <v>1</v>
      </c>
      <c r="L117" s="10" t="s">
        <v>23</v>
      </c>
      <c r="M117" s="11">
        <v>3</v>
      </c>
      <c r="N117" s="60" t="str">
        <f>IF(OR($E117="",$G117=""),"",IF(AND(K117=$E117,M117=$G117),Auxiliar!$C$11,IF(AND(SIGN($E117-$G117)=SIGN(K117-M117),MAX($E117,$G117)=MAX(K117,M117)),Auxiliar!$C$12,IF(ABS($E117-$G117)=ABS(K117-M117),Auxiliar!$C$13,IF(AND(SIGN($E117-$G117)=SIGN(K117-M117),MIN($E117,$G117)=MIN(K117,M117)),Auxiliar!$C$14,IF(SIGN($E117-$G117)=SIGN(K117-M117),Auxiliar!$C$15,IF(K117=M117,Auxiliar!$C$16,0)))))))</f>
        <v/>
      </c>
      <c r="P117" s="9">
        <v>4</v>
      </c>
      <c r="Q117" s="10" t="s">
        <v>23</v>
      </c>
      <c r="R117" s="11">
        <v>3</v>
      </c>
      <c r="S117" s="60" t="str">
        <f>IF(OR($E117="",$G117=""),"",IF(AND(P117=$E117,R117=$G117),Auxiliar!$C$11,IF(AND(SIGN($E117-$G117)=SIGN(P117-R117),MAX($E117,$G117)=MAX(P117,R117)),Auxiliar!$C$12,IF(ABS($E117-$G117)=ABS(P117-R117),Auxiliar!$C$13,IF(AND(SIGN($E117-$G117)=SIGN(P117-R117),MIN($E117,$G117)=MIN(P117,R117)),Auxiliar!$C$14,IF(SIGN($E117-$G117)=SIGN(P117-R117),Auxiliar!$C$15,IF(P117=R117,Auxiliar!$C$16,0)))))))</f>
        <v/>
      </c>
      <c r="U117" s="9">
        <v>3</v>
      </c>
      <c r="V117" s="10" t="s">
        <v>23</v>
      </c>
      <c r="W117" s="11">
        <v>5</v>
      </c>
      <c r="X117" s="60" t="str">
        <f>IF(OR($E117="",$G117=""),"",IF(AND(U117=$E117,W117=$G117),Auxiliar!$C$11,IF(AND(SIGN($E117-$G117)=SIGN(U117-W117),MAX($E117,$G117)=MAX(U117,W117)),Auxiliar!$C$12,IF(ABS($E117-$G117)=ABS(U117-W117),Auxiliar!$C$13,IF(AND(SIGN($E117-$G117)=SIGN(U117-W117),MIN($E117,$G117)=MIN(U117,W117)),Auxiliar!$C$14,IF(SIGN($E117-$G117)=SIGN(U117-W117),Auxiliar!$C$15,IF(U117=W117,Auxiliar!$C$16,0)))))))</f>
        <v/>
      </c>
      <c r="Z117" s="9">
        <v>1</v>
      </c>
      <c r="AA117" s="10" t="s">
        <v>23</v>
      </c>
      <c r="AB117" s="11">
        <v>5</v>
      </c>
      <c r="AC117" s="60" t="str">
        <f>IF(OR($E117="",$G117=""),"",IF(AND(Z117=$E117,AB117=$G117),Auxiliar!$C$11,IF(AND(SIGN($E117-$G117)=SIGN(Z117-AB117),MAX($E117,$G117)=MAX(Z117,AB117)),Auxiliar!$C$12,IF(ABS($E117-$G117)=ABS(Z117-AB117),Auxiliar!$C$13,IF(AND(SIGN($E117-$G117)=SIGN(Z117-AB117),MIN($E117,$G117)=MIN(Z117,AB117)),Auxiliar!$C$14,IF(SIGN($E117-$G117)=SIGN(Z117-AB117),Auxiliar!$C$15,IF(Z117=AB117,Auxiliar!$C$16,0)))))))</f>
        <v/>
      </c>
      <c r="AE117" s="9">
        <v>5</v>
      </c>
      <c r="AF117" s="10" t="s">
        <v>23</v>
      </c>
      <c r="AG117" s="11">
        <v>4</v>
      </c>
      <c r="AH117" s="60" t="str">
        <f>IF(OR($E117="",$G117=""),"",IF(AND(AE117=$E117,AG117=$G117),Auxiliar!$C$11,IF(AND(SIGN($E117-$G117)=SIGN(AE117-AG117),MAX($E117,$G117)=MAX(AE117,AG117)),Auxiliar!$C$12,IF(ABS($E117-$G117)=ABS(AE117-AG117),Auxiliar!$C$13,IF(AND(SIGN($E117-$G117)=SIGN(AE117-AG117),MIN($E117,$G117)=MIN(AE117,AG117)),Auxiliar!$C$14,IF(SIGN($E117-$G117)=SIGN(AE117-AG117),Auxiliar!$C$15,IF(AE117=AG117,Auxiliar!$C$16,0)))))))</f>
        <v/>
      </c>
    </row>
    <row r="118" spans="3:34" x14ac:dyDescent="0.25">
      <c r="C118" s="24">
        <f t="shared" si="1"/>
        <v>10</v>
      </c>
      <c r="D118" s="18"/>
      <c r="E118" s="13"/>
      <c r="F118" s="12" t="s">
        <v>23</v>
      </c>
      <c r="G118" s="13"/>
      <c r="H118" s="14"/>
      <c r="K118" s="9">
        <v>4</v>
      </c>
      <c r="L118" s="10" t="s">
        <v>23</v>
      </c>
      <c r="M118" s="11">
        <v>2</v>
      </c>
      <c r="N118" s="60" t="str">
        <f>IF(OR($E118="",$G118=""),"",IF(AND(K118=$E118,M118=$G118),Auxiliar!$C$11,IF(AND(SIGN($E118-$G118)=SIGN(K118-M118),MAX($E118,$G118)=MAX(K118,M118)),Auxiliar!$C$12,IF(ABS($E118-$G118)=ABS(K118-M118),Auxiliar!$C$13,IF(AND(SIGN($E118-$G118)=SIGN(K118-M118),MIN($E118,$G118)=MIN(K118,M118)),Auxiliar!$C$14,IF(SIGN($E118-$G118)=SIGN(K118-M118),Auxiliar!$C$15,IF(K118=M118,Auxiliar!$C$16,0)))))))</f>
        <v/>
      </c>
      <c r="P118" s="9">
        <v>3</v>
      </c>
      <c r="Q118" s="10" t="s">
        <v>23</v>
      </c>
      <c r="R118" s="11">
        <v>1</v>
      </c>
      <c r="S118" s="60" t="str">
        <f>IF(OR($E118="",$G118=""),"",IF(AND(P118=$E118,R118=$G118),Auxiliar!$C$11,IF(AND(SIGN($E118-$G118)=SIGN(P118-R118),MAX($E118,$G118)=MAX(P118,R118)),Auxiliar!$C$12,IF(ABS($E118-$G118)=ABS(P118-R118),Auxiliar!$C$13,IF(AND(SIGN($E118-$G118)=SIGN(P118-R118),MIN($E118,$G118)=MIN(P118,R118)),Auxiliar!$C$14,IF(SIGN($E118-$G118)=SIGN(P118-R118),Auxiliar!$C$15,IF(P118=R118,Auxiliar!$C$16,0)))))))</f>
        <v/>
      </c>
      <c r="U118" s="9">
        <v>5</v>
      </c>
      <c r="V118" s="10" t="s">
        <v>23</v>
      </c>
      <c r="W118" s="11">
        <v>2</v>
      </c>
      <c r="X118" s="60" t="str">
        <f>IF(OR($E118="",$G118=""),"",IF(AND(U118=$E118,W118=$G118),Auxiliar!$C$11,IF(AND(SIGN($E118-$G118)=SIGN(U118-W118),MAX($E118,$G118)=MAX(U118,W118)),Auxiliar!$C$12,IF(ABS($E118-$G118)=ABS(U118-W118),Auxiliar!$C$13,IF(AND(SIGN($E118-$G118)=SIGN(U118-W118),MIN($E118,$G118)=MIN(U118,W118)),Auxiliar!$C$14,IF(SIGN($E118-$G118)=SIGN(U118-W118),Auxiliar!$C$15,IF(U118=W118,Auxiliar!$C$16,0)))))))</f>
        <v/>
      </c>
      <c r="Z118" s="9">
        <v>3</v>
      </c>
      <c r="AA118" s="10" t="s">
        <v>23</v>
      </c>
      <c r="AB118" s="11">
        <v>2</v>
      </c>
      <c r="AC118" s="60" t="str">
        <f>IF(OR($E118="",$G118=""),"",IF(AND(Z118=$E118,AB118=$G118),Auxiliar!$C$11,IF(AND(SIGN($E118-$G118)=SIGN(Z118-AB118),MAX($E118,$G118)=MAX(Z118,AB118)),Auxiliar!$C$12,IF(ABS($E118-$G118)=ABS(Z118-AB118),Auxiliar!$C$13,IF(AND(SIGN($E118-$G118)=SIGN(Z118-AB118),MIN($E118,$G118)=MIN(Z118,AB118)),Auxiliar!$C$14,IF(SIGN($E118-$G118)=SIGN(Z118-AB118),Auxiliar!$C$15,IF(Z118=AB118,Auxiliar!$C$16,0)))))))</f>
        <v/>
      </c>
      <c r="AE118" s="9">
        <v>1</v>
      </c>
      <c r="AF118" s="10" t="s">
        <v>23</v>
      </c>
      <c r="AG118" s="11">
        <v>2</v>
      </c>
      <c r="AH118" s="60" t="str">
        <f>IF(OR($E118="",$G118=""),"",IF(AND(AE118=$E118,AG118=$G118),Auxiliar!$C$11,IF(AND(SIGN($E118-$G118)=SIGN(AE118-AG118),MAX($E118,$G118)=MAX(AE118,AG118)),Auxiliar!$C$12,IF(ABS($E118-$G118)=ABS(AE118-AG118),Auxiliar!$C$13,IF(AND(SIGN($E118-$G118)=SIGN(AE118-AG118),MIN($E118,$G118)=MIN(AE118,AG118)),Auxiliar!$C$14,IF(SIGN($E118-$G118)=SIGN(AE118-AG118),Auxiliar!$C$15,IF(AE118=AG118,Auxiliar!$C$16,0)))))))</f>
        <v/>
      </c>
    </row>
    <row r="119" spans="3:34" x14ac:dyDescent="0.25">
      <c r="C119" s="24">
        <f t="shared" si="1"/>
        <v>11</v>
      </c>
      <c r="D119" s="18"/>
      <c r="E119" s="13"/>
      <c r="F119" s="12" t="s">
        <v>23</v>
      </c>
      <c r="G119" s="13"/>
      <c r="H119" s="14"/>
      <c r="K119" s="9">
        <v>4</v>
      </c>
      <c r="L119" s="10" t="s">
        <v>23</v>
      </c>
      <c r="M119" s="11">
        <v>1</v>
      </c>
      <c r="N119" s="60" t="str">
        <f>IF(OR($E119="",$G119=""),"",IF(AND(K119=$E119,M119=$G119),Auxiliar!$C$11,IF(AND(SIGN($E119-$G119)=SIGN(K119-M119),MAX($E119,$G119)=MAX(K119,M119)),Auxiliar!$C$12,IF(ABS($E119-$G119)=ABS(K119-M119),Auxiliar!$C$13,IF(AND(SIGN($E119-$G119)=SIGN(K119-M119),MIN($E119,$G119)=MIN(K119,M119)),Auxiliar!$C$14,IF(SIGN($E119-$G119)=SIGN(K119-M119),Auxiliar!$C$15,IF(K119=M119,Auxiliar!$C$16,0)))))))</f>
        <v/>
      </c>
      <c r="P119" s="9">
        <v>1</v>
      </c>
      <c r="Q119" s="10" t="s">
        <v>23</v>
      </c>
      <c r="R119" s="11">
        <v>3</v>
      </c>
      <c r="S119" s="60" t="str">
        <f>IF(OR($E119="",$G119=""),"",IF(AND(P119=$E119,R119=$G119),Auxiliar!$C$11,IF(AND(SIGN($E119-$G119)=SIGN(P119-R119),MAX($E119,$G119)=MAX(P119,R119)),Auxiliar!$C$12,IF(ABS($E119-$G119)=ABS(P119-R119),Auxiliar!$C$13,IF(AND(SIGN($E119-$G119)=SIGN(P119-R119),MIN($E119,$G119)=MIN(P119,R119)),Auxiliar!$C$14,IF(SIGN($E119-$G119)=SIGN(P119-R119),Auxiliar!$C$15,IF(P119=R119,Auxiliar!$C$16,0)))))))</f>
        <v/>
      </c>
      <c r="U119" s="9">
        <v>3</v>
      </c>
      <c r="V119" s="10" t="s">
        <v>23</v>
      </c>
      <c r="W119" s="11">
        <v>1</v>
      </c>
      <c r="X119" s="60" t="str">
        <f>IF(OR($E119="",$G119=""),"",IF(AND(U119=$E119,W119=$G119),Auxiliar!$C$11,IF(AND(SIGN($E119-$G119)=SIGN(U119-W119),MAX($E119,$G119)=MAX(U119,W119)),Auxiliar!$C$12,IF(ABS($E119-$G119)=ABS(U119-W119),Auxiliar!$C$13,IF(AND(SIGN($E119-$G119)=SIGN(U119-W119),MIN($E119,$G119)=MIN(U119,W119)),Auxiliar!$C$14,IF(SIGN($E119-$G119)=SIGN(U119-W119),Auxiliar!$C$15,IF(U119=W119,Auxiliar!$C$16,0)))))))</f>
        <v/>
      </c>
      <c r="Z119" s="9">
        <v>0</v>
      </c>
      <c r="AA119" s="10" t="s">
        <v>23</v>
      </c>
      <c r="AB119" s="11">
        <v>1</v>
      </c>
      <c r="AC119" s="60" t="str">
        <f>IF(OR($E119="",$G119=""),"",IF(AND(Z119=$E119,AB119=$G119),Auxiliar!$C$11,IF(AND(SIGN($E119-$G119)=SIGN(Z119-AB119),MAX($E119,$G119)=MAX(Z119,AB119)),Auxiliar!$C$12,IF(ABS($E119-$G119)=ABS(Z119-AB119),Auxiliar!$C$13,IF(AND(SIGN($E119-$G119)=SIGN(Z119-AB119),MIN($E119,$G119)=MIN(Z119,AB119)),Auxiliar!$C$14,IF(SIGN($E119-$G119)=SIGN(Z119-AB119),Auxiliar!$C$15,IF(Z119=AB119,Auxiliar!$C$16,0)))))))</f>
        <v/>
      </c>
      <c r="AE119" s="9">
        <v>4</v>
      </c>
      <c r="AF119" s="10" t="s">
        <v>23</v>
      </c>
      <c r="AG119" s="11">
        <v>3</v>
      </c>
      <c r="AH119" s="60" t="str">
        <f>IF(OR($E119="",$G119=""),"",IF(AND(AE119=$E119,AG119=$G119),Auxiliar!$C$11,IF(AND(SIGN($E119-$G119)=SIGN(AE119-AG119),MAX($E119,$G119)=MAX(AE119,AG119)),Auxiliar!$C$12,IF(ABS($E119-$G119)=ABS(AE119-AG119),Auxiliar!$C$13,IF(AND(SIGN($E119-$G119)=SIGN(AE119-AG119),MIN($E119,$G119)=MIN(AE119,AG119)),Auxiliar!$C$14,IF(SIGN($E119-$G119)=SIGN(AE119-AG119),Auxiliar!$C$15,IF(AE119=AG119,Auxiliar!$C$16,0)))))))</f>
        <v/>
      </c>
    </row>
    <row r="120" spans="3:34" x14ac:dyDescent="0.25">
      <c r="C120" s="24">
        <f t="shared" si="1"/>
        <v>11</v>
      </c>
      <c r="D120" s="18"/>
      <c r="E120" s="13"/>
      <c r="F120" s="12" t="s">
        <v>23</v>
      </c>
      <c r="G120" s="13"/>
      <c r="H120" s="14"/>
      <c r="K120" s="9">
        <v>3</v>
      </c>
      <c r="L120" s="10" t="s">
        <v>23</v>
      </c>
      <c r="M120" s="11">
        <v>4</v>
      </c>
      <c r="N120" s="60" t="str">
        <f>IF(OR($E120="",$G120=""),"",IF(AND(K120=$E120,M120=$G120),Auxiliar!$C$11,IF(AND(SIGN($E120-$G120)=SIGN(K120-M120),MAX($E120,$G120)=MAX(K120,M120)),Auxiliar!$C$12,IF(ABS($E120-$G120)=ABS(K120-M120),Auxiliar!$C$13,IF(AND(SIGN($E120-$G120)=SIGN(K120-M120),MIN($E120,$G120)=MIN(K120,M120)),Auxiliar!$C$14,IF(SIGN($E120-$G120)=SIGN(K120-M120),Auxiliar!$C$15,IF(K120=M120,Auxiliar!$C$16,0)))))))</f>
        <v/>
      </c>
      <c r="P120" s="9">
        <v>5</v>
      </c>
      <c r="Q120" s="10" t="s">
        <v>23</v>
      </c>
      <c r="R120" s="11">
        <v>5</v>
      </c>
      <c r="S120" s="60" t="str">
        <f>IF(OR($E120="",$G120=""),"",IF(AND(P120=$E120,R120=$G120),Auxiliar!$C$11,IF(AND(SIGN($E120-$G120)=SIGN(P120-R120),MAX($E120,$G120)=MAX(P120,R120)),Auxiliar!$C$12,IF(ABS($E120-$G120)=ABS(P120-R120),Auxiliar!$C$13,IF(AND(SIGN($E120-$G120)=SIGN(P120-R120),MIN($E120,$G120)=MIN(P120,R120)),Auxiliar!$C$14,IF(SIGN($E120-$G120)=SIGN(P120-R120),Auxiliar!$C$15,IF(P120=R120,Auxiliar!$C$16,0)))))))</f>
        <v/>
      </c>
      <c r="U120" s="9">
        <v>0</v>
      </c>
      <c r="V120" s="10" t="s">
        <v>23</v>
      </c>
      <c r="W120" s="11">
        <v>5</v>
      </c>
      <c r="X120" s="60" t="str">
        <f>IF(OR($E120="",$G120=""),"",IF(AND(U120=$E120,W120=$G120),Auxiliar!$C$11,IF(AND(SIGN($E120-$G120)=SIGN(U120-W120),MAX($E120,$G120)=MAX(U120,W120)),Auxiliar!$C$12,IF(ABS($E120-$G120)=ABS(U120-W120),Auxiliar!$C$13,IF(AND(SIGN($E120-$G120)=SIGN(U120-W120),MIN($E120,$G120)=MIN(U120,W120)),Auxiliar!$C$14,IF(SIGN($E120-$G120)=SIGN(U120-W120),Auxiliar!$C$15,IF(U120=W120,Auxiliar!$C$16,0)))))))</f>
        <v/>
      </c>
      <c r="Z120" s="9">
        <v>2</v>
      </c>
      <c r="AA120" s="10" t="s">
        <v>23</v>
      </c>
      <c r="AB120" s="11">
        <v>0</v>
      </c>
      <c r="AC120" s="60" t="str">
        <f>IF(OR($E120="",$G120=""),"",IF(AND(Z120=$E120,AB120=$G120),Auxiliar!$C$11,IF(AND(SIGN($E120-$G120)=SIGN(Z120-AB120),MAX($E120,$G120)=MAX(Z120,AB120)),Auxiliar!$C$12,IF(ABS($E120-$G120)=ABS(Z120-AB120),Auxiliar!$C$13,IF(AND(SIGN($E120-$G120)=SIGN(Z120-AB120),MIN($E120,$G120)=MIN(Z120,AB120)),Auxiliar!$C$14,IF(SIGN($E120-$G120)=SIGN(Z120-AB120),Auxiliar!$C$15,IF(Z120=AB120,Auxiliar!$C$16,0)))))))</f>
        <v/>
      </c>
      <c r="AE120" s="9">
        <v>5</v>
      </c>
      <c r="AF120" s="10" t="s">
        <v>23</v>
      </c>
      <c r="AG120" s="11">
        <v>4</v>
      </c>
      <c r="AH120" s="60" t="str">
        <f>IF(OR($E120="",$G120=""),"",IF(AND(AE120=$E120,AG120=$G120),Auxiliar!$C$11,IF(AND(SIGN($E120-$G120)=SIGN(AE120-AG120),MAX($E120,$G120)=MAX(AE120,AG120)),Auxiliar!$C$12,IF(ABS($E120-$G120)=ABS(AE120-AG120),Auxiliar!$C$13,IF(AND(SIGN($E120-$G120)=SIGN(AE120-AG120),MIN($E120,$G120)=MIN(AE120,AG120)),Auxiliar!$C$14,IF(SIGN($E120-$G120)=SIGN(AE120-AG120),Auxiliar!$C$15,IF(AE120=AG120,Auxiliar!$C$16,0)))))))</f>
        <v/>
      </c>
    </row>
    <row r="121" spans="3:34" x14ac:dyDescent="0.25">
      <c r="C121" s="24">
        <f t="shared" si="1"/>
        <v>11</v>
      </c>
      <c r="D121" s="18"/>
      <c r="E121" s="13"/>
      <c r="F121" s="12" t="s">
        <v>23</v>
      </c>
      <c r="G121" s="13"/>
      <c r="H121" s="14"/>
      <c r="K121" s="9">
        <v>3</v>
      </c>
      <c r="L121" s="10" t="s">
        <v>23</v>
      </c>
      <c r="M121" s="11">
        <v>4</v>
      </c>
      <c r="N121" s="60" t="str">
        <f>IF(OR($E121="",$G121=""),"",IF(AND(K121=$E121,M121=$G121),Auxiliar!$C$11,IF(AND(SIGN($E121-$G121)=SIGN(K121-M121),MAX($E121,$G121)=MAX(K121,M121)),Auxiliar!$C$12,IF(ABS($E121-$G121)=ABS(K121-M121),Auxiliar!$C$13,IF(AND(SIGN($E121-$G121)=SIGN(K121-M121),MIN($E121,$G121)=MIN(K121,M121)),Auxiliar!$C$14,IF(SIGN($E121-$G121)=SIGN(K121-M121),Auxiliar!$C$15,IF(K121=M121,Auxiliar!$C$16,0)))))))</f>
        <v/>
      </c>
      <c r="P121" s="9">
        <v>2</v>
      </c>
      <c r="Q121" s="10" t="s">
        <v>23</v>
      </c>
      <c r="R121" s="11">
        <v>3</v>
      </c>
      <c r="S121" s="60" t="str">
        <f>IF(OR($E121="",$G121=""),"",IF(AND(P121=$E121,R121=$G121),Auxiliar!$C$11,IF(AND(SIGN($E121-$G121)=SIGN(P121-R121),MAX($E121,$G121)=MAX(P121,R121)),Auxiliar!$C$12,IF(ABS($E121-$G121)=ABS(P121-R121),Auxiliar!$C$13,IF(AND(SIGN($E121-$G121)=SIGN(P121-R121),MIN($E121,$G121)=MIN(P121,R121)),Auxiliar!$C$14,IF(SIGN($E121-$G121)=SIGN(P121-R121),Auxiliar!$C$15,IF(P121=R121,Auxiliar!$C$16,0)))))))</f>
        <v/>
      </c>
      <c r="U121" s="9">
        <v>5</v>
      </c>
      <c r="V121" s="10" t="s">
        <v>23</v>
      </c>
      <c r="W121" s="11">
        <v>5</v>
      </c>
      <c r="X121" s="60" t="str">
        <f>IF(OR($E121="",$G121=""),"",IF(AND(U121=$E121,W121=$G121),Auxiliar!$C$11,IF(AND(SIGN($E121-$G121)=SIGN(U121-W121),MAX($E121,$G121)=MAX(U121,W121)),Auxiliar!$C$12,IF(ABS($E121-$G121)=ABS(U121-W121),Auxiliar!$C$13,IF(AND(SIGN($E121-$G121)=SIGN(U121-W121),MIN($E121,$G121)=MIN(U121,W121)),Auxiliar!$C$14,IF(SIGN($E121-$G121)=SIGN(U121-W121),Auxiliar!$C$15,IF(U121=W121,Auxiliar!$C$16,0)))))))</f>
        <v/>
      </c>
      <c r="Z121" s="9">
        <v>1</v>
      </c>
      <c r="AA121" s="10" t="s">
        <v>23</v>
      </c>
      <c r="AB121" s="11">
        <v>5</v>
      </c>
      <c r="AC121" s="60" t="str">
        <f>IF(OR($E121="",$G121=""),"",IF(AND(Z121=$E121,AB121=$G121),Auxiliar!$C$11,IF(AND(SIGN($E121-$G121)=SIGN(Z121-AB121),MAX($E121,$G121)=MAX(Z121,AB121)),Auxiliar!$C$12,IF(ABS($E121-$G121)=ABS(Z121-AB121),Auxiliar!$C$13,IF(AND(SIGN($E121-$G121)=SIGN(Z121-AB121),MIN($E121,$G121)=MIN(Z121,AB121)),Auxiliar!$C$14,IF(SIGN($E121-$G121)=SIGN(Z121-AB121),Auxiliar!$C$15,IF(Z121=AB121,Auxiliar!$C$16,0)))))))</f>
        <v/>
      </c>
      <c r="AE121" s="9">
        <v>2</v>
      </c>
      <c r="AF121" s="10" t="s">
        <v>23</v>
      </c>
      <c r="AG121" s="11">
        <v>1</v>
      </c>
      <c r="AH121" s="60" t="str">
        <f>IF(OR($E121="",$G121=""),"",IF(AND(AE121=$E121,AG121=$G121),Auxiliar!$C$11,IF(AND(SIGN($E121-$G121)=SIGN(AE121-AG121),MAX($E121,$G121)=MAX(AE121,AG121)),Auxiliar!$C$12,IF(ABS($E121-$G121)=ABS(AE121-AG121),Auxiliar!$C$13,IF(AND(SIGN($E121-$G121)=SIGN(AE121-AG121),MIN($E121,$G121)=MIN(AE121,AG121)),Auxiliar!$C$14,IF(SIGN($E121-$G121)=SIGN(AE121-AG121),Auxiliar!$C$15,IF(AE121=AG121,Auxiliar!$C$16,0)))))))</f>
        <v/>
      </c>
    </row>
    <row r="122" spans="3:34" x14ac:dyDescent="0.25">
      <c r="C122" s="24">
        <f t="shared" si="1"/>
        <v>11</v>
      </c>
      <c r="D122" s="18"/>
      <c r="E122" s="13"/>
      <c r="F122" s="12" t="s">
        <v>23</v>
      </c>
      <c r="G122" s="13"/>
      <c r="H122" s="14"/>
      <c r="K122" s="9">
        <v>1</v>
      </c>
      <c r="L122" s="10" t="s">
        <v>23</v>
      </c>
      <c r="M122" s="11">
        <v>0</v>
      </c>
      <c r="N122" s="60" t="str">
        <f>IF(OR($E122="",$G122=""),"",IF(AND(K122=$E122,M122=$G122),Auxiliar!$C$11,IF(AND(SIGN($E122-$G122)=SIGN(K122-M122),MAX($E122,$G122)=MAX(K122,M122)),Auxiliar!$C$12,IF(ABS($E122-$G122)=ABS(K122-M122),Auxiliar!$C$13,IF(AND(SIGN($E122-$G122)=SIGN(K122-M122),MIN($E122,$G122)=MIN(K122,M122)),Auxiliar!$C$14,IF(SIGN($E122-$G122)=SIGN(K122-M122),Auxiliar!$C$15,IF(K122=M122,Auxiliar!$C$16,0)))))))</f>
        <v/>
      </c>
      <c r="P122" s="9">
        <v>5</v>
      </c>
      <c r="Q122" s="10" t="s">
        <v>23</v>
      </c>
      <c r="R122" s="11">
        <v>3</v>
      </c>
      <c r="S122" s="60" t="str">
        <f>IF(OR($E122="",$G122=""),"",IF(AND(P122=$E122,R122=$G122),Auxiliar!$C$11,IF(AND(SIGN($E122-$G122)=SIGN(P122-R122),MAX($E122,$G122)=MAX(P122,R122)),Auxiliar!$C$12,IF(ABS($E122-$G122)=ABS(P122-R122),Auxiliar!$C$13,IF(AND(SIGN($E122-$G122)=SIGN(P122-R122),MIN($E122,$G122)=MIN(P122,R122)),Auxiliar!$C$14,IF(SIGN($E122-$G122)=SIGN(P122-R122),Auxiliar!$C$15,IF(P122=R122,Auxiliar!$C$16,0)))))))</f>
        <v/>
      </c>
      <c r="U122" s="9">
        <v>2</v>
      </c>
      <c r="V122" s="10" t="s">
        <v>23</v>
      </c>
      <c r="W122" s="11">
        <v>4</v>
      </c>
      <c r="X122" s="60" t="str">
        <f>IF(OR($E122="",$G122=""),"",IF(AND(U122=$E122,W122=$G122),Auxiliar!$C$11,IF(AND(SIGN($E122-$G122)=SIGN(U122-W122),MAX($E122,$G122)=MAX(U122,W122)),Auxiliar!$C$12,IF(ABS($E122-$G122)=ABS(U122-W122),Auxiliar!$C$13,IF(AND(SIGN($E122-$G122)=SIGN(U122-W122),MIN($E122,$G122)=MIN(U122,W122)),Auxiliar!$C$14,IF(SIGN($E122-$G122)=SIGN(U122-W122),Auxiliar!$C$15,IF(U122=W122,Auxiliar!$C$16,0)))))))</f>
        <v/>
      </c>
      <c r="Z122" s="9">
        <v>1</v>
      </c>
      <c r="AA122" s="10" t="s">
        <v>23</v>
      </c>
      <c r="AB122" s="11">
        <v>2</v>
      </c>
      <c r="AC122" s="60" t="str">
        <f>IF(OR($E122="",$G122=""),"",IF(AND(Z122=$E122,AB122=$G122),Auxiliar!$C$11,IF(AND(SIGN($E122-$G122)=SIGN(Z122-AB122),MAX($E122,$G122)=MAX(Z122,AB122)),Auxiliar!$C$12,IF(ABS($E122-$G122)=ABS(Z122-AB122),Auxiliar!$C$13,IF(AND(SIGN($E122-$G122)=SIGN(Z122-AB122),MIN($E122,$G122)=MIN(Z122,AB122)),Auxiliar!$C$14,IF(SIGN($E122-$G122)=SIGN(Z122-AB122),Auxiliar!$C$15,IF(Z122=AB122,Auxiliar!$C$16,0)))))))</f>
        <v/>
      </c>
      <c r="AE122" s="9">
        <v>2</v>
      </c>
      <c r="AF122" s="10" t="s">
        <v>23</v>
      </c>
      <c r="AG122" s="11">
        <v>1</v>
      </c>
      <c r="AH122" s="60" t="str">
        <f>IF(OR($E122="",$G122=""),"",IF(AND(AE122=$E122,AG122=$G122),Auxiliar!$C$11,IF(AND(SIGN($E122-$G122)=SIGN(AE122-AG122),MAX($E122,$G122)=MAX(AE122,AG122)),Auxiliar!$C$12,IF(ABS($E122-$G122)=ABS(AE122-AG122),Auxiliar!$C$13,IF(AND(SIGN($E122-$G122)=SIGN(AE122-AG122),MIN($E122,$G122)=MIN(AE122,AG122)),Auxiliar!$C$14,IF(SIGN($E122-$G122)=SIGN(AE122-AG122),Auxiliar!$C$15,IF(AE122=AG122,Auxiliar!$C$16,0)))))))</f>
        <v/>
      </c>
    </row>
    <row r="123" spans="3:34" x14ac:dyDescent="0.25">
      <c r="C123" s="24">
        <f t="shared" si="1"/>
        <v>11</v>
      </c>
      <c r="D123" s="18"/>
      <c r="E123" s="13"/>
      <c r="F123" s="12" t="s">
        <v>23</v>
      </c>
      <c r="G123" s="13"/>
      <c r="H123" s="14"/>
      <c r="K123" s="9">
        <v>4</v>
      </c>
      <c r="L123" s="10" t="s">
        <v>23</v>
      </c>
      <c r="M123" s="11">
        <v>5</v>
      </c>
      <c r="N123" s="60" t="str">
        <f>IF(OR($E123="",$G123=""),"",IF(AND(K123=$E123,M123=$G123),Auxiliar!$C$11,IF(AND(SIGN($E123-$G123)=SIGN(K123-M123),MAX($E123,$G123)=MAX(K123,M123)),Auxiliar!$C$12,IF(ABS($E123-$G123)=ABS(K123-M123),Auxiliar!$C$13,IF(AND(SIGN($E123-$G123)=SIGN(K123-M123),MIN($E123,$G123)=MIN(K123,M123)),Auxiliar!$C$14,IF(SIGN($E123-$G123)=SIGN(K123-M123),Auxiliar!$C$15,IF(K123=M123,Auxiliar!$C$16,0)))))))</f>
        <v/>
      </c>
      <c r="P123" s="9">
        <v>4</v>
      </c>
      <c r="Q123" s="10" t="s">
        <v>23</v>
      </c>
      <c r="R123" s="11">
        <v>3</v>
      </c>
      <c r="S123" s="60" t="str">
        <f>IF(OR($E123="",$G123=""),"",IF(AND(P123=$E123,R123=$G123),Auxiliar!$C$11,IF(AND(SIGN($E123-$G123)=SIGN(P123-R123),MAX($E123,$G123)=MAX(P123,R123)),Auxiliar!$C$12,IF(ABS($E123-$G123)=ABS(P123-R123),Auxiliar!$C$13,IF(AND(SIGN($E123-$G123)=SIGN(P123-R123),MIN($E123,$G123)=MIN(P123,R123)),Auxiliar!$C$14,IF(SIGN($E123-$G123)=SIGN(P123-R123),Auxiliar!$C$15,IF(P123=R123,Auxiliar!$C$16,0)))))))</f>
        <v/>
      </c>
      <c r="U123" s="9">
        <v>1</v>
      </c>
      <c r="V123" s="10" t="s">
        <v>23</v>
      </c>
      <c r="W123" s="11">
        <v>5</v>
      </c>
      <c r="X123" s="60" t="str">
        <f>IF(OR($E123="",$G123=""),"",IF(AND(U123=$E123,W123=$G123),Auxiliar!$C$11,IF(AND(SIGN($E123-$G123)=SIGN(U123-W123),MAX($E123,$G123)=MAX(U123,W123)),Auxiliar!$C$12,IF(ABS($E123-$G123)=ABS(U123-W123),Auxiliar!$C$13,IF(AND(SIGN($E123-$G123)=SIGN(U123-W123),MIN($E123,$G123)=MIN(U123,W123)),Auxiliar!$C$14,IF(SIGN($E123-$G123)=SIGN(U123-W123),Auxiliar!$C$15,IF(U123=W123,Auxiliar!$C$16,0)))))))</f>
        <v/>
      </c>
      <c r="Z123" s="9">
        <v>2</v>
      </c>
      <c r="AA123" s="10" t="s">
        <v>23</v>
      </c>
      <c r="AB123" s="11">
        <v>3</v>
      </c>
      <c r="AC123" s="60" t="str">
        <f>IF(OR($E123="",$G123=""),"",IF(AND(Z123=$E123,AB123=$G123),Auxiliar!$C$11,IF(AND(SIGN($E123-$G123)=SIGN(Z123-AB123),MAX($E123,$G123)=MAX(Z123,AB123)),Auxiliar!$C$12,IF(ABS($E123-$G123)=ABS(Z123-AB123),Auxiliar!$C$13,IF(AND(SIGN($E123-$G123)=SIGN(Z123-AB123),MIN($E123,$G123)=MIN(Z123,AB123)),Auxiliar!$C$14,IF(SIGN($E123-$G123)=SIGN(Z123-AB123),Auxiliar!$C$15,IF(Z123=AB123,Auxiliar!$C$16,0)))))))</f>
        <v/>
      </c>
      <c r="AE123" s="9">
        <v>2</v>
      </c>
      <c r="AF123" s="10" t="s">
        <v>23</v>
      </c>
      <c r="AG123" s="11">
        <v>1</v>
      </c>
      <c r="AH123" s="60" t="str">
        <f>IF(OR($E123="",$G123=""),"",IF(AND(AE123=$E123,AG123=$G123),Auxiliar!$C$11,IF(AND(SIGN($E123-$G123)=SIGN(AE123-AG123),MAX($E123,$G123)=MAX(AE123,AG123)),Auxiliar!$C$12,IF(ABS($E123-$G123)=ABS(AE123-AG123),Auxiliar!$C$13,IF(AND(SIGN($E123-$G123)=SIGN(AE123-AG123),MIN($E123,$G123)=MIN(AE123,AG123)),Auxiliar!$C$14,IF(SIGN($E123-$G123)=SIGN(AE123-AG123),Auxiliar!$C$15,IF(AE123=AG123,Auxiliar!$C$16,0)))))))</f>
        <v/>
      </c>
    </row>
    <row r="124" spans="3:34" x14ac:dyDescent="0.25">
      <c r="C124" s="24">
        <f t="shared" si="1"/>
        <v>11</v>
      </c>
      <c r="D124" s="18"/>
      <c r="E124" s="13"/>
      <c r="F124" s="12" t="s">
        <v>23</v>
      </c>
      <c r="G124" s="13"/>
      <c r="H124" s="14"/>
      <c r="K124" s="9">
        <v>0</v>
      </c>
      <c r="L124" s="10" t="s">
        <v>23</v>
      </c>
      <c r="M124" s="11">
        <v>1</v>
      </c>
      <c r="N124" s="60" t="str">
        <f>IF(OR($E124="",$G124=""),"",IF(AND(K124=$E124,M124=$G124),Auxiliar!$C$11,IF(AND(SIGN($E124-$G124)=SIGN(K124-M124),MAX($E124,$G124)=MAX(K124,M124)),Auxiliar!$C$12,IF(ABS($E124-$G124)=ABS(K124-M124),Auxiliar!$C$13,IF(AND(SIGN($E124-$G124)=SIGN(K124-M124),MIN($E124,$G124)=MIN(K124,M124)),Auxiliar!$C$14,IF(SIGN($E124-$G124)=SIGN(K124-M124),Auxiliar!$C$15,IF(K124=M124,Auxiliar!$C$16,0)))))))</f>
        <v/>
      </c>
      <c r="P124" s="9">
        <v>4</v>
      </c>
      <c r="Q124" s="10" t="s">
        <v>23</v>
      </c>
      <c r="R124" s="11">
        <v>1</v>
      </c>
      <c r="S124" s="60" t="str">
        <f>IF(OR($E124="",$G124=""),"",IF(AND(P124=$E124,R124=$G124),Auxiliar!$C$11,IF(AND(SIGN($E124-$G124)=SIGN(P124-R124),MAX($E124,$G124)=MAX(P124,R124)),Auxiliar!$C$12,IF(ABS($E124-$G124)=ABS(P124-R124),Auxiliar!$C$13,IF(AND(SIGN($E124-$G124)=SIGN(P124-R124),MIN($E124,$G124)=MIN(P124,R124)),Auxiliar!$C$14,IF(SIGN($E124-$G124)=SIGN(P124-R124),Auxiliar!$C$15,IF(P124=R124,Auxiliar!$C$16,0)))))))</f>
        <v/>
      </c>
      <c r="U124" s="9">
        <v>5</v>
      </c>
      <c r="V124" s="10" t="s">
        <v>23</v>
      </c>
      <c r="W124" s="11">
        <v>2</v>
      </c>
      <c r="X124" s="60" t="str">
        <f>IF(OR($E124="",$G124=""),"",IF(AND(U124=$E124,W124=$G124),Auxiliar!$C$11,IF(AND(SIGN($E124-$G124)=SIGN(U124-W124),MAX($E124,$G124)=MAX(U124,W124)),Auxiliar!$C$12,IF(ABS($E124-$G124)=ABS(U124-W124),Auxiliar!$C$13,IF(AND(SIGN($E124-$G124)=SIGN(U124-W124),MIN($E124,$G124)=MIN(U124,W124)),Auxiliar!$C$14,IF(SIGN($E124-$G124)=SIGN(U124-W124),Auxiliar!$C$15,IF(U124=W124,Auxiliar!$C$16,0)))))))</f>
        <v/>
      </c>
      <c r="Z124" s="9">
        <v>2</v>
      </c>
      <c r="AA124" s="10" t="s">
        <v>23</v>
      </c>
      <c r="AB124" s="11">
        <v>3</v>
      </c>
      <c r="AC124" s="60" t="str">
        <f>IF(OR($E124="",$G124=""),"",IF(AND(Z124=$E124,AB124=$G124),Auxiliar!$C$11,IF(AND(SIGN($E124-$G124)=SIGN(Z124-AB124),MAX($E124,$G124)=MAX(Z124,AB124)),Auxiliar!$C$12,IF(ABS($E124-$G124)=ABS(Z124-AB124),Auxiliar!$C$13,IF(AND(SIGN($E124-$G124)=SIGN(Z124-AB124),MIN($E124,$G124)=MIN(Z124,AB124)),Auxiliar!$C$14,IF(SIGN($E124-$G124)=SIGN(Z124-AB124),Auxiliar!$C$15,IF(Z124=AB124,Auxiliar!$C$16,0)))))))</f>
        <v/>
      </c>
      <c r="AE124" s="9">
        <v>3</v>
      </c>
      <c r="AF124" s="10" t="s">
        <v>23</v>
      </c>
      <c r="AG124" s="11">
        <v>4</v>
      </c>
      <c r="AH124" s="60" t="str">
        <f>IF(OR($E124="",$G124=""),"",IF(AND(AE124=$E124,AG124=$G124),Auxiliar!$C$11,IF(AND(SIGN($E124-$G124)=SIGN(AE124-AG124),MAX($E124,$G124)=MAX(AE124,AG124)),Auxiliar!$C$12,IF(ABS($E124-$G124)=ABS(AE124-AG124),Auxiliar!$C$13,IF(AND(SIGN($E124-$G124)=SIGN(AE124-AG124),MIN($E124,$G124)=MIN(AE124,AG124)),Auxiliar!$C$14,IF(SIGN($E124-$G124)=SIGN(AE124-AG124),Auxiliar!$C$15,IF(AE124=AG124,Auxiliar!$C$16,0)))))))</f>
        <v/>
      </c>
    </row>
    <row r="125" spans="3:34" x14ac:dyDescent="0.25">
      <c r="C125" s="24">
        <f t="shared" si="1"/>
        <v>11</v>
      </c>
      <c r="D125" s="18"/>
      <c r="E125" s="13"/>
      <c r="F125" s="12" t="s">
        <v>23</v>
      </c>
      <c r="G125" s="13"/>
      <c r="H125" s="14"/>
      <c r="K125" s="9">
        <v>0</v>
      </c>
      <c r="L125" s="10" t="s">
        <v>23</v>
      </c>
      <c r="M125" s="11">
        <v>1</v>
      </c>
      <c r="N125" s="60" t="str">
        <f>IF(OR($E125="",$G125=""),"",IF(AND(K125=$E125,M125=$G125),Auxiliar!$C$11,IF(AND(SIGN($E125-$G125)=SIGN(K125-M125),MAX($E125,$G125)=MAX(K125,M125)),Auxiliar!$C$12,IF(ABS($E125-$G125)=ABS(K125-M125),Auxiliar!$C$13,IF(AND(SIGN($E125-$G125)=SIGN(K125-M125),MIN($E125,$G125)=MIN(K125,M125)),Auxiliar!$C$14,IF(SIGN($E125-$G125)=SIGN(K125-M125),Auxiliar!$C$15,IF(K125=M125,Auxiliar!$C$16,0)))))))</f>
        <v/>
      </c>
      <c r="P125" s="9">
        <v>1</v>
      </c>
      <c r="Q125" s="10" t="s">
        <v>23</v>
      </c>
      <c r="R125" s="11">
        <v>2</v>
      </c>
      <c r="S125" s="60" t="str">
        <f>IF(OR($E125="",$G125=""),"",IF(AND(P125=$E125,R125=$G125),Auxiliar!$C$11,IF(AND(SIGN($E125-$G125)=SIGN(P125-R125),MAX($E125,$G125)=MAX(P125,R125)),Auxiliar!$C$12,IF(ABS($E125-$G125)=ABS(P125-R125),Auxiliar!$C$13,IF(AND(SIGN($E125-$G125)=SIGN(P125-R125),MIN($E125,$G125)=MIN(P125,R125)),Auxiliar!$C$14,IF(SIGN($E125-$G125)=SIGN(P125-R125),Auxiliar!$C$15,IF(P125=R125,Auxiliar!$C$16,0)))))))</f>
        <v/>
      </c>
      <c r="U125" s="9">
        <v>4</v>
      </c>
      <c r="V125" s="10" t="s">
        <v>23</v>
      </c>
      <c r="W125" s="11">
        <v>5</v>
      </c>
      <c r="X125" s="60" t="str">
        <f>IF(OR($E125="",$G125=""),"",IF(AND(U125=$E125,W125=$G125),Auxiliar!$C$11,IF(AND(SIGN($E125-$G125)=SIGN(U125-W125),MAX($E125,$G125)=MAX(U125,W125)),Auxiliar!$C$12,IF(ABS($E125-$G125)=ABS(U125-W125),Auxiliar!$C$13,IF(AND(SIGN($E125-$G125)=SIGN(U125-W125),MIN($E125,$G125)=MIN(U125,W125)),Auxiliar!$C$14,IF(SIGN($E125-$G125)=SIGN(U125-W125),Auxiliar!$C$15,IF(U125=W125,Auxiliar!$C$16,0)))))))</f>
        <v/>
      </c>
      <c r="Z125" s="9">
        <v>3</v>
      </c>
      <c r="AA125" s="10" t="s">
        <v>23</v>
      </c>
      <c r="AB125" s="11">
        <v>4</v>
      </c>
      <c r="AC125" s="60" t="str">
        <f>IF(OR($E125="",$G125=""),"",IF(AND(Z125=$E125,AB125=$G125),Auxiliar!$C$11,IF(AND(SIGN($E125-$G125)=SIGN(Z125-AB125),MAX($E125,$G125)=MAX(Z125,AB125)),Auxiliar!$C$12,IF(ABS($E125-$G125)=ABS(Z125-AB125),Auxiliar!$C$13,IF(AND(SIGN($E125-$G125)=SIGN(Z125-AB125),MIN($E125,$G125)=MIN(Z125,AB125)),Auxiliar!$C$14,IF(SIGN($E125-$G125)=SIGN(Z125-AB125),Auxiliar!$C$15,IF(Z125=AB125,Auxiliar!$C$16,0)))))))</f>
        <v/>
      </c>
      <c r="AE125" s="9">
        <v>4</v>
      </c>
      <c r="AF125" s="10" t="s">
        <v>23</v>
      </c>
      <c r="AG125" s="11">
        <v>0</v>
      </c>
      <c r="AH125" s="60" t="str">
        <f>IF(OR($E125="",$G125=""),"",IF(AND(AE125=$E125,AG125=$G125),Auxiliar!$C$11,IF(AND(SIGN($E125-$G125)=SIGN(AE125-AG125),MAX($E125,$G125)=MAX(AE125,AG125)),Auxiliar!$C$12,IF(ABS($E125-$G125)=ABS(AE125-AG125),Auxiliar!$C$13,IF(AND(SIGN($E125-$G125)=SIGN(AE125-AG125),MIN($E125,$G125)=MIN(AE125,AG125)),Auxiliar!$C$14,IF(SIGN($E125-$G125)=SIGN(AE125-AG125),Auxiliar!$C$15,IF(AE125=AG125,Auxiliar!$C$16,0)))))))</f>
        <v/>
      </c>
    </row>
    <row r="126" spans="3:34" x14ac:dyDescent="0.25">
      <c r="C126" s="24">
        <f t="shared" si="1"/>
        <v>11</v>
      </c>
      <c r="D126" s="18"/>
      <c r="E126" s="13"/>
      <c r="F126" s="12" t="s">
        <v>23</v>
      </c>
      <c r="G126" s="13"/>
      <c r="H126" s="14"/>
      <c r="K126" s="9">
        <v>3</v>
      </c>
      <c r="L126" s="10" t="s">
        <v>23</v>
      </c>
      <c r="M126" s="11">
        <v>2</v>
      </c>
      <c r="N126" s="60" t="str">
        <f>IF(OR($E126="",$G126=""),"",IF(AND(K126=$E126,M126=$G126),Auxiliar!$C$11,IF(AND(SIGN($E126-$G126)=SIGN(K126-M126),MAX($E126,$G126)=MAX(K126,M126)),Auxiliar!$C$12,IF(ABS($E126-$G126)=ABS(K126-M126),Auxiliar!$C$13,IF(AND(SIGN($E126-$G126)=SIGN(K126-M126),MIN($E126,$G126)=MIN(K126,M126)),Auxiliar!$C$14,IF(SIGN($E126-$G126)=SIGN(K126-M126),Auxiliar!$C$15,IF(K126=M126,Auxiliar!$C$16,0)))))))</f>
        <v/>
      </c>
      <c r="P126" s="9">
        <v>4</v>
      </c>
      <c r="Q126" s="10" t="s">
        <v>23</v>
      </c>
      <c r="R126" s="11">
        <v>4</v>
      </c>
      <c r="S126" s="60" t="str">
        <f>IF(OR($E126="",$G126=""),"",IF(AND(P126=$E126,R126=$G126),Auxiliar!$C$11,IF(AND(SIGN($E126-$G126)=SIGN(P126-R126),MAX($E126,$G126)=MAX(P126,R126)),Auxiliar!$C$12,IF(ABS($E126-$G126)=ABS(P126-R126),Auxiliar!$C$13,IF(AND(SIGN($E126-$G126)=SIGN(P126-R126),MIN($E126,$G126)=MIN(P126,R126)),Auxiliar!$C$14,IF(SIGN($E126-$G126)=SIGN(P126-R126),Auxiliar!$C$15,IF(P126=R126,Auxiliar!$C$16,0)))))))</f>
        <v/>
      </c>
      <c r="U126" s="9">
        <v>3</v>
      </c>
      <c r="V126" s="10" t="s">
        <v>23</v>
      </c>
      <c r="W126" s="11">
        <v>1</v>
      </c>
      <c r="X126" s="60" t="str">
        <f>IF(OR($E126="",$G126=""),"",IF(AND(U126=$E126,W126=$G126),Auxiliar!$C$11,IF(AND(SIGN($E126-$G126)=SIGN(U126-W126),MAX($E126,$G126)=MAX(U126,W126)),Auxiliar!$C$12,IF(ABS($E126-$G126)=ABS(U126-W126),Auxiliar!$C$13,IF(AND(SIGN($E126-$G126)=SIGN(U126-W126),MIN($E126,$G126)=MIN(U126,W126)),Auxiliar!$C$14,IF(SIGN($E126-$G126)=SIGN(U126-W126),Auxiliar!$C$15,IF(U126=W126,Auxiliar!$C$16,0)))))))</f>
        <v/>
      </c>
      <c r="Z126" s="9">
        <v>1</v>
      </c>
      <c r="AA126" s="10" t="s">
        <v>23</v>
      </c>
      <c r="AB126" s="11">
        <v>3</v>
      </c>
      <c r="AC126" s="60" t="str">
        <f>IF(OR($E126="",$G126=""),"",IF(AND(Z126=$E126,AB126=$G126),Auxiliar!$C$11,IF(AND(SIGN($E126-$G126)=SIGN(Z126-AB126),MAX($E126,$G126)=MAX(Z126,AB126)),Auxiliar!$C$12,IF(ABS($E126-$G126)=ABS(Z126-AB126),Auxiliar!$C$13,IF(AND(SIGN($E126-$G126)=SIGN(Z126-AB126),MIN($E126,$G126)=MIN(Z126,AB126)),Auxiliar!$C$14,IF(SIGN($E126-$G126)=SIGN(Z126-AB126),Auxiliar!$C$15,IF(Z126=AB126,Auxiliar!$C$16,0)))))))</f>
        <v/>
      </c>
      <c r="AE126" s="9">
        <v>1</v>
      </c>
      <c r="AF126" s="10" t="s">
        <v>23</v>
      </c>
      <c r="AG126" s="11">
        <v>4</v>
      </c>
      <c r="AH126" s="60" t="str">
        <f>IF(OR($E126="",$G126=""),"",IF(AND(AE126=$E126,AG126=$G126),Auxiliar!$C$11,IF(AND(SIGN($E126-$G126)=SIGN(AE126-AG126),MAX($E126,$G126)=MAX(AE126,AG126)),Auxiliar!$C$12,IF(ABS($E126-$G126)=ABS(AE126-AG126),Auxiliar!$C$13,IF(AND(SIGN($E126-$G126)=SIGN(AE126-AG126),MIN($E126,$G126)=MIN(AE126,AG126)),Auxiliar!$C$14,IF(SIGN($E126-$G126)=SIGN(AE126-AG126),Auxiliar!$C$15,IF(AE126=AG126,Auxiliar!$C$16,0)))))))</f>
        <v/>
      </c>
    </row>
    <row r="127" spans="3:34" x14ac:dyDescent="0.25">
      <c r="C127" s="24">
        <f t="shared" si="1"/>
        <v>11</v>
      </c>
      <c r="D127" s="18"/>
      <c r="E127" s="13"/>
      <c r="F127" s="12" t="s">
        <v>23</v>
      </c>
      <c r="G127" s="13"/>
      <c r="H127" s="14"/>
      <c r="K127" s="9">
        <v>0</v>
      </c>
      <c r="L127" s="10" t="s">
        <v>23</v>
      </c>
      <c r="M127" s="11">
        <v>1</v>
      </c>
      <c r="N127" s="60" t="str">
        <f>IF(OR($E127="",$G127=""),"",IF(AND(K127=$E127,M127=$G127),Auxiliar!$C$11,IF(AND(SIGN($E127-$G127)=SIGN(K127-M127),MAX($E127,$G127)=MAX(K127,M127)),Auxiliar!$C$12,IF(ABS($E127-$G127)=ABS(K127-M127),Auxiliar!$C$13,IF(AND(SIGN($E127-$G127)=SIGN(K127-M127),MIN($E127,$G127)=MIN(K127,M127)),Auxiliar!$C$14,IF(SIGN($E127-$G127)=SIGN(K127-M127),Auxiliar!$C$15,IF(K127=M127,Auxiliar!$C$16,0)))))))</f>
        <v/>
      </c>
      <c r="P127" s="9">
        <v>4</v>
      </c>
      <c r="Q127" s="10" t="s">
        <v>23</v>
      </c>
      <c r="R127" s="11">
        <v>3</v>
      </c>
      <c r="S127" s="60" t="str">
        <f>IF(OR($E127="",$G127=""),"",IF(AND(P127=$E127,R127=$G127),Auxiliar!$C$11,IF(AND(SIGN($E127-$G127)=SIGN(P127-R127),MAX($E127,$G127)=MAX(P127,R127)),Auxiliar!$C$12,IF(ABS($E127-$G127)=ABS(P127-R127),Auxiliar!$C$13,IF(AND(SIGN($E127-$G127)=SIGN(P127-R127),MIN($E127,$G127)=MIN(P127,R127)),Auxiliar!$C$14,IF(SIGN($E127-$G127)=SIGN(P127-R127),Auxiliar!$C$15,IF(P127=R127,Auxiliar!$C$16,0)))))))</f>
        <v/>
      </c>
      <c r="U127" s="9">
        <v>0</v>
      </c>
      <c r="V127" s="10" t="s">
        <v>23</v>
      </c>
      <c r="W127" s="11">
        <v>4</v>
      </c>
      <c r="X127" s="60" t="str">
        <f>IF(OR($E127="",$G127=""),"",IF(AND(U127=$E127,W127=$G127),Auxiliar!$C$11,IF(AND(SIGN($E127-$G127)=SIGN(U127-W127),MAX($E127,$G127)=MAX(U127,W127)),Auxiliar!$C$12,IF(ABS($E127-$G127)=ABS(U127-W127),Auxiliar!$C$13,IF(AND(SIGN($E127-$G127)=SIGN(U127-W127),MIN($E127,$G127)=MIN(U127,W127)),Auxiliar!$C$14,IF(SIGN($E127-$G127)=SIGN(U127-W127),Auxiliar!$C$15,IF(U127=W127,Auxiliar!$C$16,0)))))))</f>
        <v/>
      </c>
      <c r="Z127" s="9">
        <v>0</v>
      </c>
      <c r="AA127" s="10" t="s">
        <v>23</v>
      </c>
      <c r="AB127" s="11">
        <v>3</v>
      </c>
      <c r="AC127" s="60" t="str">
        <f>IF(OR($E127="",$G127=""),"",IF(AND(Z127=$E127,AB127=$G127),Auxiliar!$C$11,IF(AND(SIGN($E127-$G127)=SIGN(Z127-AB127),MAX($E127,$G127)=MAX(Z127,AB127)),Auxiliar!$C$12,IF(ABS($E127-$G127)=ABS(Z127-AB127),Auxiliar!$C$13,IF(AND(SIGN($E127-$G127)=SIGN(Z127-AB127),MIN($E127,$G127)=MIN(Z127,AB127)),Auxiliar!$C$14,IF(SIGN($E127-$G127)=SIGN(Z127-AB127),Auxiliar!$C$15,IF(Z127=AB127,Auxiliar!$C$16,0)))))))</f>
        <v/>
      </c>
      <c r="AE127" s="9">
        <v>5</v>
      </c>
      <c r="AF127" s="10" t="s">
        <v>23</v>
      </c>
      <c r="AG127" s="11">
        <v>5</v>
      </c>
      <c r="AH127" s="60" t="str">
        <f>IF(OR($E127="",$G127=""),"",IF(AND(AE127=$E127,AG127=$G127),Auxiliar!$C$11,IF(AND(SIGN($E127-$G127)=SIGN(AE127-AG127),MAX($E127,$G127)=MAX(AE127,AG127)),Auxiliar!$C$12,IF(ABS($E127-$G127)=ABS(AE127-AG127),Auxiliar!$C$13,IF(AND(SIGN($E127-$G127)=SIGN(AE127-AG127),MIN($E127,$G127)=MIN(AE127,AG127)),Auxiliar!$C$14,IF(SIGN($E127-$G127)=SIGN(AE127-AG127),Auxiliar!$C$15,IF(AE127=AG127,Auxiliar!$C$16,0)))))))</f>
        <v/>
      </c>
    </row>
    <row r="128" spans="3:34" x14ac:dyDescent="0.25">
      <c r="C128" s="24">
        <f t="shared" si="1"/>
        <v>11</v>
      </c>
      <c r="D128" s="18"/>
      <c r="E128" s="13"/>
      <c r="F128" s="12" t="s">
        <v>23</v>
      </c>
      <c r="G128" s="13"/>
      <c r="H128" s="14"/>
      <c r="K128" s="9">
        <v>5</v>
      </c>
      <c r="L128" s="10" t="s">
        <v>23</v>
      </c>
      <c r="M128" s="11">
        <v>3</v>
      </c>
      <c r="N128" s="60" t="str">
        <f>IF(OR($E128="",$G128=""),"",IF(AND(K128=$E128,M128=$G128),Auxiliar!$C$11,IF(AND(SIGN($E128-$G128)=SIGN(K128-M128),MAX($E128,$G128)=MAX(K128,M128)),Auxiliar!$C$12,IF(ABS($E128-$G128)=ABS(K128-M128),Auxiliar!$C$13,IF(AND(SIGN($E128-$G128)=SIGN(K128-M128),MIN($E128,$G128)=MIN(K128,M128)),Auxiliar!$C$14,IF(SIGN($E128-$G128)=SIGN(K128-M128),Auxiliar!$C$15,IF(K128=M128,Auxiliar!$C$16,0)))))))</f>
        <v/>
      </c>
      <c r="P128" s="9">
        <v>2</v>
      </c>
      <c r="Q128" s="10" t="s">
        <v>23</v>
      </c>
      <c r="R128" s="11">
        <v>4</v>
      </c>
      <c r="S128" s="60" t="str">
        <f>IF(OR($E128="",$G128=""),"",IF(AND(P128=$E128,R128=$G128),Auxiliar!$C$11,IF(AND(SIGN($E128-$G128)=SIGN(P128-R128),MAX($E128,$G128)=MAX(P128,R128)),Auxiliar!$C$12,IF(ABS($E128-$G128)=ABS(P128-R128),Auxiliar!$C$13,IF(AND(SIGN($E128-$G128)=SIGN(P128-R128),MIN($E128,$G128)=MIN(P128,R128)),Auxiliar!$C$14,IF(SIGN($E128-$G128)=SIGN(P128-R128),Auxiliar!$C$15,IF(P128=R128,Auxiliar!$C$16,0)))))))</f>
        <v/>
      </c>
      <c r="U128" s="9">
        <v>3</v>
      </c>
      <c r="V128" s="10" t="s">
        <v>23</v>
      </c>
      <c r="W128" s="11">
        <v>0</v>
      </c>
      <c r="X128" s="60" t="str">
        <f>IF(OR($E128="",$G128=""),"",IF(AND(U128=$E128,W128=$G128),Auxiliar!$C$11,IF(AND(SIGN($E128-$G128)=SIGN(U128-W128),MAX($E128,$G128)=MAX(U128,W128)),Auxiliar!$C$12,IF(ABS($E128-$G128)=ABS(U128-W128),Auxiliar!$C$13,IF(AND(SIGN($E128-$G128)=SIGN(U128-W128),MIN($E128,$G128)=MIN(U128,W128)),Auxiliar!$C$14,IF(SIGN($E128-$G128)=SIGN(U128-W128),Auxiliar!$C$15,IF(U128=W128,Auxiliar!$C$16,0)))))))</f>
        <v/>
      </c>
      <c r="Z128" s="9">
        <v>1</v>
      </c>
      <c r="AA128" s="10" t="s">
        <v>23</v>
      </c>
      <c r="AB128" s="11">
        <v>4</v>
      </c>
      <c r="AC128" s="60" t="str">
        <f>IF(OR($E128="",$G128=""),"",IF(AND(Z128=$E128,AB128=$G128),Auxiliar!$C$11,IF(AND(SIGN($E128-$G128)=SIGN(Z128-AB128),MAX($E128,$G128)=MAX(Z128,AB128)),Auxiliar!$C$12,IF(ABS($E128-$G128)=ABS(Z128-AB128),Auxiliar!$C$13,IF(AND(SIGN($E128-$G128)=SIGN(Z128-AB128),MIN($E128,$G128)=MIN(Z128,AB128)),Auxiliar!$C$14,IF(SIGN($E128-$G128)=SIGN(Z128-AB128),Auxiliar!$C$15,IF(Z128=AB128,Auxiliar!$C$16,0)))))))</f>
        <v/>
      </c>
      <c r="AE128" s="9">
        <v>0</v>
      </c>
      <c r="AF128" s="10" t="s">
        <v>23</v>
      </c>
      <c r="AG128" s="11">
        <v>3</v>
      </c>
      <c r="AH128" s="60" t="str">
        <f>IF(OR($E128="",$G128=""),"",IF(AND(AE128=$E128,AG128=$G128),Auxiliar!$C$11,IF(AND(SIGN($E128-$G128)=SIGN(AE128-AG128),MAX($E128,$G128)=MAX(AE128,AG128)),Auxiliar!$C$12,IF(ABS($E128-$G128)=ABS(AE128-AG128),Auxiliar!$C$13,IF(AND(SIGN($E128-$G128)=SIGN(AE128-AG128),MIN($E128,$G128)=MIN(AE128,AG128)),Auxiliar!$C$14,IF(SIGN($E128-$G128)=SIGN(AE128-AG128),Auxiliar!$C$15,IF(AE128=AG128,Auxiliar!$C$16,0)))))))</f>
        <v/>
      </c>
    </row>
    <row r="129" spans="3:34" x14ac:dyDescent="0.25">
      <c r="C129" s="24">
        <f t="shared" si="1"/>
        <v>12</v>
      </c>
      <c r="D129" s="18"/>
      <c r="E129" s="13"/>
      <c r="F129" s="12" t="s">
        <v>23</v>
      </c>
      <c r="G129" s="13"/>
      <c r="H129" s="14"/>
      <c r="K129" s="9">
        <v>0</v>
      </c>
      <c r="L129" s="10" t="s">
        <v>23</v>
      </c>
      <c r="M129" s="11">
        <v>5</v>
      </c>
      <c r="N129" s="60" t="str">
        <f>IF(OR($E129="",$G129=""),"",IF(AND(K129=$E129,M129=$G129),Auxiliar!$C$11,IF(AND(SIGN($E129-$G129)=SIGN(K129-M129),MAX($E129,$G129)=MAX(K129,M129)),Auxiliar!$C$12,IF(ABS($E129-$G129)=ABS(K129-M129),Auxiliar!$C$13,IF(AND(SIGN($E129-$G129)=SIGN(K129-M129),MIN($E129,$G129)=MIN(K129,M129)),Auxiliar!$C$14,IF(SIGN($E129-$G129)=SIGN(K129-M129),Auxiliar!$C$15,IF(K129=M129,Auxiliar!$C$16,0)))))))</f>
        <v/>
      </c>
      <c r="P129" s="9">
        <v>0</v>
      </c>
      <c r="Q129" s="10" t="s">
        <v>23</v>
      </c>
      <c r="R129" s="11">
        <v>1</v>
      </c>
      <c r="S129" s="60" t="str">
        <f>IF(OR($E129="",$G129=""),"",IF(AND(P129=$E129,R129=$G129),Auxiliar!$C$11,IF(AND(SIGN($E129-$G129)=SIGN(P129-R129),MAX($E129,$G129)=MAX(P129,R129)),Auxiliar!$C$12,IF(ABS($E129-$G129)=ABS(P129-R129),Auxiliar!$C$13,IF(AND(SIGN($E129-$G129)=SIGN(P129-R129),MIN($E129,$G129)=MIN(P129,R129)),Auxiliar!$C$14,IF(SIGN($E129-$G129)=SIGN(P129-R129),Auxiliar!$C$15,IF(P129=R129,Auxiliar!$C$16,0)))))))</f>
        <v/>
      </c>
      <c r="U129" s="9">
        <v>0</v>
      </c>
      <c r="V129" s="10" t="s">
        <v>23</v>
      </c>
      <c r="W129" s="11">
        <v>2</v>
      </c>
      <c r="X129" s="60" t="str">
        <f>IF(OR($E129="",$G129=""),"",IF(AND(U129=$E129,W129=$G129),Auxiliar!$C$11,IF(AND(SIGN($E129-$G129)=SIGN(U129-W129),MAX($E129,$G129)=MAX(U129,W129)),Auxiliar!$C$12,IF(ABS($E129-$G129)=ABS(U129-W129),Auxiliar!$C$13,IF(AND(SIGN($E129-$G129)=SIGN(U129-W129),MIN($E129,$G129)=MIN(U129,W129)),Auxiliar!$C$14,IF(SIGN($E129-$G129)=SIGN(U129-W129),Auxiliar!$C$15,IF(U129=W129,Auxiliar!$C$16,0)))))))</f>
        <v/>
      </c>
      <c r="Z129" s="9">
        <v>3</v>
      </c>
      <c r="AA129" s="10" t="s">
        <v>23</v>
      </c>
      <c r="AB129" s="11">
        <v>3</v>
      </c>
      <c r="AC129" s="60" t="str">
        <f>IF(OR($E129="",$G129=""),"",IF(AND(Z129=$E129,AB129=$G129),Auxiliar!$C$11,IF(AND(SIGN($E129-$G129)=SIGN(Z129-AB129),MAX($E129,$G129)=MAX(Z129,AB129)),Auxiliar!$C$12,IF(ABS($E129-$G129)=ABS(Z129-AB129),Auxiliar!$C$13,IF(AND(SIGN($E129-$G129)=SIGN(Z129-AB129),MIN($E129,$G129)=MIN(Z129,AB129)),Auxiliar!$C$14,IF(SIGN($E129-$G129)=SIGN(Z129-AB129),Auxiliar!$C$15,IF(Z129=AB129,Auxiliar!$C$16,0)))))))</f>
        <v/>
      </c>
      <c r="AE129" s="9">
        <v>2</v>
      </c>
      <c r="AF129" s="10" t="s">
        <v>23</v>
      </c>
      <c r="AG129" s="11">
        <v>0</v>
      </c>
      <c r="AH129" s="60" t="str">
        <f>IF(OR($E129="",$G129=""),"",IF(AND(AE129=$E129,AG129=$G129),Auxiliar!$C$11,IF(AND(SIGN($E129-$G129)=SIGN(AE129-AG129),MAX($E129,$G129)=MAX(AE129,AG129)),Auxiliar!$C$12,IF(ABS($E129-$G129)=ABS(AE129-AG129),Auxiliar!$C$13,IF(AND(SIGN($E129-$G129)=SIGN(AE129-AG129),MIN($E129,$G129)=MIN(AE129,AG129)),Auxiliar!$C$14,IF(SIGN($E129-$G129)=SIGN(AE129-AG129),Auxiliar!$C$15,IF(AE129=AG129,Auxiliar!$C$16,0)))))))</f>
        <v/>
      </c>
    </row>
    <row r="130" spans="3:34" x14ac:dyDescent="0.25">
      <c r="C130" s="24">
        <f t="shared" si="1"/>
        <v>12</v>
      </c>
      <c r="D130" s="18"/>
      <c r="E130" s="13"/>
      <c r="F130" s="12" t="s">
        <v>23</v>
      </c>
      <c r="G130" s="13"/>
      <c r="H130" s="14"/>
      <c r="K130" s="9">
        <v>1</v>
      </c>
      <c r="L130" s="10" t="s">
        <v>23</v>
      </c>
      <c r="M130" s="11">
        <v>5</v>
      </c>
      <c r="N130" s="60" t="str">
        <f>IF(OR($E130="",$G130=""),"",IF(AND(K130=$E130,M130=$G130),Auxiliar!$C$11,IF(AND(SIGN($E130-$G130)=SIGN(K130-M130),MAX($E130,$G130)=MAX(K130,M130)),Auxiliar!$C$12,IF(ABS($E130-$G130)=ABS(K130-M130),Auxiliar!$C$13,IF(AND(SIGN($E130-$G130)=SIGN(K130-M130),MIN($E130,$G130)=MIN(K130,M130)),Auxiliar!$C$14,IF(SIGN($E130-$G130)=SIGN(K130-M130),Auxiliar!$C$15,IF(K130=M130,Auxiliar!$C$16,0)))))))</f>
        <v/>
      </c>
      <c r="P130" s="9">
        <v>0</v>
      </c>
      <c r="Q130" s="10" t="s">
        <v>23</v>
      </c>
      <c r="R130" s="11">
        <v>0</v>
      </c>
      <c r="S130" s="60" t="str">
        <f>IF(OR($E130="",$G130=""),"",IF(AND(P130=$E130,R130=$G130),Auxiliar!$C$11,IF(AND(SIGN($E130-$G130)=SIGN(P130-R130),MAX($E130,$G130)=MAX(P130,R130)),Auxiliar!$C$12,IF(ABS($E130-$G130)=ABS(P130-R130),Auxiliar!$C$13,IF(AND(SIGN($E130-$G130)=SIGN(P130-R130),MIN($E130,$G130)=MIN(P130,R130)),Auxiliar!$C$14,IF(SIGN($E130-$G130)=SIGN(P130-R130),Auxiliar!$C$15,IF(P130=R130,Auxiliar!$C$16,0)))))))</f>
        <v/>
      </c>
      <c r="U130" s="9">
        <v>5</v>
      </c>
      <c r="V130" s="10" t="s">
        <v>23</v>
      </c>
      <c r="W130" s="11">
        <v>2</v>
      </c>
      <c r="X130" s="60" t="str">
        <f>IF(OR($E130="",$G130=""),"",IF(AND(U130=$E130,W130=$G130),Auxiliar!$C$11,IF(AND(SIGN($E130-$G130)=SIGN(U130-W130),MAX($E130,$G130)=MAX(U130,W130)),Auxiliar!$C$12,IF(ABS($E130-$G130)=ABS(U130-W130),Auxiliar!$C$13,IF(AND(SIGN($E130-$G130)=SIGN(U130-W130),MIN($E130,$G130)=MIN(U130,W130)),Auxiliar!$C$14,IF(SIGN($E130-$G130)=SIGN(U130-W130),Auxiliar!$C$15,IF(U130=W130,Auxiliar!$C$16,0)))))))</f>
        <v/>
      </c>
      <c r="Z130" s="9">
        <v>5</v>
      </c>
      <c r="AA130" s="10" t="s">
        <v>23</v>
      </c>
      <c r="AB130" s="11">
        <v>0</v>
      </c>
      <c r="AC130" s="60" t="str">
        <f>IF(OR($E130="",$G130=""),"",IF(AND(Z130=$E130,AB130=$G130),Auxiliar!$C$11,IF(AND(SIGN($E130-$G130)=SIGN(Z130-AB130),MAX($E130,$G130)=MAX(Z130,AB130)),Auxiliar!$C$12,IF(ABS($E130-$G130)=ABS(Z130-AB130),Auxiliar!$C$13,IF(AND(SIGN($E130-$G130)=SIGN(Z130-AB130),MIN($E130,$G130)=MIN(Z130,AB130)),Auxiliar!$C$14,IF(SIGN($E130-$G130)=SIGN(Z130-AB130),Auxiliar!$C$15,IF(Z130=AB130,Auxiliar!$C$16,0)))))))</f>
        <v/>
      </c>
      <c r="AE130" s="9">
        <v>2</v>
      </c>
      <c r="AF130" s="10" t="s">
        <v>23</v>
      </c>
      <c r="AG130" s="11">
        <v>4</v>
      </c>
      <c r="AH130" s="60" t="str">
        <f>IF(OR($E130="",$G130=""),"",IF(AND(AE130=$E130,AG130=$G130),Auxiliar!$C$11,IF(AND(SIGN($E130-$G130)=SIGN(AE130-AG130),MAX($E130,$G130)=MAX(AE130,AG130)),Auxiliar!$C$12,IF(ABS($E130-$G130)=ABS(AE130-AG130),Auxiliar!$C$13,IF(AND(SIGN($E130-$G130)=SIGN(AE130-AG130),MIN($E130,$G130)=MIN(AE130,AG130)),Auxiliar!$C$14,IF(SIGN($E130-$G130)=SIGN(AE130-AG130),Auxiliar!$C$15,IF(AE130=AG130,Auxiliar!$C$16,0)))))))</f>
        <v/>
      </c>
    </row>
    <row r="131" spans="3:34" x14ac:dyDescent="0.25">
      <c r="C131" s="24">
        <f t="shared" si="1"/>
        <v>12</v>
      </c>
      <c r="D131" s="18"/>
      <c r="E131" s="13"/>
      <c r="F131" s="12" t="s">
        <v>23</v>
      </c>
      <c r="G131" s="13"/>
      <c r="H131" s="14"/>
      <c r="K131" s="9">
        <v>2</v>
      </c>
      <c r="L131" s="10" t="s">
        <v>23</v>
      </c>
      <c r="M131" s="11">
        <v>1</v>
      </c>
      <c r="N131" s="60" t="str">
        <f>IF(OR($E131="",$G131=""),"",IF(AND(K131=$E131,M131=$G131),Auxiliar!$C$11,IF(AND(SIGN($E131-$G131)=SIGN(K131-M131),MAX($E131,$G131)=MAX(K131,M131)),Auxiliar!$C$12,IF(ABS($E131-$G131)=ABS(K131-M131),Auxiliar!$C$13,IF(AND(SIGN($E131-$G131)=SIGN(K131-M131),MIN($E131,$G131)=MIN(K131,M131)),Auxiliar!$C$14,IF(SIGN($E131-$G131)=SIGN(K131-M131),Auxiliar!$C$15,IF(K131=M131,Auxiliar!$C$16,0)))))))</f>
        <v/>
      </c>
      <c r="P131" s="9">
        <v>2</v>
      </c>
      <c r="Q131" s="10" t="s">
        <v>23</v>
      </c>
      <c r="R131" s="11">
        <v>1</v>
      </c>
      <c r="S131" s="60" t="str">
        <f>IF(OR($E131="",$G131=""),"",IF(AND(P131=$E131,R131=$G131),Auxiliar!$C$11,IF(AND(SIGN($E131-$G131)=SIGN(P131-R131),MAX($E131,$G131)=MAX(P131,R131)),Auxiliar!$C$12,IF(ABS($E131-$G131)=ABS(P131-R131),Auxiliar!$C$13,IF(AND(SIGN($E131-$G131)=SIGN(P131-R131),MIN($E131,$G131)=MIN(P131,R131)),Auxiliar!$C$14,IF(SIGN($E131-$G131)=SIGN(P131-R131),Auxiliar!$C$15,IF(P131=R131,Auxiliar!$C$16,0)))))))</f>
        <v/>
      </c>
      <c r="U131" s="9">
        <v>0</v>
      </c>
      <c r="V131" s="10" t="s">
        <v>23</v>
      </c>
      <c r="W131" s="11">
        <v>1</v>
      </c>
      <c r="X131" s="60" t="str">
        <f>IF(OR($E131="",$G131=""),"",IF(AND(U131=$E131,W131=$G131),Auxiliar!$C$11,IF(AND(SIGN($E131-$G131)=SIGN(U131-W131),MAX($E131,$G131)=MAX(U131,W131)),Auxiliar!$C$12,IF(ABS($E131-$G131)=ABS(U131-W131),Auxiliar!$C$13,IF(AND(SIGN($E131-$G131)=SIGN(U131-W131),MIN($E131,$G131)=MIN(U131,W131)),Auxiliar!$C$14,IF(SIGN($E131-$G131)=SIGN(U131-W131),Auxiliar!$C$15,IF(U131=W131,Auxiliar!$C$16,0)))))))</f>
        <v/>
      </c>
      <c r="Z131" s="9">
        <v>0</v>
      </c>
      <c r="AA131" s="10" t="s">
        <v>23</v>
      </c>
      <c r="AB131" s="11">
        <v>1</v>
      </c>
      <c r="AC131" s="60" t="str">
        <f>IF(OR($E131="",$G131=""),"",IF(AND(Z131=$E131,AB131=$G131),Auxiliar!$C$11,IF(AND(SIGN($E131-$G131)=SIGN(Z131-AB131),MAX($E131,$G131)=MAX(Z131,AB131)),Auxiliar!$C$12,IF(ABS($E131-$G131)=ABS(Z131-AB131),Auxiliar!$C$13,IF(AND(SIGN($E131-$G131)=SIGN(Z131-AB131),MIN($E131,$G131)=MIN(Z131,AB131)),Auxiliar!$C$14,IF(SIGN($E131-$G131)=SIGN(Z131-AB131),Auxiliar!$C$15,IF(Z131=AB131,Auxiliar!$C$16,0)))))))</f>
        <v/>
      </c>
      <c r="AE131" s="9">
        <v>2</v>
      </c>
      <c r="AF131" s="10" t="s">
        <v>23</v>
      </c>
      <c r="AG131" s="11">
        <v>5</v>
      </c>
      <c r="AH131" s="60" t="str">
        <f>IF(OR($E131="",$G131=""),"",IF(AND(AE131=$E131,AG131=$G131),Auxiliar!$C$11,IF(AND(SIGN($E131-$G131)=SIGN(AE131-AG131),MAX($E131,$G131)=MAX(AE131,AG131)),Auxiliar!$C$12,IF(ABS($E131-$G131)=ABS(AE131-AG131),Auxiliar!$C$13,IF(AND(SIGN($E131-$G131)=SIGN(AE131-AG131),MIN($E131,$G131)=MIN(AE131,AG131)),Auxiliar!$C$14,IF(SIGN($E131-$G131)=SIGN(AE131-AG131),Auxiliar!$C$15,IF(AE131=AG131,Auxiliar!$C$16,0)))))))</f>
        <v/>
      </c>
    </row>
    <row r="132" spans="3:34" x14ac:dyDescent="0.25">
      <c r="C132" s="24">
        <f t="shared" si="1"/>
        <v>12</v>
      </c>
      <c r="D132" s="18"/>
      <c r="E132" s="13"/>
      <c r="F132" s="12" t="s">
        <v>23</v>
      </c>
      <c r="G132" s="13"/>
      <c r="H132" s="14"/>
      <c r="K132" s="9">
        <v>3</v>
      </c>
      <c r="L132" s="10" t="s">
        <v>23</v>
      </c>
      <c r="M132" s="11">
        <v>2</v>
      </c>
      <c r="N132" s="60" t="str">
        <f>IF(OR($E132="",$G132=""),"",IF(AND(K132=$E132,M132=$G132),Auxiliar!$C$11,IF(AND(SIGN($E132-$G132)=SIGN(K132-M132),MAX($E132,$G132)=MAX(K132,M132)),Auxiliar!$C$12,IF(ABS($E132-$G132)=ABS(K132-M132),Auxiliar!$C$13,IF(AND(SIGN($E132-$G132)=SIGN(K132-M132),MIN($E132,$G132)=MIN(K132,M132)),Auxiliar!$C$14,IF(SIGN($E132-$G132)=SIGN(K132-M132),Auxiliar!$C$15,IF(K132=M132,Auxiliar!$C$16,0)))))))</f>
        <v/>
      </c>
      <c r="P132" s="9">
        <v>3</v>
      </c>
      <c r="Q132" s="10" t="s">
        <v>23</v>
      </c>
      <c r="R132" s="11">
        <v>2</v>
      </c>
      <c r="S132" s="60" t="str">
        <f>IF(OR($E132="",$G132=""),"",IF(AND(P132=$E132,R132=$G132),Auxiliar!$C$11,IF(AND(SIGN($E132-$G132)=SIGN(P132-R132),MAX($E132,$G132)=MAX(P132,R132)),Auxiliar!$C$12,IF(ABS($E132-$G132)=ABS(P132-R132),Auxiliar!$C$13,IF(AND(SIGN($E132-$G132)=SIGN(P132-R132),MIN($E132,$G132)=MIN(P132,R132)),Auxiliar!$C$14,IF(SIGN($E132-$G132)=SIGN(P132-R132),Auxiliar!$C$15,IF(P132=R132,Auxiliar!$C$16,0)))))))</f>
        <v/>
      </c>
      <c r="U132" s="9">
        <v>5</v>
      </c>
      <c r="V132" s="10" t="s">
        <v>23</v>
      </c>
      <c r="W132" s="11">
        <v>2</v>
      </c>
      <c r="X132" s="60" t="str">
        <f>IF(OR($E132="",$G132=""),"",IF(AND(U132=$E132,W132=$G132),Auxiliar!$C$11,IF(AND(SIGN($E132-$G132)=SIGN(U132-W132),MAX($E132,$G132)=MAX(U132,W132)),Auxiliar!$C$12,IF(ABS($E132-$G132)=ABS(U132-W132),Auxiliar!$C$13,IF(AND(SIGN($E132-$G132)=SIGN(U132-W132),MIN($E132,$G132)=MIN(U132,W132)),Auxiliar!$C$14,IF(SIGN($E132-$G132)=SIGN(U132-W132),Auxiliar!$C$15,IF(U132=W132,Auxiliar!$C$16,0)))))))</f>
        <v/>
      </c>
      <c r="Z132" s="9">
        <v>5</v>
      </c>
      <c r="AA132" s="10" t="s">
        <v>23</v>
      </c>
      <c r="AB132" s="11">
        <v>0</v>
      </c>
      <c r="AC132" s="60" t="str">
        <f>IF(OR($E132="",$G132=""),"",IF(AND(Z132=$E132,AB132=$G132),Auxiliar!$C$11,IF(AND(SIGN($E132-$G132)=SIGN(Z132-AB132),MAX($E132,$G132)=MAX(Z132,AB132)),Auxiliar!$C$12,IF(ABS($E132-$G132)=ABS(Z132-AB132),Auxiliar!$C$13,IF(AND(SIGN($E132-$G132)=SIGN(Z132-AB132),MIN($E132,$G132)=MIN(Z132,AB132)),Auxiliar!$C$14,IF(SIGN($E132-$G132)=SIGN(Z132-AB132),Auxiliar!$C$15,IF(Z132=AB132,Auxiliar!$C$16,0)))))))</f>
        <v/>
      </c>
      <c r="AE132" s="9">
        <v>2</v>
      </c>
      <c r="AF132" s="10" t="s">
        <v>23</v>
      </c>
      <c r="AG132" s="11">
        <v>0</v>
      </c>
      <c r="AH132" s="60" t="str">
        <f>IF(OR($E132="",$G132=""),"",IF(AND(AE132=$E132,AG132=$G132),Auxiliar!$C$11,IF(AND(SIGN($E132-$G132)=SIGN(AE132-AG132),MAX($E132,$G132)=MAX(AE132,AG132)),Auxiliar!$C$12,IF(ABS($E132-$G132)=ABS(AE132-AG132),Auxiliar!$C$13,IF(AND(SIGN($E132-$G132)=SIGN(AE132-AG132),MIN($E132,$G132)=MIN(AE132,AG132)),Auxiliar!$C$14,IF(SIGN($E132-$G132)=SIGN(AE132-AG132),Auxiliar!$C$15,IF(AE132=AG132,Auxiliar!$C$16,0)))))))</f>
        <v/>
      </c>
    </row>
    <row r="133" spans="3:34" x14ac:dyDescent="0.25">
      <c r="C133" s="24">
        <f t="shared" si="1"/>
        <v>12</v>
      </c>
      <c r="D133" s="18"/>
      <c r="E133" s="13"/>
      <c r="F133" s="12" t="s">
        <v>23</v>
      </c>
      <c r="G133" s="13"/>
      <c r="H133" s="14"/>
      <c r="K133" s="9">
        <v>3</v>
      </c>
      <c r="L133" s="10" t="s">
        <v>23</v>
      </c>
      <c r="M133" s="11">
        <v>1</v>
      </c>
      <c r="N133" s="60" t="str">
        <f>IF(OR($E133="",$G133=""),"",IF(AND(K133=$E133,M133=$G133),Auxiliar!$C$11,IF(AND(SIGN($E133-$G133)=SIGN(K133-M133),MAX($E133,$G133)=MAX(K133,M133)),Auxiliar!$C$12,IF(ABS($E133-$G133)=ABS(K133-M133),Auxiliar!$C$13,IF(AND(SIGN($E133-$G133)=SIGN(K133-M133),MIN($E133,$G133)=MIN(K133,M133)),Auxiliar!$C$14,IF(SIGN($E133-$G133)=SIGN(K133-M133),Auxiliar!$C$15,IF(K133=M133,Auxiliar!$C$16,0)))))))</f>
        <v/>
      </c>
      <c r="P133" s="9">
        <v>3</v>
      </c>
      <c r="Q133" s="10" t="s">
        <v>23</v>
      </c>
      <c r="R133" s="11">
        <v>3</v>
      </c>
      <c r="S133" s="60" t="str">
        <f>IF(OR($E133="",$G133=""),"",IF(AND(P133=$E133,R133=$G133),Auxiliar!$C$11,IF(AND(SIGN($E133-$G133)=SIGN(P133-R133),MAX($E133,$G133)=MAX(P133,R133)),Auxiliar!$C$12,IF(ABS($E133-$G133)=ABS(P133-R133),Auxiliar!$C$13,IF(AND(SIGN($E133-$G133)=SIGN(P133-R133),MIN($E133,$G133)=MIN(P133,R133)),Auxiliar!$C$14,IF(SIGN($E133-$G133)=SIGN(P133-R133),Auxiliar!$C$15,IF(P133=R133,Auxiliar!$C$16,0)))))))</f>
        <v/>
      </c>
      <c r="U133" s="9">
        <v>5</v>
      </c>
      <c r="V133" s="10" t="s">
        <v>23</v>
      </c>
      <c r="W133" s="11">
        <v>1</v>
      </c>
      <c r="X133" s="60" t="str">
        <f>IF(OR($E133="",$G133=""),"",IF(AND(U133=$E133,W133=$G133),Auxiliar!$C$11,IF(AND(SIGN($E133-$G133)=SIGN(U133-W133),MAX($E133,$G133)=MAX(U133,W133)),Auxiliar!$C$12,IF(ABS($E133-$G133)=ABS(U133-W133),Auxiliar!$C$13,IF(AND(SIGN($E133-$G133)=SIGN(U133-W133),MIN($E133,$G133)=MIN(U133,W133)),Auxiliar!$C$14,IF(SIGN($E133-$G133)=SIGN(U133-W133),Auxiliar!$C$15,IF(U133=W133,Auxiliar!$C$16,0)))))))</f>
        <v/>
      </c>
      <c r="Z133" s="9">
        <v>4</v>
      </c>
      <c r="AA133" s="10" t="s">
        <v>23</v>
      </c>
      <c r="AB133" s="11">
        <v>2</v>
      </c>
      <c r="AC133" s="60" t="str">
        <f>IF(OR($E133="",$G133=""),"",IF(AND(Z133=$E133,AB133=$G133),Auxiliar!$C$11,IF(AND(SIGN($E133-$G133)=SIGN(Z133-AB133),MAX($E133,$G133)=MAX(Z133,AB133)),Auxiliar!$C$12,IF(ABS($E133-$G133)=ABS(Z133-AB133),Auxiliar!$C$13,IF(AND(SIGN($E133-$G133)=SIGN(Z133-AB133),MIN($E133,$G133)=MIN(Z133,AB133)),Auxiliar!$C$14,IF(SIGN($E133-$G133)=SIGN(Z133-AB133),Auxiliar!$C$15,IF(Z133=AB133,Auxiliar!$C$16,0)))))))</f>
        <v/>
      </c>
      <c r="AE133" s="9">
        <v>4</v>
      </c>
      <c r="AF133" s="10" t="s">
        <v>23</v>
      </c>
      <c r="AG133" s="11">
        <v>2</v>
      </c>
      <c r="AH133" s="60" t="str">
        <f>IF(OR($E133="",$G133=""),"",IF(AND(AE133=$E133,AG133=$G133),Auxiliar!$C$11,IF(AND(SIGN($E133-$G133)=SIGN(AE133-AG133),MAX($E133,$G133)=MAX(AE133,AG133)),Auxiliar!$C$12,IF(ABS($E133-$G133)=ABS(AE133-AG133),Auxiliar!$C$13,IF(AND(SIGN($E133-$G133)=SIGN(AE133-AG133),MIN($E133,$G133)=MIN(AE133,AG133)),Auxiliar!$C$14,IF(SIGN($E133-$G133)=SIGN(AE133-AG133),Auxiliar!$C$15,IF(AE133=AG133,Auxiliar!$C$16,0)))))))</f>
        <v/>
      </c>
    </row>
    <row r="134" spans="3:34" x14ac:dyDescent="0.25">
      <c r="C134" s="24">
        <f t="shared" si="1"/>
        <v>12</v>
      </c>
      <c r="D134" s="18"/>
      <c r="E134" s="13"/>
      <c r="F134" s="12" t="s">
        <v>23</v>
      </c>
      <c r="G134" s="13"/>
      <c r="H134" s="14"/>
      <c r="K134" s="9">
        <v>2</v>
      </c>
      <c r="L134" s="10" t="s">
        <v>23</v>
      </c>
      <c r="M134" s="11">
        <v>5</v>
      </c>
      <c r="N134" s="60" t="str">
        <f>IF(OR($E134="",$G134=""),"",IF(AND(K134=$E134,M134=$G134),Auxiliar!$C$11,IF(AND(SIGN($E134-$G134)=SIGN(K134-M134),MAX($E134,$G134)=MAX(K134,M134)),Auxiliar!$C$12,IF(ABS($E134-$G134)=ABS(K134-M134),Auxiliar!$C$13,IF(AND(SIGN($E134-$G134)=SIGN(K134-M134),MIN($E134,$G134)=MIN(K134,M134)),Auxiliar!$C$14,IF(SIGN($E134-$G134)=SIGN(K134-M134),Auxiliar!$C$15,IF(K134=M134,Auxiliar!$C$16,0)))))))</f>
        <v/>
      </c>
      <c r="P134" s="9">
        <v>3</v>
      </c>
      <c r="Q134" s="10" t="s">
        <v>23</v>
      </c>
      <c r="R134" s="11">
        <v>4</v>
      </c>
      <c r="S134" s="60" t="str">
        <f>IF(OR($E134="",$G134=""),"",IF(AND(P134=$E134,R134=$G134),Auxiliar!$C$11,IF(AND(SIGN($E134-$G134)=SIGN(P134-R134),MAX($E134,$G134)=MAX(P134,R134)),Auxiliar!$C$12,IF(ABS($E134-$G134)=ABS(P134-R134),Auxiliar!$C$13,IF(AND(SIGN($E134-$G134)=SIGN(P134-R134),MIN($E134,$G134)=MIN(P134,R134)),Auxiliar!$C$14,IF(SIGN($E134-$G134)=SIGN(P134-R134),Auxiliar!$C$15,IF(P134=R134,Auxiliar!$C$16,0)))))))</f>
        <v/>
      </c>
      <c r="U134" s="9">
        <v>5</v>
      </c>
      <c r="V134" s="10" t="s">
        <v>23</v>
      </c>
      <c r="W134" s="11">
        <v>3</v>
      </c>
      <c r="X134" s="60" t="str">
        <f>IF(OR($E134="",$G134=""),"",IF(AND(U134=$E134,W134=$G134),Auxiliar!$C$11,IF(AND(SIGN($E134-$G134)=SIGN(U134-W134),MAX($E134,$G134)=MAX(U134,W134)),Auxiliar!$C$12,IF(ABS($E134-$G134)=ABS(U134-W134),Auxiliar!$C$13,IF(AND(SIGN($E134-$G134)=SIGN(U134-W134),MIN($E134,$G134)=MIN(U134,W134)),Auxiliar!$C$14,IF(SIGN($E134-$G134)=SIGN(U134-W134),Auxiliar!$C$15,IF(U134=W134,Auxiliar!$C$16,0)))))))</f>
        <v/>
      </c>
      <c r="Z134" s="9">
        <v>2</v>
      </c>
      <c r="AA134" s="10" t="s">
        <v>23</v>
      </c>
      <c r="AB134" s="11">
        <v>0</v>
      </c>
      <c r="AC134" s="60" t="str">
        <f>IF(OR($E134="",$G134=""),"",IF(AND(Z134=$E134,AB134=$G134),Auxiliar!$C$11,IF(AND(SIGN($E134-$G134)=SIGN(Z134-AB134),MAX($E134,$G134)=MAX(Z134,AB134)),Auxiliar!$C$12,IF(ABS($E134-$G134)=ABS(Z134-AB134),Auxiliar!$C$13,IF(AND(SIGN($E134-$G134)=SIGN(Z134-AB134),MIN($E134,$G134)=MIN(Z134,AB134)),Auxiliar!$C$14,IF(SIGN($E134-$G134)=SIGN(Z134-AB134),Auxiliar!$C$15,IF(Z134=AB134,Auxiliar!$C$16,0)))))))</f>
        <v/>
      </c>
      <c r="AE134" s="9">
        <v>1</v>
      </c>
      <c r="AF134" s="10" t="s">
        <v>23</v>
      </c>
      <c r="AG134" s="11">
        <v>4</v>
      </c>
      <c r="AH134" s="60" t="str">
        <f>IF(OR($E134="",$G134=""),"",IF(AND(AE134=$E134,AG134=$G134),Auxiliar!$C$11,IF(AND(SIGN($E134-$G134)=SIGN(AE134-AG134),MAX($E134,$G134)=MAX(AE134,AG134)),Auxiliar!$C$12,IF(ABS($E134-$G134)=ABS(AE134-AG134),Auxiliar!$C$13,IF(AND(SIGN($E134-$G134)=SIGN(AE134-AG134),MIN($E134,$G134)=MIN(AE134,AG134)),Auxiliar!$C$14,IF(SIGN($E134-$G134)=SIGN(AE134-AG134),Auxiliar!$C$15,IF(AE134=AG134,Auxiliar!$C$16,0)))))))</f>
        <v/>
      </c>
    </row>
    <row r="135" spans="3:34" x14ac:dyDescent="0.25">
      <c r="C135" s="24">
        <f t="shared" si="1"/>
        <v>12</v>
      </c>
      <c r="D135" s="18"/>
      <c r="E135" s="13"/>
      <c r="F135" s="12" t="s">
        <v>23</v>
      </c>
      <c r="G135" s="13"/>
      <c r="H135" s="14"/>
      <c r="K135" s="9">
        <v>1</v>
      </c>
      <c r="L135" s="10" t="s">
        <v>23</v>
      </c>
      <c r="M135" s="11">
        <v>5</v>
      </c>
      <c r="N135" s="60" t="str">
        <f>IF(OR($E135="",$G135=""),"",IF(AND(K135=$E135,M135=$G135),Auxiliar!$C$11,IF(AND(SIGN($E135-$G135)=SIGN(K135-M135),MAX($E135,$G135)=MAX(K135,M135)),Auxiliar!$C$12,IF(ABS($E135-$G135)=ABS(K135-M135),Auxiliar!$C$13,IF(AND(SIGN($E135-$G135)=SIGN(K135-M135),MIN($E135,$G135)=MIN(K135,M135)),Auxiliar!$C$14,IF(SIGN($E135-$G135)=SIGN(K135-M135),Auxiliar!$C$15,IF(K135=M135,Auxiliar!$C$16,0)))))))</f>
        <v/>
      </c>
      <c r="P135" s="9">
        <v>3</v>
      </c>
      <c r="Q135" s="10" t="s">
        <v>23</v>
      </c>
      <c r="R135" s="11">
        <v>5</v>
      </c>
      <c r="S135" s="60" t="str">
        <f>IF(OR($E135="",$G135=""),"",IF(AND(P135=$E135,R135=$G135),Auxiliar!$C$11,IF(AND(SIGN($E135-$G135)=SIGN(P135-R135),MAX($E135,$G135)=MAX(P135,R135)),Auxiliar!$C$12,IF(ABS($E135-$G135)=ABS(P135-R135),Auxiliar!$C$13,IF(AND(SIGN($E135-$G135)=SIGN(P135-R135),MIN($E135,$G135)=MIN(P135,R135)),Auxiliar!$C$14,IF(SIGN($E135-$G135)=SIGN(P135-R135),Auxiliar!$C$15,IF(P135=R135,Auxiliar!$C$16,0)))))))</f>
        <v/>
      </c>
      <c r="U135" s="9">
        <v>3</v>
      </c>
      <c r="V135" s="10" t="s">
        <v>23</v>
      </c>
      <c r="W135" s="11">
        <v>0</v>
      </c>
      <c r="X135" s="60" t="str">
        <f>IF(OR($E135="",$G135=""),"",IF(AND(U135=$E135,W135=$G135),Auxiliar!$C$11,IF(AND(SIGN($E135-$G135)=SIGN(U135-W135),MAX($E135,$G135)=MAX(U135,W135)),Auxiliar!$C$12,IF(ABS($E135-$G135)=ABS(U135-W135),Auxiliar!$C$13,IF(AND(SIGN($E135-$G135)=SIGN(U135-W135),MIN($E135,$G135)=MIN(U135,W135)),Auxiliar!$C$14,IF(SIGN($E135-$G135)=SIGN(U135-W135),Auxiliar!$C$15,IF(U135=W135,Auxiliar!$C$16,0)))))))</f>
        <v/>
      </c>
      <c r="Z135" s="9">
        <v>0</v>
      </c>
      <c r="AA135" s="10" t="s">
        <v>23</v>
      </c>
      <c r="AB135" s="11">
        <v>0</v>
      </c>
      <c r="AC135" s="60" t="str">
        <f>IF(OR($E135="",$G135=""),"",IF(AND(Z135=$E135,AB135=$G135),Auxiliar!$C$11,IF(AND(SIGN($E135-$G135)=SIGN(Z135-AB135),MAX($E135,$G135)=MAX(Z135,AB135)),Auxiliar!$C$12,IF(ABS($E135-$G135)=ABS(Z135-AB135),Auxiliar!$C$13,IF(AND(SIGN($E135-$G135)=SIGN(Z135-AB135),MIN($E135,$G135)=MIN(Z135,AB135)),Auxiliar!$C$14,IF(SIGN($E135-$G135)=SIGN(Z135-AB135),Auxiliar!$C$15,IF(Z135=AB135,Auxiliar!$C$16,0)))))))</f>
        <v/>
      </c>
      <c r="AE135" s="9">
        <v>2</v>
      </c>
      <c r="AF135" s="10" t="s">
        <v>23</v>
      </c>
      <c r="AG135" s="11">
        <v>0</v>
      </c>
      <c r="AH135" s="60" t="str">
        <f>IF(OR($E135="",$G135=""),"",IF(AND(AE135=$E135,AG135=$G135),Auxiliar!$C$11,IF(AND(SIGN($E135-$G135)=SIGN(AE135-AG135),MAX($E135,$G135)=MAX(AE135,AG135)),Auxiliar!$C$12,IF(ABS($E135-$G135)=ABS(AE135-AG135),Auxiliar!$C$13,IF(AND(SIGN($E135-$G135)=SIGN(AE135-AG135),MIN($E135,$G135)=MIN(AE135,AG135)),Auxiliar!$C$14,IF(SIGN($E135-$G135)=SIGN(AE135-AG135),Auxiliar!$C$15,IF(AE135=AG135,Auxiliar!$C$16,0)))))))</f>
        <v/>
      </c>
    </row>
    <row r="136" spans="3:34" x14ac:dyDescent="0.25">
      <c r="C136" s="24">
        <f t="shared" si="1"/>
        <v>12</v>
      </c>
      <c r="D136" s="18"/>
      <c r="E136" s="13"/>
      <c r="F136" s="12" t="s">
        <v>23</v>
      </c>
      <c r="G136" s="13"/>
      <c r="H136" s="14"/>
      <c r="K136" s="9">
        <v>0</v>
      </c>
      <c r="L136" s="10" t="s">
        <v>23</v>
      </c>
      <c r="M136" s="11">
        <v>2</v>
      </c>
      <c r="N136" s="60" t="str">
        <f>IF(OR($E136="",$G136=""),"",IF(AND(K136=$E136,M136=$G136),Auxiliar!$C$11,IF(AND(SIGN($E136-$G136)=SIGN(K136-M136),MAX($E136,$G136)=MAX(K136,M136)),Auxiliar!$C$12,IF(ABS($E136-$G136)=ABS(K136-M136),Auxiliar!$C$13,IF(AND(SIGN($E136-$G136)=SIGN(K136-M136),MIN($E136,$G136)=MIN(K136,M136)),Auxiliar!$C$14,IF(SIGN($E136-$G136)=SIGN(K136-M136),Auxiliar!$C$15,IF(K136=M136,Auxiliar!$C$16,0)))))))</f>
        <v/>
      </c>
      <c r="P136" s="9">
        <v>1</v>
      </c>
      <c r="Q136" s="10" t="s">
        <v>23</v>
      </c>
      <c r="R136" s="11">
        <v>1</v>
      </c>
      <c r="S136" s="60" t="str">
        <f>IF(OR($E136="",$G136=""),"",IF(AND(P136=$E136,R136=$G136),Auxiliar!$C$11,IF(AND(SIGN($E136-$G136)=SIGN(P136-R136),MAX($E136,$G136)=MAX(P136,R136)),Auxiliar!$C$12,IF(ABS($E136-$G136)=ABS(P136-R136),Auxiliar!$C$13,IF(AND(SIGN($E136-$G136)=SIGN(P136-R136),MIN($E136,$G136)=MIN(P136,R136)),Auxiliar!$C$14,IF(SIGN($E136-$G136)=SIGN(P136-R136),Auxiliar!$C$15,IF(P136=R136,Auxiliar!$C$16,0)))))))</f>
        <v/>
      </c>
      <c r="U136" s="9">
        <v>1</v>
      </c>
      <c r="V136" s="10" t="s">
        <v>23</v>
      </c>
      <c r="W136" s="11">
        <v>3</v>
      </c>
      <c r="X136" s="60" t="str">
        <f>IF(OR($E136="",$G136=""),"",IF(AND(U136=$E136,W136=$G136),Auxiliar!$C$11,IF(AND(SIGN($E136-$G136)=SIGN(U136-W136),MAX($E136,$G136)=MAX(U136,W136)),Auxiliar!$C$12,IF(ABS($E136-$G136)=ABS(U136-W136),Auxiliar!$C$13,IF(AND(SIGN($E136-$G136)=SIGN(U136-W136),MIN($E136,$G136)=MIN(U136,W136)),Auxiliar!$C$14,IF(SIGN($E136-$G136)=SIGN(U136-W136),Auxiliar!$C$15,IF(U136=W136,Auxiliar!$C$16,0)))))))</f>
        <v/>
      </c>
      <c r="Z136" s="9">
        <v>2</v>
      </c>
      <c r="AA136" s="10" t="s">
        <v>23</v>
      </c>
      <c r="AB136" s="11">
        <v>1</v>
      </c>
      <c r="AC136" s="60" t="str">
        <f>IF(OR($E136="",$G136=""),"",IF(AND(Z136=$E136,AB136=$G136),Auxiliar!$C$11,IF(AND(SIGN($E136-$G136)=SIGN(Z136-AB136),MAX($E136,$G136)=MAX(Z136,AB136)),Auxiliar!$C$12,IF(ABS($E136-$G136)=ABS(Z136-AB136),Auxiliar!$C$13,IF(AND(SIGN($E136-$G136)=SIGN(Z136-AB136),MIN($E136,$G136)=MIN(Z136,AB136)),Auxiliar!$C$14,IF(SIGN($E136-$G136)=SIGN(Z136-AB136),Auxiliar!$C$15,IF(Z136=AB136,Auxiliar!$C$16,0)))))))</f>
        <v/>
      </c>
      <c r="AE136" s="9">
        <v>1</v>
      </c>
      <c r="AF136" s="10" t="s">
        <v>23</v>
      </c>
      <c r="AG136" s="11">
        <v>1</v>
      </c>
      <c r="AH136" s="60" t="str">
        <f>IF(OR($E136="",$G136=""),"",IF(AND(AE136=$E136,AG136=$G136),Auxiliar!$C$11,IF(AND(SIGN($E136-$G136)=SIGN(AE136-AG136),MAX($E136,$G136)=MAX(AE136,AG136)),Auxiliar!$C$12,IF(ABS($E136-$G136)=ABS(AE136-AG136),Auxiliar!$C$13,IF(AND(SIGN($E136-$G136)=SIGN(AE136-AG136),MIN($E136,$G136)=MIN(AE136,AG136)),Auxiliar!$C$14,IF(SIGN($E136-$G136)=SIGN(AE136-AG136),Auxiliar!$C$15,IF(AE136=AG136,Auxiliar!$C$16,0)))))))</f>
        <v/>
      </c>
    </row>
    <row r="137" spans="3:34" x14ac:dyDescent="0.25">
      <c r="C137" s="24">
        <f t="shared" si="1"/>
        <v>12</v>
      </c>
      <c r="D137" s="18"/>
      <c r="E137" s="13"/>
      <c r="F137" s="12" t="s">
        <v>23</v>
      </c>
      <c r="G137" s="13"/>
      <c r="H137" s="14"/>
      <c r="K137" s="9">
        <v>4</v>
      </c>
      <c r="L137" s="10" t="s">
        <v>23</v>
      </c>
      <c r="M137" s="11">
        <v>1</v>
      </c>
      <c r="N137" s="60" t="str">
        <f>IF(OR($E137="",$G137=""),"",IF(AND(K137=$E137,M137=$G137),Auxiliar!$C$11,IF(AND(SIGN($E137-$G137)=SIGN(K137-M137),MAX($E137,$G137)=MAX(K137,M137)),Auxiliar!$C$12,IF(ABS($E137-$G137)=ABS(K137-M137),Auxiliar!$C$13,IF(AND(SIGN($E137-$G137)=SIGN(K137-M137),MIN($E137,$G137)=MIN(K137,M137)),Auxiliar!$C$14,IF(SIGN($E137-$G137)=SIGN(K137-M137),Auxiliar!$C$15,IF(K137=M137,Auxiliar!$C$16,0)))))))</f>
        <v/>
      </c>
      <c r="P137" s="9">
        <v>5</v>
      </c>
      <c r="Q137" s="10" t="s">
        <v>23</v>
      </c>
      <c r="R137" s="11">
        <v>5</v>
      </c>
      <c r="S137" s="60" t="str">
        <f>IF(OR($E137="",$G137=""),"",IF(AND(P137=$E137,R137=$G137),Auxiliar!$C$11,IF(AND(SIGN($E137-$G137)=SIGN(P137-R137),MAX($E137,$G137)=MAX(P137,R137)),Auxiliar!$C$12,IF(ABS($E137-$G137)=ABS(P137-R137),Auxiliar!$C$13,IF(AND(SIGN($E137-$G137)=SIGN(P137-R137),MIN($E137,$G137)=MIN(P137,R137)),Auxiliar!$C$14,IF(SIGN($E137-$G137)=SIGN(P137-R137),Auxiliar!$C$15,IF(P137=R137,Auxiliar!$C$16,0)))))))</f>
        <v/>
      </c>
      <c r="U137" s="9">
        <v>2</v>
      </c>
      <c r="V137" s="10" t="s">
        <v>23</v>
      </c>
      <c r="W137" s="11">
        <v>4</v>
      </c>
      <c r="X137" s="60" t="str">
        <f>IF(OR($E137="",$G137=""),"",IF(AND(U137=$E137,W137=$G137),Auxiliar!$C$11,IF(AND(SIGN($E137-$G137)=SIGN(U137-W137),MAX($E137,$G137)=MAX(U137,W137)),Auxiliar!$C$12,IF(ABS($E137-$G137)=ABS(U137-W137),Auxiliar!$C$13,IF(AND(SIGN($E137-$G137)=SIGN(U137-W137),MIN($E137,$G137)=MIN(U137,W137)),Auxiliar!$C$14,IF(SIGN($E137-$G137)=SIGN(U137-W137),Auxiliar!$C$15,IF(U137=W137,Auxiliar!$C$16,0)))))))</f>
        <v/>
      </c>
      <c r="Z137" s="9">
        <v>5</v>
      </c>
      <c r="AA137" s="10" t="s">
        <v>23</v>
      </c>
      <c r="AB137" s="11">
        <v>1</v>
      </c>
      <c r="AC137" s="60" t="str">
        <f>IF(OR($E137="",$G137=""),"",IF(AND(Z137=$E137,AB137=$G137),Auxiliar!$C$11,IF(AND(SIGN($E137-$G137)=SIGN(Z137-AB137),MAX($E137,$G137)=MAX(Z137,AB137)),Auxiliar!$C$12,IF(ABS($E137-$G137)=ABS(Z137-AB137),Auxiliar!$C$13,IF(AND(SIGN($E137-$G137)=SIGN(Z137-AB137),MIN($E137,$G137)=MIN(Z137,AB137)),Auxiliar!$C$14,IF(SIGN($E137-$G137)=SIGN(Z137-AB137),Auxiliar!$C$15,IF(Z137=AB137,Auxiliar!$C$16,0)))))))</f>
        <v/>
      </c>
      <c r="AE137" s="9">
        <v>5</v>
      </c>
      <c r="AF137" s="10" t="s">
        <v>23</v>
      </c>
      <c r="AG137" s="11">
        <v>0</v>
      </c>
      <c r="AH137" s="60" t="str">
        <f>IF(OR($E137="",$G137=""),"",IF(AND(AE137=$E137,AG137=$G137),Auxiliar!$C$11,IF(AND(SIGN($E137-$G137)=SIGN(AE137-AG137),MAX($E137,$G137)=MAX(AE137,AG137)),Auxiliar!$C$12,IF(ABS($E137-$G137)=ABS(AE137-AG137),Auxiliar!$C$13,IF(AND(SIGN($E137-$G137)=SIGN(AE137-AG137),MIN($E137,$G137)=MIN(AE137,AG137)),Auxiliar!$C$14,IF(SIGN($E137-$G137)=SIGN(AE137-AG137),Auxiliar!$C$15,IF(AE137=AG137,Auxiliar!$C$16,0)))))))</f>
        <v/>
      </c>
    </row>
    <row r="138" spans="3:34" x14ac:dyDescent="0.25">
      <c r="C138" s="24">
        <f t="shared" si="1"/>
        <v>12</v>
      </c>
      <c r="D138" s="18"/>
      <c r="E138" s="13"/>
      <c r="F138" s="12" t="s">
        <v>23</v>
      </c>
      <c r="G138" s="13"/>
      <c r="H138" s="14"/>
      <c r="K138" s="9">
        <v>4</v>
      </c>
      <c r="L138" s="10" t="s">
        <v>23</v>
      </c>
      <c r="M138" s="11">
        <v>3</v>
      </c>
      <c r="N138" s="60" t="str">
        <f>IF(OR($E138="",$G138=""),"",IF(AND(K138=$E138,M138=$G138),Auxiliar!$C$11,IF(AND(SIGN($E138-$G138)=SIGN(K138-M138),MAX($E138,$G138)=MAX(K138,M138)),Auxiliar!$C$12,IF(ABS($E138-$G138)=ABS(K138-M138),Auxiliar!$C$13,IF(AND(SIGN($E138-$G138)=SIGN(K138-M138),MIN($E138,$G138)=MIN(K138,M138)),Auxiliar!$C$14,IF(SIGN($E138-$G138)=SIGN(K138-M138),Auxiliar!$C$15,IF(K138=M138,Auxiliar!$C$16,0)))))))</f>
        <v/>
      </c>
      <c r="P138" s="9">
        <v>2</v>
      </c>
      <c r="Q138" s="10" t="s">
        <v>23</v>
      </c>
      <c r="R138" s="11">
        <v>3</v>
      </c>
      <c r="S138" s="60" t="str">
        <f>IF(OR($E138="",$G138=""),"",IF(AND(P138=$E138,R138=$G138),Auxiliar!$C$11,IF(AND(SIGN($E138-$G138)=SIGN(P138-R138),MAX($E138,$G138)=MAX(P138,R138)),Auxiliar!$C$12,IF(ABS($E138-$G138)=ABS(P138-R138),Auxiliar!$C$13,IF(AND(SIGN($E138-$G138)=SIGN(P138-R138),MIN($E138,$G138)=MIN(P138,R138)),Auxiliar!$C$14,IF(SIGN($E138-$G138)=SIGN(P138-R138),Auxiliar!$C$15,IF(P138=R138,Auxiliar!$C$16,0)))))))</f>
        <v/>
      </c>
      <c r="U138" s="9">
        <v>4</v>
      </c>
      <c r="V138" s="10" t="s">
        <v>23</v>
      </c>
      <c r="W138" s="11">
        <v>5</v>
      </c>
      <c r="X138" s="60" t="str">
        <f>IF(OR($E138="",$G138=""),"",IF(AND(U138=$E138,W138=$G138),Auxiliar!$C$11,IF(AND(SIGN($E138-$G138)=SIGN(U138-W138),MAX($E138,$G138)=MAX(U138,W138)),Auxiliar!$C$12,IF(ABS($E138-$G138)=ABS(U138-W138),Auxiliar!$C$13,IF(AND(SIGN($E138-$G138)=SIGN(U138-W138),MIN($E138,$G138)=MIN(U138,W138)),Auxiliar!$C$14,IF(SIGN($E138-$G138)=SIGN(U138-W138),Auxiliar!$C$15,IF(U138=W138,Auxiliar!$C$16,0)))))))</f>
        <v/>
      </c>
      <c r="Z138" s="9">
        <v>2</v>
      </c>
      <c r="AA138" s="10" t="s">
        <v>23</v>
      </c>
      <c r="AB138" s="11">
        <v>2</v>
      </c>
      <c r="AC138" s="60" t="str">
        <f>IF(OR($E138="",$G138=""),"",IF(AND(Z138=$E138,AB138=$G138),Auxiliar!$C$11,IF(AND(SIGN($E138-$G138)=SIGN(Z138-AB138),MAX($E138,$G138)=MAX(Z138,AB138)),Auxiliar!$C$12,IF(ABS($E138-$G138)=ABS(Z138-AB138),Auxiliar!$C$13,IF(AND(SIGN($E138-$G138)=SIGN(Z138-AB138),MIN($E138,$G138)=MIN(Z138,AB138)),Auxiliar!$C$14,IF(SIGN($E138-$G138)=SIGN(Z138-AB138),Auxiliar!$C$15,IF(Z138=AB138,Auxiliar!$C$16,0)))))))</f>
        <v/>
      </c>
      <c r="AE138" s="9">
        <v>1</v>
      </c>
      <c r="AF138" s="10" t="s">
        <v>23</v>
      </c>
      <c r="AG138" s="11">
        <v>0</v>
      </c>
      <c r="AH138" s="60" t="str">
        <f>IF(OR($E138="",$G138=""),"",IF(AND(AE138=$E138,AG138=$G138),Auxiliar!$C$11,IF(AND(SIGN($E138-$G138)=SIGN(AE138-AG138),MAX($E138,$G138)=MAX(AE138,AG138)),Auxiliar!$C$12,IF(ABS($E138-$G138)=ABS(AE138-AG138),Auxiliar!$C$13,IF(AND(SIGN($E138-$G138)=SIGN(AE138-AG138),MIN($E138,$G138)=MIN(AE138,AG138)),Auxiliar!$C$14,IF(SIGN($E138-$G138)=SIGN(AE138-AG138),Auxiliar!$C$15,IF(AE138=AG138,Auxiliar!$C$16,0)))))))</f>
        <v/>
      </c>
    </row>
    <row r="139" spans="3:34" x14ac:dyDescent="0.25">
      <c r="C139" s="24">
        <f t="shared" si="1"/>
        <v>13</v>
      </c>
      <c r="D139" s="18"/>
      <c r="E139" s="13"/>
      <c r="F139" s="12" t="s">
        <v>23</v>
      </c>
      <c r="G139" s="13"/>
      <c r="H139" s="14"/>
      <c r="K139" s="9">
        <v>1</v>
      </c>
      <c r="L139" s="10" t="s">
        <v>23</v>
      </c>
      <c r="M139" s="11">
        <v>3</v>
      </c>
      <c r="N139" s="60" t="str">
        <f>IF(OR($E139="",$G139=""),"",IF(AND(K139=$E139,M139=$G139),Auxiliar!$C$11,IF(AND(SIGN($E139-$G139)=SIGN(K139-M139),MAX($E139,$G139)=MAX(K139,M139)),Auxiliar!$C$12,IF(ABS($E139-$G139)=ABS(K139-M139),Auxiliar!$C$13,IF(AND(SIGN($E139-$G139)=SIGN(K139-M139),MIN($E139,$G139)=MIN(K139,M139)),Auxiliar!$C$14,IF(SIGN($E139-$G139)=SIGN(K139-M139),Auxiliar!$C$15,IF(K139=M139,Auxiliar!$C$16,0)))))))</f>
        <v/>
      </c>
      <c r="P139" s="9">
        <v>2</v>
      </c>
      <c r="Q139" s="10" t="s">
        <v>23</v>
      </c>
      <c r="R139" s="11">
        <v>0</v>
      </c>
      <c r="S139" s="60" t="str">
        <f>IF(OR($E139="",$G139=""),"",IF(AND(P139=$E139,R139=$G139),Auxiliar!$C$11,IF(AND(SIGN($E139-$G139)=SIGN(P139-R139),MAX($E139,$G139)=MAX(P139,R139)),Auxiliar!$C$12,IF(ABS($E139-$G139)=ABS(P139-R139),Auxiliar!$C$13,IF(AND(SIGN($E139-$G139)=SIGN(P139-R139),MIN($E139,$G139)=MIN(P139,R139)),Auxiliar!$C$14,IF(SIGN($E139-$G139)=SIGN(P139-R139),Auxiliar!$C$15,IF(P139=R139,Auxiliar!$C$16,0)))))))</f>
        <v/>
      </c>
      <c r="U139" s="9">
        <v>5</v>
      </c>
      <c r="V139" s="10" t="s">
        <v>23</v>
      </c>
      <c r="W139" s="11">
        <v>2</v>
      </c>
      <c r="X139" s="60" t="str">
        <f>IF(OR($E139="",$G139=""),"",IF(AND(U139=$E139,W139=$G139),Auxiliar!$C$11,IF(AND(SIGN($E139-$G139)=SIGN(U139-W139),MAX($E139,$G139)=MAX(U139,W139)),Auxiliar!$C$12,IF(ABS($E139-$G139)=ABS(U139-W139),Auxiliar!$C$13,IF(AND(SIGN($E139-$G139)=SIGN(U139-W139),MIN($E139,$G139)=MIN(U139,W139)),Auxiliar!$C$14,IF(SIGN($E139-$G139)=SIGN(U139-W139),Auxiliar!$C$15,IF(U139=W139,Auxiliar!$C$16,0)))))))</f>
        <v/>
      </c>
      <c r="Z139" s="9">
        <v>2</v>
      </c>
      <c r="AA139" s="10" t="s">
        <v>23</v>
      </c>
      <c r="AB139" s="11">
        <v>0</v>
      </c>
      <c r="AC139" s="60" t="str">
        <f>IF(OR($E139="",$G139=""),"",IF(AND(Z139=$E139,AB139=$G139),Auxiliar!$C$11,IF(AND(SIGN($E139-$G139)=SIGN(Z139-AB139),MAX($E139,$G139)=MAX(Z139,AB139)),Auxiliar!$C$12,IF(ABS($E139-$G139)=ABS(Z139-AB139),Auxiliar!$C$13,IF(AND(SIGN($E139-$G139)=SIGN(Z139-AB139),MIN($E139,$G139)=MIN(Z139,AB139)),Auxiliar!$C$14,IF(SIGN($E139-$G139)=SIGN(Z139-AB139),Auxiliar!$C$15,IF(Z139=AB139,Auxiliar!$C$16,0)))))))</f>
        <v/>
      </c>
      <c r="AE139" s="9">
        <v>5</v>
      </c>
      <c r="AF139" s="10" t="s">
        <v>23</v>
      </c>
      <c r="AG139" s="11">
        <v>0</v>
      </c>
      <c r="AH139" s="60" t="str">
        <f>IF(OR($E139="",$G139=""),"",IF(AND(AE139=$E139,AG139=$G139),Auxiliar!$C$11,IF(AND(SIGN($E139-$G139)=SIGN(AE139-AG139),MAX($E139,$G139)=MAX(AE139,AG139)),Auxiliar!$C$12,IF(ABS($E139-$G139)=ABS(AE139-AG139),Auxiliar!$C$13,IF(AND(SIGN($E139-$G139)=SIGN(AE139-AG139),MIN($E139,$G139)=MIN(AE139,AG139)),Auxiliar!$C$14,IF(SIGN($E139-$G139)=SIGN(AE139-AG139),Auxiliar!$C$15,IF(AE139=AG139,Auxiliar!$C$16,0)))))))</f>
        <v/>
      </c>
    </row>
    <row r="140" spans="3:34" x14ac:dyDescent="0.25">
      <c r="C140" s="24">
        <f t="shared" si="1"/>
        <v>13</v>
      </c>
      <c r="D140" s="18"/>
      <c r="E140" s="13"/>
      <c r="F140" s="12" t="s">
        <v>23</v>
      </c>
      <c r="G140" s="13"/>
      <c r="H140" s="14"/>
      <c r="K140" s="9">
        <v>3</v>
      </c>
      <c r="L140" s="10" t="s">
        <v>23</v>
      </c>
      <c r="M140" s="11">
        <v>0</v>
      </c>
      <c r="N140" s="60" t="str">
        <f>IF(OR($E140="",$G140=""),"",IF(AND(K140=$E140,M140=$G140),Auxiliar!$C$11,IF(AND(SIGN($E140-$G140)=SIGN(K140-M140),MAX($E140,$G140)=MAX(K140,M140)),Auxiliar!$C$12,IF(ABS($E140-$G140)=ABS(K140-M140),Auxiliar!$C$13,IF(AND(SIGN($E140-$G140)=SIGN(K140-M140),MIN($E140,$G140)=MIN(K140,M140)),Auxiliar!$C$14,IF(SIGN($E140-$G140)=SIGN(K140-M140),Auxiliar!$C$15,IF(K140=M140,Auxiliar!$C$16,0)))))))</f>
        <v/>
      </c>
      <c r="P140" s="9">
        <v>5</v>
      </c>
      <c r="Q140" s="10" t="s">
        <v>23</v>
      </c>
      <c r="R140" s="11">
        <v>3</v>
      </c>
      <c r="S140" s="60" t="str">
        <f>IF(OR($E140="",$G140=""),"",IF(AND(P140=$E140,R140=$G140),Auxiliar!$C$11,IF(AND(SIGN($E140-$G140)=SIGN(P140-R140),MAX($E140,$G140)=MAX(P140,R140)),Auxiliar!$C$12,IF(ABS($E140-$G140)=ABS(P140-R140),Auxiliar!$C$13,IF(AND(SIGN($E140-$G140)=SIGN(P140-R140),MIN($E140,$G140)=MIN(P140,R140)),Auxiliar!$C$14,IF(SIGN($E140-$G140)=SIGN(P140-R140),Auxiliar!$C$15,IF(P140=R140,Auxiliar!$C$16,0)))))))</f>
        <v/>
      </c>
      <c r="U140" s="9">
        <v>3</v>
      </c>
      <c r="V140" s="10" t="s">
        <v>23</v>
      </c>
      <c r="W140" s="11">
        <v>5</v>
      </c>
      <c r="X140" s="60" t="str">
        <f>IF(OR($E140="",$G140=""),"",IF(AND(U140=$E140,W140=$G140),Auxiliar!$C$11,IF(AND(SIGN($E140-$G140)=SIGN(U140-W140),MAX($E140,$G140)=MAX(U140,W140)),Auxiliar!$C$12,IF(ABS($E140-$G140)=ABS(U140-W140),Auxiliar!$C$13,IF(AND(SIGN($E140-$G140)=SIGN(U140-W140),MIN($E140,$G140)=MIN(U140,W140)),Auxiliar!$C$14,IF(SIGN($E140-$G140)=SIGN(U140-W140),Auxiliar!$C$15,IF(U140=W140,Auxiliar!$C$16,0)))))))</f>
        <v/>
      </c>
      <c r="Z140" s="9">
        <v>4</v>
      </c>
      <c r="AA140" s="10" t="s">
        <v>23</v>
      </c>
      <c r="AB140" s="11">
        <v>0</v>
      </c>
      <c r="AC140" s="60" t="str">
        <f>IF(OR($E140="",$G140=""),"",IF(AND(Z140=$E140,AB140=$G140),Auxiliar!$C$11,IF(AND(SIGN($E140-$G140)=SIGN(Z140-AB140),MAX($E140,$G140)=MAX(Z140,AB140)),Auxiliar!$C$12,IF(ABS($E140-$G140)=ABS(Z140-AB140),Auxiliar!$C$13,IF(AND(SIGN($E140-$G140)=SIGN(Z140-AB140),MIN($E140,$G140)=MIN(Z140,AB140)),Auxiliar!$C$14,IF(SIGN($E140-$G140)=SIGN(Z140-AB140),Auxiliar!$C$15,IF(Z140=AB140,Auxiliar!$C$16,0)))))))</f>
        <v/>
      </c>
      <c r="AE140" s="9">
        <v>4</v>
      </c>
      <c r="AF140" s="10" t="s">
        <v>23</v>
      </c>
      <c r="AG140" s="11">
        <v>1</v>
      </c>
      <c r="AH140" s="60" t="str">
        <f>IF(OR($E140="",$G140=""),"",IF(AND(AE140=$E140,AG140=$G140),Auxiliar!$C$11,IF(AND(SIGN($E140-$G140)=SIGN(AE140-AG140),MAX($E140,$G140)=MAX(AE140,AG140)),Auxiliar!$C$12,IF(ABS($E140-$G140)=ABS(AE140-AG140),Auxiliar!$C$13,IF(AND(SIGN($E140-$G140)=SIGN(AE140-AG140),MIN($E140,$G140)=MIN(AE140,AG140)),Auxiliar!$C$14,IF(SIGN($E140-$G140)=SIGN(AE140-AG140),Auxiliar!$C$15,IF(AE140=AG140,Auxiliar!$C$16,0)))))))</f>
        <v/>
      </c>
    </row>
    <row r="141" spans="3:34" x14ac:dyDescent="0.25">
      <c r="C141" s="24">
        <f t="shared" si="1"/>
        <v>13</v>
      </c>
      <c r="D141" s="18"/>
      <c r="E141" s="13"/>
      <c r="F141" s="12" t="s">
        <v>23</v>
      </c>
      <c r="G141" s="13"/>
      <c r="H141" s="14"/>
      <c r="K141" s="9">
        <v>2</v>
      </c>
      <c r="L141" s="10" t="s">
        <v>23</v>
      </c>
      <c r="M141" s="11">
        <v>3</v>
      </c>
      <c r="N141" s="60" t="str">
        <f>IF(OR($E141="",$G141=""),"",IF(AND(K141=$E141,M141=$G141),Auxiliar!$C$11,IF(AND(SIGN($E141-$G141)=SIGN(K141-M141),MAX($E141,$G141)=MAX(K141,M141)),Auxiliar!$C$12,IF(ABS($E141-$G141)=ABS(K141-M141),Auxiliar!$C$13,IF(AND(SIGN($E141-$G141)=SIGN(K141-M141),MIN($E141,$G141)=MIN(K141,M141)),Auxiliar!$C$14,IF(SIGN($E141-$G141)=SIGN(K141-M141),Auxiliar!$C$15,IF(K141=M141,Auxiliar!$C$16,0)))))))</f>
        <v/>
      </c>
      <c r="P141" s="9">
        <v>2</v>
      </c>
      <c r="Q141" s="10" t="s">
        <v>23</v>
      </c>
      <c r="R141" s="11">
        <v>1</v>
      </c>
      <c r="S141" s="60" t="str">
        <f>IF(OR($E141="",$G141=""),"",IF(AND(P141=$E141,R141=$G141),Auxiliar!$C$11,IF(AND(SIGN($E141-$G141)=SIGN(P141-R141),MAX($E141,$G141)=MAX(P141,R141)),Auxiliar!$C$12,IF(ABS($E141-$G141)=ABS(P141-R141),Auxiliar!$C$13,IF(AND(SIGN($E141-$G141)=SIGN(P141-R141),MIN($E141,$G141)=MIN(P141,R141)),Auxiliar!$C$14,IF(SIGN($E141-$G141)=SIGN(P141-R141),Auxiliar!$C$15,IF(P141=R141,Auxiliar!$C$16,0)))))))</f>
        <v/>
      </c>
      <c r="U141" s="9">
        <v>0</v>
      </c>
      <c r="V141" s="10" t="s">
        <v>23</v>
      </c>
      <c r="W141" s="11">
        <v>0</v>
      </c>
      <c r="X141" s="60" t="str">
        <f>IF(OR($E141="",$G141=""),"",IF(AND(U141=$E141,W141=$G141),Auxiliar!$C$11,IF(AND(SIGN($E141-$G141)=SIGN(U141-W141),MAX($E141,$G141)=MAX(U141,W141)),Auxiliar!$C$12,IF(ABS($E141-$G141)=ABS(U141-W141),Auxiliar!$C$13,IF(AND(SIGN($E141-$G141)=SIGN(U141-W141),MIN($E141,$G141)=MIN(U141,W141)),Auxiliar!$C$14,IF(SIGN($E141-$G141)=SIGN(U141-W141),Auxiliar!$C$15,IF(U141=W141,Auxiliar!$C$16,0)))))))</f>
        <v/>
      </c>
      <c r="Z141" s="9">
        <v>5</v>
      </c>
      <c r="AA141" s="10" t="s">
        <v>23</v>
      </c>
      <c r="AB141" s="11">
        <v>4</v>
      </c>
      <c r="AC141" s="60" t="str">
        <f>IF(OR($E141="",$G141=""),"",IF(AND(Z141=$E141,AB141=$G141),Auxiliar!$C$11,IF(AND(SIGN($E141-$G141)=SIGN(Z141-AB141),MAX($E141,$G141)=MAX(Z141,AB141)),Auxiliar!$C$12,IF(ABS($E141-$G141)=ABS(Z141-AB141),Auxiliar!$C$13,IF(AND(SIGN($E141-$G141)=SIGN(Z141-AB141),MIN($E141,$G141)=MIN(Z141,AB141)),Auxiliar!$C$14,IF(SIGN($E141-$G141)=SIGN(Z141-AB141),Auxiliar!$C$15,IF(Z141=AB141,Auxiliar!$C$16,0)))))))</f>
        <v/>
      </c>
      <c r="AE141" s="9">
        <v>5</v>
      </c>
      <c r="AF141" s="10" t="s">
        <v>23</v>
      </c>
      <c r="AG141" s="11">
        <v>3</v>
      </c>
      <c r="AH141" s="60" t="str">
        <f>IF(OR($E141="",$G141=""),"",IF(AND(AE141=$E141,AG141=$G141),Auxiliar!$C$11,IF(AND(SIGN($E141-$G141)=SIGN(AE141-AG141),MAX($E141,$G141)=MAX(AE141,AG141)),Auxiliar!$C$12,IF(ABS($E141-$G141)=ABS(AE141-AG141),Auxiliar!$C$13,IF(AND(SIGN($E141-$G141)=SIGN(AE141-AG141),MIN($E141,$G141)=MIN(AE141,AG141)),Auxiliar!$C$14,IF(SIGN($E141-$G141)=SIGN(AE141-AG141),Auxiliar!$C$15,IF(AE141=AG141,Auxiliar!$C$16,0)))))))</f>
        <v/>
      </c>
    </row>
    <row r="142" spans="3:34" x14ac:dyDescent="0.25">
      <c r="C142" s="24">
        <f t="shared" si="1"/>
        <v>13</v>
      </c>
      <c r="D142" s="18"/>
      <c r="E142" s="13"/>
      <c r="F142" s="12" t="s">
        <v>23</v>
      </c>
      <c r="G142" s="13"/>
      <c r="H142" s="14"/>
      <c r="K142" s="9">
        <v>5</v>
      </c>
      <c r="L142" s="10" t="s">
        <v>23</v>
      </c>
      <c r="M142" s="11">
        <v>1</v>
      </c>
      <c r="N142" s="60" t="str">
        <f>IF(OR($E142="",$G142=""),"",IF(AND(K142=$E142,M142=$G142),Auxiliar!$C$11,IF(AND(SIGN($E142-$G142)=SIGN(K142-M142),MAX($E142,$G142)=MAX(K142,M142)),Auxiliar!$C$12,IF(ABS($E142-$G142)=ABS(K142-M142),Auxiliar!$C$13,IF(AND(SIGN($E142-$G142)=SIGN(K142-M142),MIN($E142,$G142)=MIN(K142,M142)),Auxiliar!$C$14,IF(SIGN($E142-$G142)=SIGN(K142-M142),Auxiliar!$C$15,IF(K142=M142,Auxiliar!$C$16,0)))))))</f>
        <v/>
      </c>
      <c r="P142" s="9">
        <v>0</v>
      </c>
      <c r="Q142" s="10" t="s">
        <v>23</v>
      </c>
      <c r="R142" s="11">
        <v>1</v>
      </c>
      <c r="S142" s="60" t="str">
        <f>IF(OR($E142="",$G142=""),"",IF(AND(P142=$E142,R142=$G142),Auxiliar!$C$11,IF(AND(SIGN($E142-$G142)=SIGN(P142-R142),MAX($E142,$G142)=MAX(P142,R142)),Auxiliar!$C$12,IF(ABS($E142-$G142)=ABS(P142-R142),Auxiliar!$C$13,IF(AND(SIGN($E142-$G142)=SIGN(P142-R142),MIN($E142,$G142)=MIN(P142,R142)),Auxiliar!$C$14,IF(SIGN($E142-$G142)=SIGN(P142-R142),Auxiliar!$C$15,IF(P142=R142,Auxiliar!$C$16,0)))))))</f>
        <v/>
      </c>
      <c r="U142" s="9">
        <v>0</v>
      </c>
      <c r="V142" s="10" t="s">
        <v>23</v>
      </c>
      <c r="W142" s="11">
        <v>3</v>
      </c>
      <c r="X142" s="60" t="str">
        <f>IF(OR($E142="",$G142=""),"",IF(AND(U142=$E142,W142=$G142),Auxiliar!$C$11,IF(AND(SIGN($E142-$G142)=SIGN(U142-W142),MAX($E142,$G142)=MAX(U142,W142)),Auxiliar!$C$12,IF(ABS($E142-$G142)=ABS(U142-W142),Auxiliar!$C$13,IF(AND(SIGN($E142-$G142)=SIGN(U142-W142),MIN($E142,$G142)=MIN(U142,W142)),Auxiliar!$C$14,IF(SIGN($E142-$G142)=SIGN(U142-W142),Auxiliar!$C$15,IF(U142=W142,Auxiliar!$C$16,0)))))))</f>
        <v/>
      </c>
      <c r="Z142" s="9">
        <v>0</v>
      </c>
      <c r="AA142" s="10" t="s">
        <v>23</v>
      </c>
      <c r="AB142" s="11">
        <v>2</v>
      </c>
      <c r="AC142" s="60" t="str">
        <f>IF(OR($E142="",$G142=""),"",IF(AND(Z142=$E142,AB142=$G142),Auxiliar!$C$11,IF(AND(SIGN($E142-$G142)=SIGN(Z142-AB142),MAX($E142,$G142)=MAX(Z142,AB142)),Auxiliar!$C$12,IF(ABS($E142-$G142)=ABS(Z142-AB142),Auxiliar!$C$13,IF(AND(SIGN($E142-$G142)=SIGN(Z142-AB142),MIN($E142,$G142)=MIN(Z142,AB142)),Auxiliar!$C$14,IF(SIGN($E142-$G142)=SIGN(Z142-AB142),Auxiliar!$C$15,IF(Z142=AB142,Auxiliar!$C$16,0)))))))</f>
        <v/>
      </c>
      <c r="AE142" s="9">
        <v>0</v>
      </c>
      <c r="AF142" s="10" t="s">
        <v>23</v>
      </c>
      <c r="AG142" s="11">
        <v>2</v>
      </c>
      <c r="AH142" s="60" t="str">
        <f>IF(OR($E142="",$G142=""),"",IF(AND(AE142=$E142,AG142=$G142),Auxiliar!$C$11,IF(AND(SIGN($E142-$G142)=SIGN(AE142-AG142),MAX($E142,$G142)=MAX(AE142,AG142)),Auxiliar!$C$12,IF(ABS($E142-$G142)=ABS(AE142-AG142),Auxiliar!$C$13,IF(AND(SIGN($E142-$G142)=SIGN(AE142-AG142),MIN($E142,$G142)=MIN(AE142,AG142)),Auxiliar!$C$14,IF(SIGN($E142-$G142)=SIGN(AE142-AG142),Auxiliar!$C$15,IF(AE142=AG142,Auxiliar!$C$16,0)))))))</f>
        <v/>
      </c>
    </row>
    <row r="143" spans="3:34" x14ac:dyDescent="0.25">
      <c r="C143" s="24">
        <f t="shared" si="1"/>
        <v>13</v>
      </c>
      <c r="D143" s="18"/>
      <c r="E143" s="13"/>
      <c r="F143" s="12" t="s">
        <v>23</v>
      </c>
      <c r="G143" s="13"/>
      <c r="H143" s="14"/>
      <c r="K143" s="9">
        <v>1</v>
      </c>
      <c r="L143" s="10" t="s">
        <v>23</v>
      </c>
      <c r="M143" s="11">
        <v>3</v>
      </c>
      <c r="N143" s="60" t="str">
        <f>IF(OR($E143="",$G143=""),"",IF(AND(K143=$E143,M143=$G143),Auxiliar!$C$11,IF(AND(SIGN($E143-$G143)=SIGN(K143-M143),MAX($E143,$G143)=MAX(K143,M143)),Auxiliar!$C$12,IF(ABS($E143-$G143)=ABS(K143-M143),Auxiliar!$C$13,IF(AND(SIGN($E143-$G143)=SIGN(K143-M143),MIN($E143,$G143)=MIN(K143,M143)),Auxiliar!$C$14,IF(SIGN($E143-$G143)=SIGN(K143-M143),Auxiliar!$C$15,IF(K143=M143,Auxiliar!$C$16,0)))))))</f>
        <v/>
      </c>
      <c r="P143" s="9">
        <v>0</v>
      </c>
      <c r="Q143" s="10" t="s">
        <v>23</v>
      </c>
      <c r="R143" s="11">
        <v>5</v>
      </c>
      <c r="S143" s="60" t="str">
        <f>IF(OR($E143="",$G143=""),"",IF(AND(P143=$E143,R143=$G143),Auxiliar!$C$11,IF(AND(SIGN($E143-$G143)=SIGN(P143-R143),MAX($E143,$G143)=MAX(P143,R143)),Auxiliar!$C$12,IF(ABS($E143-$G143)=ABS(P143-R143),Auxiliar!$C$13,IF(AND(SIGN($E143-$G143)=SIGN(P143-R143),MIN($E143,$G143)=MIN(P143,R143)),Auxiliar!$C$14,IF(SIGN($E143-$G143)=SIGN(P143-R143),Auxiliar!$C$15,IF(P143=R143,Auxiliar!$C$16,0)))))))</f>
        <v/>
      </c>
      <c r="U143" s="9">
        <v>3</v>
      </c>
      <c r="V143" s="10" t="s">
        <v>23</v>
      </c>
      <c r="W143" s="11">
        <v>2</v>
      </c>
      <c r="X143" s="60" t="str">
        <f>IF(OR($E143="",$G143=""),"",IF(AND(U143=$E143,W143=$G143),Auxiliar!$C$11,IF(AND(SIGN($E143-$G143)=SIGN(U143-W143),MAX($E143,$G143)=MAX(U143,W143)),Auxiliar!$C$12,IF(ABS($E143-$G143)=ABS(U143-W143),Auxiliar!$C$13,IF(AND(SIGN($E143-$G143)=SIGN(U143-W143),MIN($E143,$G143)=MIN(U143,W143)),Auxiliar!$C$14,IF(SIGN($E143-$G143)=SIGN(U143-W143),Auxiliar!$C$15,IF(U143=W143,Auxiliar!$C$16,0)))))))</f>
        <v/>
      </c>
      <c r="Z143" s="9">
        <v>4</v>
      </c>
      <c r="AA143" s="10" t="s">
        <v>23</v>
      </c>
      <c r="AB143" s="11">
        <v>3</v>
      </c>
      <c r="AC143" s="60" t="str">
        <f>IF(OR($E143="",$G143=""),"",IF(AND(Z143=$E143,AB143=$G143),Auxiliar!$C$11,IF(AND(SIGN($E143-$G143)=SIGN(Z143-AB143),MAX($E143,$G143)=MAX(Z143,AB143)),Auxiliar!$C$12,IF(ABS($E143-$G143)=ABS(Z143-AB143),Auxiliar!$C$13,IF(AND(SIGN($E143-$G143)=SIGN(Z143-AB143),MIN($E143,$G143)=MIN(Z143,AB143)),Auxiliar!$C$14,IF(SIGN($E143-$G143)=SIGN(Z143-AB143),Auxiliar!$C$15,IF(Z143=AB143,Auxiliar!$C$16,0)))))))</f>
        <v/>
      </c>
      <c r="AE143" s="9">
        <v>1</v>
      </c>
      <c r="AF143" s="10" t="s">
        <v>23</v>
      </c>
      <c r="AG143" s="11">
        <v>4</v>
      </c>
      <c r="AH143" s="60" t="str">
        <f>IF(OR($E143="",$G143=""),"",IF(AND(AE143=$E143,AG143=$G143),Auxiliar!$C$11,IF(AND(SIGN($E143-$G143)=SIGN(AE143-AG143),MAX($E143,$G143)=MAX(AE143,AG143)),Auxiliar!$C$12,IF(ABS($E143-$G143)=ABS(AE143-AG143),Auxiliar!$C$13,IF(AND(SIGN($E143-$G143)=SIGN(AE143-AG143),MIN($E143,$G143)=MIN(AE143,AG143)),Auxiliar!$C$14,IF(SIGN($E143-$G143)=SIGN(AE143-AG143),Auxiliar!$C$15,IF(AE143=AG143,Auxiliar!$C$16,0)))))))</f>
        <v/>
      </c>
    </row>
    <row r="144" spans="3:34" x14ac:dyDescent="0.25">
      <c r="C144" s="24">
        <f t="shared" si="1"/>
        <v>13</v>
      </c>
      <c r="D144" s="18"/>
      <c r="E144" s="13"/>
      <c r="F144" s="12" t="s">
        <v>23</v>
      </c>
      <c r="G144" s="13"/>
      <c r="H144" s="14"/>
      <c r="K144" s="9">
        <v>4</v>
      </c>
      <c r="L144" s="10" t="s">
        <v>23</v>
      </c>
      <c r="M144" s="11">
        <v>1</v>
      </c>
      <c r="N144" s="60" t="str">
        <f>IF(OR($E144="",$G144=""),"",IF(AND(K144=$E144,M144=$G144),Auxiliar!$C$11,IF(AND(SIGN($E144-$G144)=SIGN(K144-M144),MAX($E144,$G144)=MAX(K144,M144)),Auxiliar!$C$12,IF(ABS($E144-$G144)=ABS(K144-M144),Auxiliar!$C$13,IF(AND(SIGN($E144-$G144)=SIGN(K144-M144),MIN($E144,$G144)=MIN(K144,M144)),Auxiliar!$C$14,IF(SIGN($E144-$G144)=SIGN(K144-M144),Auxiliar!$C$15,IF(K144=M144,Auxiliar!$C$16,0)))))))</f>
        <v/>
      </c>
      <c r="P144" s="9">
        <v>3</v>
      </c>
      <c r="Q144" s="10" t="s">
        <v>23</v>
      </c>
      <c r="R144" s="11">
        <v>2</v>
      </c>
      <c r="S144" s="60" t="str">
        <f>IF(OR($E144="",$G144=""),"",IF(AND(P144=$E144,R144=$G144),Auxiliar!$C$11,IF(AND(SIGN($E144-$G144)=SIGN(P144-R144),MAX($E144,$G144)=MAX(P144,R144)),Auxiliar!$C$12,IF(ABS($E144-$G144)=ABS(P144-R144),Auxiliar!$C$13,IF(AND(SIGN($E144-$G144)=SIGN(P144-R144),MIN($E144,$G144)=MIN(P144,R144)),Auxiliar!$C$14,IF(SIGN($E144-$G144)=SIGN(P144-R144),Auxiliar!$C$15,IF(P144=R144,Auxiliar!$C$16,0)))))))</f>
        <v/>
      </c>
      <c r="U144" s="9">
        <v>3</v>
      </c>
      <c r="V144" s="10" t="s">
        <v>23</v>
      </c>
      <c r="W144" s="11">
        <v>1</v>
      </c>
      <c r="X144" s="60" t="str">
        <f>IF(OR($E144="",$G144=""),"",IF(AND(U144=$E144,W144=$G144),Auxiliar!$C$11,IF(AND(SIGN($E144-$G144)=SIGN(U144-W144),MAX($E144,$G144)=MAX(U144,W144)),Auxiliar!$C$12,IF(ABS($E144-$G144)=ABS(U144-W144),Auxiliar!$C$13,IF(AND(SIGN($E144-$G144)=SIGN(U144-W144),MIN($E144,$G144)=MIN(U144,W144)),Auxiliar!$C$14,IF(SIGN($E144-$G144)=SIGN(U144-W144),Auxiliar!$C$15,IF(U144=W144,Auxiliar!$C$16,0)))))))</f>
        <v/>
      </c>
      <c r="Z144" s="9">
        <v>2</v>
      </c>
      <c r="AA144" s="10" t="s">
        <v>23</v>
      </c>
      <c r="AB144" s="11">
        <v>1</v>
      </c>
      <c r="AC144" s="60" t="str">
        <f>IF(OR($E144="",$G144=""),"",IF(AND(Z144=$E144,AB144=$G144),Auxiliar!$C$11,IF(AND(SIGN($E144-$G144)=SIGN(Z144-AB144),MAX($E144,$G144)=MAX(Z144,AB144)),Auxiliar!$C$12,IF(ABS($E144-$G144)=ABS(Z144-AB144),Auxiliar!$C$13,IF(AND(SIGN($E144-$G144)=SIGN(Z144-AB144),MIN($E144,$G144)=MIN(Z144,AB144)),Auxiliar!$C$14,IF(SIGN($E144-$G144)=SIGN(Z144-AB144),Auxiliar!$C$15,IF(Z144=AB144,Auxiliar!$C$16,0)))))))</f>
        <v/>
      </c>
      <c r="AE144" s="9">
        <v>4</v>
      </c>
      <c r="AF144" s="10" t="s">
        <v>23</v>
      </c>
      <c r="AG144" s="11">
        <v>3</v>
      </c>
      <c r="AH144" s="60" t="str">
        <f>IF(OR($E144="",$G144=""),"",IF(AND(AE144=$E144,AG144=$G144),Auxiliar!$C$11,IF(AND(SIGN($E144-$G144)=SIGN(AE144-AG144),MAX($E144,$G144)=MAX(AE144,AG144)),Auxiliar!$C$12,IF(ABS($E144-$G144)=ABS(AE144-AG144),Auxiliar!$C$13,IF(AND(SIGN($E144-$G144)=SIGN(AE144-AG144),MIN($E144,$G144)=MIN(AE144,AG144)),Auxiliar!$C$14,IF(SIGN($E144-$G144)=SIGN(AE144-AG144),Auxiliar!$C$15,IF(AE144=AG144,Auxiliar!$C$16,0)))))))</f>
        <v/>
      </c>
    </row>
    <row r="145" spans="3:34" x14ac:dyDescent="0.25">
      <c r="C145" s="24">
        <f t="shared" si="1"/>
        <v>13</v>
      </c>
      <c r="D145" s="18"/>
      <c r="E145" s="13"/>
      <c r="F145" s="12" t="s">
        <v>23</v>
      </c>
      <c r="G145" s="13"/>
      <c r="H145" s="14"/>
      <c r="K145" s="9">
        <v>2</v>
      </c>
      <c r="L145" s="10" t="s">
        <v>23</v>
      </c>
      <c r="M145" s="11">
        <v>0</v>
      </c>
      <c r="N145" s="60" t="str">
        <f>IF(OR($E145="",$G145=""),"",IF(AND(K145=$E145,M145=$G145),Auxiliar!$C$11,IF(AND(SIGN($E145-$G145)=SIGN(K145-M145),MAX($E145,$G145)=MAX(K145,M145)),Auxiliar!$C$12,IF(ABS($E145-$G145)=ABS(K145-M145),Auxiliar!$C$13,IF(AND(SIGN($E145-$G145)=SIGN(K145-M145),MIN($E145,$G145)=MIN(K145,M145)),Auxiliar!$C$14,IF(SIGN($E145-$G145)=SIGN(K145-M145),Auxiliar!$C$15,IF(K145=M145,Auxiliar!$C$16,0)))))))</f>
        <v/>
      </c>
      <c r="P145" s="9">
        <v>2</v>
      </c>
      <c r="Q145" s="10" t="s">
        <v>23</v>
      </c>
      <c r="R145" s="11">
        <v>4</v>
      </c>
      <c r="S145" s="60" t="str">
        <f>IF(OR($E145="",$G145=""),"",IF(AND(P145=$E145,R145=$G145),Auxiliar!$C$11,IF(AND(SIGN($E145-$G145)=SIGN(P145-R145),MAX($E145,$G145)=MAX(P145,R145)),Auxiliar!$C$12,IF(ABS($E145-$G145)=ABS(P145-R145),Auxiliar!$C$13,IF(AND(SIGN($E145-$G145)=SIGN(P145-R145),MIN($E145,$G145)=MIN(P145,R145)),Auxiliar!$C$14,IF(SIGN($E145-$G145)=SIGN(P145-R145),Auxiliar!$C$15,IF(P145=R145,Auxiliar!$C$16,0)))))))</f>
        <v/>
      </c>
      <c r="U145" s="9">
        <v>5</v>
      </c>
      <c r="V145" s="10" t="s">
        <v>23</v>
      </c>
      <c r="W145" s="11">
        <v>0</v>
      </c>
      <c r="X145" s="60" t="str">
        <f>IF(OR($E145="",$G145=""),"",IF(AND(U145=$E145,W145=$G145),Auxiliar!$C$11,IF(AND(SIGN($E145-$G145)=SIGN(U145-W145),MAX($E145,$G145)=MAX(U145,W145)),Auxiliar!$C$12,IF(ABS($E145-$G145)=ABS(U145-W145),Auxiliar!$C$13,IF(AND(SIGN($E145-$G145)=SIGN(U145-W145),MIN($E145,$G145)=MIN(U145,W145)),Auxiliar!$C$14,IF(SIGN($E145-$G145)=SIGN(U145-W145),Auxiliar!$C$15,IF(U145=W145,Auxiliar!$C$16,0)))))))</f>
        <v/>
      </c>
      <c r="Z145" s="9">
        <v>1</v>
      </c>
      <c r="AA145" s="10" t="s">
        <v>23</v>
      </c>
      <c r="AB145" s="11">
        <v>2</v>
      </c>
      <c r="AC145" s="60" t="str">
        <f>IF(OR($E145="",$G145=""),"",IF(AND(Z145=$E145,AB145=$G145),Auxiliar!$C$11,IF(AND(SIGN($E145-$G145)=SIGN(Z145-AB145),MAX($E145,$G145)=MAX(Z145,AB145)),Auxiliar!$C$12,IF(ABS($E145-$G145)=ABS(Z145-AB145),Auxiliar!$C$13,IF(AND(SIGN($E145-$G145)=SIGN(Z145-AB145),MIN($E145,$G145)=MIN(Z145,AB145)),Auxiliar!$C$14,IF(SIGN($E145-$G145)=SIGN(Z145-AB145),Auxiliar!$C$15,IF(Z145=AB145,Auxiliar!$C$16,0)))))))</f>
        <v/>
      </c>
      <c r="AE145" s="9">
        <v>1</v>
      </c>
      <c r="AF145" s="10" t="s">
        <v>23</v>
      </c>
      <c r="AG145" s="11">
        <v>2</v>
      </c>
      <c r="AH145" s="60" t="str">
        <f>IF(OR($E145="",$G145=""),"",IF(AND(AE145=$E145,AG145=$G145),Auxiliar!$C$11,IF(AND(SIGN($E145-$G145)=SIGN(AE145-AG145),MAX($E145,$G145)=MAX(AE145,AG145)),Auxiliar!$C$12,IF(ABS($E145-$G145)=ABS(AE145-AG145),Auxiliar!$C$13,IF(AND(SIGN($E145-$G145)=SIGN(AE145-AG145),MIN($E145,$G145)=MIN(AE145,AG145)),Auxiliar!$C$14,IF(SIGN($E145-$G145)=SIGN(AE145-AG145),Auxiliar!$C$15,IF(AE145=AG145,Auxiliar!$C$16,0)))))))</f>
        <v/>
      </c>
    </row>
    <row r="146" spans="3:34" x14ac:dyDescent="0.25">
      <c r="C146" s="24">
        <f t="shared" si="1"/>
        <v>13</v>
      </c>
      <c r="D146" s="18"/>
      <c r="E146" s="13"/>
      <c r="F146" s="12" t="s">
        <v>23</v>
      </c>
      <c r="G146" s="13"/>
      <c r="H146" s="14"/>
      <c r="K146" s="9">
        <v>5</v>
      </c>
      <c r="L146" s="10" t="s">
        <v>23</v>
      </c>
      <c r="M146" s="11">
        <v>2</v>
      </c>
      <c r="N146" s="60" t="str">
        <f>IF(OR($E146="",$G146=""),"",IF(AND(K146=$E146,M146=$G146),Auxiliar!$C$11,IF(AND(SIGN($E146-$G146)=SIGN(K146-M146),MAX($E146,$G146)=MAX(K146,M146)),Auxiliar!$C$12,IF(ABS($E146-$G146)=ABS(K146-M146),Auxiliar!$C$13,IF(AND(SIGN($E146-$G146)=SIGN(K146-M146),MIN($E146,$G146)=MIN(K146,M146)),Auxiliar!$C$14,IF(SIGN($E146-$G146)=SIGN(K146-M146),Auxiliar!$C$15,IF(K146=M146,Auxiliar!$C$16,0)))))))</f>
        <v/>
      </c>
      <c r="P146" s="9">
        <v>3</v>
      </c>
      <c r="Q146" s="10" t="s">
        <v>23</v>
      </c>
      <c r="R146" s="11">
        <v>5</v>
      </c>
      <c r="S146" s="60" t="str">
        <f>IF(OR($E146="",$G146=""),"",IF(AND(P146=$E146,R146=$G146),Auxiliar!$C$11,IF(AND(SIGN($E146-$G146)=SIGN(P146-R146),MAX($E146,$G146)=MAX(P146,R146)),Auxiliar!$C$12,IF(ABS($E146-$G146)=ABS(P146-R146),Auxiliar!$C$13,IF(AND(SIGN($E146-$G146)=SIGN(P146-R146),MIN($E146,$G146)=MIN(P146,R146)),Auxiliar!$C$14,IF(SIGN($E146-$G146)=SIGN(P146-R146),Auxiliar!$C$15,IF(P146=R146,Auxiliar!$C$16,0)))))))</f>
        <v/>
      </c>
      <c r="U146" s="9">
        <v>5</v>
      </c>
      <c r="V146" s="10" t="s">
        <v>23</v>
      </c>
      <c r="W146" s="11">
        <v>2</v>
      </c>
      <c r="X146" s="60" t="str">
        <f>IF(OR($E146="",$G146=""),"",IF(AND(U146=$E146,W146=$G146),Auxiliar!$C$11,IF(AND(SIGN($E146-$G146)=SIGN(U146-W146),MAX($E146,$G146)=MAX(U146,W146)),Auxiliar!$C$12,IF(ABS($E146-$G146)=ABS(U146-W146),Auxiliar!$C$13,IF(AND(SIGN($E146-$G146)=SIGN(U146-W146),MIN($E146,$G146)=MIN(U146,W146)),Auxiliar!$C$14,IF(SIGN($E146-$G146)=SIGN(U146-W146),Auxiliar!$C$15,IF(U146=W146,Auxiliar!$C$16,0)))))))</f>
        <v/>
      </c>
      <c r="Z146" s="9">
        <v>5</v>
      </c>
      <c r="AA146" s="10" t="s">
        <v>23</v>
      </c>
      <c r="AB146" s="11">
        <v>1</v>
      </c>
      <c r="AC146" s="60" t="str">
        <f>IF(OR($E146="",$G146=""),"",IF(AND(Z146=$E146,AB146=$G146),Auxiliar!$C$11,IF(AND(SIGN($E146-$G146)=SIGN(Z146-AB146),MAX($E146,$G146)=MAX(Z146,AB146)),Auxiliar!$C$12,IF(ABS($E146-$G146)=ABS(Z146-AB146),Auxiliar!$C$13,IF(AND(SIGN($E146-$G146)=SIGN(Z146-AB146),MIN($E146,$G146)=MIN(Z146,AB146)),Auxiliar!$C$14,IF(SIGN($E146-$G146)=SIGN(Z146-AB146),Auxiliar!$C$15,IF(Z146=AB146,Auxiliar!$C$16,0)))))))</f>
        <v/>
      </c>
      <c r="AE146" s="9">
        <v>5</v>
      </c>
      <c r="AF146" s="10" t="s">
        <v>23</v>
      </c>
      <c r="AG146" s="11">
        <v>3</v>
      </c>
      <c r="AH146" s="60" t="str">
        <f>IF(OR($E146="",$G146=""),"",IF(AND(AE146=$E146,AG146=$G146),Auxiliar!$C$11,IF(AND(SIGN($E146-$G146)=SIGN(AE146-AG146),MAX($E146,$G146)=MAX(AE146,AG146)),Auxiliar!$C$12,IF(ABS($E146-$G146)=ABS(AE146-AG146),Auxiliar!$C$13,IF(AND(SIGN($E146-$G146)=SIGN(AE146-AG146),MIN($E146,$G146)=MIN(AE146,AG146)),Auxiliar!$C$14,IF(SIGN($E146-$G146)=SIGN(AE146-AG146),Auxiliar!$C$15,IF(AE146=AG146,Auxiliar!$C$16,0)))))))</f>
        <v/>
      </c>
    </row>
    <row r="147" spans="3:34" x14ac:dyDescent="0.25">
      <c r="C147" s="24">
        <f t="shared" si="1"/>
        <v>13</v>
      </c>
      <c r="D147" s="18"/>
      <c r="E147" s="13"/>
      <c r="F147" s="12" t="s">
        <v>23</v>
      </c>
      <c r="G147" s="13"/>
      <c r="H147" s="14"/>
      <c r="K147" s="9">
        <v>3</v>
      </c>
      <c r="L147" s="10" t="s">
        <v>23</v>
      </c>
      <c r="M147" s="11">
        <v>2</v>
      </c>
      <c r="N147" s="60" t="str">
        <f>IF(OR($E147="",$G147=""),"",IF(AND(K147=$E147,M147=$G147),Auxiliar!$C$11,IF(AND(SIGN($E147-$G147)=SIGN(K147-M147),MAX($E147,$G147)=MAX(K147,M147)),Auxiliar!$C$12,IF(ABS($E147-$G147)=ABS(K147-M147),Auxiliar!$C$13,IF(AND(SIGN($E147-$G147)=SIGN(K147-M147),MIN($E147,$G147)=MIN(K147,M147)),Auxiliar!$C$14,IF(SIGN($E147-$G147)=SIGN(K147-M147),Auxiliar!$C$15,IF(K147=M147,Auxiliar!$C$16,0)))))))</f>
        <v/>
      </c>
      <c r="P147" s="9">
        <v>5</v>
      </c>
      <c r="Q147" s="10" t="s">
        <v>23</v>
      </c>
      <c r="R147" s="11">
        <v>1</v>
      </c>
      <c r="S147" s="60" t="str">
        <f>IF(OR($E147="",$G147=""),"",IF(AND(P147=$E147,R147=$G147),Auxiliar!$C$11,IF(AND(SIGN($E147-$G147)=SIGN(P147-R147),MAX($E147,$G147)=MAX(P147,R147)),Auxiliar!$C$12,IF(ABS($E147-$G147)=ABS(P147-R147),Auxiliar!$C$13,IF(AND(SIGN($E147-$G147)=SIGN(P147-R147),MIN($E147,$G147)=MIN(P147,R147)),Auxiliar!$C$14,IF(SIGN($E147-$G147)=SIGN(P147-R147),Auxiliar!$C$15,IF(P147=R147,Auxiliar!$C$16,0)))))))</f>
        <v/>
      </c>
      <c r="U147" s="9">
        <v>2</v>
      </c>
      <c r="V147" s="10" t="s">
        <v>23</v>
      </c>
      <c r="W147" s="11">
        <v>3</v>
      </c>
      <c r="X147" s="60" t="str">
        <f>IF(OR($E147="",$G147=""),"",IF(AND(U147=$E147,W147=$G147),Auxiliar!$C$11,IF(AND(SIGN($E147-$G147)=SIGN(U147-W147),MAX($E147,$G147)=MAX(U147,W147)),Auxiliar!$C$12,IF(ABS($E147-$G147)=ABS(U147-W147),Auxiliar!$C$13,IF(AND(SIGN($E147-$G147)=SIGN(U147-W147),MIN($E147,$G147)=MIN(U147,W147)),Auxiliar!$C$14,IF(SIGN($E147-$G147)=SIGN(U147-W147),Auxiliar!$C$15,IF(U147=W147,Auxiliar!$C$16,0)))))))</f>
        <v/>
      </c>
      <c r="Z147" s="9">
        <v>0</v>
      </c>
      <c r="AA147" s="10" t="s">
        <v>23</v>
      </c>
      <c r="AB147" s="11">
        <v>2</v>
      </c>
      <c r="AC147" s="60" t="str">
        <f>IF(OR($E147="",$G147=""),"",IF(AND(Z147=$E147,AB147=$G147),Auxiliar!$C$11,IF(AND(SIGN($E147-$G147)=SIGN(Z147-AB147),MAX($E147,$G147)=MAX(Z147,AB147)),Auxiliar!$C$12,IF(ABS($E147-$G147)=ABS(Z147-AB147),Auxiliar!$C$13,IF(AND(SIGN($E147-$G147)=SIGN(Z147-AB147),MIN($E147,$G147)=MIN(Z147,AB147)),Auxiliar!$C$14,IF(SIGN($E147-$G147)=SIGN(Z147-AB147),Auxiliar!$C$15,IF(Z147=AB147,Auxiliar!$C$16,0)))))))</f>
        <v/>
      </c>
      <c r="AE147" s="9">
        <v>5</v>
      </c>
      <c r="AF147" s="10" t="s">
        <v>23</v>
      </c>
      <c r="AG147" s="11">
        <v>1</v>
      </c>
      <c r="AH147" s="60" t="str">
        <f>IF(OR($E147="",$G147=""),"",IF(AND(AE147=$E147,AG147=$G147),Auxiliar!$C$11,IF(AND(SIGN($E147-$G147)=SIGN(AE147-AG147),MAX($E147,$G147)=MAX(AE147,AG147)),Auxiliar!$C$12,IF(ABS($E147-$G147)=ABS(AE147-AG147),Auxiliar!$C$13,IF(AND(SIGN($E147-$G147)=SIGN(AE147-AG147),MIN($E147,$G147)=MIN(AE147,AG147)),Auxiliar!$C$14,IF(SIGN($E147-$G147)=SIGN(AE147-AG147),Auxiliar!$C$15,IF(AE147=AG147,Auxiliar!$C$16,0)))))))</f>
        <v/>
      </c>
    </row>
    <row r="148" spans="3:34" x14ac:dyDescent="0.25">
      <c r="C148" s="24">
        <f t="shared" si="1"/>
        <v>13</v>
      </c>
      <c r="D148" s="18"/>
      <c r="E148" s="13"/>
      <c r="F148" s="12" t="s">
        <v>23</v>
      </c>
      <c r="G148" s="13"/>
      <c r="H148" s="14"/>
      <c r="K148" s="9">
        <v>0</v>
      </c>
      <c r="L148" s="10" t="s">
        <v>23</v>
      </c>
      <c r="M148" s="11">
        <v>3</v>
      </c>
      <c r="N148" s="60" t="str">
        <f>IF(OR($E148="",$G148=""),"",IF(AND(K148=$E148,M148=$G148),Auxiliar!$C$11,IF(AND(SIGN($E148-$G148)=SIGN(K148-M148),MAX($E148,$G148)=MAX(K148,M148)),Auxiliar!$C$12,IF(ABS($E148-$G148)=ABS(K148-M148),Auxiliar!$C$13,IF(AND(SIGN($E148-$G148)=SIGN(K148-M148),MIN($E148,$G148)=MIN(K148,M148)),Auxiliar!$C$14,IF(SIGN($E148-$G148)=SIGN(K148-M148),Auxiliar!$C$15,IF(K148=M148,Auxiliar!$C$16,0)))))))</f>
        <v/>
      </c>
      <c r="P148" s="9">
        <v>5</v>
      </c>
      <c r="Q148" s="10" t="s">
        <v>23</v>
      </c>
      <c r="R148" s="11">
        <v>5</v>
      </c>
      <c r="S148" s="60" t="str">
        <f>IF(OR($E148="",$G148=""),"",IF(AND(P148=$E148,R148=$G148),Auxiliar!$C$11,IF(AND(SIGN($E148-$G148)=SIGN(P148-R148),MAX($E148,$G148)=MAX(P148,R148)),Auxiliar!$C$12,IF(ABS($E148-$G148)=ABS(P148-R148),Auxiliar!$C$13,IF(AND(SIGN($E148-$G148)=SIGN(P148-R148),MIN($E148,$G148)=MIN(P148,R148)),Auxiliar!$C$14,IF(SIGN($E148-$G148)=SIGN(P148-R148),Auxiliar!$C$15,IF(P148=R148,Auxiliar!$C$16,0)))))))</f>
        <v/>
      </c>
      <c r="U148" s="9">
        <v>0</v>
      </c>
      <c r="V148" s="10" t="s">
        <v>23</v>
      </c>
      <c r="W148" s="11">
        <v>4</v>
      </c>
      <c r="X148" s="60" t="str">
        <f>IF(OR($E148="",$G148=""),"",IF(AND(U148=$E148,W148=$G148),Auxiliar!$C$11,IF(AND(SIGN($E148-$G148)=SIGN(U148-W148),MAX($E148,$G148)=MAX(U148,W148)),Auxiliar!$C$12,IF(ABS($E148-$G148)=ABS(U148-W148),Auxiliar!$C$13,IF(AND(SIGN($E148-$G148)=SIGN(U148-W148),MIN($E148,$G148)=MIN(U148,W148)),Auxiliar!$C$14,IF(SIGN($E148-$G148)=SIGN(U148-W148),Auxiliar!$C$15,IF(U148=W148,Auxiliar!$C$16,0)))))))</f>
        <v/>
      </c>
      <c r="Z148" s="9">
        <v>5</v>
      </c>
      <c r="AA148" s="10" t="s">
        <v>23</v>
      </c>
      <c r="AB148" s="11">
        <v>0</v>
      </c>
      <c r="AC148" s="60" t="str">
        <f>IF(OR($E148="",$G148=""),"",IF(AND(Z148=$E148,AB148=$G148),Auxiliar!$C$11,IF(AND(SIGN($E148-$G148)=SIGN(Z148-AB148),MAX($E148,$G148)=MAX(Z148,AB148)),Auxiliar!$C$12,IF(ABS($E148-$G148)=ABS(Z148-AB148),Auxiliar!$C$13,IF(AND(SIGN($E148-$G148)=SIGN(Z148-AB148),MIN($E148,$G148)=MIN(Z148,AB148)),Auxiliar!$C$14,IF(SIGN($E148-$G148)=SIGN(Z148-AB148),Auxiliar!$C$15,IF(Z148=AB148,Auxiliar!$C$16,0)))))))</f>
        <v/>
      </c>
      <c r="AE148" s="9">
        <v>3</v>
      </c>
      <c r="AF148" s="10" t="s">
        <v>23</v>
      </c>
      <c r="AG148" s="11">
        <v>2</v>
      </c>
      <c r="AH148" s="60" t="str">
        <f>IF(OR($E148="",$G148=""),"",IF(AND(AE148=$E148,AG148=$G148),Auxiliar!$C$11,IF(AND(SIGN($E148-$G148)=SIGN(AE148-AG148),MAX($E148,$G148)=MAX(AE148,AG148)),Auxiliar!$C$12,IF(ABS($E148-$G148)=ABS(AE148-AG148),Auxiliar!$C$13,IF(AND(SIGN($E148-$G148)=SIGN(AE148-AG148),MIN($E148,$G148)=MIN(AE148,AG148)),Auxiliar!$C$14,IF(SIGN($E148-$G148)=SIGN(AE148-AG148),Auxiliar!$C$15,IF(AE148=AG148,Auxiliar!$C$16,0)))))))</f>
        <v/>
      </c>
    </row>
    <row r="149" spans="3:34" x14ac:dyDescent="0.25">
      <c r="C149" s="24">
        <f t="shared" si="1"/>
        <v>14</v>
      </c>
      <c r="D149" s="18"/>
      <c r="E149" s="13"/>
      <c r="F149" s="12" t="s">
        <v>23</v>
      </c>
      <c r="G149" s="13"/>
      <c r="H149" s="14"/>
      <c r="K149" s="9">
        <v>4</v>
      </c>
      <c r="L149" s="10" t="s">
        <v>23</v>
      </c>
      <c r="M149" s="11">
        <v>5</v>
      </c>
      <c r="N149" s="60" t="str">
        <f>IF(OR($E149="",$G149=""),"",IF(AND(K149=$E149,M149=$G149),Auxiliar!$C$11,IF(AND(SIGN($E149-$G149)=SIGN(K149-M149),MAX($E149,$G149)=MAX(K149,M149)),Auxiliar!$C$12,IF(ABS($E149-$G149)=ABS(K149-M149),Auxiliar!$C$13,IF(AND(SIGN($E149-$G149)=SIGN(K149-M149),MIN($E149,$G149)=MIN(K149,M149)),Auxiliar!$C$14,IF(SIGN($E149-$G149)=SIGN(K149-M149),Auxiliar!$C$15,IF(K149=M149,Auxiliar!$C$16,0)))))))</f>
        <v/>
      </c>
      <c r="P149" s="9">
        <v>3</v>
      </c>
      <c r="Q149" s="10" t="s">
        <v>23</v>
      </c>
      <c r="R149" s="11">
        <v>4</v>
      </c>
      <c r="S149" s="60" t="str">
        <f>IF(OR($E149="",$G149=""),"",IF(AND(P149=$E149,R149=$G149),Auxiliar!$C$11,IF(AND(SIGN($E149-$G149)=SIGN(P149-R149),MAX($E149,$G149)=MAX(P149,R149)),Auxiliar!$C$12,IF(ABS($E149-$G149)=ABS(P149-R149),Auxiliar!$C$13,IF(AND(SIGN($E149-$G149)=SIGN(P149-R149),MIN($E149,$G149)=MIN(P149,R149)),Auxiliar!$C$14,IF(SIGN($E149-$G149)=SIGN(P149-R149),Auxiliar!$C$15,IF(P149=R149,Auxiliar!$C$16,0)))))))</f>
        <v/>
      </c>
      <c r="U149" s="9">
        <v>2</v>
      </c>
      <c r="V149" s="10" t="s">
        <v>23</v>
      </c>
      <c r="W149" s="11">
        <v>0</v>
      </c>
      <c r="X149" s="60" t="str">
        <f>IF(OR($E149="",$G149=""),"",IF(AND(U149=$E149,W149=$G149),Auxiliar!$C$11,IF(AND(SIGN($E149-$G149)=SIGN(U149-W149),MAX($E149,$G149)=MAX(U149,W149)),Auxiliar!$C$12,IF(ABS($E149-$G149)=ABS(U149-W149),Auxiliar!$C$13,IF(AND(SIGN($E149-$G149)=SIGN(U149-W149),MIN($E149,$G149)=MIN(U149,W149)),Auxiliar!$C$14,IF(SIGN($E149-$G149)=SIGN(U149-W149),Auxiliar!$C$15,IF(U149=W149,Auxiliar!$C$16,0)))))))</f>
        <v/>
      </c>
      <c r="Z149" s="9">
        <v>4</v>
      </c>
      <c r="AA149" s="10" t="s">
        <v>23</v>
      </c>
      <c r="AB149" s="11">
        <v>1</v>
      </c>
      <c r="AC149" s="60" t="str">
        <f>IF(OR($E149="",$G149=""),"",IF(AND(Z149=$E149,AB149=$G149),Auxiliar!$C$11,IF(AND(SIGN($E149-$G149)=SIGN(Z149-AB149),MAX($E149,$G149)=MAX(Z149,AB149)),Auxiliar!$C$12,IF(ABS($E149-$G149)=ABS(Z149-AB149),Auxiliar!$C$13,IF(AND(SIGN($E149-$G149)=SIGN(Z149-AB149),MIN($E149,$G149)=MIN(Z149,AB149)),Auxiliar!$C$14,IF(SIGN($E149-$G149)=SIGN(Z149-AB149),Auxiliar!$C$15,IF(Z149=AB149,Auxiliar!$C$16,0)))))))</f>
        <v/>
      </c>
      <c r="AE149" s="9">
        <v>1</v>
      </c>
      <c r="AF149" s="10" t="s">
        <v>23</v>
      </c>
      <c r="AG149" s="11">
        <v>0</v>
      </c>
      <c r="AH149" s="60" t="str">
        <f>IF(OR($E149="",$G149=""),"",IF(AND(AE149=$E149,AG149=$G149),Auxiliar!$C$11,IF(AND(SIGN($E149-$G149)=SIGN(AE149-AG149),MAX($E149,$G149)=MAX(AE149,AG149)),Auxiliar!$C$12,IF(ABS($E149-$G149)=ABS(AE149-AG149),Auxiliar!$C$13,IF(AND(SIGN($E149-$G149)=SIGN(AE149-AG149),MIN($E149,$G149)=MIN(AE149,AG149)),Auxiliar!$C$14,IF(SIGN($E149-$G149)=SIGN(AE149-AG149),Auxiliar!$C$15,IF(AE149=AG149,Auxiliar!$C$16,0)))))))</f>
        <v/>
      </c>
    </row>
    <row r="150" spans="3:34" x14ac:dyDescent="0.25">
      <c r="C150" s="24">
        <f t="shared" si="1"/>
        <v>14</v>
      </c>
      <c r="D150" s="18"/>
      <c r="E150" s="13"/>
      <c r="F150" s="12" t="s">
        <v>23</v>
      </c>
      <c r="G150" s="13"/>
      <c r="H150" s="14"/>
      <c r="K150" s="9">
        <v>5</v>
      </c>
      <c r="L150" s="10" t="s">
        <v>23</v>
      </c>
      <c r="M150" s="11">
        <v>3</v>
      </c>
      <c r="N150" s="60" t="str">
        <f>IF(OR($E150="",$G150=""),"",IF(AND(K150=$E150,M150=$G150),Auxiliar!$C$11,IF(AND(SIGN($E150-$G150)=SIGN(K150-M150),MAX($E150,$G150)=MAX(K150,M150)),Auxiliar!$C$12,IF(ABS($E150-$G150)=ABS(K150-M150),Auxiliar!$C$13,IF(AND(SIGN($E150-$G150)=SIGN(K150-M150),MIN($E150,$G150)=MIN(K150,M150)),Auxiliar!$C$14,IF(SIGN($E150-$G150)=SIGN(K150-M150),Auxiliar!$C$15,IF(K150=M150,Auxiliar!$C$16,0)))))))</f>
        <v/>
      </c>
      <c r="P150" s="9">
        <v>0</v>
      </c>
      <c r="Q150" s="10" t="s">
        <v>23</v>
      </c>
      <c r="R150" s="11">
        <v>2</v>
      </c>
      <c r="S150" s="60" t="str">
        <f>IF(OR($E150="",$G150=""),"",IF(AND(P150=$E150,R150=$G150),Auxiliar!$C$11,IF(AND(SIGN($E150-$G150)=SIGN(P150-R150),MAX($E150,$G150)=MAX(P150,R150)),Auxiliar!$C$12,IF(ABS($E150-$G150)=ABS(P150-R150),Auxiliar!$C$13,IF(AND(SIGN($E150-$G150)=SIGN(P150-R150),MIN($E150,$G150)=MIN(P150,R150)),Auxiliar!$C$14,IF(SIGN($E150-$G150)=SIGN(P150-R150),Auxiliar!$C$15,IF(P150=R150,Auxiliar!$C$16,0)))))))</f>
        <v/>
      </c>
      <c r="U150" s="9">
        <v>3</v>
      </c>
      <c r="V150" s="10" t="s">
        <v>23</v>
      </c>
      <c r="W150" s="11">
        <v>2</v>
      </c>
      <c r="X150" s="60" t="str">
        <f>IF(OR($E150="",$G150=""),"",IF(AND(U150=$E150,W150=$G150),Auxiliar!$C$11,IF(AND(SIGN($E150-$G150)=SIGN(U150-W150),MAX($E150,$G150)=MAX(U150,W150)),Auxiliar!$C$12,IF(ABS($E150-$G150)=ABS(U150-W150),Auxiliar!$C$13,IF(AND(SIGN($E150-$G150)=SIGN(U150-W150),MIN($E150,$G150)=MIN(U150,W150)),Auxiliar!$C$14,IF(SIGN($E150-$G150)=SIGN(U150-W150),Auxiliar!$C$15,IF(U150=W150,Auxiliar!$C$16,0)))))))</f>
        <v/>
      </c>
      <c r="Z150" s="9">
        <v>3</v>
      </c>
      <c r="AA150" s="10" t="s">
        <v>23</v>
      </c>
      <c r="AB150" s="11">
        <v>4</v>
      </c>
      <c r="AC150" s="60" t="str">
        <f>IF(OR($E150="",$G150=""),"",IF(AND(Z150=$E150,AB150=$G150),Auxiliar!$C$11,IF(AND(SIGN($E150-$G150)=SIGN(Z150-AB150),MAX($E150,$G150)=MAX(Z150,AB150)),Auxiliar!$C$12,IF(ABS($E150-$G150)=ABS(Z150-AB150),Auxiliar!$C$13,IF(AND(SIGN($E150-$G150)=SIGN(Z150-AB150),MIN($E150,$G150)=MIN(Z150,AB150)),Auxiliar!$C$14,IF(SIGN($E150-$G150)=SIGN(Z150-AB150),Auxiliar!$C$15,IF(Z150=AB150,Auxiliar!$C$16,0)))))))</f>
        <v/>
      </c>
      <c r="AE150" s="9">
        <v>5</v>
      </c>
      <c r="AF150" s="10" t="s">
        <v>23</v>
      </c>
      <c r="AG150" s="11">
        <v>2</v>
      </c>
      <c r="AH150" s="60" t="str">
        <f>IF(OR($E150="",$G150=""),"",IF(AND(AE150=$E150,AG150=$G150),Auxiliar!$C$11,IF(AND(SIGN($E150-$G150)=SIGN(AE150-AG150),MAX($E150,$G150)=MAX(AE150,AG150)),Auxiliar!$C$12,IF(ABS($E150-$G150)=ABS(AE150-AG150),Auxiliar!$C$13,IF(AND(SIGN($E150-$G150)=SIGN(AE150-AG150),MIN($E150,$G150)=MIN(AE150,AG150)),Auxiliar!$C$14,IF(SIGN($E150-$G150)=SIGN(AE150-AG150),Auxiliar!$C$15,IF(AE150=AG150,Auxiliar!$C$16,0)))))))</f>
        <v/>
      </c>
    </row>
    <row r="151" spans="3:34" x14ac:dyDescent="0.25">
      <c r="C151" s="24">
        <f t="shared" si="1"/>
        <v>14</v>
      </c>
      <c r="D151" s="18"/>
      <c r="E151" s="13"/>
      <c r="F151" s="12" t="s">
        <v>23</v>
      </c>
      <c r="G151" s="13"/>
      <c r="H151" s="14"/>
      <c r="K151" s="9">
        <v>0</v>
      </c>
      <c r="L151" s="10" t="s">
        <v>23</v>
      </c>
      <c r="M151" s="11">
        <v>2</v>
      </c>
      <c r="N151" s="60" t="str">
        <f>IF(OR($E151="",$G151=""),"",IF(AND(K151=$E151,M151=$G151),Auxiliar!$C$11,IF(AND(SIGN($E151-$G151)=SIGN(K151-M151),MAX($E151,$G151)=MAX(K151,M151)),Auxiliar!$C$12,IF(ABS($E151-$G151)=ABS(K151-M151),Auxiliar!$C$13,IF(AND(SIGN($E151-$G151)=SIGN(K151-M151),MIN($E151,$G151)=MIN(K151,M151)),Auxiliar!$C$14,IF(SIGN($E151-$G151)=SIGN(K151-M151),Auxiliar!$C$15,IF(K151=M151,Auxiliar!$C$16,0)))))))</f>
        <v/>
      </c>
      <c r="P151" s="9">
        <v>0</v>
      </c>
      <c r="Q151" s="10" t="s">
        <v>23</v>
      </c>
      <c r="R151" s="11">
        <v>1</v>
      </c>
      <c r="S151" s="60" t="str">
        <f>IF(OR($E151="",$G151=""),"",IF(AND(P151=$E151,R151=$G151),Auxiliar!$C$11,IF(AND(SIGN($E151-$G151)=SIGN(P151-R151),MAX($E151,$G151)=MAX(P151,R151)),Auxiliar!$C$12,IF(ABS($E151-$G151)=ABS(P151-R151),Auxiliar!$C$13,IF(AND(SIGN($E151-$G151)=SIGN(P151-R151),MIN($E151,$G151)=MIN(P151,R151)),Auxiliar!$C$14,IF(SIGN($E151-$G151)=SIGN(P151-R151),Auxiliar!$C$15,IF(P151=R151,Auxiliar!$C$16,0)))))))</f>
        <v/>
      </c>
      <c r="U151" s="9">
        <v>0</v>
      </c>
      <c r="V151" s="10" t="s">
        <v>23</v>
      </c>
      <c r="W151" s="11">
        <v>3</v>
      </c>
      <c r="X151" s="60" t="str">
        <f>IF(OR($E151="",$G151=""),"",IF(AND(U151=$E151,W151=$G151),Auxiliar!$C$11,IF(AND(SIGN($E151-$G151)=SIGN(U151-W151),MAX($E151,$G151)=MAX(U151,W151)),Auxiliar!$C$12,IF(ABS($E151-$G151)=ABS(U151-W151),Auxiliar!$C$13,IF(AND(SIGN($E151-$G151)=SIGN(U151-W151),MIN($E151,$G151)=MIN(U151,W151)),Auxiliar!$C$14,IF(SIGN($E151-$G151)=SIGN(U151-W151),Auxiliar!$C$15,IF(U151=W151,Auxiliar!$C$16,0)))))))</f>
        <v/>
      </c>
      <c r="Z151" s="9">
        <v>4</v>
      </c>
      <c r="AA151" s="10" t="s">
        <v>23</v>
      </c>
      <c r="AB151" s="11">
        <v>1</v>
      </c>
      <c r="AC151" s="60" t="str">
        <f>IF(OR($E151="",$G151=""),"",IF(AND(Z151=$E151,AB151=$G151),Auxiliar!$C$11,IF(AND(SIGN($E151-$G151)=SIGN(Z151-AB151),MAX($E151,$G151)=MAX(Z151,AB151)),Auxiliar!$C$12,IF(ABS($E151-$G151)=ABS(Z151-AB151),Auxiliar!$C$13,IF(AND(SIGN($E151-$G151)=SIGN(Z151-AB151),MIN($E151,$G151)=MIN(Z151,AB151)),Auxiliar!$C$14,IF(SIGN($E151-$G151)=SIGN(Z151-AB151),Auxiliar!$C$15,IF(Z151=AB151,Auxiliar!$C$16,0)))))))</f>
        <v/>
      </c>
      <c r="AE151" s="9">
        <v>4</v>
      </c>
      <c r="AF151" s="10" t="s">
        <v>23</v>
      </c>
      <c r="AG151" s="11">
        <v>1</v>
      </c>
      <c r="AH151" s="60" t="str">
        <f>IF(OR($E151="",$G151=""),"",IF(AND(AE151=$E151,AG151=$G151),Auxiliar!$C$11,IF(AND(SIGN($E151-$G151)=SIGN(AE151-AG151),MAX($E151,$G151)=MAX(AE151,AG151)),Auxiliar!$C$12,IF(ABS($E151-$G151)=ABS(AE151-AG151),Auxiliar!$C$13,IF(AND(SIGN($E151-$G151)=SIGN(AE151-AG151),MIN($E151,$G151)=MIN(AE151,AG151)),Auxiliar!$C$14,IF(SIGN($E151-$G151)=SIGN(AE151-AG151),Auxiliar!$C$15,IF(AE151=AG151,Auxiliar!$C$16,0)))))))</f>
        <v/>
      </c>
    </row>
    <row r="152" spans="3:34" x14ac:dyDescent="0.25">
      <c r="C152" s="24">
        <f t="shared" si="1"/>
        <v>14</v>
      </c>
      <c r="D152" s="18"/>
      <c r="E152" s="13"/>
      <c r="F152" s="12" t="s">
        <v>23</v>
      </c>
      <c r="G152" s="13"/>
      <c r="H152" s="14"/>
      <c r="K152" s="9">
        <v>4</v>
      </c>
      <c r="L152" s="10" t="s">
        <v>23</v>
      </c>
      <c r="M152" s="11">
        <v>4</v>
      </c>
      <c r="N152" s="60" t="str">
        <f>IF(OR($E152="",$G152=""),"",IF(AND(K152=$E152,M152=$G152),Auxiliar!$C$11,IF(AND(SIGN($E152-$G152)=SIGN(K152-M152),MAX($E152,$G152)=MAX(K152,M152)),Auxiliar!$C$12,IF(ABS($E152-$G152)=ABS(K152-M152),Auxiliar!$C$13,IF(AND(SIGN($E152-$G152)=SIGN(K152-M152),MIN($E152,$G152)=MIN(K152,M152)),Auxiliar!$C$14,IF(SIGN($E152-$G152)=SIGN(K152-M152),Auxiliar!$C$15,IF(K152=M152,Auxiliar!$C$16,0)))))))</f>
        <v/>
      </c>
      <c r="P152" s="9">
        <v>1</v>
      </c>
      <c r="Q152" s="10" t="s">
        <v>23</v>
      </c>
      <c r="R152" s="11">
        <v>1</v>
      </c>
      <c r="S152" s="60" t="str">
        <f>IF(OR($E152="",$G152=""),"",IF(AND(P152=$E152,R152=$G152),Auxiliar!$C$11,IF(AND(SIGN($E152-$G152)=SIGN(P152-R152),MAX($E152,$G152)=MAX(P152,R152)),Auxiliar!$C$12,IF(ABS($E152-$G152)=ABS(P152-R152),Auxiliar!$C$13,IF(AND(SIGN($E152-$G152)=SIGN(P152-R152),MIN($E152,$G152)=MIN(P152,R152)),Auxiliar!$C$14,IF(SIGN($E152-$G152)=SIGN(P152-R152),Auxiliar!$C$15,IF(P152=R152,Auxiliar!$C$16,0)))))))</f>
        <v/>
      </c>
      <c r="U152" s="9">
        <v>1</v>
      </c>
      <c r="V152" s="10" t="s">
        <v>23</v>
      </c>
      <c r="W152" s="11">
        <v>3</v>
      </c>
      <c r="X152" s="60" t="str">
        <f>IF(OR($E152="",$G152=""),"",IF(AND(U152=$E152,W152=$G152),Auxiliar!$C$11,IF(AND(SIGN($E152-$G152)=SIGN(U152-W152),MAX($E152,$G152)=MAX(U152,W152)),Auxiliar!$C$12,IF(ABS($E152-$G152)=ABS(U152-W152),Auxiliar!$C$13,IF(AND(SIGN($E152-$G152)=SIGN(U152-W152),MIN($E152,$G152)=MIN(U152,W152)),Auxiliar!$C$14,IF(SIGN($E152-$G152)=SIGN(U152-W152),Auxiliar!$C$15,IF(U152=W152,Auxiliar!$C$16,0)))))))</f>
        <v/>
      </c>
      <c r="Z152" s="9">
        <v>3</v>
      </c>
      <c r="AA152" s="10" t="s">
        <v>23</v>
      </c>
      <c r="AB152" s="11">
        <v>2</v>
      </c>
      <c r="AC152" s="60" t="str">
        <f>IF(OR($E152="",$G152=""),"",IF(AND(Z152=$E152,AB152=$G152),Auxiliar!$C$11,IF(AND(SIGN($E152-$G152)=SIGN(Z152-AB152),MAX($E152,$G152)=MAX(Z152,AB152)),Auxiliar!$C$12,IF(ABS($E152-$G152)=ABS(Z152-AB152),Auxiliar!$C$13,IF(AND(SIGN($E152-$G152)=SIGN(Z152-AB152),MIN($E152,$G152)=MIN(Z152,AB152)),Auxiliar!$C$14,IF(SIGN($E152-$G152)=SIGN(Z152-AB152),Auxiliar!$C$15,IF(Z152=AB152,Auxiliar!$C$16,0)))))))</f>
        <v/>
      </c>
      <c r="AE152" s="9">
        <v>1</v>
      </c>
      <c r="AF152" s="10" t="s">
        <v>23</v>
      </c>
      <c r="AG152" s="11">
        <v>2</v>
      </c>
      <c r="AH152" s="60" t="str">
        <f>IF(OR($E152="",$G152=""),"",IF(AND(AE152=$E152,AG152=$G152),Auxiliar!$C$11,IF(AND(SIGN($E152-$G152)=SIGN(AE152-AG152),MAX($E152,$G152)=MAX(AE152,AG152)),Auxiliar!$C$12,IF(ABS($E152-$G152)=ABS(AE152-AG152),Auxiliar!$C$13,IF(AND(SIGN($E152-$G152)=SIGN(AE152-AG152),MIN($E152,$G152)=MIN(AE152,AG152)),Auxiliar!$C$14,IF(SIGN($E152-$G152)=SIGN(AE152-AG152),Auxiliar!$C$15,IF(AE152=AG152,Auxiliar!$C$16,0)))))))</f>
        <v/>
      </c>
    </row>
    <row r="153" spans="3:34" x14ac:dyDescent="0.25">
      <c r="C153" s="24">
        <f t="shared" si="1"/>
        <v>14</v>
      </c>
      <c r="D153" s="18"/>
      <c r="E153" s="13"/>
      <c r="F153" s="12" t="s">
        <v>23</v>
      </c>
      <c r="G153" s="13"/>
      <c r="H153" s="14"/>
      <c r="K153" s="9">
        <v>5</v>
      </c>
      <c r="L153" s="10" t="s">
        <v>23</v>
      </c>
      <c r="M153" s="11">
        <v>0</v>
      </c>
      <c r="N153" s="60" t="str">
        <f>IF(OR($E153="",$G153=""),"",IF(AND(K153=$E153,M153=$G153),Auxiliar!$C$11,IF(AND(SIGN($E153-$G153)=SIGN(K153-M153),MAX($E153,$G153)=MAX(K153,M153)),Auxiliar!$C$12,IF(ABS($E153-$G153)=ABS(K153-M153),Auxiliar!$C$13,IF(AND(SIGN($E153-$G153)=SIGN(K153-M153),MIN($E153,$G153)=MIN(K153,M153)),Auxiliar!$C$14,IF(SIGN($E153-$G153)=SIGN(K153-M153),Auxiliar!$C$15,IF(K153=M153,Auxiliar!$C$16,0)))))))</f>
        <v/>
      </c>
      <c r="P153" s="9">
        <v>4</v>
      </c>
      <c r="Q153" s="10" t="s">
        <v>23</v>
      </c>
      <c r="R153" s="11">
        <v>0</v>
      </c>
      <c r="S153" s="60" t="str">
        <f>IF(OR($E153="",$G153=""),"",IF(AND(P153=$E153,R153=$G153),Auxiliar!$C$11,IF(AND(SIGN($E153-$G153)=SIGN(P153-R153),MAX($E153,$G153)=MAX(P153,R153)),Auxiliar!$C$12,IF(ABS($E153-$G153)=ABS(P153-R153),Auxiliar!$C$13,IF(AND(SIGN($E153-$G153)=SIGN(P153-R153),MIN($E153,$G153)=MIN(P153,R153)),Auxiliar!$C$14,IF(SIGN($E153-$G153)=SIGN(P153-R153),Auxiliar!$C$15,IF(P153=R153,Auxiliar!$C$16,0)))))))</f>
        <v/>
      </c>
      <c r="U153" s="9">
        <v>3</v>
      </c>
      <c r="V153" s="10" t="s">
        <v>23</v>
      </c>
      <c r="W153" s="11">
        <v>4</v>
      </c>
      <c r="X153" s="60" t="str">
        <f>IF(OR($E153="",$G153=""),"",IF(AND(U153=$E153,W153=$G153),Auxiliar!$C$11,IF(AND(SIGN($E153-$G153)=SIGN(U153-W153),MAX($E153,$G153)=MAX(U153,W153)),Auxiliar!$C$12,IF(ABS($E153-$G153)=ABS(U153-W153),Auxiliar!$C$13,IF(AND(SIGN($E153-$G153)=SIGN(U153-W153),MIN($E153,$G153)=MIN(U153,W153)),Auxiliar!$C$14,IF(SIGN($E153-$G153)=SIGN(U153-W153),Auxiliar!$C$15,IF(U153=W153,Auxiliar!$C$16,0)))))))</f>
        <v/>
      </c>
      <c r="Z153" s="9">
        <v>3</v>
      </c>
      <c r="AA153" s="10" t="s">
        <v>23</v>
      </c>
      <c r="AB153" s="11">
        <v>4</v>
      </c>
      <c r="AC153" s="60" t="str">
        <f>IF(OR($E153="",$G153=""),"",IF(AND(Z153=$E153,AB153=$G153),Auxiliar!$C$11,IF(AND(SIGN($E153-$G153)=SIGN(Z153-AB153),MAX($E153,$G153)=MAX(Z153,AB153)),Auxiliar!$C$12,IF(ABS($E153-$G153)=ABS(Z153-AB153),Auxiliar!$C$13,IF(AND(SIGN($E153-$G153)=SIGN(Z153-AB153),MIN($E153,$G153)=MIN(Z153,AB153)),Auxiliar!$C$14,IF(SIGN($E153-$G153)=SIGN(Z153-AB153),Auxiliar!$C$15,IF(Z153=AB153,Auxiliar!$C$16,0)))))))</f>
        <v/>
      </c>
      <c r="AE153" s="9">
        <v>3</v>
      </c>
      <c r="AF153" s="10" t="s">
        <v>23</v>
      </c>
      <c r="AG153" s="11">
        <v>0</v>
      </c>
      <c r="AH153" s="60" t="str">
        <f>IF(OR($E153="",$G153=""),"",IF(AND(AE153=$E153,AG153=$G153),Auxiliar!$C$11,IF(AND(SIGN($E153-$G153)=SIGN(AE153-AG153),MAX($E153,$G153)=MAX(AE153,AG153)),Auxiliar!$C$12,IF(ABS($E153-$G153)=ABS(AE153-AG153),Auxiliar!$C$13,IF(AND(SIGN($E153-$G153)=SIGN(AE153-AG153),MIN($E153,$G153)=MIN(AE153,AG153)),Auxiliar!$C$14,IF(SIGN($E153-$G153)=SIGN(AE153-AG153),Auxiliar!$C$15,IF(AE153=AG153,Auxiliar!$C$16,0)))))))</f>
        <v/>
      </c>
    </row>
    <row r="154" spans="3:34" x14ac:dyDescent="0.25">
      <c r="C154" s="24">
        <f t="shared" si="1"/>
        <v>14</v>
      </c>
      <c r="D154" s="18"/>
      <c r="E154" s="13"/>
      <c r="F154" s="12" t="s">
        <v>23</v>
      </c>
      <c r="G154" s="13"/>
      <c r="H154" s="14"/>
      <c r="K154" s="9">
        <v>5</v>
      </c>
      <c r="L154" s="10" t="s">
        <v>23</v>
      </c>
      <c r="M154" s="11">
        <v>1</v>
      </c>
      <c r="N154" s="60" t="str">
        <f>IF(OR($E154="",$G154=""),"",IF(AND(K154=$E154,M154=$G154),Auxiliar!$C$11,IF(AND(SIGN($E154-$G154)=SIGN(K154-M154),MAX($E154,$G154)=MAX(K154,M154)),Auxiliar!$C$12,IF(ABS($E154-$G154)=ABS(K154-M154),Auxiliar!$C$13,IF(AND(SIGN($E154-$G154)=SIGN(K154-M154),MIN($E154,$G154)=MIN(K154,M154)),Auxiliar!$C$14,IF(SIGN($E154-$G154)=SIGN(K154-M154),Auxiliar!$C$15,IF(K154=M154,Auxiliar!$C$16,0)))))))</f>
        <v/>
      </c>
      <c r="P154" s="9">
        <v>3</v>
      </c>
      <c r="Q154" s="10" t="s">
        <v>23</v>
      </c>
      <c r="R154" s="11">
        <v>4</v>
      </c>
      <c r="S154" s="60" t="str">
        <f>IF(OR($E154="",$G154=""),"",IF(AND(P154=$E154,R154=$G154),Auxiliar!$C$11,IF(AND(SIGN($E154-$G154)=SIGN(P154-R154),MAX($E154,$G154)=MAX(P154,R154)),Auxiliar!$C$12,IF(ABS($E154-$G154)=ABS(P154-R154),Auxiliar!$C$13,IF(AND(SIGN($E154-$G154)=SIGN(P154-R154),MIN($E154,$G154)=MIN(P154,R154)),Auxiliar!$C$14,IF(SIGN($E154-$G154)=SIGN(P154-R154),Auxiliar!$C$15,IF(P154=R154,Auxiliar!$C$16,0)))))))</f>
        <v/>
      </c>
      <c r="U154" s="9">
        <v>2</v>
      </c>
      <c r="V154" s="10" t="s">
        <v>23</v>
      </c>
      <c r="W154" s="11">
        <v>1</v>
      </c>
      <c r="X154" s="60" t="str">
        <f>IF(OR($E154="",$G154=""),"",IF(AND(U154=$E154,W154=$G154),Auxiliar!$C$11,IF(AND(SIGN($E154-$G154)=SIGN(U154-W154),MAX($E154,$G154)=MAX(U154,W154)),Auxiliar!$C$12,IF(ABS($E154-$G154)=ABS(U154-W154),Auxiliar!$C$13,IF(AND(SIGN($E154-$G154)=SIGN(U154-W154),MIN($E154,$G154)=MIN(U154,W154)),Auxiliar!$C$14,IF(SIGN($E154-$G154)=SIGN(U154-W154),Auxiliar!$C$15,IF(U154=W154,Auxiliar!$C$16,0)))))))</f>
        <v/>
      </c>
      <c r="Z154" s="9">
        <v>5</v>
      </c>
      <c r="AA154" s="10" t="s">
        <v>23</v>
      </c>
      <c r="AB154" s="11">
        <v>4</v>
      </c>
      <c r="AC154" s="60" t="str">
        <f>IF(OR($E154="",$G154=""),"",IF(AND(Z154=$E154,AB154=$G154),Auxiliar!$C$11,IF(AND(SIGN($E154-$G154)=SIGN(Z154-AB154),MAX($E154,$G154)=MAX(Z154,AB154)),Auxiliar!$C$12,IF(ABS($E154-$G154)=ABS(Z154-AB154),Auxiliar!$C$13,IF(AND(SIGN($E154-$G154)=SIGN(Z154-AB154),MIN($E154,$G154)=MIN(Z154,AB154)),Auxiliar!$C$14,IF(SIGN($E154-$G154)=SIGN(Z154-AB154),Auxiliar!$C$15,IF(Z154=AB154,Auxiliar!$C$16,0)))))))</f>
        <v/>
      </c>
      <c r="AE154" s="9">
        <v>1</v>
      </c>
      <c r="AF154" s="10" t="s">
        <v>23</v>
      </c>
      <c r="AG154" s="11">
        <v>0</v>
      </c>
      <c r="AH154" s="60" t="str">
        <f>IF(OR($E154="",$G154=""),"",IF(AND(AE154=$E154,AG154=$G154),Auxiliar!$C$11,IF(AND(SIGN($E154-$G154)=SIGN(AE154-AG154),MAX($E154,$G154)=MAX(AE154,AG154)),Auxiliar!$C$12,IF(ABS($E154-$G154)=ABS(AE154-AG154),Auxiliar!$C$13,IF(AND(SIGN($E154-$G154)=SIGN(AE154-AG154),MIN($E154,$G154)=MIN(AE154,AG154)),Auxiliar!$C$14,IF(SIGN($E154-$G154)=SIGN(AE154-AG154),Auxiliar!$C$15,IF(AE154=AG154,Auxiliar!$C$16,0)))))))</f>
        <v/>
      </c>
    </row>
    <row r="155" spans="3:34" x14ac:dyDescent="0.25">
      <c r="C155" s="24">
        <f t="shared" si="1"/>
        <v>14</v>
      </c>
      <c r="D155" s="18"/>
      <c r="E155" s="13"/>
      <c r="F155" s="12" t="s">
        <v>23</v>
      </c>
      <c r="G155" s="13"/>
      <c r="H155" s="14"/>
      <c r="K155" s="9">
        <v>0</v>
      </c>
      <c r="L155" s="10" t="s">
        <v>23</v>
      </c>
      <c r="M155" s="11">
        <v>3</v>
      </c>
      <c r="N155" s="60" t="str">
        <f>IF(OR($E155="",$G155=""),"",IF(AND(K155=$E155,M155=$G155),Auxiliar!$C$11,IF(AND(SIGN($E155-$G155)=SIGN(K155-M155),MAX($E155,$G155)=MAX(K155,M155)),Auxiliar!$C$12,IF(ABS($E155-$G155)=ABS(K155-M155),Auxiliar!$C$13,IF(AND(SIGN($E155-$G155)=SIGN(K155-M155),MIN($E155,$G155)=MIN(K155,M155)),Auxiliar!$C$14,IF(SIGN($E155-$G155)=SIGN(K155-M155),Auxiliar!$C$15,IF(K155=M155,Auxiliar!$C$16,0)))))))</f>
        <v/>
      </c>
      <c r="P155" s="9">
        <v>3</v>
      </c>
      <c r="Q155" s="10" t="s">
        <v>23</v>
      </c>
      <c r="R155" s="11">
        <v>2</v>
      </c>
      <c r="S155" s="60" t="str">
        <f>IF(OR($E155="",$G155=""),"",IF(AND(P155=$E155,R155=$G155),Auxiliar!$C$11,IF(AND(SIGN($E155-$G155)=SIGN(P155-R155),MAX($E155,$G155)=MAX(P155,R155)),Auxiliar!$C$12,IF(ABS($E155-$G155)=ABS(P155-R155),Auxiliar!$C$13,IF(AND(SIGN($E155-$G155)=SIGN(P155-R155),MIN($E155,$G155)=MIN(P155,R155)),Auxiliar!$C$14,IF(SIGN($E155-$G155)=SIGN(P155-R155),Auxiliar!$C$15,IF(P155=R155,Auxiliar!$C$16,0)))))))</f>
        <v/>
      </c>
      <c r="U155" s="9">
        <v>2</v>
      </c>
      <c r="V155" s="10" t="s">
        <v>23</v>
      </c>
      <c r="W155" s="11">
        <v>2</v>
      </c>
      <c r="X155" s="60" t="str">
        <f>IF(OR($E155="",$G155=""),"",IF(AND(U155=$E155,W155=$G155),Auxiliar!$C$11,IF(AND(SIGN($E155-$G155)=SIGN(U155-W155),MAX($E155,$G155)=MAX(U155,W155)),Auxiliar!$C$12,IF(ABS($E155-$G155)=ABS(U155-W155),Auxiliar!$C$13,IF(AND(SIGN($E155-$G155)=SIGN(U155-W155),MIN($E155,$G155)=MIN(U155,W155)),Auxiliar!$C$14,IF(SIGN($E155-$G155)=SIGN(U155-W155),Auxiliar!$C$15,IF(U155=W155,Auxiliar!$C$16,0)))))))</f>
        <v/>
      </c>
      <c r="Z155" s="9">
        <v>2</v>
      </c>
      <c r="AA155" s="10" t="s">
        <v>23</v>
      </c>
      <c r="AB155" s="11">
        <v>4</v>
      </c>
      <c r="AC155" s="60" t="str">
        <f>IF(OR($E155="",$G155=""),"",IF(AND(Z155=$E155,AB155=$G155),Auxiliar!$C$11,IF(AND(SIGN($E155-$G155)=SIGN(Z155-AB155),MAX($E155,$G155)=MAX(Z155,AB155)),Auxiliar!$C$12,IF(ABS($E155-$G155)=ABS(Z155-AB155),Auxiliar!$C$13,IF(AND(SIGN($E155-$G155)=SIGN(Z155-AB155),MIN($E155,$G155)=MIN(Z155,AB155)),Auxiliar!$C$14,IF(SIGN($E155-$G155)=SIGN(Z155-AB155),Auxiliar!$C$15,IF(Z155=AB155,Auxiliar!$C$16,0)))))))</f>
        <v/>
      </c>
      <c r="AE155" s="9">
        <v>1</v>
      </c>
      <c r="AF155" s="10" t="s">
        <v>23</v>
      </c>
      <c r="AG155" s="11">
        <v>1</v>
      </c>
      <c r="AH155" s="60" t="str">
        <f>IF(OR($E155="",$G155=""),"",IF(AND(AE155=$E155,AG155=$G155),Auxiliar!$C$11,IF(AND(SIGN($E155-$G155)=SIGN(AE155-AG155),MAX($E155,$G155)=MAX(AE155,AG155)),Auxiliar!$C$12,IF(ABS($E155-$G155)=ABS(AE155-AG155),Auxiliar!$C$13,IF(AND(SIGN($E155-$G155)=SIGN(AE155-AG155),MIN($E155,$G155)=MIN(AE155,AG155)),Auxiliar!$C$14,IF(SIGN($E155-$G155)=SIGN(AE155-AG155),Auxiliar!$C$15,IF(AE155=AG155,Auxiliar!$C$16,0)))))))</f>
        <v/>
      </c>
    </row>
    <row r="156" spans="3:34" x14ac:dyDescent="0.25">
      <c r="C156" s="24">
        <f t="shared" si="1"/>
        <v>14</v>
      </c>
      <c r="D156" s="18"/>
      <c r="E156" s="13"/>
      <c r="F156" s="12" t="s">
        <v>23</v>
      </c>
      <c r="G156" s="13"/>
      <c r="H156" s="14"/>
      <c r="K156" s="9">
        <v>0</v>
      </c>
      <c r="L156" s="10" t="s">
        <v>23</v>
      </c>
      <c r="M156" s="11">
        <v>2</v>
      </c>
      <c r="N156" s="60" t="str">
        <f>IF(OR($E156="",$G156=""),"",IF(AND(K156=$E156,M156=$G156),Auxiliar!$C$11,IF(AND(SIGN($E156-$G156)=SIGN(K156-M156),MAX($E156,$G156)=MAX(K156,M156)),Auxiliar!$C$12,IF(ABS($E156-$G156)=ABS(K156-M156),Auxiliar!$C$13,IF(AND(SIGN($E156-$G156)=SIGN(K156-M156),MIN($E156,$G156)=MIN(K156,M156)),Auxiliar!$C$14,IF(SIGN($E156-$G156)=SIGN(K156-M156),Auxiliar!$C$15,IF(K156=M156,Auxiliar!$C$16,0)))))))</f>
        <v/>
      </c>
      <c r="P156" s="9">
        <v>2</v>
      </c>
      <c r="Q156" s="10" t="s">
        <v>23</v>
      </c>
      <c r="R156" s="11">
        <v>3</v>
      </c>
      <c r="S156" s="60" t="str">
        <f>IF(OR($E156="",$G156=""),"",IF(AND(P156=$E156,R156=$G156),Auxiliar!$C$11,IF(AND(SIGN($E156-$G156)=SIGN(P156-R156),MAX($E156,$G156)=MAX(P156,R156)),Auxiliar!$C$12,IF(ABS($E156-$G156)=ABS(P156-R156),Auxiliar!$C$13,IF(AND(SIGN($E156-$G156)=SIGN(P156-R156),MIN($E156,$G156)=MIN(P156,R156)),Auxiliar!$C$14,IF(SIGN($E156-$G156)=SIGN(P156-R156),Auxiliar!$C$15,IF(P156=R156,Auxiliar!$C$16,0)))))))</f>
        <v/>
      </c>
      <c r="U156" s="9">
        <v>3</v>
      </c>
      <c r="V156" s="10" t="s">
        <v>23</v>
      </c>
      <c r="W156" s="11">
        <v>2</v>
      </c>
      <c r="X156" s="60" t="str">
        <f>IF(OR($E156="",$G156=""),"",IF(AND(U156=$E156,W156=$G156),Auxiliar!$C$11,IF(AND(SIGN($E156-$G156)=SIGN(U156-W156),MAX($E156,$G156)=MAX(U156,W156)),Auxiliar!$C$12,IF(ABS($E156-$G156)=ABS(U156-W156),Auxiliar!$C$13,IF(AND(SIGN($E156-$G156)=SIGN(U156-W156),MIN($E156,$G156)=MIN(U156,W156)),Auxiliar!$C$14,IF(SIGN($E156-$G156)=SIGN(U156-W156),Auxiliar!$C$15,IF(U156=W156,Auxiliar!$C$16,0)))))))</f>
        <v/>
      </c>
      <c r="Z156" s="9">
        <v>3</v>
      </c>
      <c r="AA156" s="10" t="s">
        <v>23</v>
      </c>
      <c r="AB156" s="11">
        <v>1</v>
      </c>
      <c r="AC156" s="60" t="str">
        <f>IF(OR($E156="",$G156=""),"",IF(AND(Z156=$E156,AB156=$G156),Auxiliar!$C$11,IF(AND(SIGN($E156-$G156)=SIGN(Z156-AB156),MAX($E156,$G156)=MAX(Z156,AB156)),Auxiliar!$C$12,IF(ABS($E156-$G156)=ABS(Z156-AB156),Auxiliar!$C$13,IF(AND(SIGN($E156-$G156)=SIGN(Z156-AB156),MIN($E156,$G156)=MIN(Z156,AB156)),Auxiliar!$C$14,IF(SIGN($E156-$G156)=SIGN(Z156-AB156),Auxiliar!$C$15,IF(Z156=AB156,Auxiliar!$C$16,0)))))))</f>
        <v/>
      </c>
      <c r="AE156" s="9">
        <v>1</v>
      </c>
      <c r="AF156" s="10" t="s">
        <v>23</v>
      </c>
      <c r="AG156" s="11">
        <v>2</v>
      </c>
      <c r="AH156" s="60" t="str">
        <f>IF(OR($E156="",$G156=""),"",IF(AND(AE156=$E156,AG156=$G156),Auxiliar!$C$11,IF(AND(SIGN($E156-$G156)=SIGN(AE156-AG156),MAX($E156,$G156)=MAX(AE156,AG156)),Auxiliar!$C$12,IF(ABS($E156-$G156)=ABS(AE156-AG156),Auxiliar!$C$13,IF(AND(SIGN($E156-$G156)=SIGN(AE156-AG156),MIN($E156,$G156)=MIN(AE156,AG156)),Auxiliar!$C$14,IF(SIGN($E156-$G156)=SIGN(AE156-AG156),Auxiliar!$C$15,IF(AE156=AG156,Auxiliar!$C$16,0)))))))</f>
        <v/>
      </c>
    </row>
    <row r="157" spans="3:34" x14ac:dyDescent="0.25">
      <c r="C157" s="24">
        <f t="shared" si="1"/>
        <v>14</v>
      </c>
      <c r="D157" s="18"/>
      <c r="E157" s="13"/>
      <c r="F157" s="12" t="s">
        <v>23</v>
      </c>
      <c r="G157" s="13"/>
      <c r="H157" s="14"/>
      <c r="K157" s="9">
        <v>5</v>
      </c>
      <c r="L157" s="10" t="s">
        <v>23</v>
      </c>
      <c r="M157" s="11">
        <v>4</v>
      </c>
      <c r="N157" s="60" t="str">
        <f>IF(OR($E157="",$G157=""),"",IF(AND(K157=$E157,M157=$G157),Auxiliar!$C$11,IF(AND(SIGN($E157-$G157)=SIGN(K157-M157),MAX($E157,$G157)=MAX(K157,M157)),Auxiliar!$C$12,IF(ABS($E157-$G157)=ABS(K157-M157),Auxiliar!$C$13,IF(AND(SIGN($E157-$G157)=SIGN(K157-M157),MIN($E157,$G157)=MIN(K157,M157)),Auxiliar!$C$14,IF(SIGN($E157-$G157)=SIGN(K157-M157),Auxiliar!$C$15,IF(K157=M157,Auxiliar!$C$16,0)))))))</f>
        <v/>
      </c>
      <c r="P157" s="9">
        <v>1</v>
      </c>
      <c r="Q157" s="10" t="s">
        <v>23</v>
      </c>
      <c r="R157" s="11">
        <v>5</v>
      </c>
      <c r="S157" s="60" t="str">
        <f>IF(OR($E157="",$G157=""),"",IF(AND(P157=$E157,R157=$G157),Auxiliar!$C$11,IF(AND(SIGN($E157-$G157)=SIGN(P157-R157),MAX($E157,$G157)=MAX(P157,R157)),Auxiliar!$C$12,IF(ABS($E157-$G157)=ABS(P157-R157),Auxiliar!$C$13,IF(AND(SIGN($E157-$G157)=SIGN(P157-R157),MIN($E157,$G157)=MIN(P157,R157)),Auxiliar!$C$14,IF(SIGN($E157-$G157)=SIGN(P157-R157),Auxiliar!$C$15,IF(P157=R157,Auxiliar!$C$16,0)))))))</f>
        <v/>
      </c>
      <c r="U157" s="9">
        <v>0</v>
      </c>
      <c r="V157" s="10" t="s">
        <v>23</v>
      </c>
      <c r="W157" s="11">
        <v>4</v>
      </c>
      <c r="X157" s="60" t="str">
        <f>IF(OR($E157="",$G157=""),"",IF(AND(U157=$E157,W157=$G157),Auxiliar!$C$11,IF(AND(SIGN($E157-$G157)=SIGN(U157-W157),MAX($E157,$G157)=MAX(U157,W157)),Auxiliar!$C$12,IF(ABS($E157-$G157)=ABS(U157-W157),Auxiliar!$C$13,IF(AND(SIGN($E157-$G157)=SIGN(U157-W157),MIN($E157,$G157)=MIN(U157,W157)),Auxiliar!$C$14,IF(SIGN($E157-$G157)=SIGN(U157-W157),Auxiliar!$C$15,IF(U157=W157,Auxiliar!$C$16,0)))))))</f>
        <v/>
      </c>
      <c r="Z157" s="9">
        <v>5</v>
      </c>
      <c r="AA157" s="10" t="s">
        <v>23</v>
      </c>
      <c r="AB157" s="11">
        <v>0</v>
      </c>
      <c r="AC157" s="60" t="str">
        <f>IF(OR($E157="",$G157=""),"",IF(AND(Z157=$E157,AB157=$G157),Auxiliar!$C$11,IF(AND(SIGN($E157-$G157)=SIGN(Z157-AB157),MAX($E157,$G157)=MAX(Z157,AB157)),Auxiliar!$C$12,IF(ABS($E157-$G157)=ABS(Z157-AB157),Auxiliar!$C$13,IF(AND(SIGN($E157-$G157)=SIGN(Z157-AB157),MIN($E157,$G157)=MIN(Z157,AB157)),Auxiliar!$C$14,IF(SIGN($E157-$G157)=SIGN(Z157-AB157),Auxiliar!$C$15,IF(Z157=AB157,Auxiliar!$C$16,0)))))))</f>
        <v/>
      </c>
      <c r="AE157" s="9">
        <v>0</v>
      </c>
      <c r="AF157" s="10" t="s">
        <v>23</v>
      </c>
      <c r="AG157" s="11">
        <v>1</v>
      </c>
      <c r="AH157" s="60" t="str">
        <f>IF(OR($E157="",$G157=""),"",IF(AND(AE157=$E157,AG157=$G157),Auxiliar!$C$11,IF(AND(SIGN($E157-$G157)=SIGN(AE157-AG157),MAX($E157,$G157)=MAX(AE157,AG157)),Auxiliar!$C$12,IF(ABS($E157-$G157)=ABS(AE157-AG157),Auxiliar!$C$13,IF(AND(SIGN($E157-$G157)=SIGN(AE157-AG157),MIN($E157,$G157)=MIN(AE157,AG157)),Auxiliar!$C$14,IF(SIGN($E157-$G157)=SIGN(AE157-AG157),Auxiliar!$C$15,IF(AE157=AG157,Auxiliar!$C$16,0)))))))</f>
        <v/>
      </c>
    </row>
    <row r="158" spans="3:34" x14ac:dyDescent="0.25">
      <c r="C158" s="24">
        <f t="shared" ref="C158:C221" si="2">C148+1</f>
        <v>14</v>
      </c>
      <c r="D158" s="18"/>
      <c r="E158" s="13"/>
      <c r="F158" s="12" t="s">
        <v>23</v>
      </c>
      <c r="G158" s="13"/>
      <c r="H158" s="14"/>
      <c r="K158" s="9">
        <v>5</v>
      </c>
      <c r="L158" s="10" t="s">
        <v>23</v>
      </c>
      <c r="M158" s="11">
        <v>4</v>
      </c>
      <c r="N158" s="60" t="str">
        <f>IF(OR($E158="",$G158=""),"",IF(AND(K158=$E158,M158=$G158),Auxiliar!$C$11,IF(AND(SIGN($E158-$G158)=SIGN(K158-M158),MAX($E158,$G158)=MAX(K158,M158)),Auxiliar!$C$12,IF(ABS($E158-$G158)=ABS(K158-M158),Auxiliar!$C$13,IF(AND(SIGN($E158-$G158)=SIGN(K158-M158),MIN($E158,$G158)=MIN(K158,M158)),Auxiliar!$C$14,IF(SIGN($E158-$G158)=SIGN(K158-M158),Auxiliar!$C$15,IF(K158=M158,Auxiliar!$C$16,0)))))))</f>
        <v/>
      </c>
      <c r="P158" s="9">
        <v>5</v>
      </c>
      <c r="Q158" s="10" t="s">
        <v>23</v>
      </c>
      <c r="R158" s="11">
        <v>4</v>
      </c>
      <c r="S158" s="60" t="str">
        <f>IF(OR($E158="",$G158=""),"",IF(AND(P158=$E158,R158=$G158),Auxiliar!$C$11,IF(AND(SIGN($E158-$G158)=SIGN(P158-R158),MAX($E158,$G158)=MAX(P158,R158)),Auxiliar!$C$12,IF(ABS($E158-$G158)=ABS(P158-R158),Auxiliar!$C$13,IF(AND(SIGN($E158-$G158)=SIGN(P158-R158),MIN($E158,$G158)=MIN(P158,R158)),Auxiliar!$C$14,IF(SIGN($E158-$G158)=SIGN(P158-R158),Auxiliar!$C$15,IF(P158=R158,Auxiliar!$C$16,0)))))))</f>
        <v/>
      </c>
      <c r="U158" s="9">
        <v>5</v>
      </c>
      <c r="V158" s="10" t="s">
        <v>23</v>
      </c>
      <c r="W158" s="11">
        <v>5</v>
      </c>
      <c r="X158" s="60" t="str">
        <f>IF(OR($E158="",$G158=""),"",IF(AND(U158=$E158,W158=$G158),Auxiliar!$C$11,IF(AND(SIGN($E158-$G158)=SIGN(U158-W158),MAX($E158,$G158)=MAX(U158,W158)),Auxiliar!$C$12,IF(ABS($E158-$G158)=ABS(U158-W158),Auxiliar!$C$13,IF(AND(SIGN($E158-$G158)=SIGN(U158-W158),MIN($E158,$G158)=MIN(U158,W158)),Auxiliar!$C$14,IF(SIGN($E158-$G158)=SIGN(U158-W158),Auxiliar!$C$15,IF(U158=W158,Auxiliar!$C$16,0)))))))</f>
        <v/>
      </c>
      <c r="Z158" s="9">
        <v>2</v>
      </c>
      <c r="AA158" s="10" t="s">
        <v>23</v>
      </c>
      <c r="AB158" s="11">
        <v>1</v>
      </c>
      <c r="AC158" s="60" t="str">
        <f>IF(OR($E158="",$G158=""),"",IF(AND(Z158=$E158,AB158=$G158),Auxiliar!$C$11,IF(AND(SIGN($E158-$G158)=SIGN(Z158-AB158),MAX($E158,$G158)=MAX(Z158,AB158)),Auxiliar!$C$12,IF(ABS($E158-$G158)=ABS(Z158-AB158),Auxiliar!$C$13,IF(AND(SIGN($E158-$G158)=SIGN(Z158-AB158),MIN($E158,$G158)=MIN(Z158,AB158)),Auxiliar!$C$14,IF(SIGN($E158-$G158)=SIGN(Z158-AB158),Auxiliar!$C$15,IF(Z158=AB158,Auxiliar!$C$16,0)))))))</f>
        <v/>
      </c>
      <c r="AE158" s="9">
        <v>3</v>
      </c>
      <c r="AF158" s="10" t="s">
        <v>23</v>
      </c>
      <c r="AG158" s="11">
        <v>0</v>
      </c>
      <c r="AH158" s="60" t="str">
        <f>IF(OR($E158="",$G158=""),"",IF(AND(AE158=$E158,AG158=$G158),Auxiliar!$C$11,IF(AND(SIGN($E158-$G158)=SIGN(AE158-AG158),MAX($E158,$G158)=MAX(AE158,AG158)),Auxiliar!$C$12,IF(ABS($E158-$G158)=ABS(AE158-AG158),Auxiliar!$C$13,IF(AND(SIGN($E158-$G158)=SIGN(AE158-AG158),MIN($E158,$G158)=MIN(AE158,AG158)),Auxiliar!$C$14,IF(SIGN($E158-$G158)=SIGN(AE158-AG158),Auxiliar!$C$15,IF(AE158=AG158,Auxiliar!$C$16,0)))))))</f>
        <v/>
      </c>
    </row>
    <row r="159" spans="3:34" x14ac:dyDescent="0.25">
      <c r="C159" s="24">
        <f t="shared" si="2"/>
        <v>15</v>
      </c>
      <c r="D159" s="18"/>
      <c r="E159" s="13"/>
      <c r="F159" s="12" t="s">
        <v>23</v>
      </c>
      <c r="G159" s="13"/>
      <c r="H159" s="14"/>
      <c r="K159" s="9">
        <v>0</v>
      </c>
      <c r="L159" s="10" t="s">
        <v>23</v>
      </c>
      <c r="M159" s="11">
        <v>2</v>
      </c>
      <c r="N159" s="60" t="str">
        <f>IF(OR($E159="",$G159=""),"",IF(AND(K159=$E159,M159=$G159),Auxiliar!$C$11,IF(AND(SIGN($E159-$G159)=SIGN(K159-M159),MAX($E159,$G159)=MAX(K159,M159)),Auxiliar!$C$12,IF(ABS($E159-$G159)=ABS(K159-M159),Auxiliar!$C$13,IF(AND(SIGN($E159-$G159)=SIGN(K159-M159),MIN($E159,$G159)=MIN(K159,M159)),Auxiliar!$C$14,IF(SIGN($E159-$G159)=SIGN(K159-M159),Auxiliar!$C$15,IF(K159=M159,Auxiliar!$C$16,0)))))))</f>
        <v/>
      </c>
      <c r="P159" s="9">
        <v>3</v>
      </c>
      <c r="Q159" s="10" t="s">
        <v>23</v>
      </c>
      <c r="R159" s="11">
        <v>2</v>
      </c>
      <c r="S159" s="60" t="str">
        <f>IF(OR($E159="",$G159=""),"",IF(AND(P159=$E159,R159=$G159),Auxiliar!$C$11,IF(AND(SIGN($E159-$G159)=SIGN(P159-R159),MAX($E159,$G159)=MAX(P159,R159)),Auxiliar!$C$12,IF(ABS($E159-$G159)=ABS(P159-R159),Auxiliar!$C$13,IF(AND(SIGN($E159-$G159)=SIGN(P159-R159),MIN($E159,$G159)=MIN(P159,R159)),Auxiliar!$C$14,IF(SIGN($E159-$G159)=SIGN(P159-R159),Auxiliar!$C$15,IF(P159=R159,Auxiliar!$C$16,0)))))))</f>
        <v/>
      </c>
      <c r="U159" s="9">
        <v>1</v>
      </c>
      <c r="V159" s="10" t="s">
        <v>23</v>
      </c>
      <c r="W159" s="11">
        <v>2</v>
      </c>
      <c r="X159" s="60" t="str">
        <f>IF(OR($E159="",$G159=""),"",IF(AND(U159=$E159,W159=$G159),Auxiliar!$C$11,IF(AND(SIGN($E159-$G159)=SIGN(U159-W159),MAX($E159,$G159)=MAX(U159,W159)),Auxiliar!$C$12,IF(ABS($E159-$G159)=ABS(U159-W159),Auxiliar!$C$13,IF(AND(SIGN($E159-$G159)=SIGN(U159-W159),MIN($E159,$G159)=MIN(U159,W159)),Auxiliar!$C$14,IF(SIGN($E159-$G159)=SIGN(U159-W159),Auxiliar!$C$15,IF(U159=W159,Auxiliar!$C$16,0)))))))</f>
        <v/>
      </c>
      <c r="Z159" s="9">
        <v>0</v>
      </c>
      <c r="AA159" s="10" t="s">
        <v>23</v>
      </c>
      <c r="AB159" s="11">
        <v>5</v>
      </c>
      <c r="AC159" s="60" t="str">
        <f>IF(OR($E159="",$G159=""),"",IF(AND(Z159=$E159,AB159=$G159),Auxiliar!$C$11,IF(AND(SIGN($E159-$G159)=SIGN(Z159-AB159),MAX($E159,$G159)=MAX(Z159,AB159)),Auxiliar!$C$12,IF(ABS($E159-$G159)=ABS(Z159-AB159),Auxiliar!$C$13,IF(AND(SIGN($E159-$G159)=SIGN(Z159-AB159),MIN($E159,$G159)=MIN(Z159,AB159)),Auxiliar!$C$14,IF(SIGN($E159-$G159)=SIGN(Z159-AB159),Auxiliar!$C$15,IF(Z159=AB159,Auxiliar!$C$16,0)))))))</f>
        <v/>
      </c>
      <c r="AE159" s="9">
        <v>0</v>
      </c>
      <c r="AF159" s="10" t="s">
        <v>23</v>
      </c>
      <c r="AG159" s="11">
        <v>1</v>
      </c>
      <c r="AH159" s="60" t="str">
        <f>IF(OR($E159="",$G159=""),"",IF(AND(AE159=$E159,AG159=$G159),Auxiliar!$C$11,IF(AND(SIGN($E159-$G159)=SIGN(AE159-AG159),MAX($E159,$G159)=MAX(AE159,AG159)),Auxiliar!$C$12,IF(ABS($E159-$G159)=ABS(AE159-AG159),Auxiliar!$C$13,IF(AND(SIGN($E159-$G159)=SIGN(AE159-AG159),MIN($E159,$G159)=MIN(AE159,AG159)),Auxiliar!$C$14,IF(SIGN($E159-$G159)=SIGN(AE159-AG159),Auxiliar!$C$15,IF(AE159=AG159,Auxiliar!$C$16,0)))))))</f>
        <v/>
      </c>
    </row>
    <row r="160" spans="3:34" x14ac:dyDescent="0.25">
      <c r="C160" s="24">
        <f t="shared" si="2"/>
        <v>15</v>
      </c>
      <c r="D160" s="18"/>
      <c r="E160" s="13"/>
      <c r="F160" s="12" t="s">
        <v>23</v>
      </c>
      <c r="G160" s="13"/>
      <c r="H160" s="14"/>
      <c r="K160" s="9">
        <v>0</v>
      </c>
      <c r="L160" s="10" t="s">
        <v>23</v>
      </c>
      <c r="M160" s="11">
        <v>1</v>
      </c>
      <c r="N160" s="60" t="str">
        <f>IF(OR($E160="",$G160=""),"",IF(AND(K160=$E160,M160=$G160),Auxiliar!$C$11,IF(AND(SIGN($E160-$G160)=SIGN(K160-M160),MAX($E160,$G160)=MAX(K160,M160)),Auxiliar!$C$12,IF(ABS($E160-$G160)=ABS(K160-M160),Auxiliar!$C$13,IF(AND(SIGN($E160-$G160)=SIGN(K160-M160),MIN($E160,$G160)=MIN(K160,M160)),Auxiliar!$C$14,IF(SIGN($E160-$G160)=SIGN(K160-M160),Auxiliar!$C$15,IF(K160=M160,Auxiliar!$C$16,0)))))))</f>
        <v/>
      </c>
      <c r="P160" s="9">
        <v>4</v>
      </c>
      <c r="Q160" s="10" t="s">
        <v>23</v>
      </c>
      <c r="R160" s="11">
        <v>0</v>
      </c>
      <c r="S160" s="60" t="str">
        <f>IF(OR($E160="",$G160=""),"",IF(AND(P160=$E160,R160=$G160),Auxiliar!$C$11,IF(AND(SIGN($E160-$G160)=SIGN(P160-R160),MAX($E160,$G160)=MAX(P160,R160)),Auxiliar!$C$12,IF(ABS($E160-$G160)=ABS(P160-R160),Auxiliar!$C$13,IF(AND(SIGN($E160-$G160)=SIGN(P160-R160),MIN($E160,$G160)=MIN(P160,R160)),Auxiliar!$C$14,IF(SIGN($E160-$G160)=SIGN(P160-R160),Auxiliar!$C$15,IF(P160=R160,Auxiliar!$C$16,0)))))))</f>
        <v/>
      </c>
      <c r="U160" s="9">
        <v>1</v>
      </c>
      <c r="V160" s="10" t="s">
        <v>23</v>
      </c>
      <c r="W160" s="11">
        <v>4</v>
      </c>
      <c r="X160" s="60" t="str">
        <f>IF(OR($E160="",$G160=""),"",IF(AND(U160=$E160,W160=$G160),Auxiliar!$C$11,IF(AND(SIGN($E160-$G160)=SIGN(U160-W160),MAX($E160,$G160)=MAX(U160,W160)),Auxiliar!$C$12,IF(ABS($E160-$G160)=ABS(U160-W160),Auxiliar!$C$13,IF(AND(SIGN($E160-$G160)=SIGN(U160-W160),MIN($E160,$G160)=MIN(U160,W160)),Auxiliar!$C$14,IF(SIGN($E160-$G160)=SIGN(U160-W160),Auxiliar!$C$15,IF(U160=W160,Auxiliar!$C$16,0)))))))</f>
        <v/>
      </c>
      <c r="Z160" s="9">
        <v>5</v>
      </c>
      <c r="AA160" s="10" t="s">
        <v>23</v>
      </c>
      <c r="AB160" s="11">
        <v>4</v>
      </c>
      <c r="AC160" s="60" t="str">
        <f>IF(OR($E160="",$G160=""),"",IF(AND(Z160=$E160,AB160=$G160),Auxiliar!$C$11,IF(AND(SIGN($E160-$G160)=SIGN(Z160-AB160),MAX($E160,$G160)=MAX(Z160,AB160)),Auxiliar!$C$12,IF(ABS($E160-$G160)=ABS(Z160-AB160),Auxiliar!$C$13,IF(AND(SIGN($E160-$G160)=SIGN(Z160-AB160),MIN($E160,$G160)=MIN(Z160,AB160)),Auxiliar!$C$14,IF(SIGN($E160-$G160)=SIGN(Z160-AB160),Auxiliar!$C$15,IF(Z160=AB160,Auxiliar!$C$16,0)))))))</f>
        <v/>
      </c>
      <c r="AE160" s="9">
        <v>4</v>
      </c>
      <c r="AF160" s="10" t="s">
        <v>23</v>
      </c>
      <c r="AG160" s="11">
        <v>4</v>
      </c>
      <c r="AH160" s="60" t="str">
        <f>IF(OR($E160="",$G160=""),"",IF(AND(AE160=$E160,AG160=$G160),Auxiliar!$C$11,IF(AND(SIGN($E160-$G160)=SIGN(AE160-AG160),MAX($E160,$G160)=MAX(AE160,AG160)),Auxiliar!$C$12,IF(ABS($E160-$G160)=ABS(AE160-AG160),Auxiliar!$C$13,IF(AND(SIGN($E160-$G160)=SIGN(AE160-AG160),MIN($E160,$G160)=MIN(AE160,AG160)),Auxiliar!$C$14,IF(SIGN($E160-$G160)=SIGN(AE160-AG160),Auxiliar!$C$15,IF(AE160=AG160,Auxiliar!$C$16,0)))))))</f>
        <v/>
      </c>
    </row>
    <row r="161" spans="3:34" x14ac:dyDescent="0.25">
      <c r="C161" s="24">
        <f t="shared" si="2"/>
        <v>15</v>
      </c>
      <c r="D161" s="18"/>
      <c r="E161" s="13"/>
      <c r="F161" s="12" t="s">
        <v>23</v>
      </c>
      <c r="G161" s="13"/>
      <c r="H161" s="14"/>
      <c r="K161" s="9">
        <v>2</v>
      </c>
      <c r="L161" s="10" t="s">
        <v>23</v>
      </c>
      <c r="M161" s="11">
        <v>3</v>
      </c>
      <c r="N161" s="60" t="str">
        <f>IF(OR($E161="",$G161=""),"",IF(AND(K161=$E161,M161=$G161),Auxiliar!$C$11,IF(AND(SIGN($E161-$G161)=SIGN(K161-M161),MAX($E161,$G161)=MAX(K161,M161)),Auxiliar!$C$12,IF(ABS($E161-$G161)=ABS(K161-M161),Auxiliar!$C$13,IF(AND(SIGN($E161-$G161)=SIGN(K161-M161),MIN($E161,$G161)=MIN(K161,M161)),Auxiliar!$C$14,IF(SIGN($E161-$G161)=SIGN(K161-M161),Auxiliar!$C$15,IF(K161=M161,Auxiliar!$C$16,0)))))))</f>
        <v/>
      </c>
      <c r="P161" s="9">
        <v>0</v>
      </c>
      <c r="Q161" s="10" t="s">
        <v>23</v>
      </c>
      <c r="R161" s="11">
        <v>1</v>
      </c>
      <c r="S161" s="60" t="str">
        <f>IF(OR($E161="",$G161=""),"",IF(AND(P161=$E161,R161=$G161),Auxiliar!$C$11,IF(AND(SIGN($E161-$G161)=SIGN(P161-R161),MAX($E161,$G161)=MAX(P161,R161)),Auxiliar!$C$12,IF(ABS($E161-$G161)=ABS(P161-R161),Auxiliar!$C$13,IF(AND(SIGN($E161-$G161)=SIGN(P161-R161),MIN($E161,$G161)=MIN(P161,R161)),Auxiliar!$C$14,IF(SIGN($E161-$G161)=SIGN(P161-R161),Auxiliar!$C$15,IF(P161=R161,Auxiliar!$C$16,0)))))))</f>
        <v/>
      </c>
      <c r="U161" s="9">
        <v>5</v>
      </c>
      <c r="V161" s="10" t="s">
        <v>23</v>
      </c>
      <c r="W161" s="11">
        <v>4</v>
      </c>
      <c r="X161" s="60" t="str">
        <f>IF(OR($E161="",$G161=""),"",IF(AND(U161=$E161,W161=$G161),Auxiliar!$C$11,IF(AND(SIGN($E161-$G161)=SIGN(U161-W161),MAX($E161,$G161)=MAX(U161,W161)),Auxiliar!$C$12,IF(ABS($E161-$G161)=ABS(U161-W161),Auxiliar!$C$13,IF(AND(SIGN($E161-$G161)=SIGN(U161-W161),MIN($E161,$G161)=MIN(U161,W161)),Auxiliar!$C$14,IF(SIGN($E161-$G161)=SIGN(U161-W161),Auxiliar!$C$15,IF(U161=W161,Auxiliar!$C$16,0)))))))</f>
        <v/>
      </c>
      <c r="Z161" s="9">
        <v>5</v>
      </c>
      <c r="AA161" s="10" t="s">
        <v>23</v>
      </c>
      <c r="AB161" s="11">
        <v>4</v>
      </c>
      <c r="AC161" s="60" t="str">
        <f>IF(OR($E161="",$G161=""),"",IF(AND(Z161=$E161,AB161=$G161),Auxiliar!$C$11,IF(AND(SIGN($E161-$G161)=SIGN(Z161-AB161),MAX($E161,$G161)=MAX(Z161,AB161)),Auxiliar!$C$12,IF(ABS($E161-$G161)=ABS(Z161-AB161),Auxiliar!$C$13,IF(AND(SIGN($E161-$G161)=SIGN(Z161-AB161),MIN($E161,$G161)=MIN(Z161,AB161)),Auxiliar!$C$14,IF(SIGN($E161-$G161)=SIGN(Z161-AB161),Auxiliar!$C$15,IF(Z161=AB161,Auxiliar!$C$16,0)))))))</f>
        <v/>
      </c>
      <c r="AE161" s="9">
        <v>5</v>
      </c>
      <c r="AF161" s="10" t="s">
        <v>23</v>
      </c>
      <c r="AG161" s="11">
        <v>0</v>
      </c>
      <c r="AH161" s="60" t="str">
        <f>IF(OR($E161="",$G161=""),"",IF(AND(AE161=$E161,AG161=$G161),Auxiliar!$C$11,IF(AND(SIGN($E161-$G161)=SIGN(AE161-AG161),MAX($E161,$G161)=MAX(AE161,AG161)),Auxiliar!$C$12,IF(ABS($E161-$G161)=ABS(AE161-AG161),Auxiliar!$C$13,IF(AND(SIGN($E161-$G161)=SIGN(AE161-AG161),MIN($E161,$G161)=MIN(AE161,AG161)),Auxiliar!$C$14,IF(SIGN($E161-$G161)=SIGN(AE161-AG161),Auxiliar!$C$15,IF(AE161=AG161,Auxiliar!$C$16,0)))))))</f>
        <v/>
      </c>
    </row>
    <row r="162" spans="3:34" x14ac:dyDescent="0.25">
      <c r="C162" s="24">
        <f t="shared" si="2"/>
        <v>15</v>
      </c>
      <c r="D162" s="18"/>
      <c r="E162" s="13"/>
      <c r="F162" s="12" t="s">
        <v>23</v>
      </c>
      <c r="G162" s="13"/>
      <c r="H162" s="14"/>
      <c r="K162" s="9">
        <v>5</v>
      </c>
      <c r="L162" s="10" t="s">
        <v>23</v>
      </c>
      <c r="M162" s="11">
        <v>0</v>
      </c>
      <c r="N162" s="60" t="str">
        <f>IF(OR($E162="",$G162=""),"",IF(AND(K162=$E162,M162=$G162),Auxiliar!$C$11,IF(AND(SIGN($E162-$G162)=SIGN(K162-M162),MAX($E162,$G162)=MAX(K162,M162)),Auxiliar!$C$12,IF(ABS($E162-$G162)=ABS(K162-M162),Auxiliar!$C$13,IF(AND(SIGN($E162-$G162)=SIGN(K162-M162),MIN($E162,$G162)=MIN(K162,M162)),Auxiliar!$C$14,IF(SIGN($E162-$G162)=SIGN(K162-M162),Auxiliar!$C$15,IF(K162=M162,Auxiliar!$C$16,0)))))))</f>
        <v/>
      </c>
      <c r="P162" s="9">
        <v>1</v>
      </c>
      <c r="Q162" s="10" t="s">
        <v>23</v>
      </c>
      <c r="R162" s="11">
        <v>5</v>
      </c>
      <c r="S162" s="60" t="str">
        <f>IF(OR($E162="",$G162=""),"",IF(AND(P162=$E162,R162=$G162),Auxiliar!$C$11,IF(AND(SIGN($E162-$G162)=SIGN(P162-R162),MAX($E162,$G162)=MAX(P162,R162)),Auxiliar!$C$12,IF(ABS($E162-$G162)=ABS(P162-R162),Auxiliar!$C$13,IF(AND(SIGN($E162-$G162)=SIGN(P162-R162),MIN($E162,$G162)=MIN(P162,R162)),Auxiliar!$C$14,IF(SIGN($E162-$G162)=SIGN(P162-R162),Auxiliar!$C$15,IF(P162=R162,Auxiliar!$C$16,0)))))))</f>
        <v/>
      </c>
      <c r="U162" s="9">
        <v>1</v>
      </c>
      <c r="V162" s="10" t="s">
        <v>23</v>
      </c>
      <c r="W162" s="11">
        <v>5</v>
      </c>
      <c r="X162" s="60" t="str">
        <f>IF(OR($E162="",$G162=""),"",IF(AND(U162=$E162,W162=$G162),Auxiliar!$C$11,IF(AND(SIGN($E162-$G162)=SIGN(U162-W162),MAX($E162,$G162)=MAX(U162,W162)),Auxiliar!$C$12,IF(ABS($E162-$G162)=ABS(U162-W162),Auxiliar!$C$13,IF(AND(SIGN($E162-$G162)=SIGN(U162-W162),MIN($E162,$G162)=MIN(U162,W162)),Auxiliar!$C$14,IF(SIGN($E162-$G162)=SIGN(U162-W162),Auxiliar!$C$15,IF(U162=W162,Auxiliar!$C$16,0)))))))</f>
        <v/>
      </c>
      <c r="Z162" s="9">
        <v>0</v>
      </c>
      <c r="AA162" s="10" t="s">
        <v>23</v>
      </c>
      <c r="AB162" s="11">
        <v>2</v>
      </c>
      <c r="AC162" s="60" t="str">
        <f>IF(OR($E162="",$G162=""),"",IF(AND(Z162=$E162,AB162=$G162),Auxiliar!$C$11,IF(AND(SIGN($E162-$G162)=SIGN(Z162-AB162),MAX($E162,$G162)=MAX(Z162,AB162)),Auxiliar!$C$12,IF(ABS($E162-$G162)=ABS(Z162-AB162),Auxiliar!$C$13,IF(AND(SIGN($E162-$G162)=SIGN(Z162-AB162),MIN($E162,$G162)=MIN(Z162,AB162)),Auxiliar!$C$14,IF(SIGN($E162-$G162)=SIGN(Z162-AB162),Auxiliar!$C$15,IF(Z162=AB162,Auxiliar!$C$16,0)))))))</f>
        <v/>
      </c>
      <c r="AE162" s="9">
        <v>4</v>
      </c>
      <c r="AF162" s="10" t="s">
        <v>23</v>
      </c>
      <c r="AG162" s="11">
        <v>3</v>
      </c>
      <c r="AH162" s="60" t="str">
        <f>IF(OR($E162="",$G162=""),"",IF(AND(AE162=$E162,AG162=$G162),Auxiliar!$C$11,IF(AND(SIGN($E162-$G162)=SIGN(AE162-AG162),MAX($E162,$G162)=MAX(AE162,AG162)),Auxiliar!$C$12,IF(ABS($E162-$G162)=ABS(AE162-AG162),Auxiliar!$C$13,IF(AND(SIGN($E162-$G162)=SIGN(AE162-AG162),MIN($E162,$G162)=MIN(AE162,AG162)),Auxiliar!$C$14,IF(SIGN($E162-$G162)=SIGN(AE162-AG162),Auxiliar!$C$15,IF(AE162=AG162,Auxiliar!$C$16,0)))))))</f>
        <v/>
      </c>
    </row>
    <row r="163" spans="3:34" x14ac:dyDescent="0.25">
      <c r="C163" s="24">
        <f t="shared" si="2"/>
        <v>15</v>
      </c>
      <c r="D163" s="18"/>
      <c r="E163" s="13"/>
      <c r="F163" s="12" t="s">
        <v>23</v>
      </c>
      <c r="G163" s="13"/>
      <c r="H163" s="14"/>
      <c r="K163" s="9">
        <v>5</v>
      </c>
      <c r="L163" s="10" t="s">
        <v>23</v>
      </c>
      <c r="M163" s="11">
        <v>5</v>
      </c>
      <c r="N163" s="60" t="str">
        <f>IF(OR($E163="",$G163=""),"",IF(AND(K163=$E163,M163=$G163),Auxiliar!$C$11,IF(AND(SIGN($E163-$G163)=SIGN(K163-M163),MAX($E163,$G163)=MAX(K163,M163)),Auxiliar!$C$12,IF(ABS($E163-$G163)=ABS(K163-M163),Auxiliar!$C$13,IF(AND(SIGN($E163-$G163)=SIGN(K163-M163),MIN($E163,$G163)=MIN(K163,M163)),Auxiliar!$C$14,IF(SIGN($E163-$G163)=SIGN(K163-M163),Auxiliar!$C$15,IF(K163=M163,Auxiliar!$C$16,0)))))))</f>
        <v/>
      </c>
      <c r="P163" s="9">
        <v>1</v>
      </c>
      <c r="Q163" s="10" t="s">
        <v>23</v>
      </c>
      <c r="R163" s="11">
        <v>4</v>
      </c>
      <c r="S163" s="60" t="str">
        <f>IF(OR($E163="",$G163=""),"",IF(AND(P163=$E163,R163=$G163),Auxiliar!$C$11,IF(AND(SIGN($E163-$G163)=SIGN(P163-R163),MAX($E163,$G163)=MAX(P163,R163)),Auxiliar!$C$12,IF(ABS($E163-$G163)=ABS(P163-R163),Auxiliar!$C$13,IF(AND(SIGN($E163-$G163)=SIGN(P163-R163),MIN($E163,$G163)=MIN(P163,R163)),Auxiliar!$C$14,IF(SIGN($E163-$G163)=SIGN(P163-R163),Auxiliar!$C$15,IF(P163=R163,Auxiliar!$C$16,0)))))))</f>
        <v/>
      </c>
      <c r="U163" s="9">
        <v>0</v>
      </c>
      <c r="V163" s="10" t="s">
        <v>23</v>
      </c>
      <c r="W163" s="11">
        <v>4</v>
      </c>
      <c r="X163" s="60" t="str">
        <f>IF(OR($E163="",$G163=""),"",IF(AND(U163=$E163,W163=$G163),Auxiliar!$C$11,IF(AND(SIGN($E163-$G163)=SIGN(U163-W163),MAX($E163,$G163)=MAX(U163,W163)),Auxiliar!$C$12,IF(ABS($E163-$G163)=ABS(U163-W163),Auxiliar!$C$13,IF(AND(SIGN($E163-$G163)=SIGN(U163-W163),MIN($E163,$G163)=MIN(U163,W163)),Auxiliar!$C$14,IF(SIGN($E163-$G163)=SIGN(U163-W163),Auxiliar!$C$15,IF(U163=W163,Auxiliar!$C$16,0)))))))</f>
        <v/>
      </c>
      <c r="Z163" s="9">
        <v>4</v>
      </c>
      <c r="AA163" s="10" t="s">
        <v>23</v>
      </c>
      <c r="AB163" s="11">
        <v>5</v>
      </c>
      <c r="AC163" s="60" t="str">
        <f>IF(OR($E163="",$G163=""),"",IF(AND(Z163=$E163,AB163=$G163),Auxiliar!$C$11,IF(AND(SIGN($E163-$G163)=SIGN(Z163-AB163),MAX($E163,$G163)=MAX(Z163,AB163)),Auxiliar!$C$12,IF(ABS($E163-$G163)=ABS(Z163-AB163),Auxiliar!$C$13,IF(AND(SIGN($E163-$G163)=SIGN(Z163-AB163),MIN($E163,$G163)=MIN(Z163,AB163)),Auxiliar!$C$14,IF(SIGN($E163-$G163)=SIGN(Z163-AB163),Auxiliar!$C$15,IF(Z163=AB163,Auxiliar!$C$16,0)))))))</f>
        <v/>
      </c>
      <c r="AE163" s="9">
        <v>3</v>
      </c>
      <c r="AF163" s="10" t="s">
        <v>23</v>
      </c>
      <c r="AG163" s="11">
        <v>1</v>
      </c>
      <c r="AH163" s="60" t="str">
        <f>IF(OR($E163="",$G163=""),"",IF(AND(AE163=$E163,AG163=$G163),Auxiliar!$C$11,IF(AND(SIGN($E163-$G163)=SIGN(AE163-AG163),MAX($E163,$G163)=MAX(AE163,AG163)),Auxiliar!$C$12,IF(ABS($E163-$G163)=ABS(AE163-AG163),Auxiliar!$C$13,IF(AND(SIGN($E163-$G163)=SIGN(AE163-AG163),MIN($E163,$G163)=MIN(AE163,AG163)),Auxiliar!$C$14,IF(SIGN($E163-$G163)=SIGN(AE163-AG163),Auxiliar!$C$15,IF(AE163=AG163,Auxiliar!$C$16,0)))))))</f>
        <v/>
      </c>
    </row>
    <row r="164" spans="3:34" x14ac:dyDescent="0.25">
      <c r="C164" s="24">
        <f t="shared" si="2"/>
        <v>15</v>
      </c>
      <c r="D164" s="18"/>
      <c r="E164" s="13"/>
      <c r="F164" s="12" t="s">
        <v>23</v>
      </c>
      <c r="G164" s="13"/>
      <c r="H164" s="14"/>
      <c r="K164" s="9">
        <v>5</v>
      </c>
      <c r="L164" s="10" t="s">
        <v>23</v>
      </c>
      <c r="M164" s="11">
        <v>1</v>
      </c>
      <c r="N164" s="60" t="str">
        <f>IF(OR($E164="",$G164=""),"",IF(AND(K164=$E164,M164=$G164),Auxiliar!$C$11,IF(AND(SIGN($E164-$G164)=SIGN(K164-M164),MAX($E164,$G164)=MAX(K164,M164)),Auxiliar!$C$12,IF(ABS($E164-$G164)=ABS(K164-M164),Auxiliar!$C$13,IF(AND(SIGN($E164-$G164)=SIGN(K164-M164),MIN($E164,$G164)=MIN(K164,M164)),Auxiliar!$C$14,IF(SIGN($E164-$G164)=SIGN(K164-M164),Auxiliar!$C$15,IF(K164=M164,Auxiliar!$C$16,0)))))))</f>
        <v/>
      </c>
      <c r="P164" s="9">
        <v>5</v>
      </c>
      <c r="Q164" s="10" t="s">
        <v>23</v>
      </c>
      <c r="R164" s="11">
        <v>1</v>
      </c>
      <c r="S164" s="60" t="str">
        <f>IF(OR($E164="",$G164=""),"",IF(AND(P164=$E164,R164=$G164),Auxiliar!$C$11,IF(AND(SIGN($E164-$G164)=SIGN(P164-R164),MAX($E164,$G164)=MAX(P164,R164)),Auxiliar!$C$12,IF(ABS($E164-$G164)=ABS(P164-R164),Auxiliar!$C$13,IF(AND(SIGN($E164-$G164)=SIGN(P164-R164),MIN($E164,$G164)=MIN(P164,R164)),Auxiliar!$C$14,IF(SIGN($E164-$G164)=SIGN(P164-R164),Auxiliar!$C$15,IF(P164=R164,Auxiliar!$C$16,0)))))))</f>
        <v/>
      </c>
      <c r="U164" s="9">
        <v>0</v>
      </c>
      <c r="V164" s="10" t="s">
        <v>23</v>
      </c>
      <c r="W164" s="11">
        <v>5</v>
      </c>
      <c r="X164" s="60" t="str">
        <f>IF(OR($E164="",$G164=""),"",IF(AND(U164=$E164,W164=$G164),Auxiliar!$C$11,IF(AND(SIGN($E164-$G164)=SIGN(U164-W164),MAX($E164,$G164)=MAX(U164,W164)),Auxiliar!$C$12,IF(ABS($E164-$G164)=ABS(U164-W164),Auxiliar!$C$13,IF(AND(SIGN($E164-$G164)=SIGN(U164-W164),MIN($E164,$G164)=MIN(U164,W164)),Auxiliar!$C$14,IF(SIGN($E164-$G164)=SIGN(U164-W164),Auxiliar!$C$15,IF(U164=W164,Auxiliar!$C$16,0)))))))</f>
        <v/>
      </c>
      <c r="Z164" s="9">
        <v>5</v>
      </c>
      <c r="AA164" s="10" t="s">
        <v>23</v>
      </c>
      <c r="AB164" s="11">
        <v>3</v>
      </c>
      <c r="AC164" s="60" t="str">
        <f>IF(OR($E164="",$G164=""),"",IF(AND(Z164=$E164,AB164=$G164),Auxiliar!$C$11,IF(AND(SIGN($E164-$G164)=SIGN(Z164-AB164),MAX($E164,$G164)=MAX(Z164,AB164)),Auxiliar!$C$12,IF(ABS($E164-$G164)=ABS(Z164-AB164),Auxiliar!$C$13,IF(AND(SIGN($E164-$G164)=SIGN(Z164-AB164),MIN($E164,$G164)=MIN(Z164,AB164)),Auxiliar!$C$14,IF(SIGN($E164-$G164)=SIGN(Z164-AB164),Auxiliar!$C$15,IF(Z164=AB164,Auxiliar!$C$16,0)))))))</f>
        <v/>
      </c>
      <c r="AE164" s="9">
        <v>0</v>
      </c>
      <c r="AF164" s="10" t="s">
        <v>23</v>
      </c>
      <c r="AG164" s="11">
        <v>1</v>
      </c>
      <c r="AH164" s="60" t="str">
        <f>IF(OR($E164="",$G164=""),"",IF(AND(AE164=$E164,AG164=$G164),Auxiliar!$C$11,IF(AND(SIGN($E164-$G164)=SIGN(AE164-AG164),MAX($E164,$G164)=MAX(AE164,AG164)),Auxiliar!$C$12,IF(ABS($E164-$G164)=ABS(AE164-AG164),Auxiliar!$C$13,IF(AND(SIGN($E164-$G164)=SIGN(AE164-AG164),MIN($E164,$G164)=MIN(AE164,AG164)),Auxiliar!$C$14,IF(SIGN($E164-$G164)=SIGN(AE164-AG164),Auxiliar!$C$15,IF(AE164=AG164,Auxiliar!$C$16,0)))))))</f>
        <v/>
      </c>
    </row>
    <row r="165" spans="3:34" x14ac:dyDescent="0.25">
      <c r="C165" s="24">
        <f t="shared" si="2"/>
        <v>15</v>
      </c>
      <c r="D165" s="18"/>
      <c r="E165" s="13"/>
      <c r="F165" s="12" t="s">
        <v>23</v>
      </c>
      <c r="G165" s="13"/>
      <c r="H165" s="14"/>
      <c r="K165" s="9">
        <v>2</v>
      </c>
      <c r="L165" s="10" t="s">
        <v>23</v>
      </c>
      <c r="M165" s="11">
        <v>5</v>
      </c>
      <c r="N165" s="60" t="str">
        <f>IF(OR($E165="",$G165=""),"",IF(AND(K165=$E165,M165=$G165),Auxiliar!$C$11,IF(AND(SIGN($E165-$G165)=SIGN(K165-M165),MAX($E165,$G165)=MAX(K165,M165)),Auxiliar!$C$12,IF(ABS($E165-$G165)=ABS(K165-M165),Auxiliar!$C$13,IF(AND(SIGN($E165-$G165)=SIGN(K165-M165),MIN($E165,$G165)=MIN(K165,M165)),Auxiliar!$C$14,IF(SIGN($E165-$G165)=SIGN(K165-M165),Auxiliar!$C$15,IF(K165=M165,Auxiliar!$C$16,0)))))))</f>
        <v/>
      </c>
      <c r="P165" s="9">
        <v>2</v>
      </c>
      <c r="Q165" s="10" t="s">
        <v>23</v>
      </c>
      <c r="R165" s="11">
        <v>2</v>
      </c>
      <c r="S165" s="60" t="str">
        <f>IF(OR($E165="",$G165=""),"",IF(AND(P165=$E165,R165=$G165),Auxiliar!$C$11,IF(AND(SIGN($E165-$G165)=SIGN(P165-R165),MAX($E165,$G165)=MAX(P165,R165)),Auxiliar!$C$12,IF(ABS($E165-$G165)=ABS(P165-R165),Auxiliar!$C$13,IF(AND(SIGN($E165-$G165)=SIGN(P165-R165),MIN($E165,$G165)=MIN(P165,R165)),Auxiliar!$C$14,IF(SIGN($E165-$G165)=SIGN(P165-R165),Auxiliar!$C$15,IF(P165=R165,Auxiliar!$C$16,0)))))))</f>
        <v/>
      </c>
      <c r="U165" s="9">
        <v>2</v>
      </c>
      <c r="V165" s="10" t="s">
        <v>23</v>
      </c>
      <c r="W165" s="11">
        <v>2</v>
      </c>
      <c r="X165" s="60" t="str">
        <f>IF(OR($E165="",$G165=""),"",IF(AND(U165=$E165,W165=$G165),Auxiliar!$C$11,IF(AND(SIGN($E165-$G165)=SIGN(U165-W165),MAX($E165,$G165)=MAX(U165,W165)),Auxiliar!$C$12,IF(ABS($E165-$G165)=ABS(U165-W165),Auxiliar!$C$13,IF(AND(SIGN($E165-$G165)=SIGN(U165-W165),MIN($E165,$G165)=MIN(U165,W165)),Auxiliar!$C$14,IF(SIGN($E165-$G165)=SIGN(U165-W165),Auxiliar!$C$15,IF(U165=W165,Auxiliar!$C$16,0)))))))</f>
        <v/>
      </c>
      <c r="Z165" s="9">
        <v>1</v>
      </c>
      <c r="AA165" s="10" t="s">
        <v>23</v>
      </c>
      <c r="AB165" s="11">
        <v>1</v>
      </c>
      <c r="AC165" s="60" t="str">
        <f>IF(OR($E165="",$G165=""),"",IF(AND(Z165=$E165,AB165=$G165),Auxiliar!$C$11,IF(AND(SIGN($E165-$G165)=SIGN(Z165-AB165),MAX($E165,$G165)=MAX(Z165,AB165)),Auxiliar!$C$12,IF(ABS($E165-$G165)=ABS(Z165-AB165),Auxiliar!$C$13,IF(AND(SIGN($E165-$G165)=SIGN(Z165-AB165),MIN($E165,$G165)=MIN(Z165,AB165)),Auxiliar!$C$14,IF(SIGN($E165-$G165)=SIGN(Z165-AB165),Auxiliar!$C$15,IF(Z165=AB165,Auxiliar!$C$16,0)))))))</f>
        <v/>
      </c>
      <c r="AE165" s="9">
        <v>5</v>
      </c>
      <c r="AF165" s="10" t="s">
        <v>23</v>
      </c>
      <c r="AG165" s="11">
        <v>0</v>
      </c>
      <c r="AH165" s="60" t="str">
        <f>IF(OR($E165="",$G165=""),"",IF(AND(AE165=$E165,AG165=$G165),Auxiliar!$C$11,IF(AND(SIGN($E165-$G165)=SIGN(AE165-AG165),MAX($E165,$G165)=MAX(AE165,AG165)),Auxiliar!$C$12,IF(ABS($E165-$G165)=ABS(AE165-AG165),Auxiliar!$C$13,IF(AND(SIGN($E165-$G165)=SIGN(AE165-AG165),MIN($E165,$G165)=MIN(AE165,AG165)),Auxiliar!$C$14,IF(SIGN($E165-$G165)=SIGN(AE165-AG165),Auxiliar!$C$15,IF(AE165=AG165,Auxiliar!$C$16,0)))))))</f>
        <v/>
      </c>
    </row>
    <row r="166" spans="3:34" x14ac:dyDescent="0.25">
      <c r="C166" s="24">
        <f t="shared" si="2"/>
        <v>15</v>
      </c>
      <c r="D166" s="18"/>
      <c r="E166" s="13"/>
      <c r="F166" s="12" t="s">
        <v>23</v>
      </c>
      <c r="G166" s="13"/>
      <c r="H166" s="14"/>
      <c r="K166" s="9">
        <v>1</v>
      </c>
      <c r="L166" s="10" t="s">
        <v>23</v>
      </c>
      <c r="M166" s="11">
        <v>1</v>
      </c>
      <c r="N166" s="60" t="str">
        <f>IF(OR($E166="",$G166=""),"",IF(AND(K166=$E166,M166=$G166),Auxiliar!$C$11,IF(AND(SIGN($E166-$G166)=SIGN(K166-M166),MAX($E166,$G166)=MAX(K166,M166)),Auxiliar!$C$12,IF(ABS($E166-$G166)=ABS(K166-M166),Auxiliar!$C$13,IF(AND(SIGN($E166-$G166)=SIGN(K166-M166),MIN($E166,$G166)=MIN(K166,M166)),Auxiliar!$C$14,IF(SIGN($E166-$G166)=SIGN(K166-M166),Auxiliar!$C$15,IF(K166=M166,Auxiliar!$C$16,0)))))))</f>
        <v/>
      </c>
      <c r="P166" s="9">
        <v>0</v>
      </c>
      <c r="Q166" s="10" t="s">
        <v>23</v>
      </c>
      <c r="R166" s="11">
        <v>1</v>
      </c>
      <c r="S166" s="60" t="str">
        <f>IF(OR($E166="",$G166=""),"",IF(AND(P166=$E166,R166=$G166),Auxiliar!$C$11,IF(AND(SIGN($E166-$G166)=SIGN(P166-R166),MAX($E166,$G166)=MAX(P166,R166)),Auxiliar!$C$12,IF(ABS($E166-$G166)=ABS(P166-R166),Auxiliar!$C$13,IF(AND(SIGN($E166-$G166)=SIGN(P166-R166),MIN($E166,$G166)=MIN(P166,R166)),Auxiliar!$C$14,IF(SIGN($E166-$G166)=SIGN(P166-R166),Auxiliar!$C$15,IF(P166=R166,Auxiliar!$C$16,0)))))))</f>
        <v/>
      </c>
      <c r="U166" s="9">
        <v>2</v>
      </c>
      <c r="V166" s="10" t="s">
        <v>23</v>
      </c>
      <c r="W166" s="11">
        <v>0</v>
      </c>
      <c r="X166" s="60" t="str">
        <f>IF(OR($E166="",$G166=""),"",IF(AND(U166=$E166,W166=$G166),Auxiliar!$C$11,IF(AND(SIGN($E166-$G166)=SIGN(U166-W166),MAX($E166,$G166)=MAX(U166,W166)),Auxiliar!$C$12,IF(ABS($E166-$G166)=ABS(U166-W166),Auxiliar!$C$13,IF(AND(SIGN($E166-$G166)=SIGN(U166-W166),MIN($E166,$G166)=MIN(U166,W166)),Auxiliar!$C$14,IF(SIGN($E166-$G166)=SIGN(U166-W166),Auxiliar!$C$15,IF(U166=W166,Auxiliar!$C$16,0)))))))</f>
        <v/>
      </c>
      <c r="Z166" s="9">
        <v>3</v>
      </c>
      <c r="AA166" s="10" t="s">
        <v>23</v>
      </c>
      <c r="AB166" s="11">
        <v>1</v>
      </c>
      <c r="AC166" s="60" t="str">
        <f>IF(OR($E166="",$G166=""),"",IF(AND(Z166=$E166,AB166=$G166),Auxiliar!$C$11,IF(AND(SIGN($E166-$G166)=SIGN(Z166-AB166),MAX($E166,$G166)=MAX(Z166,AB166)),Auxiliar!$C$12,IF(ABS($E166-$G166)=ABS(Z166-AB166),Auxiliar!$C$13,IF(AND(SIGN($E166-$G166)=SIGN(Z166-AB166),MIN($E166,$G166)=MIN(Z166,AB166)),Auxiliar!$C$14,IF(SIGN($E166-$G166)=SIGN(Z166-AB166),Auxiliar!$C$15,IF(Z166=AB166,Auxiliar!$C$16,0)))))))</f>
        <v/>
      </c>
      <c r="AE166" s="9">
        <v>0</v>
      </c>
      <c r="AF166" s="10" t="s">
        <v>23</v>
      </c>
      <c r="AG166" s="11">
        <v>0</v>
      </c>
      <c r="AH166" s="60" t="str">
        <f>IF(OR($E166="",$G166=""),"",IF(AND(AE166=$E166,AG166=$G166),Auxiliar!$C$11,IF(AND(SIGN($E166-$G166)=SIGN(AE166-AG166),MAX($E166,$G166)=MAX(AE166,AG166)),Auxiliar!$C$12,IF(ABS($E166-$G166)=ABS(AE166-AG166),Auxiliar!$C$13,IF(AND(SIGN($E166-$G166)=SIGN(AE166-AG166),MIN($E166,$G166)=MIN(AE166,AG166)),Auxiliar!$C$14,IF(SIGN($E166-$G166)=SIGN(AE166-AG166),Auxiliar!$C$15,IF(AE166=AG166,Auxiliar!$C$16,0)))))))</f>
        <v/>
      </c>
    </row>
    <row r="167" spans="3:34" x14ac:dyDescent="0.25">
      <c r="C167" s="24">
        <f t="shared" si="2"/>
        <v>15</v>
      </c>
      <c r="D167" s="18"/>
      <c r="E167" s="13"/>
      <c r="F167" s="12" t="s">
        <v>23</v>
      </c>
      <c r="G167" s="13"/>
      <c r="H167" s="14"/>
      <c r="K167" s="9">
        <v>1</v>
      </c>
      <c r="L167" s="10" t="s">
        <v>23</v>
      </c>
      <c r="M167" s="11">
        <v>3</v>
      </c>
      <c r="N167" s="60" t="str">
        <f>IF(OR($E167="",$G167=""),"",IF(AND(K167=$E167,M167=$G167),Auxiliar!$C$11,IF(AND(SIGN($E167-$G167)=SIGN(K167-M167),MAX($E167,$G167)=MAX(K167,M167)),Auxiliar!$C$12,IF(ABS($E167-$G167)=ABS(K167-M167),Auxiliar!$C$13,IF(AND(SIGN($E167-$G167)=SIGN(K167-M167),MIN($E167,$G167)=MIN(K167,M167)),Auxiliar!$C$14,IF(SIGN($E167-$G167)=SIGN(K167-M167),Auxiliar!$C$15,IF(K167=M167,Auxiliar!$C$16,0)))))))</f>
        <v/>
      </c>
      <c r="P167" s="9">
        <v>5</v>
      </c>
      <c r="Q167" s="10" t="s">
        <v>23</v>
      </c>
      <c r="R167" s="11">
        <v>5</v>
      </c>
      <c r="S167" s="60" t="str">
        <f>IF(OR($E167="",$G167=""),"",IF(AND(P167=$E167,R167=$G167),Auxiliar!$C$11,IF(AND(SIGN($E167-$G167)=SIGN(P167-R167),MAX($E167,$G167)=MAX(P167,R167)),Auxiliar!$C$12,IF(ABS($E167-$G167)=ABS(P167-R167),Auxiliar!$C$13,IF(AND(SIGN($E167-$G167)=SIGN(P167-R167),MIN($E167,$G167)=MIN(P167,R167)),Auxiliar!$C$14,IF(SIGN($E167-$G167)=SIGN(P167-R167),Auxiliar!$C$15,IF(P167=R167,Auxiliar!$C$16,0)))))))</f>
        <v/>
      </c>
      <c r="U167" s="9">
        <v>3</v>
      </c>
      <c r="V167" s="10" t="s">
        <v>23</v>
      </c>
      <c r="W167" s="11">
        <v>2</v>
      </c>
      <c r="X167" s="60" t="str">
        <f>IF(OR($E167="",$G167=""),"",IF(AND(U167=$E167,W167=$G167),Auxiliar!$C$11,IF(AND(SIGN($E167-$G167)=SIGN(U167-W167),MAX($E167,$G167)=MAX(U167,W167)),Auxiliar!$C$12,IF(ABS($E167-$G167)=ABS(U167-W167),Auxiliar!$C$13,IF(AND(SIGN($E167-$G167)=SIGN(U167-W167),MIN($E167,$G167)=MIN(U167,W167)),Auxiliar!$C$14,IF(SIGN($E167-$G167)=SIGN(U167-W167),Auxiliar!$C$15,IF(U167=W167,Auxiliar!$C$16,0)))))))</f>
        <v/>
      </c>
      <c r="Z167" s="9">
        <v>4</v>
      </c>
      <c r="AA167" s="10" t="s">
        <v>23</v>
      </c>
      <c r="AB167" s="11">
        <v>0</v>
      </c>
      <c r="AC167" s="60" t="str">
        <f>IF(OR($E167="",$G167=""),"",IF(AND(Z167=$E167,AB167=$G167),Auxiliar!$C$11,IF(AND(SIGN($E167-$G167)=SIGN(Z167-AB167),MAX($E167,$G167)=MAX(Z167,AB167)),Auxiliar!$C$12,IF(ABS($E167-$G167)=ABS(Z167-AB167),Auxiliar!$C$13,IF(AND(SIGN($E167-$G167)=SIGN(Z167-AB167),MIN($E167,$G167)=MIN(Z167,AB167)),Auxiliar!$C$14,IF(SIGN($E167-$G167)=SIGN(Z167-AB167),Auxiliar!$C$15,IF(Z167=AB167,Auxiliar!$C$16,0)))))))</f>
        <v/>
      </c>
      <c r="AE167" s="9">
        <v>3</v>
      </c>
      <c r="AF167" s="10" t="s">
        <v>23</v>
      </c>
      <c r="AG167" s="11">
        <v>5</v>
      </c>
      <c r="AH167" s="60" t="str">
        <f>IF(OR($E167="",$G167=""),"",IF(AND(AE167=$E167,AG167=$G167),Auxiliar!$C$11,IF(AND(SIGN($E167-$G167)=SIGN(AE167-AG167),MAX($E167,$G167)=MAX(AE167,AG167)),Auxiliar!$C$12,IF(ABS($E167-$G167)=ABS(AE167-AG167),Auxiliar!$C$13,IF(AND(SIGN($E167-$G167)=SIGN(AE167-AG167),MIN($E167,$G167)=MIN(AE167,AG167)),Auxiliar!$C$14,IF(SIGN($E167-$G167)=SIGN(AE167-AG167),Auxiliar!$C$15,IF(AE167=AG167,Auxiliar!$C$16,0)))))))</f>
        <v/>
      </c>
    </row>
    <row r="168" spans="3:34" x14ac:dyDescent="0.25">
      <c r="C168" s="24">
        <f t="shared" si="2"/>
        <v>15</v>
      </c>
      <c r="D168" s="18"/>
      <c r="E168" s="13"/>
      <c r="F168" s="12" t="s">
        <v>23</v>
      </c>
      <c r="G168" s="13"/>
      <c r="H168" s="14"/>
      <c r="K168" s="9">
        <v>3</v>
      </c>
      <c r="L168" s="10" t="s">
        <v>23</v>
      </c>
      <c r="M168" s="11">
        <v>3</v>
      </c>
      <c r="N168" s="60" t="str">
        <f>IF(OR($E168="",$G168=""),"",IF(AND(K168=$E168,M168=$G168),Auxiliar!$C$11,IF(AND(SIGN($E168-$G168)=SIGN(K168-M168),MAX($E168,$G168)=MAX(K168,M168)),Auxiliar!$C$12,IF(ABS($E168-$G168)=ABS(K168-M168),Auxiliar!$C$13,IF(AND(SIGN($E168-$G168)=SIGN(K168-M168),MIN($E168,$G168)=MIN(K168,M168)),Auxiliar!$C$14,IF(SIGN($E168-$G168)=SIGN(K168-M168),Auxiliar!$C$15,IF(K168=M168,Auxiliar!$C$16,0)))))))</f>
        <v/>
      </c>
      <c r="P168" s="9">
        <v>0</v>
      </c>
      <c r="Q168" s="10" t="s">
        <v>23</v>
      </c>
      <c r="R168" s="11">
        <v>2</v>
      </c>
      <c r="S168" s="60" t="str">
        <f>IF(OR($E168="",$G168=""),"",IF(AND(P168=$E168,R168=$G168),Auxiliar!$C$11,IF(AND(SIGN($E168-$G168)=SIGN(P168-R168),MAX($E168,$G168)=MAX(P168,R168)),Auxiliar!$C$12,IF(ABS($E168-$G168)=ABS(P168-R168),Auxiliar!$C$13,IF(AND(SIGN($E168-$G168)=SIGN(P168-R168),MIN($E168,$G168)=MIN(P168,R168)),Auxiliar!$C$14,IF(SIGN($E168-$G168)=SIGN(P168-R168),Auxiliar!$C$15,IF(P168=R168,Auxiliar!$C$16,0)))))))</f>
        <v/>
      </c>
      <c r="U168" s="9">
        <v>4</v>
      </c>
      <c r="V168" s="10" t="s">
        <v>23</v>
      </c>
      <c r="W168" s="11">
        <v>5</v>
      </c>
      <c r="X168" s="60" t="str">
        <f>IF(OR($E168="",$G168=""),"",IF(AND(U168=$E168,W168=$G168),Auxiliar!$C$11,IF(AND(SIGN($E168-$G168)=SIGN(U168-W168),MAX($E168,$G168)=MAX(U168,W168)),Auxiliar!$C$12,IF(ABS($E168-$G168)=ABS(U168-W168),Auxiliar!$C$13,IF(AND(SIGN($E168-$G168)=SIGN(U168-W168),MIN($E168,$G168)=MIN(U168,W168)),Auxiliar!$C$14,IF(SIGN($E168-$G168)=SIGN(U168-W168),Auxiliar!$C$15,IF(U168=W168,Auxiliar!$C$16,0)))))))</f>
        <v/>
      </c>
      <c r="Z168" s="9">
        <v>0</v>
      </c>
      <c r="AA168" s="10" t="s">
        <v>23</v>
      </c>
      <c r="AB168" s="11">
        <v>5</v>
      </c>
      <c r="AC168" s="60" t="str">
        <f>IF(OR($E168="",$G168=""),"",IF(AND(Z168=$E168,AB168=$G168),Auxiliar!$C$11,IF(AND(SIGN($E168-$G168)=SIGN(Z168-AB168),MAX($E168,$G168)=MAX(Z168,AB168)),Auxiliar!$C$12,IF(ABS($E168-$G168)=ABS(Z168-AB168),Auxiliar!$C$13,IF(AND(SIGN($E168-$G168)=SIGN(Z168-AB168),MIN($E168,$G168)=MIN(Z168,AB168)),Auxiliar!$C$14,IF(SIGN($E168-$G168)=SIGN(Z168-AB168),Auxiliar!$C$15,IF(Z168=AB168,Auxiliar!$C$16,0)))))))</f>
        <v/>
      </c>
      <c r="AE168" s="9">
        <v>1</v>
      </c>
      <c r="AF168" s="10" t="s">
        <v>23</v>
      </c>
      <c r="AG168" s="11">
        <v>0</v>
      </c>
      <c r="AH168" s="60" t="str">
        <f>IF(OR($E168="",$G168=""),"",IF(AND(AE168=$E168,AG168=$G168),Auxiliar!$C$11,IF(AND(SIGN($E168-$G168)=SIGN(AE168-AG168),MAX($E168,$G168)=MAX(AE168,AG168)),Auxiliar!$C$12,IF(ABS($E168-$G168)=ABS(AE168-AG168),Auxiliar!$C$13,IF(AND(SIGN($E168-$G168)=SIGN(AE168-AG168),MIN($E168,$G168)=MIN(AE168,AG168)),Auxiliar!$C$14,IF(SIGN($E168-$G168)=SIGN(AE168-AG168),Auxiliar!$C$15,IF(AE168=AG168,Auxiliar!$C$16,0)))))))</f>
        <v/>
      </c>
    </row>
    <row r="169" spans="3:34" x14ac:dyDescent="0.25">
      <c r="C169" s="24">
        <f t="shared" si="2"/>
        <v>16</v>
      </c>
      <c r="D169" s="18"/>
      <c r="E169" s="13"/>
      <c r="F169" s="12" t="s">
        <v>23</v>
      </c>
      <c r="G169" s="13"/>
      <c r="H169" s="14"/>
      <c r="K169" s="9">
        <v>5</v>
      </c>
      <c r="L169" s="10" t="s">
        <v>23</v>
      </c>
      <c r="M169" s="11">
        <v>0</v>
      </c>
      <c r="N169" s="60" t="str">
        <f>IF(OR($E169="",$G169=""),"",IF(AND(K169=$E169,M169=$G169),Auxiliar!$C$11,IF(AND(SIGN($E169-$G169)=SIGN(K169-M169),MAX($E169,$G169)=MAX(K169,M169)),Auxiliar!$C$12,IF(ABS($E169-$G169)=ABS(K169-M169),Auxiliar!$C$13,IF(AND(SIGN($E169-$G169)=SIGN(K169-M169),MIN($E169,$G169)=MIN(K169,M169)),Auxiliar!$C$14,IF(SIGN($E169-$G169)=SIGN(K169-M169),Auxiliar!$C$15,IF(K169=M169,Auxiliar!$C$16,0)))))))</f>
        <v/>
      </c>
      <c r="P169" s="9">
        <v>3</v>
      </c>
      <c r="Q169" s="10" t="s">
        <v>23</v>
      </c>
      <c r="R169" s="11">
        <v>4</v>
      </c>
      <c r="S169" s="60" t="str">
        <f>IF(OR($E169="",$G169=""),"",IF(AND(P169=$E169,R169=$G169),Auxiliar!$C$11,IF(AND(SIGN($E169-$G169)=SIGN(P169-R169),MAX($E169,$G169)=MAX(P169,R169)),Auxiliar!$C$12,IF(ABS($E169-$G169)=ABS(P169-R169),Auxiliar!$C$13,IF(AND(SIGN($E169-$G169)=SIGN(P169-R169),MIN($E169,$G169)=MIN(P169,R169)),Auxiliar!$C$14,IF(SIGN($E169-$G169)=SIGN(P169-R169),Auxiliar!$C$15,IF(P169=R169,Auxiliar!$C$16,0)))))))</f>
        <v/>
      </c>
      <c r="U169" s="9">
        <v>0</v>
      </c>
      <c r="V169" s="10" t="s">
        <v>23</v>
      </c>
      <c r="W169" s="11">
        <v>5</v>
      </c>
      <c r="X169" s="60" t="str">
        <f>IF(OR($E169="",$G169=""),"",IF(AND(U169=$E169,W169=$G169),Auxiliar!$C$11,IF(AND(SIGN($E169-$G169)=SIGN(U169-W169),MAX($E169,$G169)=MAX(U169,W169)),Auxiliar!$C$12,IF(ABS($E169-$G169)=ABS(U169-W169),Auxiliar!$C$13,IF(AND(SIGN($E169-$G169)=SIGN(U169-W169),MIN($E169,$G169)=MIN(U169,W169)),Auxiliar!$C$14,IF(SIGN($E169-$G169)=SIGN(U169-W169),Auxiliar!$C$15,IF(U169=W169,Auxiliar!$C$16,0)))))))</f>
        <v/>
      </c>
      <c r="Z169" s="9">
        <v>2</v>
      </c>
      <c r="AA169" s="10" t="s">
        <v>23</v>
      </c>
      <c r="AB169" s="11">
        <v>4</v>
      </c>
      <c r="AC169" s="60" t="str">
        <f>IF(OR($E169="",$G169=""),"",IF(AND(Z169=$E169,AB169=$G169),Auxiliar!$C$11,IF(AND(SIGN($E169-$G169)=SIGN(Z169-AB169),MAX($E169,$G169)=MAX(Z169,AB169)),Auxiliar!$C$12,IF(ABS($E169-$G169)=ABS(Z169-AB169),Auxiliar!$C$13,IF(AND(SIGN($E169-$G169)=SIGN(Z169-AB169),MIN($E169,$G169)=MIN(Z169,AB169)),Auxiliar!$C$14,IF(SIGN($E169-$G169)=SIGN(Z169-AB169),Auxiliar!$C$15,IF(Z169=AB169,Auxiliar!$C$16,0)))))))</f>
        <v/>
      </c>
      <c r="AE169" s="9">
        <v>1</v>
      </c>
      <c r="AF169" s="10" t="s">
        <v>23</v>
      </c>
      <c r="AG169" s="11">
        <v>5</v>
      </c>
      <c r="AH169" s="60" t="str">
        <f>IF(OR($E169="",$G169=""),"",IF(AND(AE169=$E169,AG169=$G169),Auxiliar!$C$11,IF(AND(SIGN($E169-$G169)=SIGN(AE169-AG169),MAX($E169,$G169)=MAX(AE169,AG169)),Auxiliar!$C$12,IF(ABS($E169-$G169)=ABS(AE169-AG169),Auxiliar!$C$13,IF(AND(SIGN($E169-$G169)=SIGN(AE169-AG169),MIN($E169,$G169)=MIN(AE169,AG169)),Auxiliar!$C$14,IF(SIGN($E169-$G169)=SIGN(AE169-AG169),Auxiliar!$C$15,IF(AE169=AG169,Auxiliar!$C$16,0)))))))</f>
        <v/>
      </c>
    </row>
    <row r="170" spans="3:34" x14ac:dyDescent="0.25">
      <c r="C170" s="24">
        <f t="shared" si="2"/>
        <v>16</v>
      </c>
      <c r="D170" s="18"/>
      <c r="E170" s="13"/>
      <c r="F170" s="12" t="s">
        <v>23</v>
      </c>
      <c r="G170" s="13"/>
      <c r="H170" s="14"/>
      <c r="K170" s="9">
        <v>0</v>
      </c>
      <c r="L170" s="10" t="s">
        <v>23</v>
      </c>
      <c r="M170" s="11">
        <v>0</v>
      </c>
      <c r="N170" s="60" t="str">
        <f>IF(OR($E170="",$G170=""),"",IF(AND(K170=$E170,M170=$G170),Auxiliar!$C$11,IF(AND(SIGN($E170-$G170)=SIGN(K170-M170),MAX($E170,$G170)=MAX(K170,M170)),Auxiliar!$C$12,IF(ABS($E170-$G170)=ABS(K170-M170),Auxiliar!$C$13,IF(AND(SIGN($E170-$G170)=SIGN(K170-M170),MIN($E170,$G170)=MIN(K170,M170)),Auxiliar!$C$14,IF(SIGN($E170-$G170)=SIGN(K170-M170),Auxiliar!$C$15,IF(K170=M170,Auxiliar!$C$16,0)))))))</f>
        <v/>
      </c>
      <c r="P170" s="9">
        <v>3</v>
      </c>
      <c r="Q170" s="10" t="s">
        <v>23</v>
      </c>
      <c r="R170" s="11">
        <v>3</v>
      </c>
      <c r="S170" s="60" t="str">
        <f>IF(OR($E170="",$G170=""),"",IF(AND(P170=$E170,R170=$G170),Auxiliar!$C$11,IF(AND(SIGN($E170-$G170)=SIGN(P170-R170),MAX($E170,$G170)=MAX(P170,R170)),Auxiliar!$C$12,IF(ABS($E170-$G170)=ABS(P170-R170),Auxiliar!$C$13,IF(AND(SIGN($E170-$G170)=SIGN(P170-R170),MIN($E170,$G170)=MIN(P170,R170)),Auxiliar!$C$14,IF(SIGN($E170-$G170)=SIGN(P170-R170),Auxiliar!$C$15,IF(P170=R170,Auxiliar!$C$16,0)))))))</f>
        <v/>
      </c>
      <c r="U170" s="9">
        <v>0</v>
      </c>
      <c r="V170" s="10" t="s">
        <v>23</v>
      </c>
      <c r="W170" s="11">
        <v>4</v>
      </c>
      <c r="X170" s="60" t="str">
        <f>IF(OR($E170="",$G170=""),"",IF(AND(U170=$E170,W170=$G170),Auxiliar!$C$11,IF(AND(SIGN($E170-$G170)=SIGN(U170-W170),MAX($E170,$G170)=MAX(U170,W170)),Auxiliar!$C$12,IF(ABS($E170-$G170)=ABS(U170-W170),Auxiliar!$C$13,IF(AND(SIGN($E170-$G170)=SIGN(U170-W170),MIN($E170,$G170)=MIN(U170,W170)),Auxiliar!$C$14,IF(SIGN($E170-$G170)=SIGN(U170-W170),Auxiliar!$C$15,IF(U170=W170,Auxiliar!$C$16,0)))))))</f>
        <v/>
      </c>
      <c r="Z170" s="9">
        <v>4</v>
      </c>
      <c r="AA170" s="10" t="s">
        <v>23</v>
      </c>
      <c r="AB170" s="11">
        <v>4</v>
      </c>
      <c r="AC170" s="60" t="str">
        <f>IF(OR($E170="",$G170=""),"",IF(AND(Z170=$E170,AB170=$G170),Auxiliar!$C$11,IF(AND(SIGN($E170-$G170)=SIGN(Z170-AB170),MAX($E170,$G170)=MAX(Z170,AB170)),Auxiliar!$C$12,IF(ABS($E170-$G170)=ABS(Z170-AB170),Auxiliar!$C$13,IF(AND(SIGN($E170-$G170)=SIGN(Z170-AB170),MIN($E170,$G170)=MIN(Z170,AB170)),Auxiliar!$C$14,IF(SIGN($E170-$G170)=SIGN(Z170-AB170),Auxiliar!$C$15,IF(Z170=AB170,Auxiliar!$C$16,0)))))))</f>
        <v/>
      </c>
      <c r="AE170" s="9">
        <v>3</v>
      </c>
      <c r="AF170" s="10" t="s">
        <v>23</v>
      </c>
      <c r="AG170" s="11">
        <v>2</v>
      </c>
      <c r="AH170" s="60" t="str">
        <f>IF(OR($E170="",$G170=""),"",IF(AND(AE170=$E170,AG170=$G170),Auxiliar!$C$11,IF(AND(SIGN($E170-$G170)=SIGN(AE170-AG170),MAX($E170,$G170)=MAX(AE170,AG170)),Auxiliar!$C$12,IF(ABS($E170-$G170)=ABS(AE170-AG170),Auxiliar!$C$13,IF(AND(SIGN($E170-$G170)=SIGN(AE170-AG170),MIN($E170,$G170)=MIN(AE170,AG170)),Auxiliar!$C$14,IF(SIGN($E170-$G170)=SIGN(AE170-AG170),Auxiliar!$C$15,IF(AE170=AG170,Auxiliar!$C$16,0)))))))</f>
        <v/>
      </c>
    </row>
    <row r="171" spans="3:34" x14ac:dyDescent="0.25">
      <c r="C171" s="24">
        <f t="shared" si="2"/>
        <v>16</v>
      </c>
      <c r="D171" s="18"/>
      <c r="E171" s="13"/>
      <c r="F171" s="12" t="s">
        <v>23</v>
      </c>
      <c r="G171" s="13"/>
      <c r="H171" s="14"/>
      <c r="K171" s="9">
        <v>2</v>
      </c>
      <c r="L171" s="10" t="s">
        <v>23</v>
      </c>
      <c r="M171" s="11">
        <v>5</v>
      </c>
      <c r="N171" s="60" t="str">
        <f>IF(OR($E171="",$G171=""),"",IF(AND(K171=$E171,M171=$G171),Auxiliar!$C$11,IF(AND(SIGN($E171-$G171)=SIGN(K171-M171),MAX($E171,$G171)=MAX(K171,M171)),Auxiliar!$C$12,IF(ABS($E171-$G171)=ABS(K171-M171),Auxiliar!$C$13,IF(AND(SIGN($E171-$G171)=SIGN(K171-M171),MIN($E171,$G171)=MIN(K171,M171)),Auxiliar!$C$14,IF(SIGN($E171-$G171)=SIGN(K171-M171),Auxiliar!$C$15,IF(K171=M171,Auxiliar!$C$16,0)))))))</f>
        <v/>
      </c>
      <c r="P171" s="9">
        <v>2</v>
      </c>
      <c r="Q171" s="10" t="s">
        <v>23</v>
      </c>
      <c r="R171" s="11">
        <v>2</v>
      </c>
      <c r="S171" s="60" t="str">
        <f>IF(OR($E171="",$G171=""),"",IF(AND(P171=$E171,R171=$G171),Auxiliar!$C$11,IF(AND(SIGN($E171-$G171)=SIGN(P171-R171),MAX($E171,$G171)=MAX(P171,R171)),Auxiliar!$C$12,IF(ABS($E171-$G171)=ABS(P171-R171),Auxiliar!$C$13,IF(AND(SIGN($E171-$G171)=SIGN(P171-R171),MIN($E171,$G171)=MIN(P171,R171)),Auxiliar!$C$14,IF(SIGN($E171-$G171)=SIGN(P171-R171),Auxiliar!$C$15,IF(P171=R171,Auxiliar!$C$16,0)))))))</f>
        <v/>
      </c>
      <c r="U171" s="9">
        <v>4</v>
      </c>
      <c r="V171" s="10" t="s">
        <v>23</v>
      </c>
      <c r="W171" s="11">
        <v>2</v>
      </c>
      <c r="X171" s="60" t="str">
        <f>IF(OR($E171="",$G171=""),"",IF(AND(U171=$E171,W171=$G171),Auxiliar!$C$11,IF(AND(SIGN($E171-$G171)=SIGN(U171-W171),MAX($E171,$G171)=MAX(U171,W171)),Auxiliar!$C$12,IF(ABS($E171-$G171)=ABS(U171-W171),Auxiliar!$C$13,IF(AND(SIGN($E171-$G171)=SIGN(U171-W171),MIN($E171,$G171)=MIN(U171,W171)),Auxiliar!$C$14,IF(SIGN($E171-$G171)=SIGN(U171-W171),Auxiliar!$C$15,IF(U171=W171,Auxiliar!$C$16,0)))))))</f>
        <v/>
      </c>
      <c r="Z171" s="9">
        <v>4</v>
      </c>
      <c r="AA171" s="10" t="s">
        <v>23</v>
      </c>
      <c r="AB171" s="11">
        <v>1</v>
      </c>
      <c r="AC171" s="60" t="str">
        <f>IF(OR($E171="",$G171=""),"",IF(AND(Z171=$E171,AB171=$G171),Auxiliar!$C$11,IF(AND(SIGN($E171-$G171)=SIGN(Z171-AB171),MAX($E171,$G171)=MAX(Z171,AB171)),Auxiliar!$C$12,IF(ABS($E171-$G171)=ABS(Z171-AB171),Auxiliar!$C$13,IF(AND(SIGN($E171-$G171)=SIGN(Z171-AB171),MIN($E171,$G171)=MIN(Z171,AB171)),Auxiliar!$C$14,IF(SIGN($E171-$G171)=SIGN(Z171-AB171),Auxiliar!$C$15,IF(Z171=AB171,Auxiliar!$C$16,0)))))))</f>
        <v/>
      </c>
      <c r="AE171" s="9">
        <v>2</v>
      </c>
      <c r="AF171" s="10" t="s">
        <v>23</v>
      </c>
      <c r="AG171" s="11">
        <v>1</v>
      </c>
      <c r="AH171" s="60" t="str">
        <f>IF(OR($E171="",$G171=""),"",IF(AND(AE171=$E171,AG171=$G171),Auxiliar!$C$11,IF(AND(SIGN($E171-$G171)=SIGN(AE171-AG171),MAX($E171,$G171)=MAX(AE171,AG171)),Auxiliar!$C$12,IF(ABS($E171-$G171)=ABS(AE171-AG171),Auxiliar!$C$13,IF(AND(SIGN($E171-$G171)=SIGN(AE171-AG171),MIN($E171,$G171)=MIN(AE171,AG171)),Auxiliar!$C$14,IF(SIGN($E171-$G171)=SIGN(AE171-AG171),Auxiliar!$C$15,IF(AE171=AG171,Auxiliar!$C$16,0)))))))</f>
        <v/>
      </c>
    </row>
    <row r="172" spans="3:34" x14ac:dyDescent="0.25">
      <c r="C172" s="24">
        <f t="shared" si="2"/>
        <v>16</v>
      </c>
      <c r="D172" s="18"/>
      <c r="E172" s="13"/>
      <c r="F172" s="12" t="s">
        <v>23</v>
      </c>
      <c r="G172" s="13"/>
      <c r="H172" s="14"/>
      <c r="K172" s="9">
        <v>1</v>
      </c>
      <c r="L172" s="10" t="s">
        <v>23</v>
      </c>
      <c r="M172" s="11">
        <v>0</v>
      </c>
      <c r="N172" s="60" t="str">
        <f>IF(OR($E172="",$G172=""),"",IF(AND(K172=$E172,M172=$G172),Auxiliar!$C$11,IF(AND(SIGN($E172-$G172)=SIGN(K172-M172),MAX($E172,$G172)=MAX(K172,M172)),Auxiliar!$C$12,IF(ABS($E172-$G172)=ABS(K172-M172),Auxiliar!$C$13,IF(AND(SIGN($E172-$G172)=SIGN(K172-M172),MIN($E172,$G172)=MIN(K172,M172)),Auxiliar!$C$14,IF(SIGN($E172-$G172)=SIGN(K172-M172),Auxiliar!$C$15,IF(K172=M172,Auxiliar!$C$16,0)))))))</f>
        <v/>
      </c>
      <c r="P172" s="9">
        <v>4</v>
      </c>
      <c r="Q172" s="10" t="s">
        <v>23</v>
      </c>
      <c r="R172" s="11">
        <v>0</v>
      </c>
      <c r="S172" s="60" t="str">
        <f>IF(OR($E172="",$G172=""),"",IF(AND(P172=$E172,R172=$G172),Auxiliar!$C$11,IF(AND(SIGN($E172-$G172)=SIGN(P172-R172),MAX($E172,$G172)=MAX(P172,R172)),Auxiliar!$C$12,IF(ABS($E172-$G172)=ABS(P172-R172),Auxiliar!$C$13,IF(AND(SIGN($E172-$G172)=SIGN(P172-R172),MIN($E172,$G172)=MIN(P172,R172)),Auxiliar!$C$14,IF(SIGN($E172-$G172)=SIGN(P172-R172),Auxiliar!$C$15,IF(P172=R172,Auxiliar!$C$16,0)))))))</f>
        <v/>
      </c>
      <c r="U172" s="9">
        <v>4</v>
      </c>
      <c r="V172" s="10" t="s">
        <v>23</v>
      </c>
      <c r="W172" s="11">
        <v>3</v>
      </c>
      <c r="X172" s="60" t="str">
        <f>IF(OR($E172="",$G172=""),"",IF(AND(U172=$E172,W172=$G172),Auxiliar!$C$11,IF(AND(SIGN($E172-$G172)=SIGN(U172-W172),MAX($E172,$G172)=MAX(U172,W172)),Auxiliar!$C$12,IF(ABS($E172-$G172)=ABS(U172-W172),Auxiliar!$C$13,IF(AND(SIGN($E172-$G172)=SIGN(U172-W172),MIN($E172,$G172)=MIN(U172,W172)),Auxiliar!$C$14,IF(SIGN($E172-$G172)=SIGN(U172-W172),Auxiliar!$C$15,IF(U172=W172,Auxiliar!$C$16,0)))))))</f>
        <v/>
      </c>
      <c r="Z172" s="9">
        <v>1</v>
      </c>
      <c r="AA172" s="10" t="s">
        <v>23</v>
      </c>
      <c r="AB172" s="11">
        <v>1</v>
      </c>
      <c r="AC172" s="60" t="str">
        <f>IF(OR($E172="",$G172=""),"",IF(AND(Z172=$E172,AB172=$G172),Auxiliar!$C$11,IF(AND(SIGN($E172-$G172)=SIGN(Z172-AB172),MAX($E172,$G172)=MAX(Z172,AB172)),Auxiliar!$C$12,IF(ABS($E172-$G172)=ABS(Z172-AB172),Auxiliar!$C$13,IF(AND(SIGN($E172-$G172)=SIGN(Z172-AB172),MIN($E172,$G172)=MIN(Z172,AB172)),Auxiliar!$C$14,IF(SIGN($E172-$G172)=SIGN(Z172-AB172),Auxiliar!$C$15,IF(Z172=AB172,Auxiliar!$C$16,0)))))))</f>
        <v/>
      </c>
      <c r="AE172" s="9">
        <v>1</v>
      </c>
      <c r="AF172" s="10" t="s">
        <v>23</v>
      </c>
      <c r="AG172" s="11">
        <v>1</v>
      </c>
      <c r="AH172" s="60" t="str">
        <f>IF(OR($E172="",$G172=""),"",IF(AND(AE172=$E172,AG172=$G172),Auxiliar!$C$11,IF(AND(SIGN($E172-$G172)=SIGN(AE172-AG172),MAX($E172,$G172)=MAX(AE172,AG172)),Auxiliar!$C$12,IF(ABS($E172-$G172)=ABS(AE172-AG172),Auxiliar!$C$13,IF(AND(SIGN($E172-$G172)=SIGN(AE172-AG172),MIN($E172,$G172)=MIN(AE172,AG172)),Auxiliar!$C$14,IF(SIGN($E172-$G172)=SIGN(AE172-AG172),Auxiliar!$C$15,IF(AE172=AG172,Auxiliar!$C$16,0)))))))</f>
        <v/>
      </c>
    </row>
    <row r="173" spans="3:34" x14ac:dyDescent="0.25">
      <c r="C173" s="24">
        <f t="shared" si="2"/>
        <v>16</v>
      </c>
      <c r="D173" s="18"/>
      <c r="E173" s="13"/>
      <c r="F173" s="12" t="s">
        <v>23</v>
      </c>
      <c r="G173" s="13"/>
      <c r="H173" s="14"/>
      <c r="K173" s="9">
        <v>4</v>
      </c>
      <c r="L173" s="10" t="s">
        <v>23</v>
      </c>
      <c r="M173" s="11">
        <v>3</v>
      </c>
      <c r="N173" s="60" t="str">
        <f>IF(OR($E173="",$G173=""),"",IF(AND(K173=$E173,M173=$G173),Auxiliar!$C$11,IF(AND(SIGN($E173-$G173)=SIGN(K173-M173),MAX($E173,$G173)=MAX(K173,M173)),Auxiliar!$C$12,IF(ABS($E173-$G173)=ABS(K173-M173),Auxiliar!$C$13,IF(AND(SIGN($E173-$G173)=SIGN(K173-M173),MIN($E173,$G173)=MIN(K173,M173)),Auxiliar!$C$14,IF(SIGN($E173-$G173)=SIGN(K173-M173),Auxiliar!$C$15,IF(K173=M173,Auxiliar!$C$16,0)))))))</f>
        <v/>
      </c>
      <c r="P173" s="9">
        <v>2</v>
      </c>
      <c r="Q173" s="10" t="s">
        <v>23</v>
      </c>
      <c r="R173" s="11">
        <v>5</v>
      </c>
      <c r="S173" s="60" t="str">
        <f>IF(OR($E173="",$G173=""),"",IF(AND(P173=$E173,R173=$G173),Auxiliar!$C$11,IF(AND(SIGN($E173-$G173)=SIGN(P173-R173),MAX($E173,$G173)=MAX(P173,R173)),Auxiliar!$C$12,IF(ABS($E173-$G173)=ABS(P173-R173),Auxiliar!$C$13,IF(AND(SIGN($E173-$G173)=SIGN(P173-R173),MIN($E173,$G173)=MIN(P173,R173)),Auxiliar!$C$14,IF(SIGN($E173-$G173)=SIGN(P173-R173),Auxiliar!$C$15,IF(P173=R173,Auxiliar!$C$16,0)))))))</f>
        <v/>
      </c>
      <c r="U173" s="9">
        <v>0</v>
      </c>
      <c r="V173" s="10" t="s">
        <v>23</v>
      </c>
      <c r="W173" s="11">
        <v>4</v>
      </c>
      <c r="X173" s="60" t="str">
        <f>IF(OR($E173="",$G173=""),"",IF(AND(U173=$E173,W173=$G173),Auxiliar!$C$11,IF(AND(SIGN($E173-$G173)=SIGN(U173-W173),MAX($E173,$G173)=MAX(U173,W173)),Auxiliar!$C$12,IF(ABS($E173-$G173)=ABS(U173-W173),Auxiliar!$C$13,IF(AND(SIGN($E173-$G173)=SIGN(U173-W173),MIN($E173,$G173)=MIN(U173,W173)),Auxiliar!$C$14,IF(SIGN($E173-$G173)=SIGN(U173-W173),Auxiliar!$C$15,IF(U173=W173,Auxiliar!$C$16,0)))))))</f>
        <v/>
      </c>
      <c r="Z173" s="9">
        <v>2</v>
      </c>
      <c r="AA173" s="10" t="s">
        <v>23</v>
      </c>
      <c r="AB173" s="11">
        <v>2</v>
      </c>
      <c r="AC173" s="60" t="str">
        <f>IF(OR($E173="",$G173=""),"",IF(AND(Z173=$E173,AB173=$G173),Auxiliar!$C$11,IF(AND(SIGN($E173-$G173)=SIGN(Z173-AB173),MAX($E173,$G173)=MAX(Z173,AB173)),Auxiliar!$C$12,IF(ABS($E173-$G173)=ABS(Z173-AB173),Auxiliar!$C$13,IF(AND(SIGN($E173-$G173)=SIGN(Z173-AB173),MIN($E173,$G173)=MIN(Z173,AB173)),Auxiliar!$C$14,IF(SIGN($E173-$G173)=SIGN(Z173-AB173),Auxiliar!$C$15,IF(Z173=AB173,Auxiliar!$C$16,0)))))))</f>
        <v/>
      </c>
      <c r="AE173" s="9">
        <v>4</v>
      </c>
      <c r="AF173" s="10" t="s">
        <v>23</v>
      </c>
      <c r="AG173" s="11">
        <v>0</v>
      </c>
      <c r="AH173" s="60" t="str">
        <f>IF(OR($E173="",$G173=""),"",IF(AND(AE173=$E173,AG173=$G173),Auxiliar!$C$11,IF(AND(SIGN($E173-$G173)=SIGN(AE173-AG173),MAX($E173,$G173)=MAX(AE173,AG173)),Auxiliar!$C$12,IF(ABS($E173-$G173)=ABS(AE173-AG173),Auxiliar!$C$13,IF(AND(SIGN($E173-$G173)=SIGN(AE173-AG173),MIN($E173,$G173)=MIN(AE173,AG173)),Auxiliar!$C$14,IF(SIGN($E173-$G173)=SIGN(AE173-AG173),Auxiliar!$C$15,IF(AE173=AG173,Auxiliar!$C$16,0)))))))</f>
        <v/>
      </c>
    </row>
    <row r="174" spans="3:34" x14ac:dyDescent="0.25">
      <c r="C174" s="24">
        <f t="shared" si="2"/>
        <v>16</v>
      </c>
      <c r="D174" s="18"/>
      <c r="E174" s="13"/>
      <c r="F174" s="12" t="s">
        <v>23</v>
      </c>
      <c r="G174" s="13"/>
      <c r="H174" s="14"/>
      <c r="K174" s="9">
        <v>4</v>
      </c>
      <c r="L174" s="10" t="s">
        <v>23</v>
      </c>
      <c r="M174" s="11">
        <v>1</v>
      </c>
      <c r="N174" s="60" t="str">
        <f>IF(OR($E174="",$G174=""),"",IF(AND(K174=$E174,M174=$G174),Auxiliar!$C$11,IF(AND(SIGN($E174-$G174)=SIGN(K174-M174),MAX($E174,$G174)=MAX(K174,M174)),Auxiliar!$C$12,IF(ABS($E174-$G174)=ABS(K174-M174),Auxiliar!$C$13,IF(AND(SIGN($E174-$G174)=SIGN(K174-M174),MIN($E174,$G174)=MIN(K174,M174)),Auxiliar!$C$14,IF(SIGN($E174-$G174)=SIGN(K174-M174),Auxiliar!$C$15,IF(K174=M174,Auxiliar!$C$16,0)))))))</f>
        <v/>
      </c>
      <c r="P174" s="9">
        <v>2</v>
      </c>
      <c r="Q174" s="10" t="s">
        <v>23</v>
      </c>
      <c r="R174" s="11">
        <v>2</v>
      </c>
      <c r="S174" s="60" t="str">
        <f>IF(OR($E174="",$G174=""),"",IF(AND(P174=$E174,R174=$G174),Auxiliar!$C$11,IF(AND(SIGN($E174-$G174)=SIGN(P174-R174),MAX($E174,$G174)=MAX(P174,R174)),Auxiliar!$C$12,IF(ABS($E174-$G174)=ABS(P174-R174),Auxiliar!$C$13,IF(AND(SIGN($E174-$G174)=SIGN(P174-R174),MIN($E174,$G174)=MIN(P174,R174)),Auxiliar!$C$14,IF(SIGN($E174-$G174)=SIGN(P174-R174),Auxiliar!$C$15,IF(P174=R174,Auxiliar!$C$16,0)))))))</f>
        <v/>
      </c>
      <c r="U174" s="9">
        <v>2</v>
      </c>
      <c r="V174" s="10" t="s">
        <v>23</v>
      </c>
      <c r="W174" s="11">
        <v>0</v>
      </c>
      <c r="X174" s="60" t="str">
        <f>IF(OR($E174="",$G174=""),"",IF(AND(U174=$E174,W174=$G174),Auxiliar!$C$11,IF(AND(SIGN($E174-$G174)=SIGN(U174-W174),MAX($E174,$G174)=MAX(U174,W174)),Auxiliar!$C$12,IF(ABS($E174-$G174)=ABS(U174-W174),Auxiliar!$C$13,IF(AND(SIGN($E174-$G174)=SIGN(U174-W174),MIN($E174,$G174)=MIN(U174,W174)),Auxiliar!$C$14,IF(SIGN($E174-$G174)=SIGN(U174-W174),Auxiliar!$C$15,IF(U174=W174,Auxiliar!$C$16,0)))))))</f>
        <v/>
      </c>
      <c r="Z174" s="9">
        <v>0</v>
      </c>
      <c r="AA174" s="10" t="s">
        <v>23</v>
      </c>
      <c r="AB174" s="11">
        <v>5</v>
      </c>
      <c r="AC174" s="60" t="str">
        <f>IF(OR($E174="",$G174=""),"",IF(AND(Z174=$E174,AB174=$G174),Auxiliar!$C$11,IF(AND(SIGN($E174-$G174)=SIGN(Z174-AB174),MAX($E174,$G174)=MAX(Z174,AB174)),Auxiliar!$C$12,IF(ABS($E174-$G174)=ABS(Z174-AB174),Auxiliar!$C$13,IF(AND(SIGN($E174-$G174)=SIGN(Z174-AB174),MIN($E174,$G174)=MIN(Z174,AB174)),Auxiliar!$C$14,IF(SIGN($E174-$G174)=SIGN(Z174-AB174),Auxiliar!$C$15,IF(Z174=AB174,Auxiliar!$C$16,0)))))))</f>
        <v/>
      </c>
      <c r="AE174" s="9">
        <v>0</v>
      </c>
      <c r="AF174" s="10" t="s">
        <v>23</v>
      </c>
      <c r="AG174" s="11">
        <v>4</v>
      </c>
      <c r="AH174" s="60" t="str">
        <f>IF(OR($E174="",$G174=""),"",IF(AND(AE174=$E174,AG174=$G174),Auxiliar!$C$11,IF(AND(SIGN($E174-$G174)=SIGN(AE174-AG174),MAX($E174,$G174)=MAX(AE174,AG174)),Auxiliar!$C$12,IF(ABS($E174-$G174)=ABS(AE174-AG174),Auxiliar!$C$13,IF(AND(SIGN($E174-$G174)=SIGN(AE174-AG174),MIN($E174,$G174)=MIN(AE174,AG174)),Auxiliar!$C$14,IF(SIGN($E174-$G174)=SIGN(AE174-AG174),Auxiliar!$C$15,IF(AE174=AG174,Auxiliar!$C$16,0)))))))</f>
        <v/>
      </c>
    </row>
    <row r="175" spans="3:34" x14ac:dyDescent="0.25">
      <c r="C175" s="24">
        <f t="shared" si="2"/>
        <v>16</v>
      </c>
      <c r="D175" s="18"/>
      <c r="E175" s="13"/>
      <c r="F175" s="12" t="s">
        <v>23</v>
      </c>
      <c r="G175" s="13"/>
      <c r="H175" s="14"/>
      <c r="K175" s="9">
        <v>2</v>
      </c>
      <c r="L175" s="10" t="s">
        <v>23</v>
      </c>
      <c r="M175" s="11">
        <v>2</v>
      </c>
      <c r="N175" s="60" t="str">
        <f>IF(OR($E175="",$G175=""),"",IF(AND(K175=$E175,M175=$G175),Auxiliar!$C$11,IF(AND(SIGN($E175-$G175)=SIGN(K175-M175),MAX($E175,$G175)=MAX(K175,M175)),Auxiliar!$C$12,IF(ABS($E175-$G175)=ABS(K175-M175),Auxiliar!$C$13,IF(AND(SIGN($E175-$G175)=SIGN(K175-M175),MIN($E175,$G175)=MIN(K175,M175)),Auxiliar!$C$14,IF(SIGN($E175-$G175)=SIGN(K175-M175),Auxiliar!$C$15,IF(K175=M175,Auxiliar!$C$16,0)))))))</f>
        <v/>
      </c>
      <c r="P175" s="9">
        <v>1</v>
      </c>
      <c r="Q175" s="10" t="s">
        <v>23</v>
      </c>
      <c r="R175" s="11">
        <v>0</v>
      </c>
      <c r="S175" s="60" t="str">
        <f>IF(OR($E175="",$G175=""),"",IF(AND(P175=$E175,R175=$G175),Auxiliar!$C$11,IF(AND(SIGN($E175-$G175)=SIGN(P175-R175),MAX($E175,$G175)=MAX(P175,R175)),Auxiliar!$C$12,IF(ABS($E175-$G175)=ABS(P175-R175),Auxiliar!$C$13,IF(AND(SIGN($E175-$G175)=SIGN(P175-R175),MIN($E175,$G175)=MIN(P175,R175)),Auxiliar!$C$14,IF(SIGN($E175-$G175)=SIGN(P175-R175),Auxiliar!$C$15,IF(P175=R175,Auxiliar!$C$16,0)))))))</f>
        <v/>
      </c>
      <c r="U175" s="9">
        <v>3</v>
      </c>
      <c r="V175" s="10" t="s">
        <v>23</v>
      </c>
      <c r="W175" s="11">
        <v>0</v>
      </c>
      <c r="X175" s="60" t="str">
        <f>IF(OR($E175="",$G175=""),"",IF(AND(U175=$E175,W175=$G175),Auxiliar!$C$11,IF(AND(SIGN($E175-$G175)=SIGN(U175-W175),MAX($E175,$G175)=MAX(U175,W175)),Auxiliar!$C$12,IF(ABS($E175-$G175)=ABS(U175-W175),Auxiliar!$C$13,IF(AND(SIGN($E175-$G175)=SIGN(U175-W175),MIN($E175,$G175)=MIN(U175,W175)),Auxiliar!$C$14,IF(SIGN($E175-$G175)=SIGN(U175-W175),Auxiliar!$C$15,IF(U175=W175,Auxiliar!$C$16,0)))))))</f>
        <v/>
      </c>
      <c r="Z175" s="9">
        <v>1</v>
      </c>
      <c r="AA175" s="10" t="s">
        <v>23</v>
      </c>
      <c r="AB175" s="11">
        <v>3</v>
      </c>
      <c r="AC175" s="60" t="str">
        <f>IF(OR($E175="",$G175=""),"",IF(AND(Z175=$E175,AB175=$G175),Auxiliar!$C$11,IF(AND(SIGN($E175-$G175)=SIGN(Z175-AB175),MAX($E175,$G175)=MAX(Z175,AB175)),Auxiliar!$C$12,IF(ABS($E175-$G175)=ABS(Z175-AB175),Auxiliar!$C$13,IF(AND(SIGN($E175-$G175)=SIGN(Z175-AB175),MIN($E175,$G175)=MIN(Z175,AB175)),Auxiliar!$C$14,IF(SIGN($E175-$G175)=SIGN(Z175-AB175),Auxiliar!$C$15,IF(Z175=AB175,Auxiliar!$C$16,0)))))))</f>
        <v/>
      </c>
      <c r="AE175" s="9">
        <v>1</v>
      </c>
      <c r="AF175" s="10" t="s">
        <v>23</v>
      </c>
      <c r="AG175" s="11">
        <v>5</v>
      </c>
      <c r="AH175" s="60" t="str">
        <f>IF(OR($E175="",$G175=""),"",IF(AND(AE175=$E175,AG175=$G175),Auxiliar!$C$11,IF(AND(SIGN($E175-$G175)=SIGN(AE175-AG175),MAX($E175,$G175)=MAX(AE175,AG175)),Auxiliar!$C$12,IF(ABS($E175-$G175)=ABS(AE175-AG175),Auxiliar!$C$13,IF(AND(SIGN($E175-$G175)=SIGN(AE175-AG175),MIN($E175,$G175)=MIN(AE175,AG175)),Auxiliar!$C$14,IF(SIGN($E175-$G175)=SIGN(AE175-AG175),Auxiliar!$C$15,IF(AE175=AG175,Auxiliar!$C$16,0)))))))</f>
        <v/>
      </c>
    </row>
    <row r="176" spans="3:34" x14ac:dyDescent="0.25">
      <c r="C176" s="24">
        <f t="shared" si="2"/>
        <v>16</v>
      </c>
      <c r="D176" s="18"/>
      <c r="E176" s="13"/>
      <c r="F176" s="12" t="s">
        <v>23</v>
      </c>
      <c r="G176" s="13"/>
      <c r="H176" s="14"/>
      <c r="K176" s="9">
        <v>4</v>
      </c>
      <c r="L176" s="10" t="s">
        <v>23</v>
      </c>
      <c r="M176" s="11">
        <v>2</v>
      </c>
      <c r="N176" s="60" t="str">
        <f>IF(OR($E176="",$G176=""),"",IF(AND(K176=$E176,M176=$G176),Auxiliar!$C$11,IF(AND(SIGN($E176-$G176)=SIGN(K176-M176),MAX($E176,$G176)=MAX(K176,M176)),Auxiliar!$C$12,IF(ABS($E176-$G176)=ABS(K176-M176),Auxiliar!$C$13,IF(AND(SIGN($E176-$G176)=SIGN(K176-M176),MIN($E176,$G176)=MIN(K176,M176)),Auxiliar!$C$14,IF(SIGN($E176-$G176)=SIGN(K176-M176),Auxiliar!$C$15,IF(K176=M176,Auxiliar!$C$16,0)))))))</f>
        <v/>
      </c>
      <c r="P176" s="9">
        <v>5</v>
      </c>
      <c r="Q176" s="10" t="s">
        <v>23</v>
      </c>
      <c r="R176" s="11">
        <v>5</v>
      </c>
      <c r="S176" s="60" t="str">
        <f>IF(OR($E176="",$G176=""),"",IF(AND(P176=$E176,R176=$G176),Auxiliar!$C$11,IF(AND(SIGN($E176-$G176)=SIGN(P176-R176),MAX($E176,$G176)=MAX(P176,R176)),Auxiliar!$C$12,IF(ABS($E176-$G176)=ABS(P176-R176),Auxiliar!$C$13,IF(AND(SIGN($E176-$G176)=SIGN(P176-R176),MIN($E176,$G176)=MIN(P176,R176)),Auxiliar!$C$14,IF(SIGN($E176-$G176)=SIGN(P176-R176),Auxiliar!$C$15,IF(P176=R176,Auxiliar!$C$16,0)))))))</f>
        <v/>
      </c>
      <c r="U176" s="9">
        <v>3</v>
      </c>
      <c r="V176" s="10" t="s">
        <v>23</v>
      </c>
      <c r="W176" s="11">
        <v>5</v>
      </c>
      <c r="X176" s="60" t="str">
        <f>IF(OR($E176="",$G176=""),"",IF(AND(U176=$E176,W176=$G176),Auxiliar!$C$11,IF(AND(SIGN($E176-$G176)=SIGN(U176-W176),MAX($E176,$G176)=MAX(U176,W176)),Auxiliar!$C$12,IF(ABS($E176-$G176)=ABS(U176-W176),Auxiliar!$C$13,IF(AND(SIGN($E176-$G176)=SIGN(U176-W176),MIN($E176,$G176)=MIN(U176,W176)),Auxiliar!$C$14,IF(SIGN($E176-$G176)=SIGN(U176-W176),Auxiliar!$C$15,IF(U176=W176,Auxiliar!$C$16,0)))))))</f>
        <v/>
      </c>
      <c r="Z176" s="9">
        <v>4</v>
      </c>
      <c r="AA176" s="10" t="s">
        <v>23</v>
      </c>
      <c r="AB176" s="11">
        <v>1</v>
      </c>
      <c r="AC176" s="60" t="str">
        <f>IF(OR($E176="",$G176=""),"",IF(AND(Z176=$E176,AB176=$G176),Auxiliar!$C$11,IF(AND(SIGN($E176-$G176)=SIGN(Z176-AB176),MAX($E176,$G176)=MAX(Z176,AB176)),Auxiliar!$C$12,IF(ABS($E176-$G176)=ABS(Z176-AB176),Auxiliar!$C$13,IF(AND(SIGN($E176-$G176)=SIGN(Z176-AB176),MIN($E176,$G176)=MIN(Z176,AB176)),Auxiliar!$C$14,IF(SIGN($E176-$G176)=SIGN(Z176-AB176),Auxiliar!$C$15,IF(Z176=AB176,Auxiliar!$C$16,0)))))))</f>
        <v/>
      </c>
      <c r="AE176" s="9">
        <v>3</v>
      </c>
      <c r="AF176" s="10" t="s">
        <v>23</v>
      </c>
      <c r="AG176" s="11">
        <v>5</v>
      </c>
      <c r="AH176" s="60" t="str">
        <f>IF(OR($E176="",$G176=""),"",IF(AND(AE176=$E176,AG176=$G176),Auxiliar!$C$11,IF(AND(SIGN($E176-$G176)=SIGN(AE176-AG176),MAX($E176,$G176)=MAX(AE176,AG176)),Auxiliar!$C$12,IF(ABS($E176-$G176)=ABS(AE176-AG176),Auxiliar!$C$13,IF(AND(SIGN($E176-$G176)=SIGN(AE176-AG176),MIN($E176,$G176)=MIN(AE176,AG176)),Auxiliar!$C$14,IF(SIGN($E176-$G176)=SIGN(AE176-AG176),Auxiliar!$C$15,IF(AE176=AG176,Auxiliar!$C$16,0)))))))</f>
        <v/>
      </c>
    </row>
    <row r="177" spans="3:34" x14ac:dyDescent="0.25">
      <c r="C177" s="24">
        <f t="shared" si="2"/>
        <v>16</v>
      </c>
      <c r="D177" s="18"/>
      <c r="E177" s="13"/>
      <c r="F177" s="12" t="s">
        <v>23</v>
      </c>
      <c r="G177" s="13"/>
      <c r="H177" s="14"/>
      <c r="K177" s="9">
        <v>5</v>
      </c>
      <c r="L177" s="10" t="s">
        <v>23</v>
      </c>
      <c r="M177" s="11">
        <v>4</v>
      </c>
      <c r="N177" s="60" t="str">
        <f>IF(OR($E177="",$G177=""),"",IF(AND(K177=$E177,M177=$G177),Auxiliar!$C$11,IF(AND(SIGN($E177-$G177)=SIGN(K177-M177),MAX($E177,$G177)=MAX(K177,M177)),Auxiliar!$C$12,IF(ABS($E177-$G177)=ABS(K177-M177),Auxiliar!$C$13,IF(AND(SIGN($E177-$G177)=SIGN(K177-M177),MIN($E177,$G177)=MIN(K177,M177)),Auxiliar!$C$14,IF(SIGN($E177-$G177)=SIGN(K177-M177),Auxiliar!$C$15,IF(K177=M177,Auxiliar!$C$16,0)))))))</f>
        <v/>
      </c>
      <c r="P177" s="9">
        <v>0</v>
      </c>
      <c r="Q177" s="10" t="s">
        <v>23</v>
      </c>
      <c r="R177" s="11">
        <v>4</v>
      </c>
      <c r="S177" s="60" t="str">
        <f>IF(OR($E177="",$G177=""),"",IF(AND(P177=$E177,R177=$G177),Auxiliar!$C$11,IF(AND(SIGN($E177-$G177)=SIGN(P177-R177),MAX($E177,$G177)=MAX(P177,R177)),Auxiliar!$C$12,IF(ABS($E177-$G177)=ABS(P177-R177),Auxiliar!$C$13,IF(AND(SIGN($E177-$G177)=SIGN(P177-R177),MIN($E177,$G177)=MIN(P177,R177)),Auxiliar!$C$14,IF(SIGN($E177-$G177)=SIGN(P177-R177),Auxiliar!$C$15,IF(P177=R177,Auxiliar!$C$16,0)))))))</f>
        <v/>
      </c>
      <c r="U177" s="9">
        <v>4</v>
      </c>
      <c r="V177" s="10" t="s">
        <v>23</v>
      </c>
      <c r="W177" s="11">
        <v>0</v>
      </c>
      <c r="X177" s="60" t="str">
        <f>IF(OR($E177="",$G177=""),"",IF(AND(U177=$E177,W177=$G177),Auxiliar!$C$11,IF(AND(SIGN($E177-$G177)=SIGN(U177-W177),MAX($E177,$G177)=MAX(U177,W177)),Auxiliar!$C$12,IF(ABS($E177-$G177)=ABS(U177-W177),Auxiliar!$C$13,IF(AND(SIGN($E177-$G177)=SIGN(U177-W177),MIN($E177,$G177)=MIN(U177,W177)),Auxiliar!$C$14,IF(SIGN($E177-$G177)=SIGN(U177-W177),Auxiliar!$C$15,IF(U177=W177,Auxiliar!$C$16,0)))))))</f>
        <v/>
      </c>
      <c r="Z177" s="9">
        <v>2</v>
      </c>
      <c r="AA177" s="10" t="s">
        <v>23</v>
      </c>
      <c r="AB177" s="11">
        <v>1</v>
      </c>
      <c r="AC177" s="60" t="str">
        <f>IF(OR($E177="",$G177=""),"",IF(AND(Z177=$E177,AB177=$G177),Auxiliar!$C$11,IF(AND(SIGN($E177-$G177)=SIGN(Z177-AB177),MAX($E177,$G177)=MAX(Z177,AB177)),Auxiliar!$C$12,IF(ABS($E177-$G177)=ABS(Z177-AB177),Auxiliar!$C$13,IF(AND(SIGN($E177-$G177)=SIGN(Z177-AB177),MIN($E177,$G177)=MIN(Z177,AB177)),Auxiliar!$C$14,IF(SIGN($E177-$G177)=SIGN(Z177-AB177),Auxiliar!$C$15,IF(Z177=AB177,Auxiliar!$C$16,0)))))))</f>
        <v/>
      </c>
      <c r="AE177" s="9">
        <v>3</v>
      </c>
      <c r="AF177" s="10" t="s">
        <v>23</v>
      </c>
      <c r="AG177" s="11">
        <v>4</v>
      </c>
      <c r="AH177" s="60" t="str">
        <f>IF(OR($E177="",$G177=""),"",IF(AND(AE177=$E177,AG177=$G177),Auxiliar!$C$11,IF(AND(SIGN($E177-$G177)=SIGN(AE177-AG177),MAX($E177,$G177)=MAX(AE177,AG177)),Auxiliar!$C$12,IF(ABS($E177-$G177)=ABS(AE177-AG177),Auxiliar!$C$13,IF(AND(SIGN($E177-$G177)=SIGN(AE177-AG177),MIN($E177,$G177)=MIN(AE177,AG177)),Auxiliar!$C$14,IF(SIGN($E177-$G177)=SIGN(AE177-AG177),Auxiliar!$C$15,IF(AE177=AG177,Auxiliar!$C$16,0)))))))</f>
        <v/>
      </c>
    </row>
    <row r="178" spans="3:34" x14ac:dyDescent="0.25">
      <c r="C178" s="24">
        <f t="shared" si="2"/>
        <v>16</v>
      </c>
      <c r="D178" s="18"/>
      <c r="E178" s="13"/>
      <c r="F178" s="12" t="s">
        <v>23</v>
      </c>
      <c r="G178" s="13"/>
      <c r="H178" s="14"/>
      <c r="K178" s="9">
        <v>3</v>
      </c>
      <c r="L178" s="10" t="s">
        <v>23</v>
      </c>
      <c r="M178" s="11">
        <v>4</v>
      </c>
      <c r="N178" s="60" t="str">
        <f>IF(OR($E178="",$G178=""),"",IF(AND(K178=$E178,M178=$G178),Auxiliar!$C$11,IF(AND(SIGN($E178-$G178)=SIGN(K178-M178),MAX($E178,$G178)=MAX(K178,M178)),Auxiliar!$C$12,IF(ABS($E178-$G178)=ABS(K178-M178),Auxiliar!$C$13,IF(AND(SIGN($E178-$G178)=SIGN(K178-M178),MIN($E178,$G178)=MIN(K178,M178)),Auxiliar!$C$14,IF(SIGN($E178-$G178)=SIGN(K178-M178),Auxiliar!$C$15,IF(K178=M178,Auxiliar!$C$16,0)))))))</f>
        <v/>
      </c>
      <c r="P178" s="9">
        <v>2</v>
      </c>
      <c r="Q178" s="10" t="s">
        <v>23</v>
      </c>
      <c r="R178" s="11">
        <v>5</v>
      </c>
      <c r="S178" s="60" t="str">
        <f>IF(OR($E178="",$G178=""),"",IF(AND(P178=$E178,R178=$G178),Auxiliar!$C$11,IF(AND(SIGN($E178-$G178)=SIGN(P178-R178),MAX($E178,$G178)=MAX(P178,R178)),Auxiliar!$C$12,IF(ABS($E178-$G178)=ABS(P178-R178),Auxiliar!$C$13,IF(AND(SIGN($E178-$G178)=SIGN(P178-R178),MIN($E178,$G178)=MIN(P178,R178)),Auxiliar!$C$14,IF(SIGN($E178-$G178)=SIGN(P178-R178),Auxiliar!$C$15,IF(P178=R178,Auxiliar!$C$16,0)))))))</f>
        <v/>
      </c>
      <c r="U178" s="9">
        <v>4</v>
      </c>
      <c r="V178" s="10" t="s">
        <v>23</v>
      </c>
      <c r="W178" s="11">
        <v>4</v>
      </c>
      <c r="X178" s="60" t="str">
        <f>IF(OR($E178="",$G178=""),"",IF(AND(U178=$E178,W178=$G178),Auxiliar!$C$11,IF(AND(SIGN($E178-$G178)=SIGN(U178-W178),MAX($E178,$G178)=MAX(U178,W178)),Auxiliar!$C$12,IF(ABS($E178-$G178)=ABS(U178-W178),Auxiliar!$C$13,IF(AND(SIGN($E178-$G178)=SIGN(U178-W178),MIN($E178,$G178)=MIN(U178,W178)),Auxiliar!$C$14,IF(SIGN($E178-$G178)=SIGN(U178-W178),Auxiliar!$C$15,IF(U178=W178,Auxiliar!$C$16,0)))))))</f>
        <v/>
      </c>
      <c r="Z178" s="9">
        <v>0</v>
      </c>
      <c r="AA178" s="10" t="s">
        <v>23</v>
      </c>
      <c r="AB178" s="11">
        <v>3</v>
      </c>
      <c r="AC178" s="60" t="str">
        <f>IF(OR($E178="",$G178=""),"",IF(AND(Z178=$E178,AB178=$G178),Auxiliar!$C$11,IF(AND(SIGN($E178-$G178)=SIGN(Z178-AB178),MAX($E178,$G178)=MAX(Z178,AB178)),Auxiliar!$C$12,IF(ABS($E178-$G178)=ABS(Z178-AB178),Auxiliar!$C$13,IF(AND(SIGN($E178-$G178)=SIGN(Z178-AB178),MIN($E178,$G178)=MIN(Z178,AB178)),Auxiliar!$C$14,IF(SIGN($E178-$G178)=SIGN(Z178-AB178),Auxiliar!$C$15,IF(Z178=AB178,Auxiliar!$C$16,0)))))))</f>
        <v/>
      </c>
      <c r="AE178" s="9">
        <v>4</v>
      </c>
      <c r="AF178" s="10" t="s">
        <v>23</v>
      </c>
      <c r="AG178" s="11">
        <v>5</v>
      </c>
      <c r="AH178" s="60" t="str">
        <f>IF(OR($E178="",$G178=""),"",IF(AND(AE178=$E178,AG178=$G178),Auxiliar!$C$11,IF(AND(SIGN($E178-$G178)=SIGN(AE178-AG178),MAX($E178,$G178)=MAX(AE178,AG178)),Auxiliar!$C$12,IF(ABS($E178-$G178)=ABS(AE178-AG178),Auxiliar!$C$13,IF(AND(SIGN($E178-$G178)=SIGN(AE178-AG178),MIN($E178,$G178)=MIN(AE178,AG178)),Auxiliar!$C$14,IF(SIGN($E178-$G178)=SIGN(AE178-AG178),Auxiliar!$C$15,IF(AE178=AG178,Auxiliar!$C$16,0)))))))</f>
        <v/>
      </c>
    </row>
    <row r="179" spans="3:34" x14ac:dyDescent="0.25">
      <c r="C179" s="24">
        <f t="shared" si="2"/>
        <v>17</v>
      </c>
      <c r="D179" s="18"/>
      <c r="E179" s="13"/>
      <c r="F179" s="12" t="s">
        <v>23</v>
      </c>
      <c r="G179" s="13"/>
      <c r="H179" s="14"/>
      <c r="K179" s="9">
        <v>5</v>
      </c>
      <c r="L179" s="10" t="s">
        <v>23</v>
      </c>
      <c r="M179" s="11">
        <v>1</v>
      </c>
      <c r="N179" s="60" t="str">
        <f>IF(OR($E179="",$G179=""),"",IF(AND(K179=$E179,M179=$G179),Auxiliar!$C$11,IF(AND(SIGN($E179-$G179)=SIGN(K179-M179),MAX($E179,$G179)=MAX(K179,M179)),Auxiliar!$C$12,IF(ABS($E179-$G179)=ABS(K179-M179),Auxiliar!$C$13,IF(AND(SIGN($E179-$G179)=SIGN(K179-M179),MIN($E179,$G179)=MIN(K179,M179)),Auxiliar!$C$14,IF(SIGN($E179-$G179)=SIGN(K179-M179),Auxiliar!$C$15,IF(K179=M179,Auxiliar!$C$16,0)))))))</f>
        <v/>
      </c>
      <c r="P179" s="9">
        <v>3</v>
      </c>
      <c r="Q179" s="10" t="s">
        <v>23</v>
      </c>
      <c r="R179" s="11">
        <v>2</v>
      </c>
      <c r="S179" s="60" t="str">
        <f>IF(OR($E179="",$G179=""),"",IF(AND(P179=$E179,R179=$G179),Auxiliar!$C$11,IF(AND(SIGN($E179-$G179)=SIGN(P179-R179),MAX($E179,$G179)=MAX(P179,R179)),Auxiliar!$C$12,IF(ABS($E179-$G179)=ABS(P179-R179),Auxiliar!$C$13,IF(AND(SIGN($E179-$G179)=SIGN(P179-R179),MIN($E179,$G179)=MIN(P179,R179)),Auxiliar!$C$14,IF(SIGN($E179-$G179)=SIGN(P179-R179),Auxiliar!$C$15,IF(P179=R179,Auxiliar!$C$16,0)))))))</f>
        <v/>
      </c>
      <c r="U179" s="9">
        <v>2</v>
      </c>
      <c r="V179" s="10" t="s">
        <v>23</v>
      </c>
      <c r="W179" s="11">
        <v>0</v>
      </c>
      <c r="X179" s="60" t="str">
        <f>IF(OR($E179="",$G179=""),"",IF(AND(U179=$E179,W179=$G179),Auxiliar!$C$11,IF(AND(SIGN($E179-$G179)=SIGN(U179-W179),MAX($E179,$G179)=MAX(U179,W179)),Auxiliar!$C$12,IF(ABS($E179-$G179)=ABS(U179-W179),Auxiliar!$C$13,IF(AND(SIGN($E179-$G179)=SIGN(U179-W179),MIN($E179,$G179)=MIN(U179,W179)),Auxiliar!$C$14,IF(SIGN($E179-$G179)=SIGN(U179-W179),Auxiliar!$C$15,IF(U179=W179,Auxiliar!$C$16,0)))))))</f>
        <v/>
      </c>
      <c r="Z179" s="9">
        <v>2</v>
      </c>
      <c r="AA179" s="10" t="s">
        <v>23</v>
      </c>
      <c r="AB179" s="11">
        <v>0</v>
      </c>
      <c r="AC179" s="60" t="str">
        <f>IF(OR($E179="",$G179=""),"",IF(AND(Z179=$E179,AB179=$G179),Auxiliar!$C$11,IF(AND(SIGN($E179-$G179)=SIGN(Z179-AB179),MAX($E179,$G179)=MAX(Z179,AB179)),Auxiliar!$C$12,IF(ABS($E179-$G179)=ABS(Z179-AB179),Auxiliar!$C$13,IF(AND(SIGN($E179-$G179)=SIGN(Z179-AB179),MIN($E179,$G179)=MIN(Z179,AB179)),Auxiliar!$C$14,IF(SIGN($E179-$G179)=SIGN(Z179-AB179),Auxiliar!$C$15,IF(Z179=AB179,Auxiliar!$C$16,0)))))))</f>
        <v/>
      </c>
      <c r="AE179" s="9">
        <v>3</v>
      </c>
      <c r="AF179" s="10" t="s">
        <v>23</v>
      </c>
      <c r="AG179" s="11">
        <v>1</v>
      </c>
      <c r="AH179" s="60" t="str">
        <f>IF(OR($E179="",$G179=""),"",IF(AND(AE179=$E179,AG179=$G179),Auxiliar!$C$11,IF(AND(SIGN($E179-$G179)=SIGN(AE179-AG179),MAX($E179,$G179)=MAX(AE179,AG179)),Auxiliar!$C$12,IF(ABS($E179-$G179)=ABS(AE179-AG179),Auxiliar!$C$13,IF(AND(SIGN($E179-$G179)=SIGN(AE179-AG179),MIN($E179,$G179)=MIN(AE179,AG179)),Auxiliar!$C$14,IF(SIGN($E179-$G179)=SIGN(AE179-AG179),Auxiliar!$C$15,IF(AE179=AG179,Auxiliar!$C$16,0)))))))</f>
        <v/>
      </c>
    </row>
    <row r="180" spans="3:34" x14ac:dyDescent="0.25">
      <c r="C180" s="24">
        <f t="shared" si="2"/>
        <v>17</v>
      </c>
      <c r="D180" s="18"/>
      <c r="E180" s="13"/>
      <c r="F180" s="12" t="s">
        <v>23</v>
      </c>
      <c r="G180" s="13"/>
      <c r="H180" s="14"/>
      <c r="K180" s="9">
        <v>4</v>
      </c>
      <c r="L180" s="10" t="s">
        <v>23</v>
      </c>
      <c r="M180" s="11">
        <v>5</v>
      </c>
      <c r="N180" s="60" t="str">
        <f>IF(OR($E180="",$G180=""),"",IF(AND(K180=$E180,M180=$G180),Auxiliar!$C$11,IF(AND(SIGN($E180-$G180)=SIGN(K180-M180),MAX($E180,$G180)=MAX(K180,M180)),Auxiliar!$C$12,IF(ABS($E180-$G180)=ABS(K180-M180),Auxiliar!$C$13,IF(AND(SIGN($E180-$G180)=SIGN(K180-M180),MIN($E180,$G180)=MIN(K180,M180)),Auxiliar!$C$14,IF(SIGN($E180-$G180)=SIGN(K180-M180),Auxiliar!$C$15,IF(K180=M180,Auxiliar!$C$16,0)))))))</f>
        <v/>
      </c>
      <c r="P180" s="9">
        <v>2</v>
      </c>
      <c r="Q180" s="10" t="s">
        <v>23</v>
      </c>
      <c r="R180" s="11">
        <v>3</v>
      </c>
      <c r="S180" s="60" t="str">
        <f>IF(OR($E180="",$G180=""),"",IF(AND(P180=$E180,R180=$G180),Auxiliar!$C$11,IF(AND(SIGN($E180-$G180)=SIGN(P180-R180),MAX($E180,$G180)=MAX(P180,R180)),Auxiliar!$C$12,IF(ABS($E180-$G180)=ABS(P180-R180),Auxiliar!$C$13,IF(AND(SIGN($E180-$G180)=SIGN(P180-R180),MIN($E180,$G180)=MIN(P180,R180)),Auxiliar!$C$14,IF(SIGN($E180-$G180)=SIGN(P180-R180),Auxiliar!$C$15,IF(P180=R180,Auxiliar!$C$16,0)))))))</f>
        <v/>
      </c>
      <c r="U180" s="9">
        <v>3</v>
      </c>
      <c r="V180" s="10" t="s">
        <v>23</v>
      </c>
      <c r="W180" s="11">
        <v>5</v>
      </c>
      <c r="X180" s="60" t="str">
        <f>IF(OR($E180="",$G180=""),"",IF(AND(U180=$E180,W180=$G180),Auxiliar!$C$11,IF(AND(SIGN($E180-$G180)=SIGN(U180-W180),MAX($E180,$G180)=MAX(U180,W180)),Auxiliar!$C$12,IF(ABS($E180-$G180)=ABS(U180-W180),Auxiliar!$C$13,IF(AND(SIGN($E180-$G180)=SIGN(U180-W180),MIN($E180,$G180)=MIN(U180,W180)),Auxiliar!$C$14,IF(SIGN($E180-$G180)=SIGN(U180-W180),Auxiliar!$C$15,IF(U180=W180,Auxiliar!$C$16,0)))))))</f>
        <v/>
      </c>
      <c r="Z180" s="9">
        <v>1</v>
      </c>
      <c r="AA180" s="10" t="s">
        <v>23</v>
      </c>
      <c r="AB180" s="11">
        <v>4</v>
      </c>
      <c r="AC180" s="60" t="str">
        <f>IF(OR($E180="",$G180=""),"",IF(AND(Z180=$E180,AB180=$G180),Auxiliar!$C$11,IF(AND(SIGN($E180-$G180)=SIGN(Z180-AB180),MAX($E180,$G180)=MAX(Z180,AB180)),Auxiliar!$C$12,IF(ABS($E180-$G180)=ABS(Z180-AB180),Auxiliar!$C$13,IF(AND(SIGN($E180-$G180)=SIGN(Z180-AB180),MIN($E180,$G180)=MIN(Z180,AB180)),Auxiliar!$C$14,IF(SIGN($E180-$G180)=SIGN(Z180-AB180),Auxiliar!$C$15,IF(Z180=AB180,Auxiliar!$C$16,0)))))))</f>
        <v/>
      </c>
      <c r="AE180" s="9">
        <v>4</v>
      </c>
      <c r="AF180" s="10" t="s">
        <v>23</v>
      </c>
      <c r="AG180" s="11">
        <v>4</v>
      </c>
      <c r="AH180" s="60" t="str">
        <f>IF(OR($E180="",$G180=""),"",IF(AND(AE180=$E180,AG180=$G180),Auxiliar!$C$11,IF(AND(SIGN($E180-$G180)=SIGN(AE180-AG180),MAX($E180,$G180)=MAX(AE180,AG180)),Auxiliar!$C$12,IF(ABS($E180-$G180)=ABS(AE180-AG180),Auxiliar!$C$13,IF(AND(SIGN($E180-$G180)=SIGN(AE180-AG180),MIN($E180,$G180)=MIN(AE180,AG180)),Auxiliar!$C$14,IF(SIGN($E180-$G180)=SIGN(AE180-AG180),Auxiliar!$C$15,IF(AE180=AG180,Auxiliar!$C$16,0)))))))</f>
        <v/>
      </c>
    </row>
    <row r="181" spans="3:34" x14ac:dyDescent="0.25">
      <c r="C181" s="24">
        <f t="shared" si="2"/>
        <v>17</v>
      </c>
      <c r="D181" s="18"/>
      <c r="E181" s="13"/>
      <c r="F181" s="12" t="s">
        <v>23</v>
      </c>
      <c r="G181" s="13"/>
      <c r="H181" s="14"/>
      <c r="K181" s="9">
        <v>4</v>
      </c>
      <c r="L181" s="10" t="s">
        <v>23</v>
      </c>
      <c r="M181" s="11">
        <v>1</v>
      </c>
      <c r="N181" s="60" t="str">
        <f>IF(OR($E181="",$G181=""),"",IF(AND(K181=$E181,M181=$G181),Auxiliar!$C$11,IF(AND(SIGN($E181-$G181)=SIGN(K181-M181),MAX($E181,$G181)=MAX(K181,M181)),Auxiliar!$C$12,IF(ABS($E181-$G181)=ABS(K181-M181),Auxiliar!$C$13,IF(AND(SIGN($E181-$G181)=SIGN(K181-M181),MIN($E181,$G181)=MIN(K181,M181)),Auxiliar!$C$14,IF(SIGN($E181-$G181)=SIGN(K181-M181),Auxiliar!$C$15,IF(K181=M181,Auxiliar!$C$16,0)))))))</f>
        <v/>
      </c>
      <c r="P181" s="9">
        <v>2</v>
      </c>
      <c r="Q181" s="10" t="s">
        <v>23</v>
      </c>
      <c r="R181" s="11">
        <v>3</v>
      </c>
      <c r="S181" s="60" t="str">
        <f>IF(OR($E181="",$G181=""),"",IF(AND(P181=$E181,R181=$G181),Auxiliar!$C$11,IF(AND(SIGN($E181-$G181)=SIGN(P181-R181),MAX($E181,$G181)=MAX(P181,R181)),Auxiliar!$C$12,IF(ABS($E181-$G181)=ABS(P181-R181),Auxiliar!$C$13,IF(AND(SIGN($E181-$G181)=SIGN(P181-R181),MIN($E181,$G181)=MIN(P181,R181)),Auxiliar!$C$14,IF(SIGN($E181-$G181)=SIGN(P181-R181),Auxiliar!$C$15,IF(P181=R181,Auxiliar!$C$16,0)))))))</f>
        <v/>
      </c>
      <c r="U181" s="9">
        <v>3</v>
      </c>
      <c r="V181" s="10" t="s">
        <v>23</v>
      </c>
      <c r="W181" s="11">
        <v>2</v>
      </c>
      <c r="X181" s="60" t="str">
        <f>IF(OR($E181="",$G181=""),"",IF(AND(U181=$E181,W181=$G181),Auxiliar!$C$11,IF(AND(SIGN($E181-$G181)=SIGN(U181-W181),MAX($E181,$G181)=MAX(U181,W181)),Auxiliar!$C$12,IF(ABS($E181-$G181)=ABS(U181-W181),Auxiliar!$C$13,IF(AND(SIGN($E181-$G181)=SIGN(U181-W181),MIN($E181,$G181)=MIN(U181,W181)),Auxiliar!$C$14,IF(SIGN($E181-$G181)=SIGN(U181-W181),Auxiliar!$C$15,IF(U181=W181,Auxiliar!$C$16,0)))))))</f>
        <v/>
      </c>
      <c r="Z181" s="9">
        <v>0</v>
      </c>
      <c r="AA181" s="10" t="s">
        <v>23</v>
      </c>
      <c r="AB181" s="11">
        <v>4</v>
      </c>
      <c r="AC181" s="60" t="str">
        <f>IF(OR($E181="",$G181=""),"",IF(AND(Z181=$E181,AB181=$G181),Auxiliar!$C$11,IF(AND(SIGN($E181-$G181)=SIGN(Z181-AB181),MAX($E181,$G181)=MAX(Z181,AB181)),Auxiliar!$C$12,IF(ABS($E181-$G181)=ABS(Z181-AB181),Auxiliar!$C$13,IF(AND(SIGN($E181-$G181)=SIGN(Z181-AB181),MIN($E181,$G181)=MIN(Z181,AB181)),Auxiliar!$C$14,IF(SIGN($E181-$G181)=SIGN(Z181-AB181),Auxiliar!$C$15,IF(Z181=AB181,Auxiliar!$C$16,0)))))))</f>
        <v/>
      </c>
      <c r="AE181" s="9">
        <v>5</v>
      </c>
      <c r="AF181" s="10" t="s">
        <v>23</v>
      </c>
      <c r="AG181" s="11">
        <v>5</v>
      </c>
      <c r="AH181" s="60" t="str">
        <f>IF(OR($E181="",$G181=""),"",IF(AND(AE181=$E181,AG181=$G181),Auxiliar!$C$11,IF(AND(SIGN($E181-$G181)=SIGN(AE181-AG181),MAX($E181,$G181)=MAX(AE181,AG181)),Auxiliar!$C$12,IF(ABS($E181-$G181)=ABS(AE181-AG181),Auxiliar!$C$13,IF(AND(SIGN($E181-$G181)=SIGN(AE181-AG181),MIN($E181,$G181)=MIN(AE181,AG181)),Auxiliar!$C$14,IF(SIGN($E181-$G181)=SIGN(AE181-AG181),Auxiliar!$C$15,IF(AE181=AG181,Auxiliar!$C$16,0)))))))</f>
        <v/>
      </c>
    </row>
    <row r="182" spans="3:34" x14ac:dyDescent="0.25">
      <c r="C182" s="24">
        <f t="shared" si="2"/>
        <v>17</v>
      </c>
      <c r="D182" s="18"/>
      <c r="E182" s="13"/>
      <c r="F182" s="12" t="s">
        <v>23</v>
      </c>
      <c r="G182" s="13"/>
      <c r="H182" s="14"/>
      <c r="K182" s="9">
        <v>5</v>
      </c>
      <c r="L182" s="10" t="s">
        <v>23</v>
      </c>
      <c r="M182" s="11">
        <v>1</v>
      </c>
      <c r="N182" s="60" t="str">
        <f>IF(OR($E182="",$G182=""),"",IF(AND(K182=$E182,M182=$G182),Auxiliar!$C$11,IF(AND(SIGN($E182-$G182)=SIGN(K182-M182),MAX($E182,$G182)=MAX(K182,M182)),Auxiliar!$C$12,IF(ABS($E182-$G182)=ABS(K182-M182),Auxiliar!$C$13,IF(AND(SIGN($E182-$G182)=SIGN(K182-M182),MIN($E182,$G182)=MIN(K182,M182)),Auxiliar!$C$14,IF(SIGN($E182-$G182)=SIGN(K182-M182),Auxiliar!$C$15,IF(K182=M182,Auxiliar!$C$16,0)))))))</f>
        <v/>
      </c>
      <c r="P182" s="9">
        <v>4</v>
      </c>
      <c r="Q182" s="10" t="s">
        <v>23</v>
      </c>
      <c r="R182" s="11">
        <v>5</v>
      </c>
      <c r="S182" s="60" t="str">
        <f>IF(OR($E182="",$G182=""),"",IF(AND(P182=$E182,R182=$G182),Auxiliar!$C$11,IF(AND(SIGN($E182-$G182)=SIGN(P182-R182),MAX($E182,$G182)=MAX(P182,R182)),Auxiliar!$C$12,IF(ABS($E182-$G182)=ABS(P182-R182),Auxiliar!$C$13,IF(AND(SIGN($E182-$G182)=SIGN(P182-R182),MIN($E182,$G182)=MIN(P182,R182)),Auxiliar!$C$14,IF(SIGN($E182-$G182)=SIGN(P182-R182),Auxiliar!$C$15,IF(P182=R182,Auxiliar!$C$16,0)))))))</f>
        <v/>
      </c>
      <c r="U182" s="9">
        <v>4</v>
      </c>
      <c r="V182" s="10" t="s">
        <v>23</v>
      </c>
      <c r="W182" s="11">
        <v>5</v>
      </c>
      <c r="X182" s="60" t="str">
        <f>IF(OR($E182="",$G182=""),"",IF(AND(U182=$E182,W182=$G182),Auxiliar!$C$11,IF(AND(SIGN($E182-$G182)=SIGN(U182-W182),MAX($E182,$G182)=MAX(U182,W182)),Auxiliar!$C$12,IF(ABS($E182-$G182)=ABS(U182-W182),Auxiliar!$C$13,IF(AND(SIGN($E182-$G182)=SIGN(U182-W182),MIN($E182,$G182)=MIN(U182,W182)),Auxiliar!$C$14,IF(SIGN($E182-$G182)=SIGN(U182-W182),Auxiliar!$C$15,IF(U182=W182,Auxiliar!$C$16,0)))))))</f>
        <v/>
      </c>
      <c r="Z182" s="9">
        <v>1</v>
      </c>
      <c r="AA182" s="10" t="s">
        <v>23</v>
      </c>
      <c r="AB182" s="11">
        <v>3</v>
      </c>
      <c r="AC182" s="60" t="str">
        <f>IF(OR($E182="",$G182=""),"",IF(AND(Z182=$E182,AB182=$G182),Auxiliar!$C$11,IF(AND(SIGN($E182-$G182)=SIGN(Z182-AB182),MAX($E182,$G182)=MAX(Z182,AB182)),Auxiliar!$C$12,IF(ABS($E182-$G182)=ABS(Z182-AB182),Auxiliar!$C$13,IF(AND(SIGN($E182-$G182)=SIGN(Z182-AB182),MIN($E182,$G182)=MIN(Z182,AB182)),Auxiliar!$C$14,IF(SIGN($E182-$G182)=SIGN(Z182-AB182),Auxiliar!$C$15,IF(Z182=AB182,Auxiliar!$C$16,0)))))))</f>
        <v/>
      </c>
      <c r="AE182" s="9">
        <v>3</v>
      </c>
      <c r="AF182" s="10" t="s">
        <v>23</v>
      </c>
      <c r="AG182" s="11">
        <v>2</v>
      </c>
      <c r="AH182" s="60" t="str">
        <f>IF(OR($E182="",$G182=""),"",IF(AND(AE182=$E182,AG182=$G182),Auxiliar!$C$11,IF(AND(SIGN($E182-$G182)=SIGN(AE182-AG182),MAX($E182,$G182)=MAX(AE182,AG182)),Auxiliar!$C$12,IF(ABS($E182-$G182)=ABS(AE182-AG182),Auxiliar!$C$13,IF(AND(SIGN($E182-$G182)=SIGN(AE182-AG182),MIN($E182,$G182)=MIN(AE182,AG182)),Auxiliar!$C$14,IF(SIGN($E182-$G182)=SIGN(AE182-AG182),Auxiliar!$C$15,IF(AE182=AG182,Auxiliar!$C$16,0)))))))</f>
        <v/>
      </c>
    </row>
    <row r="183" spans="3:34" x14ac:dyDescent="0.25">
      <c r="C183" s="24">
        <f t="shared" si="2"/>
        <v>17</v>
      </c>
      <c r="D183" s="18"/>
      <c r="E183" s="13"/>
      <c r="F183" s="12" t="s">
        <v>23</v>
      </c>
      <c r="G183" s="13"/>
      <c r="H183" s="14"/>
      <c r="K183" s="9">
        <v>5</v>
      </c>
      <c r="L183" s="10" t="s">
        <v>23</v>
      </c>
      <c r="M183" s="11">
        <v>2</v>
      </c>
      <c r="N183" s="60" t="str">
        <f>IF(OR($E183="",$G183=""),"",IF(AND(K183=$E183,M183=$G183),Auxiliar!$C$11,IF(AND(SIGN($E183-$G183)=SIGN(K183-M183),MAX($E183,$G183)=MAX(K183,M183)),Auxiliar!$C$12,IF(ABS($E183-$G183)=ABS(K183-M183),Auxiliar!$C$13,IF(AND(SIGN($E183-$G183)=SIGN(K183-M183),MIN($E183,$G183)=MIN(K183,M183)),Auxiliar!$C$14,IF(SIGN($E183-$G183)=SIGN(K183-M183),Auxiliar!$C$15,IF(K183=M183,Auxiliar!$C$16,0)))))))</f>
        <v/>
      </c>
      <c r="P183" s="9">
        <v>4</v>
      </c>
      <c r="Q183" s="10" t="s">
        <v>23</v>
      </c>
      <c r="R183" s="11">
        <v>5</v>
      </c>
      <c r="S183" s="60" t="str">
        <f>IF(OR($E183="",$G183=""),"",IF(AND(P183=$E183,R183=$G183),Auxiliar!$C$11,IF(AND(SIGN($E183-$G183)=SIGN(P183-R183),MAX($E183,$G183)=MAX(P183,R183)),Auxiliar!$C$12,IF(ABS($E183-$G183)=ABS(P183-R183),Auxiliar!$C$13,IF(AND(SIGN($E183-$G183)=SIGN(P183-R183),MIN($E183,$G183)=MIN(P183,R183)),Auxiliar!$C$14,IF(SIGN($E183-$G183)=SIGN(P183-R183),Auxiliar!$C$15,IF(P183=R183,Auxiliar!$C$16,0)))))))</f>
        <v/>
      </c>
      <c r="U183" s="9">
        <v>1</v>
      </c>
      <c r="V183" s="10" t="s">
        <v>23</v>
      </c>
      <c r="W183" s="11">
        <v>1</v>
      </c>
      <c r="X183" s="60" t="str">
        <f>IF(OR($E183="",$G183=""),"",IF(AND(U183=$E183,W183=$G183),Auxiliar!$C$11,IF(AND(SIGN($E183-$G183)=SIGN(U183-W183),MAX($E183,$G183)=MAX(U183,W183)),Auxiliar!$C$12,IF(ABS($E183-$G183)=ABS(U183-W183),Auxiliar!$C$13,IF(AND(SIGN($E183-$G183)=SIGN(U183-W183),MIN($E183,$G183)=MIN(U183,W183)),Auxiliar!$C$14,IF(SIGN($E183-$G183)=SIGN(U183-W183),Auxiliar!$C$15,IF(U183=W183,Auxiliar!$C$16,0)))))))</f>
        <v/>
      </c>
      <c r="Z183" s="9">
        <v>0</v>
      </c>
      <c r="AA183" s="10" t="s">
        <v>23</v>
      </c>
      <c r="AB183" s="11">
        <v>3</v>
      </c>
      <c r="AC183" s="60" t="str">
        <f>IF(OR($E183="",$G183=""),"",IF(AND(Z183=$E183,AB183=$G183),Auxiliar!$C$11,IF(AND(SIGN($E183-$G183)=SIGN(Z183-AB183),MAX($E183,$G183)=MAX(Z183,AB183)),Auxiliar!$C$12,IF(ABS($E183-$G183)=ABS(Z183-AB183),Auxiliar!$C$13,IF(AND(SIGN($E183-$G183)=SIGN(Z183-AB183),MIN($E183,$G183)=MIN(Z183,AB183)),Auxiliar!$C$14,IF(SIGN($E183-$G183)=SIGN(Z183-AB183),Auxiliar!$C$15,IF(Z183=AB183,Auxiliar!$C$16,0)))))))</f>
        <v/>
      </c>
      <c r="AE183" s="9">
        <v>0</v>
      </c>
      <c r="AF183" s="10" t="s">
        <v>23</v>
      </c>
      <c r="AG183" s="11">
        <v>4</v>
      </c>
      <c r="AH183" s="60" t="str">
        <f>IF(OR($E183="",$G183=""),"",IF(AND(AE183=$E183,AG183=$G183),Auxiliar!$C$11,IF(AND(SIGN($E183-$G183)=SIGN(AE183-AG183),MAX($E183,$G183)=MAX(AE183,AG183)),Auxiliar!$C$12,IF(ABS($E183-$G183)=ABS(AE183-AG183),Auxiliar!$C$13,IF(AND(SIGN($E183-$G183)=SIGN(AE183-AG183),MIN($E183,$G183)=MIN(AE183,AG183)),Auxiliar!$C$14,IF(SIGN($E183-$G183)=SIGN(AE183-AG183),Auxiliar!$C$15,IF(AE183=AG183,Auxiliar!$C$16,0)))))))</f>
        <v/>
      </c>
    </row>
    <row r="184" spans="3:34" x14ac:dyDescent="0.25">
      <c r="C184" s="24">
        <f t="shared" si="2"/>
        <v>17</v>
      </c>
      <c r="D184" s="18"/>
      <c r="E184" s="13"/>
      <c r="F184" s="12" t="s">
        <v>23</v>
      </c>
      <c r="G184" s="13"/>
      <c r="H184" s="14"/>
      <c r="K184" s="9">
        <v>2</v>
      </c>
      <c r="L184" s="10" t="s">
        <v>23</v>
      </c>
      <c r="M184" s="11">
        <v>1</v>
      </c>
      <c r="N184" s="60" t="str">
        <f>IF(OR($E184="",$G184=""),"",IF(AND(K184=$E184,M184=$G184),Auxiliar!$C$11,IF(AND(SIGN($E184-$G184)=SIGN(K184-M184),MAX($E184,$G184)=MAX(K184,M184)),Auxiliar!$C$12,IF(ABS($E184-$G184)=ABS(K184-M184),Auxiliar!$C$13,IF(AND(SIGN($E184-$G184)=SIGN(K184-M184),MIN($E184,$G184)=MIN(K184,M184)),Auxiliar!$C$14,IF(SIGN($E184-$G184)=SIGN(K184-M184),Auxiliar!$C$15,IF(K184=M184,Auxiliar!$C$16,0)))))))</f>
        <v/>
      </c>
      <c r="P184" s="9">
        <v>4</v>
      </c>
      <c r="Q184" s="10" t="s">
        <v>23</v>
      </c>
      <c r="R184" s="11">
        <v>3</v>
      </c>
      <c r="S184" s="60" t="str">
        <f>IF(OR($E184="",$G184=""),"",IF(AND(P184=$E184,R184=$G184),Auxiliar!$C$11,IF(AND(SIGN($E184-$G184)=SIGN(P184-R184),MAX($E184,$G184)=MAX(P184,R184)),Auxiliar!$C$12,IF(ABS($E184-$G184)=ABS(P184-R184),Auxiliar!$C$13,IF(AND(SIGN($E184-$G184)=SIGN(P184-R184),MIN($E184,$G184)=MIN(P184,R184)),Auxiliar!$C$14,IF(SIGN($E184-$G184)=SIGN(P184-R184),Auxiliar!$C$15,IF(P184=R184,Auxiliar!$C$16,0)))))))</f>
        <v/>
      </c>
      <c r="U184" s="9">
        <v>3</v>
      </c>
      <c r="V184" s="10" t="s">
        <v>23</v>
      </c>
      <c r="W184" s="11">
        <v>0</v>
      </c>
      <c r="X184" s="60" t="str">
        <f>IF(OR($E184="",$G184=""),"",IF(AND(U184=$E184,W184=$G184),Auxiliar!$C$11,IF(AND(SIGN($E184-$G184)=SIGN(U184-W184),MAX($E184,$G184)=MAX(U184,W184)),Auxiliar!$C$12,IF(ABS($E184-$G184)=ABS(U184-W184),Auxiliar!$C$13,IF(AND(SIGN($E184-$G184)=SIGN(U184-W184),MIN($E184,$G184)=MIN(U184,W184)),Auxiliar!$C$14,IF(SIGN($E184-$G184)=SIGN(U184-W184),Auxiliar!$C$15,IF(U184=W184,Auxiliar!$C$16,0)))))))</f>
        <v/>
      </c>
      <c r="Z184" s="9">
        <v>2</v>
      </c>
      <c r="AA184" s="10" t="s">
        <v>23</v>
      </c>
      <c r="AB184" s="11">
        <v>3</v>
      </c>
      <c r="AC184" s="60" t="str">
        <f>IF(OR($E184="",$G184=""),"",IF(AND(Z184=$E184,AB184=$G184),Auxiliar!$C$11,IF(AND(SIGN($E184-$G184)=SIGN(Z184-AB184),MAX($E184,$G184)=MAX(Z184,AB184)),Auxiliar!$C$12,IF(ABS($E184-$G184)=ABS(Z184-AB184),Auxiliar!$C$13,IF(AND(SIGN($E184-$G184)=SIGN(Z184-AB184),MIN($E184,$G184)=MIN(Z184,AB184)),Auxiliar!$C$14,IF(SIGN($E184-$G184)=SIGN(Z184-AB184),Auxiliar!$C$15,IF(Z184=AB184,Auxiliar!$C$16,0)))))))</f>
        <v/>
      </c>
      <c r="AE184" s="9">
        <v>4</v>
      </c>
      <c r="AF184" s="10" t="s">
        <v>23</v>
      </c>
      <c r="AG184" s="11">
        <v>0</v>
      </c>
      <c r="AH184" s="60" t="str">
        <f>IF(OR($E184="",$G184=""),"",IF(AND(AE184=$E184,AG184=$G184),Auxiliar!$C$11,IF(AND(SIGN($E184-$G184)=SIGN(AE184-AG184),MAX($E184,$G184)=MAX(AE184,AG184)),Auxiliar!$C$12,IF(ABS($E184-$G184)=ABS(AE184-AG184),Auxiliar!$C$13,IF(AND(SIGN($E184-$G184)=SIGN(AE184-AG184),MIN($E184,$G184)=MIN(AE184,AG184)),Auxiliar!$C$14,IF(SIGN($E184-$G184)=SIGN(AE184-AG184),Auxiliar!$C$15,IF(AE184=AG184,Auxiliar!$C$16,0)))))))</f>
        <v/>
      </c>
    </row>
    <row r="185" spans="3:34" x14ac:dyDescent="0.25">
      <c r="C185" s="24">
        <f t="shared" si="2"/>
        <v>17</v>
      </c>
      <c r="D185" s="18"/>
      <c r="E185" s="13"/>
      <c r="F185" s="12" t="s">
        <v>23</v>
      </c>
      <c r="G185" s="13"/>
      <c r="H185" s="14"/>
      <c r="K185" s="9">
        <v>3</v>
      </c>
      <c r="L185" s="10" t="s">
        <v>23</v>
      </c>
      <c r="M185" s="11">
        <v>1</v>
      </c>
      <c r="N185" s="60" t="str">
        <f>IF(OR($E185="",$G185=""),"",IF(AND(K185=$E185,M185=$G185),Auxiliar!$C$11,IF(AND(SIGN($E185-$G185)=SIGN(K185-M185),MAX($E185,$G185)=MAX(K185,M185)),Auxiliar!$C$12,IF(ABS($E185-$G185)=ABS(K185-M185),Auxiliar!$C$13,IF(AND(SIGN($E185-$G185)=SIGN(K185-M185),MIN($E185,$G185)=MIN(K185,M185)),Auxiliar!$C$14,IF(SIGN($E185-$G185)=SIGN(K185-M185),Auxiliar!$C$15,IF(K185=M185,Auxiliar!$C$16,0)))))))</f>
        <v/>
      </c>
      <c r="P185" s="9">
        <v>0</v>
      </c>
      <c r="Q185" s="10" t="s">
        <v>23</v>
      </c>
      <c r="R185" s="11">
        <v>5</v>
      </c>
      <c r="S185" s="60" t="str">
        <f>IF(OR($E185="",$G185=""),"",IF(AND(P185=$E185,R185=$G185),Auxiliar!$C$11,IF(AND(SIGN($E185-$G185)=SIGN(P185-R185),MAX($E185,$G185)=MAX(P185,R185)),Auxiliar!$C$12,IF(ABS($E185-$G185)=ABS(P185-R185),Auxiliar!$C$13,IF(AND(SIGN($E185-$G185)=SIGN(P185-R185),MIN($E185,$G185)=MIN(P185,R185)),Auxiliar!$C$14,IF(SIGN($E185-$G185)=SIGN(P185-R185),Auxiliar!$C$15,IF(P185=R185,Auxiliar!$C$16,0)))))))</f>
        <v/>
      </c>
      <c r="U185" s="9">
        <v>2</v>
      </c>
      <c r="V185" s="10" t="s">
        <v>23</v>
      </c>
      <c r="W185" s="11">
        <v>3</v>
      </c>
      <c r="X185" s="60" t="str">
        <f>IF(OR($E185="",$G185=""),"",IF(AND(U185=$E185,W185=$G185),Auxiliar!$C$11,IF(AND(SIGN($E185-$G185)=SIGN(U185-W185),MAX($E185,$G185)=MAX(U185,W185)),Auxiliar!$C$12,IF(ABS($E185-$G185)=ABS(U185-W185),Auxiliar!$C$13,IF(AND(SIGN($E185-$G185)=SIGN(U185-W185),MIN($E185,$G185)=MIN(U185,W185)),Auxiliar!$C$14,IF(SIGN($E185-$G185)=SIGN(U185-W185),Auxiliar!$C$15,IF(U185=W185,Auxiliar!$C$16,0)))))))</f>
        <v/>
      </c>
      <c r="Z185" s="9">
        <v>3</v>
      </c>
      <c r="AA185" s="10" t="s">
        <v>23</v>
      </c>
      <c r="AB185" s="11">
        <v>5</v>
      </c>
      <c r="AC185" s="60" t="str">
        <f>IF(OR($E185="",$G185=""),"",IF(AND(Z185=$E185,AB185=$G185),Auxiliar!$C$11,IF(AND(SIGN($E185-$G185)=SIGN(Z185-AB185),MAX($E185,$G185)=MAX(Z185,AB185)),Auxiliar!$C$12,IF(ABS($E185-$G185)=ABS(Z185-AB185),Auxiliar!$C$13,IF(AND(SIGN($E185-$G185)=SIGN(Z185-AB185),MIN($E185,$G185)=MIN(Z185,AB185)),Auxiliar!$C$14,IF(SIGN($E185-$G185)=SIGN(Z185-AB185),Auxiliar!$C$15,IF(Z185=AB185,Auxiliar!$C$16,0)))))))</f>
        <v/>
      </c>
      <c r="AE185" s="9">
        <v>1</v>
      </c>
      <c r="AF185" s="10" t="s">
        <v>23</v>
      </c>
      <c r="AG185" s="11">
        <v>3</v>
      </c>
      <c r="AH185" s="60" t="str">
        <f>IF(OR($E185="",$G185=""),"",IF(AND(AE185=$E185,AG185=$G185),Auxiliar!$C$11,IF(AND(SIGN($E185-$G185)=SIGN(AE185-AG185),MAX($E185,$G185)=MAX(AE185,AG185)),Auxiliar!$C$12,IF(ABS($E185-$G185)=ABS(AE185-AG185),Auxiliar!$C$13,IF(AND(SIGN($E185-$G185)=SIGN(AE185-AG185),MIN($E185,$G185)=MIN(AE185,AG185)),Auxiliar!$C$14,IF(SIGN($E185-$G185)=SIGN(AE185-AG185),Auxiliar!$C$15,IF(AE185=AG185,Auxiliar!$C$16,0)))))))</f>
        <v/>
      </c>
    </row>
    <row r="186" spans="3:34" x14ac:dyDescent="0.25">
      <c r="C186" s="24">
        <f t="shared" si="2"/>
        <v>17</v>
      </c>
      <c r="D186" s="18"/>
      <c r="E186" s="13"/>
      <c r="F186" s="12" t="s">
        <v>23</v>
      </c>
      <c r="G186" s="13"/>
      <c r="H186" s="14"/>
      <c r="K186" s="9">
        <v>5</v>
      </c>
      <c r="L186" s="10" t="s">
        <v>23</v>
      </c>
      <c r="M186" s="11">
        <v>2</v>
      </c>
      <c r="N186" s="60" t="str">
        <f>IF(OR($E186="",$G186=""),"",IF(AND(K186=$E186,M186=$G186),Auxiliar!$C$11,IF(AND(SIGN($E186-$G186)=SIGN(K186-M186),MAX($E186,$G186)=MAX(K186,M186)),Auxiliar!$C$12,IF(ABS($E186-$G186)=ABS(K186-M186),Auxiliar!$C$13,IF(AND(SIGN($E186-$G186)=SIGN(K186-M186),MIN($E186,$G186)=MIN(K186,M186)),Auxiliar!$C$14,IF(SIGN($E186-$G186)=SIGN(K186-M186),Auxiliar!$C$15,IF(K186=M186,Auxiliar!$C$16,0)))))))</f>
        <v/>
      </c>
      <c r="P186" s="9">
        <v>0</v>
      </c>
      <c r="Q186" s="10" t="s">
        <v>23</v>
      </c>
      <c r="R186" s="11">
        <v>3</v>
      </c>
      <c r="S186" s="60" t="str">
        <f>IF(OR($E186="",$G186=""),"",IF(AND(P186=$E186,R186=$G186),Auxiliar!$C$11,IF(AND(SIGN($E186-$G186)=SIGN(P186-R186),MAX($E186,$G186)=MAX(P186,R186)),Auxiliar!$C$12,IF(ABS($E186-$G186)=ABS(P186-R186),Auxiliar!$C$13,IF(AND(SIGN($E186-$G186)=SIGN(P186-R186),MIN($E186,$G186)=MIN(P186,R186)),Auxiliar!$C$14,IF(SIGN($E186-$G186)=SIGN(P186-R186),Auxiliar!$C$15,IF(P186=R186,Auxiliar!$C$16,0)))))))</f>
        <v/>
      </c>
      <c r="U186" s="9">
        <v>4</v>
      </c>
      <c r="V186" s="10" t="s">
        <v>23</v>
      </c>
      <c r="W186" s="11">
        <v>4</v>
      </c>
      <c r="X186" s="60" t="str">
        <f>IF(OR($E186="",$G186=""),"",IF(AND(U186=$E186,W186=$G186),Auxiliar!$C$11,IF(AND(SIGN($E186-$G186)=SIGN(U186-W186),MAX($E186,$G186)=MAX(U186,W186)),Auxiliar!$C$12,IF(ABS($E186-$G186)=ABS(U186-W186),Auxiliar!$C$13,IF(AND(SIGN($E186-$G186)=SIGN(U186-W186),MIN($E186,$G186)=MIN(U186,W186)),Auxiliar!$C$14,IF(SIGN($E186-$G186)=SIGN(U186-W186),Auxiliar!$C$15,IF(U186=W186,Auxiliar!$C$16,0)))))))</f>
        <v/>
      </c>
      <c r="Z186" s="9">
        <v>4</v>
      </c>
      <c r="AA186" s="10" t="s">
        <v>23</v>
      </c>
      <c r="AB186" s="11">
        <v>3</v>
      </c>
      <c r="AC186" s="60" t="str">
        <f>IF(OR($E186="",$G186=""),"",IF(AND(Z186=$E186,AB186=$G186),Auxiliar!$C$11,IF(AND(SIGN($E186-$G186)=SIGN(Z186-AB186),MAX($E186,$G186)=MAX(Z186,AB186)),Auxiliar!$C$12,IF(ABS($E186-$G186)=ABS(Z186-AB186),Auxiliar!$C$13,IF(AND(SIGN($E186-$G186)=SIGN(Z186-AB186),MIN($E186,$G186)=MIN(Z186,AB186)),Auxiliar!$C$14,IF(SIGN($E186-$G186)=SIGN(Z186-AB186),Auxiliar!$C$15,IF(Z186=AB186,Auxiliar!$C$16,0)))))))</f>
        <v/>
      </c>
      <c r="AE186" s="9">
        <v>4</v>
      </c>
      <c r="AF186" s="10" t="s">
        <v>23</v>
      </c>
      <c r="AG186" s="11">
        <v>1</v>
      </c>
      <c r="AH186" s="60" t="str">
        <f>IF(OR($E186="",$G186=""),"",IF(AND(AE186=$E186,AG186=$G186),Auxiliar!$C$11,IF(AND(SIGN($E186-$G186)=SIGN(AE186-AG186),MAX($E186,$G186)=MAX(AE186,AG186)),Auxiliar!$C$12,IF(ABS($E186-$G186)=ABS(AE186-AG186),Auxiliar!$C$13,IF(AND(SIGN($E186-$G186)=SIGN(AE186-AG186),MIN($E186,$G186)=MIN(AE186,AG186)),Auxiliar!$C$14,IF(SIGN($E186-$G186)=SIGN(AE186-AG186),Auxiliar!$C$15,IF(AE186=AG186,Auxiliar!$C$16,0)))))))</f>
        <v/>
      </c>
    </row>
    <row r="187" spans="3:34" x14ac:dyDescent="0.25">
      <c r="C187" s="24">
        <f t="shared" si="2"/>
        <v>17</v>
      </c>
      <c r="D187" s="18"/>
      <c r="E187" s="13"/>
      <c r="F187" s="12" t="s">
        <v>23</v>
      </c>
      <c r="G187" s="13"/>
      <c r="H187" s="14"/>
      <c r="K187" s="9">
        <v>4</v>
      </c>
      <c r="L187" s="10" t="s">
        <v>23</v>
      </c>
      <c r="M187" s="11">
        <v>3</v>
      </c>
      <c r="N187" s="60" t="str">
        <f>IF(OR($E187="",$G187=""),"",IF(AND(K187=$E187,M187=$G187),Auxiliar!$C$11,IF(AND(SIGN($E187-$G187)=SIGN(K187-M187),MAX($E187,$G187)=MAX(K187,M187)),Auxiliar!$C$12,IF(ABS($E187-$G187)=ABS(K187-M187),Auxiliar!$C$13,IF(AND(SIGN($E187-$G187)=SIGN(K187-M187),MIN($E187,$G187)=MIN(K187,M187)),Auxiliar!$C$14,IF(SIGN($E187-$G187)=SIGN(K187-M187),Auxiliar!$C$15,IF(K187=M187,Auxiliar!$C$16,0)))))))</f>
        <v/>
      </c>
      <c r="P187" s="9">
        <v>3</v>
      </c>
      <c r="Q187" s="10" t="s">
        <v>23</v>
      </c>
      <c r="R187" s="11">
        <v>5</v>
      </c>
      <c r="S187" s="60" t="str">
        <f>IF(OR($E187="",$G187=""),"",IF(AND(P187=$E187,R187=$G187),Auxiliar!$C$11,IF(AND(SIGN($E187-$G187)=SIGN(P187-R187),MAX($E187,$G187)=MAX(P187,R187)),Auxiliar!$C$12,IF(ABS($E187-$G187)=ABS(P187-R187),Auxiliar!$C$13,IF(AND(SIGN($E187-$G187)=SIGN(P187-R187),MIN($E187,$G187)=MIN(P187,R187)),Auxiliar!$C$14,IF(SIGN($E187-$G187)=SIGN(P187-R187),Auxiliar!$C$15,IF(P187=R187,Auxiliar!$C$16,0)))))))</f>
        <v/>
      </c>
      <c r="U187" s="9">
        <v>4</v>
      </c>
      <c r="V187" s="10" t="s">
        <v>23</v>
      </c>
      <c r="W187" s="11">
        <v>1</v>
      </c>
      <c r="X187" s="60" t="str">
        <f>IF(OR($E187="",$G187=""),"",IF(AND(U187=$E187,W187=$G187),Auxiliar!$C$11,IF(AND(SIGN($E187-$G187)=SIGN(U187-W187),MAX($E187,$G187)=MAX(U187,W187)),Auxiliar!$C$12,IF(ABS($E187-$G187)=ABS(U187-W187),Auxiliar!$C$13,IF(AND(SIGN($E187-$G187)=SIGN(U187-W187),MIN($E187,$G187)=MIN(U187,W187)),Auxiliar!$C$14,IF(SIGN($E187-$G187)=SIGN(U187-W187),Auxiliar!$C$15,IF(U187=W187,Auxiliar!$C$16,0)))))))</f>
        <v/>
      </c>
      <c r="Z187" s="9">
        <v>1</v>
      </c>
      <c r="AA187" s="10" t="s">
        <v>23</v>
      </c>
      <c r="AB187" s="11">
        <v>0</v>
      </c>
      <c r="AC187" s="60" t="str">
        <f>IF(OR($E187="",$G187=""),"",IF(AND(Z187=$E187,AB187=$G187),Auxiliar!$C$11,IF(AND(SIGN($E187-$G187)=SIGN(Z187-AB187),MAX($E187,$G187)=MAX(Z187,AB187)),Auxiliar!$C$12,IF(ABS($E187-$G187)=ABS(Z187-AB187),Auxiliar!$C$13,IF(AND(SIGN($E187-$G187)=SIGN(Z187-AB187),MIN($E187,$G187)=MIN(Z187,AB187)),Auxiliar!$C$14,IF(SIGN($E187-$G187)=SIGN(Z187-AB187),Auxiliar!$C$15,IF(Z187=AB187,Auxiliar!$C$16,0)))))))</f>
        <v/>
      </c>
      <c r="AE187" s="9">
        <v>3</v>
      </c>
      <c r="AF187" s="10" t="s">
        <v>23</v>
      </c>
      <c r="AG187" s="11">
        <v>2</v>
      </c>
      <c r="AH187" s="60" t="str">
        <f>IF(OR($E187="",$G187=""),"",IF(AND(AE187=$E187,AG187=$G187),Auxiliar!$C$11,IF(AND(SIGN($E187-$G187)=SIGN(AE187-AG187),MAX($E187,$G187)=MAX(AE187,AG187)),Auxiliar!$C$12,IF(ABS($E187-$G187)=ABS(AE187-AG187),Auxiliar!$C$13,IF(AND(SIGN($E187-$G187)=SIGN(AE187-AG187),MIN($E187,$G187)=MIN(AE187,AG187)),Auxiliar!$C$14,IF(SIGN($E187-$G187)=SIGN(AE187-AG187),Auxiliar!$C$15,IF(AE187=AG187,Auxiliar!$C$16,0)))))))</f>
        <v/>
      </c>
    </row>
    <row r="188" spans="3:34" x14ac:dyDescent="0.25">
      <c r="C188" s="24">
        <f t="shared" si="2"/>
        <v>17</v>
      </c>
      <c r="D188" s="18"/>
      <c r="E188" s="13"/>
      <c r="F188" s="12" t="s">
        <v>23</v>
      </c>
      <c r="G188" s="13"/>
      <c r="H188" s="14"/>
      <c r="K188" s="9">
        <v>2</v>
      </c>
      <c r="L188" s="10" t="s">
        <v>23</v>
      </c>
      <c r="M188" s="11">
        <v>0</v>
      </c>
      <c r="N188" s="60" t="str">
        <f>IF(OR($E188="",$G188=""),"",IF(AND(K188=$E188,M188=$G188),Auxiliar!$C$11,IF(AND(SIGN($E188-$G188)=SIGN(K188-M188),MAX($E188,$G188)=MAX(K188,M188)),Auxiliar!$C$12,IF(ABS($E188-$G188)=ABS(K188-M188),Auxiliar!$C$13,IF(AND(SIGN($E188-$G188)=SIGN(K188-M188),MIN($E188,$G188)=MIN(K188,M188)),Auxiliar!$C$14,IF(SIGN($E188-$G188)=SIGN(K188-M188),Auxiliar!$C$15,IF(K188=M188,Auxiliar!$C$16,0)))))))</f>
        <v/>
      </c>
      <c r="P188" s="9">
        <v>2</v>
      </c>
      <c r="Q188" s="10" t="s">
        <v>23</v>
      </c>
      <c r="R188" s="11">
        <v>2</v>
      </c>
      <c r="S188" s="60" t="str">
        <f>IF(OR($E188="",$G188=""),"",IF(AND(P188=$E188,R188=$G188),Auxiliar!$C$11,IF(AND(SIGN($E188-$G188)=SIGN(P188-R188),MAX($E188,$G188)=MAX(P188,R188)),Auxiliar!$C$12,IF(ABS($E188-$G188)=ABS(P188-R188),Auxiliar!$C$13,IF(AND(SIGN($E188-$G188)=SIGN(P188-R188),MIN($E188,$G188)=MIN(P188,R188)),Auxiliar!$C$14,IF(SIGN($E188-$G188)=SIGN(P188-R188),Auxiliar!$C$15,IF(P188=R188,Auxiliar!$C$16,0)))))))</f>
        <v/>
      </c>
      <c r="U188" s="9">
        <v>5</v>
      </c>
      <c r="V188" s="10" t="s">
        <v>23</v>
      </c>
      <c r="W188" s="11">
        <v>1</v>
      </c>
      <c r="X188" s="60" t="str">
        <f>IF(OR($E188="",$G188=""),"",IF(AND(U188=$E188,W188=$G188),Auxiliar!$C$11,IF(AND(SIGN($E188-$G188)=SIGN(U188-W188),MAX($E188,$G188)=MAX(U188,W188)),Auxiliar!$C$12,IF(ABS($E188-$G188)=ABS(U188-W188),Auxiliar!$C$13,IF(AND(SIGN($E188-$G188)=SIGN(U188-W188),MIN($E188,$G188)=MIN(U188,W188)),Auxiliar!$C$14,IF(SIGN($E188-$G188)=SIGN(U188-W188),Auxiliar!$C$15,IF(U188=W188,Auxiliar!$C$16,0)))))))</f>
        <v/>
      </c>
      <c r="Z188" s="9">
        <v>4</v>
      </c>
      <c r="AA188" s="10" t="s">
        <v>23</v>
      </c>
      <c r="AB188" s="11">
        <v>3</v>
      </c>
      <c r="AC188" s="60" t="str">
        <f>IF(OR($E188="",$G188=""),"",IF(AND(Z188=$E188,AB188=$G188),Auxiliar!$C$11,IF(AND(SIGN($E188-$G188)=SIGN(Z188-AB188),MAX($E188,$G188)=MAX(Z188,AB188)),Auxiliar!$C$12,IF(ABS($E188-$G188)=ABS(Z188-AB188),Auxiliar!$C$13,IF(AND(SIGN($E188-$G188)=SIGN(Z188-AB188),MIN($E188,$G188)=MIN(Z188,AB188)),Auxiliar!$C$14,IF(SIGN($E188-$G188)=SIGN(Z188-AB188),Auxiliar!$C$15,IF(Z188=AB188,Auxiliar!$C$16,0)))))))</f>
        <v/>
      </c>
      <c r="AE188" s="9">
        <v>1</v>
      </c>
      <c r="AF188" s="10" t="s">
        <v>23</v>
      </c>
      <c r="AG188" s="11">
        <v>4</v>
      </c>
      <c r="AH188" s="60" t="str">
        <f>IF(OR($E188="",$G188=""),"",IF(AND(AE188=$E188,AG188=$G188),Auxiliar!$C$11,IF(AND(SIGN($E188-$G188)=SIGN(AE188-AG188),MAX($E188,$G188)=MAX(AE188,AG188)),Auxiliar!$C$12,IF(ABS($E188-$G188)=ABS(AE188-AG188),Auxiliar!$C$13,IF(AND(SIGN($E188-$G188)=SIGN(AE188-AG188),MIN($E188,$G188)=MIN(AE188,AG188)),Auxiliar!$C$14,IF(SIGN($E188-$G188)=SIGN(AE188-AG188),Auxiliar!$C$15,IF(AE188=AG188,Auxiliar!$C$16,0)))))))</f>
        <v/>
      </c>
    </row>
    <row r="189" spans="3:34" x14ac:dyDescent="0.25">
      <c r="C189" s="24">
        <f t="shared" si="2"/>
        <v>18</v>
      </c>
      <c r="D189" s="18"/>
      <c r="E189" s="13"/>
      <c r="F189" s="12" t="s">
        <v>23</v>
      </c>
      <c r="G189" s="13"/>
      <c r="H189" s="14"/>
      <c r="K189" s="9">
        <v>3</v>
      </c>
      <c r="L189" s="10" t="s">
        <v>23</v>
      </c>
      <c r="M189" s="11">
        <v>2</v>
      </c>
      <c r="N189" s="60" t="str">
        <f>IF(OR($E189="",$G189=""),"",IF(AND(K189=$E189,M189=$G189),Auxiliar!$C$11,IF(AND(SIGN($E189-$G189)=SIGN(K189-M189),MAX($E189,$G189)=MAX(K189,M189)),Auxiliar!$C$12,IF(ABS($E189-$G189)=ABS(K189-M189),Auxiliar!$C$13,IF(AND(SIGN($E189-$G189)=SIGN(K189-M189),MIN($E189,$G189)=MIN(K189,M189)),Auxiliar!$C$14,IF(SIGN($E189-$G189)=SIGN(K189-M189),Auxiliar!$C$15,IF(K189=M189,Auxiliar!$C$16,0)))))))</f>
        <v/>
      </c>
      <c r="P189" s="9">
        <v>4</v>
      </c>
      <c r="Q189" s="10" t="s">
        <v>23</v>
      </c>
      <c r="R189" s="11">
        <v>2</v>
      </c>
      <c r="S189" s="60" t="str">
        <f>IF(OR($E189="",$G189=""),"",IF(AND(P189=$E189,R189=$G189),Auxiliar!$C$11,IF(AND(SIGN($E189-$G189)=SIGN(P189-R189),MAX($E189,$G189)=MAX(P189,R189)),Auxiliar!$C$12,IF(ABS($E189-$G189)=ABS(P189-R189),Auxiliar!$C$13,IF(AND(SIGN($E189-$G189)=SIGN(P189-R189),MIN($E189,$G189)=MIN(P189,R189)),Auxiliar!$C$14,IF(SIGN($E189-$G189)=SIGN(P189-R189),Auxiliar!$C$15,IF(P189=R189,Auxiliar!$C$16,0)))))))</f>
        <v/>
      </c>
      <c r="U189" s="9">
        <v>0</v>
      </c>
      <c r="V189" s="10" t="s">
        <v>23</v>
      </c>
      <c r="W189" s="11">
        <v>3</v>
      </c>
      <c r="X189" s="60" t="str">
        <f>IF(OR($E189="",$G189=""),"",IF(AND(U189=$E189,W189=$G189),Auxiliar!$C$11,IF(AND(SIGN($E189-$G189)=SIGN(U189-W189),MAX($E189,$G189)=MAX(U189,W189)),Auxiliar!$C$12,IF(ABS($E189-$G189)=ABS(U189-W189),Auxiliar!$C$13,IF(AND(SIGN($E189-$G189)=SIGN(U189-W189),MIN($E189,$G189)=MIN(U189,W189)),Auxiliar!$C$14,IF(SIGN($E189-$G189)=SIGN(U189-W189),Auxiliar!$C$15,IF(U189=W189,Auxiliar!$C$16,0)))))))</f>
        <v/>
      </c>
      <c r="Z189" s="9">
        <v>0</v>
      </c>
      <c r="AA189" s="10" t="s">
        <v>23</v>
      </c>
      <c r="AB189" s="11">
        <v>4</v>
      </c>
      <c r="AC189" s="60" t="str">
        <f>IF(OR($E189="",$G189=""),"",IF(AND(Z189=$E189,AB189=$G189),Auxiliar!$C$11,IF(AND(SIGN($E189-$G189)=SIGN(Z189-AB189),MAX($E189,$G189)=MAX(Z189,AB189)),Auxiliar!$C$12,IF(ABS($E189-$G189)=ABS(Z189-AB189),Auxiliar!$C$13,IF(AND(SIGN($E189-$G189)=SIGN(Z189-AB189),MIN($E189,$G189)=MIN(Z189,AB189)),Auxiliar!$C$14,IF(SIGN($E189-$G189)=SIGN(Z189-AB189),Auxiliar!$C$15,IF(Z189=AB189,Auxiliar!$C$16,0)))))))</f>
        <v/>
      </c>
      <c r="AE189" s="9">
        <v>4</v>
      </c>
      <c r="AF189" s="10" t="s">
        <v>23</v>
      </c>
      <c r="AG189" s="11">
        <v>3</v>
      </c>
      <c r="AH189" s="60" t="str">
        <f>IF(OR($E189="",$G189=""),"",IF(AND(AE189=$E189,AG189=$G189),Auxiliar!$C$11,IF(AND(SIGN($E189-$G189)=SIGN(AE189-AG189),MAX($E189,$G189)=MAX(AE189,AG189)),Auxiliar!$C$12,IF(ABS($E189-$G189)=ABS(AE189-AG189),Auxiliar!$C$13,IF(AND(SIGN($E189-$G189)=SIGN(AE189-AG189),MIN($E189,$G189)=MIN(AE189,AG189)),Auxiliar!$C$14,IF(SIGN($E189-$G189)=SIGN(AE189-AG189),Auxiliar!$C$15,IF(AE189=AG189,Auxiliar!$C$16,0)))))))</f>
        <v/>
      </c>
    </row>
    <row r="190" spans="3:34" x14ac:dyDescent="0.25">
      <c r="C190" s="24">
        <f t="shared" si="2"/>
        <v>18</v>
      </c>
      <c r="D190" s="18"/>
      <c r="E190" s="13"/>
      <c r="F190" s="12" t="s">
        <v>23</v>
      </c>
      <c r="G190" s="13"/>
      <c r="H190" s="14"/>
      <c r="K190" s="9">
        <v>3</v>
      </c>
      <c r="L190" s="10" t="s">
        <v>23</v>
      </c>
      <c r="M190" s="11">
        <v>5</v>
      </c>
      <c r="N190" s="60" t="str">
        <f>IF(OR($E190="",$G190=""),"",IF(AND(K190=$E190,M190=$G190),Auxiliar!$C$11,IF(AND(SIGN($E190-$G190)=SIGN(K190-M190),MAX($E190,$G190)=MAX(K190,M190)),Auxiliar!$C$12,IF(ABS($E190-$G190)=ABS(K190-M190),Auxiliar!$C$13,IF(AND(SIGN($E190-$G190)=SIGN(K190-M190),MIN($E190,$G190)=MIN(K190,M190)),Auxiliar!$C$14,IF(SIGN($E190-$G190)=SIGN(K190-M190),Auxiliar!$C$15,IF(K190=M190,Auxiliar!$C$16,0)))))))</f>
        <v/>
      </c>
      <c r="P190" s="9">
        <v>2</v>
      </c>
      <c r="Q190" s="10" t="s">
        <v>23</v>
      </c>
      <c r="R190" s="11">
        <v>3</v>
      </c>
      <c r="S190" s="60" t="str">
        <f>IF(OR($E190="",$G190=""),"",IF(AND(P190=$E190,R190=$G190),Auxiliar!$C$11,IF(AND(SIGN($E190-$G190)=SIGN(P190-R190),MAX($E190,$G190)=MAX(P190,R190)),Auxiliar!$C$12,IF(ABS($E190-$G190)=ABS(P190-R190),Auxiliar!$C$13,IF(AND(SIGN($E190-$G190)=SIGN(P190-R190),MIN($E190,$G190)=MIN(P190,R190)),Auxiliar!$C$14,IF(SIGN($E190-$G190)=SIGN(P190-R190),Auxiliar!$C$15,IF(P190=R190,Auxiliar!$C$16,0)))))))</f>
        <v/>
      </c>
      <c r="U190" s="9">
        <v>4</v>
      </c>
      <c r="V190" s="10" t="s">
        <v>23</v>
      </c>
      <c r="W190" s="11">
        <v>3</v>
      </c>
      <c r="X190" s="60" t="str">
        <f>IF(OR($E190="",$G190=""),"",IF(AND(U190=$E190,W190=$G190),Auxiliar!$C$11,IF(AND(SIGN($E190-$G190)=SIGN(U190-W190),MAX($E190,$G190)=MAX(U190,W190)),Auxiliar!$C$12,IF(ABS($E190-$G190)=ABS(U190-W190),Auxiliar!$C$13,IF(AND(SIGN($E190-$G190)=SIGN(U190-W190),MIN($E190,$G190)=MIN(U190,W190)),Auxiliar!$C$14,IF(SIGN($E190-$G190)=SIGN(U190-W190),Auxiliar!$C$15,IF(U190=W190,Auxiliar!$C$16,0)))))))</f>
        <v/>
      </c>
      <c r="Z190" s="9">
        <v>1</v>
      </c>
      <c r="AA190" s="10" t="s">
        <v>23</v>
      </c>
      <c r="AB190" s="11">
        <v>0</v>
      </c>
      <c r="AC190" s="60" t="str">
        <f>IF(OR($E190="",$G190=""),"",IF(AND(Z190=$E190,AB190=$G190),Auxiliar!$C$11,IF(AND(SIGN($E190-$G190)=SIGN(Z190-AB190),MAX($E190,$G190)=MAX(Z190,AB190)),Auxiliar!$C$12,IF(ABS($E190-$G190)=ABS(Z190-AB190),Auxiliar!$C$13,IF(AND(SIGN($E190-$G190)=SIGN(Z190-AB190),MIN($E190,$G190)=MIN(Z190,AB190)),Auxiliar!$C$14,IF(SIGN($E190-$G190)=SIGN(Z190-AB190),Auxiliar!$C$15,IF(Z190=AB190,Auxiliar!$C$16,0)))))))</f>
        <v/>
      </c>
      <c r="AE190" s="9">
        <v>3</v>
      </c>
      <c r="AF190" s="10" t="s">
        <v>23</v>
      </c>
      <c r="AG190" s="11">
        <v>4</v>
      </c>
      <c r="AH190" s="60" t="str">
        <f>IF(OR($E190="",$G190=""),"",IF(AND(AE190=$E190,AG190=$G190),Auxiliar!$C$11,IF(AND(SIGN($E190-$G190)=SIGN(AE190-AG190),MAX($E190,$G190)=MAX(AE190,AG190)),Auxiliar!$C$12,IF(ABS($E190-$G190)=ABS(AE190-AG190),Auxiliar!$C$13,IF(AND(SIGN($E190-$G190)=SIGN(AE190-AG190),MIN($E190,$G190)=MIN(AE190,AG190)),Auxiliar!$C$14,IF(SIGN($E190-$G190)=SIGN(AE190-AG190),Auxiliar!$C$15,IF(AE190=AG190,Auxiliar!$C$16,0)))))))</f>
        <v/>
      </c>
    </row>
    <row r="191" spans="3:34" x14ac:dyDescent="0.25">
      <c r="C191" s="24">
        <f t="shared" si="2"/>
        <v>18</v>
      </c>
      <c r="D191" s="18"/>
      <c r="E191" s="13"/>
      <c r="F191" s="12" t="s">
        <v>23</v>
      </c>
      <c r="G191" s="13"/>
      <c r="H191" s="14"/>
      <c r="K191" s="9">
        <v>3</v>
      </c>
      <c r="L191" s="10" t="s">
        <v>23</v>
      </c>
      <c r="M191" s="11">
        <v>5</v>
      </c>
      <c r="N191" s="60" t="str">
        <f>IF(OR($E191="",$G191=""),"",IF(AND(K191=$E191,M191=$G191),Auxiliar!$C$11,IF(AND(SIGN($E191-$G191)=SIGN(K191-M191),MAX($E191,$G191)=MAX(K191,M191)),Auxiliar!$C$12,IF(ABS($E191-$G191)=ABS(K191-M191),Auxiliar!$C$13,IF(AND(SIGN($E191-$G191)=SIGN(K191-M191),MIN($E191,$G191)=MIN(K191,M191)),Auxiliar!$C$14,IF(SIGN($E191-$G191)=SIGN(K191-M191),Auxiliar!$C$15,IF(K191=M191,Auxiliar!$C$16,0)))))))</f>
        <v/>
      </c>
      <c r="P191" s="9">
        <v>4</v>
      </c>
      <c r="Q191" s="10" t="s">
        <v>23</v>
      </c>
      <c r="R191" s="11">
        <v>3</v>
      </c>
      <c r="S191" s="60" t="str">
        <f>IF(OR($E191="",$G191=""),"",IF(AND(P191=$E191,R191=$G191),Auxiliar!$C$11,IF(AND(SIGN($E191-$G191)=SIGN(P191-R191),MAX($E191,$G191)=MAX(P191,R191)),Auxiliar!$C$12,IF(ABS($E191-$G191)=ABS(P191-R191),Auxiliar!$C$13,IF(AND(SIGN($E191-$G191)=SIGN(P191-R191),MIN($E191,$G191)=MIN(P191,R191)),Auxiliar!$C$14,IF(SIGN($E191-$G191)=SIGN(P191-R191),Auxiliar!$C$15,IF(P191=R191,Auxiliar!$C$16,0)))))))</f>
        <v/>
      </c>
      <c r="U191" s="9">
        <v>5</v>
      </c>
      <c r="V191" s="10" t="s">
        <v>23</v>
      </c>
      <c r="W191" s="11">
        <v>1</v>
      </c>
      <c r="X191" s="60" t="str">
        <f>IF(OR($E191="",$G191=""),"",IF(AND(U191=$E191,W191=$G191),Auxiliar!$C$11,IF(AND(SIGN($E191-$G191)=SIGN(U191-W191),MAX($E191,$G191)=MAX(U191,W191)),Auxiliar!$C$12,IF(ABS($E191-$G191)=ABS(U191-W191),Auxiliar!$C$13,IF(AND(SIGN($E191-$G191)=SIGN(U191-W191),MIN($E191,$G191)=MIN(U191,W191)),Auxiliar!$C$14,IF(SIGN($E191-$G191)=SIGN(U191-W191),Auxiliar!$C$15,IF(U191=W191,Auxiliar!$C$16,0)))))))</f>
        <v/>
      </c>
      <c r="Z191" s="9">
        <v>3</v>
      </c>
      <c r="AA191" s="10" t="s">
        <v>23</v>
      </c>
      <c r="AB191" s="11">
        <v>3</v>
      </c>
      <c r="AC191" s="60" t="str">
        <f>IF(OR($E191="",$G191=""),"",IF(AND(Z191=$E191,AB191=$G191),Auxiliar!$C$11,IF(AND(SIGN($E191-$G191)=SIGN(Z191-AB191),MAX($E191,$G191)=MAX(Z191,AB191)),Auxiliar!$C$12,IF(ABS($E191-$G191)=ABS(Z191-AB191),Auxiliar!$C$13,IF(AND(SIGN($E191-$G191)=SIGN(Z191-AB191),MIN($E191,$G191)=MIN(Z191,AB191)),Auxiliar!$C$14,IF(SIGN($E191-$G191)=SIGN(Z191-AB191),Auxiliar!$C$15,IF(Z191=AB191,Auxiliar!$C$16,0)))))))</f>
        <v/>
      </c>
      <c r="AE191" s="9">
        <v>4</v>
      </c>
      <c r="AF191" s="10" t="s">
        <v>23</v>
      </c>
      <c r="AG191" s="11">
        <v>5</v>
      </c>
      <c r="AH191" s="60" t="str">
        <f>IF(OR($E191="",$G191=""),"",IF(AND(AE191=$E191,AG191=$G191),Auxiliar!$C$11,IF(AND(SIGN($E191-$G191)=SIGN(AE191-AG191),MAX($E191,$G191)=MAX(AE191,AG191)),Auxiliar!$C$12,IF(ABS($E191-$G191)=ABS(AE191-AG191),Auxiliar!$C$13,IF(AND(SIGN($E191-$G191)=SIGN(AE191-AG191),MIN($E191,$G191)=MIN(AE191,AG191)),Auxiliar!$C$14,IF(SIGN($E191-$G191)=SIGN(AE191-AG191),Auxiliar!$C$15,IF(AE191=AG191,Auxiliar!$C$16,0)))))))</f>
        <v/>
      </c>
    </row>
    <row r="192" spans="3:34" x14ac:dyDescent="0.25">
      <c r="C192" s="24">
        <f t="shared" si="2"/>
        <v>18</v>
      </c>
      <c r="D192" s="18"/>
      <c r="E192" s="13"/>
      <c r="F192" s="12" t="s">
        <v>23</v>
      </c>
      <c r="G192" s="13"/>
      <c r="H192" s="14"/>
      <c r="K192" s="9">
        <v>4</v>
      </c>
      <c r="L192" s="10" t="s">
        <v>23</v>
      </c>
      <c r="M192" s="11">
        <v>2</v>
      </c>
      <c r="N192" s="60" t="str">
        <f>IF(OR($E192="",$G192=""),"",IF(AND(K192=$E192,M192=$G192),Auxiliar!$C$11,IF(AND(SIGN($E192-$G192)=SIGN(K192-M192),MAX($E192,$G192)=MAX(K192,M192)),Auxiliar!$C$12,IF(ABS($E192-$G192)=ABS(K192-M192),Auxiliar!$C$13,IF(AND(SIGN($E192-$G192)=SIGN(K192-M192),MIN($E192,$G192)=MIN(K192,M192)),Auxiliar!$C$14,IF(SIGN($E192-$G192)=SIGN(K192-M192),Auxiliar!$C$15,IF(K192=M192,Auxiliar!$C$16,0)))))))</f>
        <v/>
      </c>
      <c r="P192" s="9">
        <v>2</v>
      </c>
      <c r="Q192" s="10" t="s">
        <v>23</v>
      </c>
      <c r="R192" s="11">
        <v>4</v>
      </c>
      <c r="S192" s="60" t="str">
        <f>IF(OR($E192="",$G192=""),"",IF(AND(P192=$E192,R192=$G192),Auxiliar!$C$11,IF(AND(SIGN($E192-$G192)=SIGN(P192-R192),MAX($E192,$G192)=MAX(P192,R192)),Auxiliar!$C$12,IF(ABS($E192-$G192)=ABS(P192-R192),Auxiliar!$C$13,IF(AND(SIGN($E192-$G192)=SIGN(P192-R192),MIN($E192,$G192)=MIN(P192,R192)),Auxiliar!$C$14,IF(SIGN($E192-$G192)=SIGN(P192-R192),Auxiliar!$C$15,IF(P192=R192,Auxiliar!$C$16,0)))))))</f>
        <v/>
      </c>
      <c r="U192" s="9">
        <v>0</v>
      </c>
      <c r="V192" s="10" t="s">
        <v>23</v>
      </c>
      <c r="W192" s="11">
        <v>0</v>
      </c>
      <c r="X192" s="60" t="str">
        <f>IF(OR($E192="",$G192=""),"",IF(AND(U192=$E192,W192=$G192),Auxiliar!$C$11,IF(AND(SIGN($E192-$G192)=SIGN(U192-W192),MAX($E192,$G192)=MAX(U192,W192)),Auxiliar!$C$12,IF(ABS($E192-$G192)=ABS(U192-W192),Auxiliar!$C$13,IF(AND(SIGN($E192-$G192)=SIGN(U192-W192),MIN($E192,$G192)=MIN(U192,W192)),Auxiliar!$C$14,IF(SIGN($E192-$G192)=SIGN(U192-W192),Auxiliar!$C$15,IF(U192=W192,Auxiliar!$C$16,0)))))))</f>
        <v/>
      </c>
      <c r="Z192" s="9">
        <v>2</v>
      </c>
      <c r="AA192" s="10" t="s">
        <v>23</v>
      </c>
      <c r="AB192" s="11">
        <v>4</v>
      </c>
      <c r="AC192" s="60" t="str">
        <f>IF(OR($E192="",$G192=""),"",IF(AND(Z192=$E192,AB192=$G192),Auxiliar!$C$11,IF(AND(SIGN($E192-$G192)=SIGN(Z192-AB192),MAX($E192,$G192)=MAX(Z192,AB192)),Auxiliar!$C$12,IF(ABS($E192-$G192)=ABS(Z192-AB192),Auxiliar!$C$13,IF(AND(SIGN($E192-$G192)=SIGN(Z192-AB192),MIN($E192,$G192)=MIN(Z192,AB192)),Auxiliar!$C$14,IF(SIGN($E192-$G192)=SIGN(Z192-AB192),Auxiliar!$C$15,IF(Z192=AB192,Auxiliar!$C$16,0)))))))</f>
        <v/>
      </c>
      <c r="AE192" s="9">
        <v>0</v>
      </c>
      <c r="AF192" s="10" t="s">
        <v>23</v>
      </c>
      <c r="AG192" s="11">
        <v>5</v>
      </c>
      <c r="AH192" s="60" t="str">
        <f>IF(OR($E192="",$G192=""),"",IF(AND(AE192=$E192,AG192=$G192),Auxiliar!$C$11,IF(AND(SIGN($E192-$G192)=SIGN(AE192-AG192),MAX($E192,$G192)=MAX(AE192,AG192)),Auxiliar!$C$12,IF(ABS($E192-$G192)=ABS(AE192-AG192),Auxiliar!$C$13,IF(AND(SIGN($E192-$G192)=SIGN(AE192-AG192),MIN($E192,$G192)=MIN(AE192,AG192)),Auxiliar!$C$14,IF(SIGN($E192-$G192)=SIGN(AE192-AG192),Auxiliar!$C$15,IF(AE192=AG192,Auxiliar!$C$16,0)))))))</f>
        <v/>
      </c>
    </row>
    <row r="193" spans="3:34" x14ac:dyDescent="0.25">
      <c r="C193" s="24">
        <f t="shared" si="2"/>
        <v>18</v>
      </c>
      <c r="D193" s="18"/>
      <c r="E193" s="13"/>
      <c r="F193" s="12" t="s">
        <v>23</v>
      </c>
      <c r="G193" s="13"/>
      <c r="H193" s="14"/>
      <c r="K193" s="9">
        <v>3</v>
      </c>
      <c r="L193" s="10" t="s">
        <v>23</v>
      </c>
      <c r="M193" s="11">
        <v>0</v>
      </c>
      <c r="N193" s="60" t="str">
        <f>IF(OR($E193="",$G193=""),"",IF(AND(K193=$E193,M193=$G193),Auxiliar!$C$11,IF(AND(SIGN($E193-$G193)=SIGN(K193-M193),MAX($E193,$G193)=MAX(K193,M193)),Auxiliar!$C$12,IF(ABS($E193-$G193)=ABS(K193-M193),Auxiliar!$C$13,IF(AND(SIGN($E193-$G193)=SIGN(K193-M193),MIN($E193,$G193)=MIN(K193,M193)),Auxiliar!$C$14,IF(SIGN($E193-$G193)=SIGN(K193-M193),Auxiliar!$C$15,IF(K193=M193,Auxiliar!$C$16,0)))))))</f>
        <v/>
      </c>
      <c r="P193" s="9">
        <v>4</v>
      </c>
      <c r="Q193" s="10" t="s">
        <v>23</v>
      </c>
      <c r="R193" s="11">
        <v>2</v>
      </c>
      <c r="S193" s="60" t="str">
        <f>IF(OR($E193="",$G193=""),"",IF(AND(P193=$E193,R193=$G193),Auxiliar!$C$11,IF(AND(SIGN($E193-$G193)=SIGN(P193-R193),MAX($E193,$G193)=MAX(P193,R193)),Auxiliar!$C$12,IF(ABS($E193-$G193)=ABS(P193-R193),Auxiliar!$C$13,IF(AND(SIGN($E193-$G193)=SIGN(P193-R193),MIN($E193,$G193)=MIN(P193,R193)),Auxiliar!$C$14,IF(SIGN($E193-$G193)=SIGN(P193-R193),Auxiliar!$C$15,IF(P193=R193,Auxiliar!$C$16,0)))))))</f>
        <v/>
      </c>
      <c r="U193" s="9">
        <v>3</v>
      </c>
      <c r="V193" s="10" t="s">
        <v>23</v>
      </c>
      <c r="W193" s="11">
        <v>2</v>
      </c>
      <c r="X193" s="60" t="str">
        <f>IF(OR($E193="",$G193=""),"",IF(AND(U193=$E193,W193=$G193),Auxiliar!$C$11,IF(AND(SIGN($E193-$G193)=SIGN(U193-W193),MAX($E193,$G193)=MAX(U193,W193)),Auxiliar!$C$12,IF(ABS($E193-$G193)=ABS(U193-W193),Auxiliar!$C$13,IF(AND(SIGN($E193-$G193)=SIGN(U193-W193),MIN($E193,$G193)=MIN(U193,W193)),Auxiliar!$C$14,IF(SIGN($E193-$G193)=SIGN(U193-W193),Auxiliar!$C$15,IF(U193=W193,Auxiliar!$C$16,0)))))))</f>
        <v/>
      </c>
      <c r="Z193" s="9">
        <v>5</v>
      </c>
      <c r="AA193" s="10" t="s">
        <v>23</v>
      </c>
      <c r="AB193" s="11">
        <v>1</v>
      </c>
      <c r="AC193" s="60" t="str">
        <f>IF(OR($E193="",$G193=""),"",IF(AND(Z193=$E193,AB193=$G193),Auxiliar!$C$11,IF(AND(SIGN($E193-$G193)=SIGN(Z193-AB193),MAX($E193,$G193)=MAX(Z193,AB193)),Auxiliar!$C$12,IF(ABS($E193-$G193)=ABS(Z193-AB193),Auxiliar!$C$13,IF(AND(SIGN($E193-$G193)=SIGN(Z193-AB193),MIN($E193,$G193)=MIN(Z193,AB193)),Auxiliar!$C$14,IF(SIGN($E193-$G193)=SIGN(Z193-AB193),Auxiliar!$C$15,IF(Z193=AB193,Auxiliar!$C$16,0)))))))</f>
        <v/>
      </c>
      <c r="AE193" s="9">
        <v>4</v>
      </c>
      <c r="AF193" s="10" t="s">
        <v>23</v>
      </c>
      <c r="AG193" s="11">
        <v>3</v>
      </c>
      <c r="AH193" s="60" t="str">
        <f>IF(OR($E193="",$G193=""),"",IF(AND(AE193=$E193,AG193=$G193),Auxiliar!$C$11,IF(AND(SIGN($E193-$G193)=SIGN(AE193-AG193),MAX($E193,$G193)=MAX(AE193,AG193)),Auxiliar!$C$12,IF(ABS($E193-$G193)=ABS(AE193-AG193),Auxiliar!$C$13,IF(AND(SIGN($E193-$G193)=SIGN(AE193-AG193),MIN($E193,$G193)=MIN(AE193,AG193)),Auxiliar!$C$14,IF(SIGN($E193-$G193)=SIGN(AE193-AG193),Auxiliar!$C$15,IF(AE193=AG193,Auxiliar!$C$16,0)))))))</f>
        <v/>
      </c>
    </row>
    <row r="194" spans="3:34" x14ac:dyDescent="0.25">
      <c r="C194" s="24">
        <f t="shared" si="2"/>
        <v>18</v>
      </c>
      <c r="D194" s="18"/>
      <c r="E194" s="13"/>
      <c r="F194" s="12" t="s">
        <v>23</v>
      </c>
      <c r="G194" s="13"/>
      <c r="H194" s="14"/>
      <c r="K194" s="9">
        <v>4</v>
      </c>
      <c r="L194" s="10" t="s">
        <v>23</v>
      </c>
      <c r="M194" s="11">
        <v>1</v>
      </c>
      <c r="N194" s="60" t="str">
        <f>IF(OR($E194="",$G194=""),"",IF(AND(K194=$E194,M194=$G194),Auxiliar!$C$11,IF(AND(SIGN($E194-$G194)=SIGN(K194-M194),MAX($E194,$G194)=MAX(K194,M194)),Auxiliar!$C$12,IF(ABS($E194-$G194)=ABS(K194-M194),Auxiliar!$C$13,IF(AND(SIGN($E194-$G194)=SIGN(K194-M194),MIN($E194,$G194)=MIN(K194,M194)),Auxiliar!$C$14,IF(SIGN($E194-$G194)=SIGN(K194-M194),Auxiliar!$C$15,IF(K194=M194,Auxiliar!$C$16,0)))))))</f>
        <v/>
      </c>
      <c r="P194" s="9">
        <v>5</v>
      </c>
      <c r="Q194" s="10" t="s">
        <v>23</v>
      </c>
      <c r="R194" s="11">
        <v>3</v>
      </c>
      <c r="S194" s="60" t="str">
        <f>IF(OR($E194="",$G194=""),"",IF(AND(P194=$E194,R194=$G194),Auxiliar!$C$11,IF(AND(SIGN($E194-$G194)=SIGN(P194-R194),MAX($E194,$G194)=MAX(P194,R194)),Auxiliar!$C$12,IF(ABS($E194-$G194)=ABS(P194-R194),Auxiliar!$C$13,IF(AND(SIGN($E194-$G194)=SIGN(P194-R194),MIN($E194,$G194)=MIN(P194,R194)),Auxiliar!$C$14,IF(SIGN($E194-$G194)=SIGN(P194-R194),Auxiliar!$C$15,IF(P194=R194,Auxiliar!$C$16,0)))))))</f>
        <v/>
      </c>
      <c r="U194" s="9">
        <v>4</v>
      </c>
      <c r="V194" s="10" t="s">
        <v>23</v>
      </c>
      <c r="W194" s="11">
        <v>2</v>
      </c>
      <c r="X194" s="60" t="str">
        <f>IF(OR($E194="",$G194=""),"",IF(AND(U194=$E194,W194=$G194),Auxiliar!$C$11,IF(AND(SIGN($E194-$G194)=SIGN(U194-W194),MAX($E194,$G194)=MAX(U194,W194)),Auxiliar!$C$12,IF(ABS($E194-$G194)=ABS(U194-W194),Auxiliar!$C$13,IF(AND(SIGN($E194-$G194)=SIGN(U194-W194),MIN($E194,$G194)=MIN(U194,W194)),Auxiliar!$C$14,IF(SIGN($E194-$G194)=SIGN(U194-W194),Auxiliar!$C$15,IF(U194=W194,Auxiliar!$C$16,0)))))))</f>
        <v/>
      </c>
      <c r="Z194" s="9">
        <v>1</v>
      </c>
      <c r="AA194" s="10" t="s">
        <v>23</v>
      </c>
      <c r="AB194" s="11">
        <v>1</v>
      </c>
      <c r="AC194" s="60" t="str">
        <f>IF(OR($E194="",$G194=""),"",IF(AND(Z194=$E194,AB194=$G194),Auxiliar!$C$11,IF(AND(SIGN($E194-$G194)=SIGN(Z194-AB194),MAX($E194,$G194)=MAX(Z194,AB194)),Auxiliar!$C$12,IF(ABS($E194-$G194)=ABS(Z194-AB194),Auxiliar!$C$13,IF(AND(SIGN($E194-$G194)=SIGN(Z194-AB194),MIN($E194,$G194)=MIN(Z194,AB194)),Auxiliar!$C$14,IF(SIGN($E194-$G194)=SIGN(Z194-AB194),Auxiliar!$C$15,IF(Z194=AB194,Auxiliar!$C$16,0)))))))</f>
        <v/>
      </c>
      <c r="AE194" s="9">
        <v>3</v>
      </c>
      <c r="AF194" s="10" t="s">
        <v>23</v>
      </c>
      <c r="AG194" s="11">
        <v>4</v>
      </c>
      <c r="AH194" s="60" t="str">
        <f>IF(OR($E194="",$G194=""),"",IF(AND(AE194=$E194,AG194=$G194),Auxiliar!$C$11,IF(AND(SIGN($E194-$G194)=SIGN(AE194-AG194),MAX($E194,$G194)=MAX(AE194,AG194)),Auxiliar!$C$12,IF(ABS($E194-$G194)=ABS(AE194-AG194),Auxiliar!$C$13,IF(AND(SIGN($E194-$G194)=SIGN(AE194-AG194),MIN($E194,$G194)=MIN(AE194,AG194)),Auxiliar!$C$14,IF(SIGN($E194-$G194)=SIGN(AE194-AG194),Auxiliar!$C$15,IF(AE194=AG194,Auxiliar!$C$16,0)))))))</f>
        <v/>
      </c>
    </row>
    <row r="195" spans="3:34" x14ac:dyDescent="0.25">
      <c r="C195" s="24">
        <f t="shared" si="2"/>
        <v>18</v>
      </c>
      <c r="D195" s="18"/>
      <c r="E195" s="13"/>
      <c r="F195" s="12" t="s">
        <v>23</v>
      </c>
      <c r="G195" s="13"/>
      <c r="H195" s="14"/>
      <c r="K195" s="9">
        <v>0</v>
      </c>
      <c r="L195" s="10" t="s">
        <v>23</v>
      </c>
      <c r="M195" s="11">
        <v>2</v>
      </c>
      <c r="N195" s="60" t="str">
        <f>IF(OR($E195="",$G195=""),"",IF(AND(K195=$E195,M195=$G195),Auxiliar!$C$11,IF(AND(SIGN($E195-$G195)=SIGN(K195-M195),MAX($E195,$G195)=MAX(K195,M195)),Auxiliar!$C$12,IF(ABS($E195-$G195)=ABS(K195-M195),Auxiliar!$C$13,IF(AND(SIGN($E195-$G195)=SIGN(K195-M195),MIN($E195,$G195)=MIN(K195,M195)),Auxiliar!$C$14,IF(SIGN($E195-$G195)=SIGN(K195-M195),Auxiliar!$C$15,IF(K195=M195,Auxiliar!$C$16,0)))))))</f>
        <v/>
      </c>
      <c r="P195" s="9">
        <v>4</v>
      </c>
      <c r="Q195" s="10" t="s">
        <v>23</v>
      </c>
      <c r="R195" s="11">
        <v>2</v>
      </c>
      <c r="S195" s="60" t="str">
        <f>IF(OR($E195="",$G195=""),"",IF(AND(P195=$E195,R195=$G195),Auxiliar!$C$11,IF(AND(SIGN($E195-$G195)=SIGN(P195-R195),MAX($E195,$G195)=MAX(P195,R195)),Auxiliar!$C$12,IF(ABS($E195-$G195)=ABS(P195-R195),Auxiliar!$C$13,IF(AND(SIGN($E195-$G195)=SIGN(P195-R195),MIN($E195,$G195)=MIN(P195,R195)),Auxiliar!$C$14,IF(SIGN($E195-$G195)=SIGN(P195-R195),Auxiliar!$C$15,IF(P195=R195,Auxiliar!$C$16,0)))))))</f>
        <v/>
      </c>
      <c r="U195" s="9">
        <v>0</v>
      </c>
      <c r="V195" s="10" t="s">
        <v>23</v>
      </c>
      <c r="W195" s="11">
        <v>3</v>
      </c>
      <c r="X195" s="60" t="str">
        <f>IF(OR($E195="",$G195=""),"",IF(AND(U195=$E195,W195=$G195),Auxiliar!$C$11,IF(AND(SIGN($E195-$G195)=SIGN(U195-W195),MAX($E195,$G195)=MAX(U195,W195)),Auxiliar!$C$12,IF(ABS($E195-$G195)=ABS(U195-W195),Auxiliar!$C$13,IF(AND(SIGN($E195-$G195)=SIGN(U195-W195),MIN($E195,$G195)=MIN(U195,W195)),Auxiliar!$C$14,IF(SIGN($E195-$G195)=SIGN(U195-W195),Auxiliar!$C$15,IF(U195=W195,Auxiliar!$C$16,0)))))))</f>
        <v/>
      </c>
      <c r="Z195" s="9">
        <v>3</v>
      </c>
      <c r="AA195" s="10" t="s">
        <v>23</v>
      </c>
      <c r="AB195" s="11">
        <v>3</v>
      </c>
      <c r="AC195" s="60" t="str">
        <f>IF(OR($E195="",$G195=""),"",IF(AND(Z195=$E195,AB195=$G195),Auxiliar!$C$11,IF(AND(SIGN($E195-$G195)=SIGN(Z195-AB195),MAX($E195,$G195)=MAX(Z195,AB195)),Auxiliar!$C$12,IF(ABS($E195-$G195)=ABS(Z195-AB195),Auxiliar!$C$13,IF(AND(SIGN($E195-$G195)=SIGN(Z195-AB195),MIN($E195,$G195)=MIN(Z195,AB195)),Auxiliar!$C$14,IF(SIGN($E195-$G195)=SIGN(Z195-AB195),Auxiliar!$C$15,IF(Z195=AB195,Auxiliar!$C$16,0)))))))</f>
        <v/>
      </c>
      <c r="AE195" s="9">
        <v>0</v>
      </c>
      <c r="AF195" s="10" t="s">
        <v>23</v>
      </c>
      <c r="AG195" s="11">
        <v>5</v>
      </c>
      <c r="AH195" s="60" t="str">
        <f>IF(OR($E195="",$G195=""),"",IF(AND(AE195=$E195,AG195=$G195),Auxiliar!$C$11,IF(AND(SIGN($E195-$G195)=SIGN(AE195-AG195),MAX($E195,$G195)=MAX(AE195,AG195)),Auxiliar!$C$12,IF(ABS($E195-$G195)=ABS(AE195-AG195),Auxiliar!$C$13,IF(AND(SIGN($E195-$G195)=SIGN(AE195-AG195),MIN($E195,$G195)=MIN(AE195,AG195)),Auxiliar!$C$14,IF(SIGN($E195-$G195)=SIGN(AE195-AG195),Auxiliar!$C$15,IF(AE195=AG195,Auxiliar!$C$16,0)))))))</f>
        <v/>
      </c>
    </row>
    <row r="196" spans="3:34" x14ac:dyDescent="0.25">
      <c r="C196" s="24">
        <f t="shared" si="2"/>
        <v>18</v>
      </c>
      <c r="D196" s="18"/>
      <c r="E196" s="13"/>
      <c r="F196" s="12" t="s">
        <v>23</v>
      </c>
      <c r="G196" s="13"/>
      <c r="H196" s="14"/>
      <c r="K196" s="9">
        <v>3</v>
      </c>
      <c r="L196" s="10" t="s">
        <v>23</v>
      </c>
      <c r="M196" s="11">
        <v>0</v>
      </c>
      <c r="N196" s="60" t="str">
        <f>IF(OR($E196="",$G196=""),"",IF(AND(K196=$E196,M196=$G196),Auxiliar!$C$11,IF(AND(SIGN($E196-$G196)=SIGN(K196-M196),MAX($E196,$G196)=MAX(K196,M196)),Auxiliar!$C$12,IF(ABS($E196-$G196)=ABS(K196-M196),Auxiliar!$C$13,IF(AND(SIGN($E196-$G196)=SIGN(K196-M196),MIN($E196,$G196)=MIN(K196,M196)),Auxiliar!$C$14,IF(SIGN($E196-$G196)=SIGN(K196-M196),Auxiliar!$C$15,IF(K196=M196,Auxiliar!$C$16,0)))))))</f>
        <v/>
      </c>
      <c r="P196" s="9">
        <v>3</v>
      </c>
      <c r="Q196" s="10" t="s">
        <v>23</v>
      </c>
      <c r="R196" s="11">
        <v>2</v>
      </c>
      <c r="S196" s="60" t="str">
        <f>IF(OR($E196="",$G196=""),"",IF(AND(P196=$E196,R196=$G196),Auxiliar!$C$11,IF(AND(SIGN($E196-$G196)=SIGN(P196-R196),MAX($E196,$G196)=MAX(P196,R196)),Auxiliar!$C$12,IF(ABS($E196-$G196)=ABS(P196-R196),Auxiliar!$C$13,IF(AND(SIGN($E196-$G196)=SIGN(P196-R196),MIN($E196,$G196)=MIN(P196,R196)),Auxiliar!$C$14,IF(SIGN($E196-$G196)=SIGN(P196-R196),Auxiliar!$C$15,IF(P196=R196,Auxiliar!$C$16,0)))))))</f>
        <v/>
      </c>
      <c r="U196" s="9">
        <v>0</v>
      </c>
      <c r="V196" s="10" t="s">
        <v>23</v>
      </c>
      <c r="W196" s="11">
        <v>4</v>
      </c>
      <c r="X196" s="60" t="str">
        <f>IF(OR($E196="",$G196=""),"",IF(AND(U196=$E196,W196=$G196),Auxiliar!$C$11,IF(AND(SIGN($E196-$G196)=SIGN(U196-W196),MAX($E196,$G196)=MAX(U196,W196)),Auxiliar!$C$12,IF(ABS($E196-$G196)=ABS(U196-W196),Auxiliar!$C$13,IF(AND(SIGN($E196-$G196)=SIGN(U196-W196),MIN($E196,$G196)=MIN(U196,W196)),Auxiliar!$C$14,IF(SIGN($E196-$G196)=SIGN(U196-W196),Auxiliar!$C$15,IF(U196=W196,Auxiliar!$C$16,0)))))))</f>
        <v/>
      </c>
      <c r="Z196" s="9">
        <v>4</v>
      </c>
      <c r="AA196" s="10" t="s">
        <v>23</v>
      </c>
      <c r="AB196" s="11">
        <v>3</v>
      </c>
      <c r="AC196" s="60" t="str">
        <f>IF(OR($E196="",$G196=""),"",IF(AND(Z196=$E196,AB196=$G196),Auxiliar!$C$11,IF(AND(SIGN($E196-$G196)=SIGN(Z196-AB196),MAX($E196,$G196)=MAX(Z196,AB196)),Auxiliar!$C$12,IF(ABS($E196-$G196)=ABS(Z196-AB196),Auxiliar!$C$13,IF(AND(SIGN($E196-$G196)=SIGN(Z196-AB196),MIN($E196,$G196)=MIN(Z196,AB196)),Auxiliar!$C$14,IF(SIGN($E196-$G196)=SIGN(Z196-AB196),Auxiliar!$C$15,IF(Z196=AB196,Auxiliar!$C$16,0)))))))</f>
        <v/>
      </c>
      <c r="AE196" s="9">
        <v>4</v>
      </c>
      <c r="AF196" s="10" t="s">
        <v>23</v>
      </c>
      <c r="AG196" s="11">
        <v>1</v>
      </c>
      <c r="AH196" s="60" t="str">
        <f>IF(OR($E196="",$G196=""),"",IF(AND(AE196=$E196,AG196=$G196),Auxiliar!$C$11,IF(AND(SIGN($E196-$G196)=SIGN(AE196-AG196),MAX($E196,$G196)=MAX(AE196,AG196)),Auxiliar!$C$12,IF(ABS($E196-$G196)=ABS(AE196-AG196),Auxiliar!$C$13,IF(AND(SIGN($E196-$G196)=SIGN(AE196-AG196),MIN($E196,$G196)=MIN(AE196,AG196)),Auxiliar!$C$14,IF(SIGN($E196-$G196)=SIGN(AE196-AG196),Auxiliar!$C$15,IF(AE196=AG196,Auxiliar!$C$16,0)))))))</f>
        <v/>
      </c>
    </row>
    <row r="197" spans="3:34" x14ac:dyDescent="0.25">
      <c r="C197" s="24">
        <f t="shared" si="2"/>
        <v>18</v>
      </c>
      <c r="D197" s="18"/>
      <c r="E197" s="13"/>
      <c r="F197" s="12" t="s">
        <v>23</v>
      </c>
      <c r="G197" s="13"/>
      <c r="H197" s="14"/>
      <c r="K197" s="9">
        <v>3</v>
      </c>
      <c r="L197" s="10" t="s">
        <v>23</v>
      </c>
      <c r="M197" s="11">
        <v>4</v>
      </c>
      <c r="N197" s="60" t="str">
        <f>IF(OR($E197="",$G197=""),"",IF(AND(K197=$E197,M197=$G197),Auxiliar!$C$11,IF(AND(SIGN($E197-$G197)=SIGN(K197-M197),MAX($E197,$G197)=MAX(K197,M197)),Auxiliar!$C$12,IF(ABS($E197-$G197)=ABS(K197-M197),Auxiliar!$C$13,IF(AND(SIGN($E197-$G197)=SIGN(K197-M197),MIN($E197,$G197)=MIN(K197,M197)),Auxiliar!$C$14,IF(SIGN($E197-$G197)=SIGN(K197-M197),Auxiliar!$C$15,IF(K197=M197,Auxiliar!$C$16,0)))))))</f>
        <v/>
      </c>
      <c r="P197" s="9">
        <v>0</v>
      </c>
      <c r="Q197" s="10" t="s">
        <v>23</v>
      </c>
      <c r="R197" s="11">
        <v>0</v>
      </c>
      <c r="S197" s="60" t="str">
        <f>IF(OR($E197="",$G197=""),"",IF(AND(P197=$E197,R197=$G197),Auxiliar!$C$11,IF(AND(SIGN($E197-$G197)=SIGN(P197-R197),MAX($E197,$G197)=MAX(P197,R197)),Auxiliar!$C$12,IF(ABS($E197-$G197)=ABS(P197-R197),Auxiliar!$C$13,IF(AND(SIGN($E197-$G197)=SIGN(P197-R197),MIN($E197,$G197)=MIN(P197,R197)),Auxiliar!$C$14,IF(SIGN($E197-$G197)=SIGN(P197-R197),Auxiliar!$C$15,IF(P197=R197,Auxiliar!$C$16,0)))))))</f>
        <v/>
      </c>
      <c r="U197" s="9">
        <v>0</v>
      </c>
      <c r="V197" s="10" t="s">
        <v>23</v>
      </c>
      <c r="W197" s="11">
        <v>4</v>
      </c>
      <c r="X197" s="60" t="str">
        <f>IF(OR($E197="",$G197=""),"",IF(AND(U197=$E197,W197=$G197),Auxiliar!$C$11,IF(AND(SIGN($E197-$G197)=SIGN(U197-W197),MAX($E197,$G197)=MAX(U197,W197)),Auxiliar!$C$12,IF(ABS($E197-$G197)=ABS(U197-W197),Auxiliar!$C$13,IF(AND(SIGN($E197-$G197)=SIGN(U197-W197),MIN($E197,$G197)=MIN(U197,W197)),Auxiliar!$C$14,IF(SIGN($E197-$G197)=SIGN(U197-W197),Auxiliar!$C$15,IF(U197=W197,Auxiliar!$C$16,0)))))))</f>
        <v/>
      </c>
      <c r="Z197" s="9">
        <v>4</v>
      </c>
      <c r="AA197" s="10" t="s">
        <v>23</v>
      </c>
      <c r="AB197" s="11">
        <v>3</v>
      </c>
      <c r="AC197" s="60" t="str">
        <f>IF(OR($E197="",$G197=""),"",IF(AND(Z197=$E197,AB197=$G197),Auxiliar!$C$11,IF(AND(SIGN($E197-$G197)=SIGN(Z197-AB197),MAX($E197,$G197)=MAX(Z197,AB197)),Auxiliar!$C$12,IF(ABS($E197-$G197)=ABS(Z197-AB197),Auxiliar!$C$13,IF(AND(SIGN($E197-$G197)=SIGN(Z197-AB197),MIN($E197,$G197)=MIN(Z197,AB197)),Auxiliar!$C$14,IF(SIGN($E197-$G197)=SIGN(Z197-AB197),Auxiliar!$C$15,IF(Z197=AB197,Auxiliar!$C$16,0)))))))</f>
        <v/>
      </c>
      <c r="AE197" s="9">
        <v>4</v>
      </c>
      <c r="AF197" s="10" t="s">
        <v>23</v>
      </c>
      <c r="AG197" s="11">
        <v>2</v>
      </c>
      <c r="AH197" s="60" t="str">
        <f>IF(OR($E197="",$G197=""),"",IF(AND(AE197=$E197,AG197=$G197),Auxiliar!$C$11,IF(AND(SIGN($E197-$G197)=SIGN(AE197-AG197),MAX($E197,$G197)=MAX(AE197,AG197)),Auxiliar!$C$12,IF(ABS($E197-$G197)=ABS(AE197-AG197),Auxiliar!$C$13,IF(AND(SIGN($E197-$G197)=SIGN(AE197-AG197),MIN($E197,$G197)=MIN(AE197,AG197)),Auxiliar!$C$14,IF(SIGN($E197-$G197)=SIGN(AE197-AG197),Auxiliar!$C$15,IF(AE197=AG197,Auxiliar!$C$16,0)))))))</f>
        <v/>
      </c>
    </row>
    <row r="198" spans="3:34" x14ac:dyDescent="0.25">
      <c r="C198" s="24">
        <f t="shared" si="2"/>
        <v>18</v>
      </c>
      <c r="D198" s="18"/>
      <c r="E198" s="13"/>
      <c r="F198" s="12" t="s">
        <v>23</v>
      </c>
      <c r="G198" s="13"/>
      <c r="H198" s="14"/>
      <c r="K198" s="9">
        <v>5</v>
      </c>
      <c r="L198" s="10" t="s">
        <v>23</v>
      </c>
      <c r="M198" s="11">
        <v>1</v>
      </c>
      <c r="N198" s="60" t="str">
        <f>IF(OR($E198="",$G198=""),"",IF(AND(K198=$E198,M198=$G198),Auxiliar!$C$11,IF(AND(SIGN($E198-$G198)=SIGN(K198-M198),MAX($E198,$G198)=MAX(K198,M198)),Auxiliar!$C$12,IF(ABS($E198-$G198)=ABS(K198-M198),Auxiliar!$C$13,IF(AND(SIGN($E198-$G198)=SIGN(K198-M198),MIN($E198,$G198)=MIN(K198,M198)),Auxiliar!$C$14,IF(SIGN($E198-$G198)=SIGN(K198-M198),Auxiliar!$C$15,IF(K198=M198,Auxiliar!$C$16,0)))))))</f>
        <v/>
      </c>
      <c r="P198" s="9">
        <v>1</v>
      </c>
      <c r="Q198" s="10" t="s">
        <v>23</v>
      </c>
      <c r="R198" s="11">
        <v>1</v>
      </c>
      <c r="S198" s="60" t="str">
        <f>IF(OR($E198="",$G198=""),"",IF(AND(P198=$E198,R198=$G198),Auxiliar!$C$11,IF(AND(SIGN($E198-$G198)=SIGN(P198-R198),MAX($E198,$G198)=MAX(P198,R198)),Auxiliar!$C$12,IF(ABS($E198-$G198)=ABS(P198-R198),Auxiliar!$C$13,IF(AND(SIGN($E198-$G198)=SIGN(P198-R198),MIN($E198,$G198)=MIN(P198,R198)),Auxiliar!$C$14,IF(SIGN($E198-$G198)=SIGN(P198-R198),Auxiliar!$C$15,IF(P198=R198,Auxiliar!$C$16,0)))))))</f>
        <v/>
      </c>
      <c r="U198" s="9">
        <v>5</v>
      </c>
      <c r="V198" s="10" t="s">
        <v>23</v>
      </c>
      <c r="W198" s="11">
        <v>2</v>
      </c>
      <c r="X198" s="60" t="str">
        <f>IF(OR($E198="",$G198=""),"",IF(AND(U198=$E198,W198=$G198),Auxiliar!$C$11,IF(AND(SIGN($E198-$G198)=SIGN(U198-W198),MAX($E198,$G198)=MAX(U198,W198)),Auxiliar!$C$12,IF(ABS($E198-$G198)=ABS(U198-W198),Auxiliar!$C$13,IF(AND(SIGN($E198-$G198)=SIGN(U198-W198),MIN($E198,$G198)=MIN(U198,W198)),Auxiliar!$C$14,IF(SIGN($E198-$G198)=SIGN(U198-W198),Auxiliar!$C$15,IF(U198=W198,Auxiliar!$C$16,0)))))))</f>
        <v/>
      </c>
      <c r="Z198" s="9">
        <v>5</v>
      </c>
      <c r="AA198" s="10" t="s">
        <v>23</v>
      </c>
      <c r="AB198" s="11">
        <v>1</v>
      </c>
      <c r="AC198" s="60" t="str">
        <f>IF(OR($E198="",$G198=""),"",IF(AND(Z198=$E198,AB198=$G198),Auxiliar!$C$11,IF(AND(SIGN($E198-$G198)=SIGN(Z198-AB198),MAX($E198,$G198)=MAX(Z198,AB198)),Auxiliar!$C$12,IF(ABS($E198-$G198)=ABS(Z198-AB198),Auxiliar!$C$13,IF(AND(SIGN($E198-$G198)=SIGN(Z198-AB198),MIN($E198,$G198)=MIN(Z198,AB198)),Auxiliar!$C$14,IF(SIGN($E198-$G198)=SIGN(Z198-AB198),Auxiliar!$C$15,IF(Z198=AB198,Auxiliar!$C$16,0)))))))</f>
        <v/>
      </c>
      <c r="AE198" s="9">
        <v>4</v>
      </c>
      <c r="AF198" s="10" t="s">
        <v>23</v>
      </c>
      <c r="AG198" s="11">
        <v>3</v>
      </c>
      <c r="AH198" s="60" t="str">
        <f>IF(OR($E198="",$G198=""),"",IF(AND(AE198=$E198,AG198=$G198),Auxiliar!$C$11,IF(AND(SIGN($E198-$G198)=SIGN(AE198-AG198),MAX($E198,$G198)=MAX(AE198,AG198)),Auxiliar!$C$12,IF(ABS($E198-$G198)=ABS(AE198-AG198),Auxiliar!$C$13,IF(AND(SIGN($E198-$G198)=SIGN(AE198-AG198),MIN($E198,$G198)=MIN(AE198,AG198)),Auxiliar!$C$14,IF(SIGN($E198-$G198)=SIGN(AE198-AG198),Auxiliar!$C$15,IF(AE198=AG198,Auxiliar!$C$16,0)))))))</f>
        <v/>
      </c>
    </row>
    <row r="199" spans="3:34" x14ac:dyDescent="0.25">
      <c r="C199" s="24">
        <f t="shared" si="2"/>
        <v>19</v>
      </c>
      <c r="D199" s="18"/>
      <c r="E199" s="13"/>
      <c r="F199" s="12" t="s">
        <v>23</v>
      </c>
      <c r="G199" s="13"/>
      <c r="H199" s="14"/>
      <c r="K199" s="9">
        <v>0</v>
      </c>
      <c r="L199" s="10" t="s">
        <v>23</v>
      </c>
      <c r="M199" s="11">
        <v>4</v>
      </c>
      <c r="N199" s="60" t="str">
        <f>IF(OR($E199="",$G199=""),"",IF(AND(K199=$E199,M199=$G199),Auxiliar!$C$11,IF(AND(SIGN($E199-$G199)=SIGN(K199-M199),MAX($E199,$G199)=MAX(K199,M199)),Auxiliar!$C$12,IF(ABS($E199-$G199)=ABS(K199-M199),Auxiliar!$C$13,IF(AND(SIGN($E199-$G199)=SIGN(K199-M199),MIN($E199,$G199)=MIN(K199,M199)),Auxiliar!$C$14,IF(SIGN($E199-$G199)=SIGN(K199-M199),Auxiliar!$C$15,IF(K199=M199,Auxiliar!$C$16,0)))))))</f>
        <v/>
      </c>
      <c r="P199" s="9">
        <v>2</v>
      </c>
      <c r="Q199" s="10" t="s">
        <v>23</v>
      </c>
      <c r="R199" s="11">
        <v>1</v>
      </c>
      <c r="S199" s="60" t="str">
        <f>IF(OR($E199="",$G199=""),"",IF(AND(P199=$E199,R199=$G199),Auxiliar!$C$11,IF(AND(SIGN($E199-$G199)=SIGN(P199-R199),MAX($E199,$G199)=MAX(P199,R199)),Auxiliar!$C$12,IF(ABS($E199-$G199)=ABS(P199-R199),Auxiliar!$C$13,IF(AND(SIGN($E199-$G199)=SIGN(P199-R199),MIN($E199,$G199)=MIN(P199,R199)),Auxiliar!$C$14,IF(SIGN($E199-$G199)=SIGN(P199-R199),Auxiliar!$C$15,IF(P199=R199,Auxiliar!$C$16,0)))))))</f>
        <v/>
      </c>
      <c r="U199" s="9">
        <v>5</v>
      </c>
      <c r="V199" s="10" t="s">
        <v>23</v>
      </c>
      <c r="W199" s="11">
        <v>2</v>
      </c>
      <c r="X199" s="60" t="str">
        <f>IF(OR($E199="",$G199=""),"",IF(AND(U199=$E199,W199=$G199),Auxiliar!$C$11,IF(AND(SIGN($E199-$G199)=SIGN(U199-W199),MAX($E199,$G199)=MAX(U199,W199)),Auxiliar!$C$12,IF(ABS($E199-$G199)=ABS(U199-W199),Auxiliar!$C$13,IF(AND(SIGN($E199-$G199)=SIGN(U199-W199),MIN($E199,$G199)=MIN(U199,W199)),Auxiliar!$C$14,IF(SIGN($E199-$G199)=SIGN(U199-W199),Auxiliar!$C$15,IF(U199=W199,Auxiliar!$C$16,0)))))))</f>
        <v/>
      </c>
      <c r="Z199" s="9">
        <v>3</v>
      </c>
      <c r="AA199" s="10" t="s">
        <v>23</v>
      </c>
      <c r="AB199" s="11">
        <v>1</v>
      </c>
      <c r="AC199" s="60" t="str">
        <f>IF(OR($E199="",$G199=""),"",IF(AND(Z199=$E199,AB199=$G199),Auxiliar!$C$11,IF(AND(SIGN($E199-$G199)=SIGN(Z199-AB199),MAX($E199,$G199)=MAX(Z199,AB199)),Auxiliar!$C$12,IF(ABS($E199-$G199)=ABS(Z199-AB199),Auxiliar!$C$13,IF(AND(SIGN($E199-$G199)=SIGN(Z199-AB199),MIN($E199,$G199)=MIN(Z199,AB199)),Auxiliar!$C$14,IF(SIGN($E199-$G199)=SIGN(Z199-AB199),Auxiliar!$C$15,IF(Z199=AB199,Auxiliar!$C$16,0)))))))</f>
        <v/>
      </c>
      <c r="AE199" s="9">
        <v>2</v>
      </c>
      <c r="AF199" s="10" t="s">
        <v>23</v>
      </c>
      <c r="AG199" s="11">
        <v>5</v>
      </c>
      <c r="AH199" s="60" t="str">
        <f>IF(OR($E199="",$G199=""),"",IF(AND(AE199=$E199,AG199=$G199),Auxiliar!$C$11,IF(AND(SIGN($E199-$G199)=SIGN(AE199-AG199),MAX($E199,$G199)=MAX(AE199,AG199)),Auxiliar!$C$12,IF(ABS($E199-$G199)=ABS(AE199-AG199),Auxiliar!$C$13,IF(AND(SIGN($E199-$G199)=SIGN(AE199-AG199),MIN($E199,$G199)=MIN(AE199,AG199)),Auxiliar!$C$14,IF(SIGN($E199-$G199)=SIGN(AE199-AG199),Auxiliar!$C$15,IF(AE199=AG199,Auxiliar!$C$16,0)))))))</f>
        <v/>
      </c>
    </row>
    <row r="200" spans="3:34" x14ac:dyDescent="0.25">
      <c r="C200" s="24">
        <f t="shared" si="2"/>
        <v>19</v>
      </c>
      <c r="D200" s="18"/>
      <c r="E200" s="13"/>
      <c r="F200" s="12" t="s">
        <v>23</v>
      </c>
      <c r="G200" s="13"/>
      <c r="H200" s="14"/>
      <c r="K200" s="9">
        <v>2</v>
      </c>
      <c r="L200" s="10" t="s">
        <v>23</v>
      </c>
      <c r="M200" s="11">
        <v>5</v>
      </c>
      <c r="N200" s="60" t="str">
        <f>IF(OR($E200="",$G200=""),"",IF(AND(K200=$E200,M200=$G200),Auxiliar!$C$11,IF(AND(SIGN($E200-$G200)=SIGN(K200-M200),MAX($E200,$G200)=MAX(K200,M200)),Auxiliar!$C$12,IF(ABS($E200-$G200)=ABS(K200-M200),Auxiliar!$C$13,IF(AND(SIGN($E200-$G200)=SIGN(K200-M200),MIN($E200,$G200)=MIN(K200,M200)),Auxiliar!$C$14,IF(SIGN($E200-$G200)=SIGN(K200-M200),Auxiliar!$C$15,IF(K200=M200,Auxiliar!$C$16,0)))))))</f>
        <v/>
      </c>
      <c r="P200" s="9">
        <v>3</v>
      </c>
      <c r="Q200" s="10" t="s">
        <v>23</v>
      </c>
      <c r="R200" s="11">
        <v>5</v>
      </c>
      <c r="S200" s="60" t="str">
        <f>IF(OR($E200="",$G200=""),"",IF(AND(P200=$E200,R200=$G200),Auxiliar!$C$11,IF(AND(SIGN($E200-$G200)=SIGN(P200-R200),MAX($E200,$G200)=MAX(P200,R200)),Auxiliar!$C$12,IF(ABS($E200-$G200)=ABS(P200-R200),Auxiliar!$C$13,IF(AND(SIGN($E200-$G200)=SIGN(P200-R200),MIN($E200,$G200)=MIN(P200,R200)),Auxiliar!$C$14,IF(SIGN($E200-$G200)=SIGN(P200-R200),Auxiliar!$C$15,IF(P200=R200,Auxiliar!$C$16,0)))))))</f>
        <v/>
      </c>
      <c r="U200" s="9">
        <v>5</v>
      </c>
      <c r="V200" s="10" t="s">
        <v>23</v>
      </c>
      <c r="W200" s="11">
        <v>3</v>
      </c>
      <c r="X200" s="60" t="str">
        <f>IF(OR($E200="",$G200=""),"",IF(AND(U200=$E200,W200=$G200),Auxiliar!$C$11,IF(AND(SIGN($E200-$G200)=SIGN(U200-W200),MAX($E200,$G200)=MAX(U200,W200)),Auxiliar!$C$12,IF(ABS($E200-$G200)=ABS(U200-W200),Auxiliar!$C$13,IF(AND(SIGN($E200-$G200)=SIGN(U200-W200),MIN($E200,$G200)=MIN(U200,W200)),Auxiliar!$C$14,IF(SIGN($E200-$G200)=SIGN(U200-W200),Auxiliar!$C$15,IF(U200=W200,Auxiliar!$C$16,0)))))))</f>
        <v/>
      </c>
      <c r="Z200" s="9">
        <v>2</v>
      </c>
      <c r="AA200" s="10" t="s">
        <v>23</v>
      </c>
      <c r="AB200" s="11">
        <v>5</v>
      </c>
      <c r="AC200" s="60" t="str">
        <f>IF(OR($E200="",$G200=""),"",IF(AND(Z200=$E200,AB200=$G200),Auxiliar!$C$11,IF(AND(SIGN($E200-$G200)=SIGN(Z200-AB200),MAX($E200,$G200)=MAX(Z200,AB200)),Auxiliar!$C$12,IF(ABS($E200-$G200)=ABS(Z200-AB200),Auxiliar!$C$13,IF(AND(SIGN($E200-$G200)=SIGN(Z200-AB200),MIN($E200,$G200)=MIN(Z200,AB200)),Auxiliar!$C$14,IF(SIGN($E200-$G200)=SIGN(Z200-AB200),Auxiliar!$C$15,IF(Z200=AB200,Auxiliar!$C$16,0)))))))</f>
        <v/>
      </c>
      <c r="AE200" s="9">
        <v>3</v>
      </c>
      <c r="AF200" s="10" t="s">
        <v>23</v>
      </c>
      <c r="AG200" s="11">
        <v>4</v>
      </c>
      <c r="AH200" s="60" t="str">
        <f>IF(OR($E200="",$G200=""),"",IF(AND(AE200=$E200,AG200=$G200),Auxiliar!$C$11,IF(AND(SIGN($E200-$G200)=SIGN(AE200-AG200),MAX($E200,$G200)=MAX(AE200,AG200)),Auxiliar!$C$12,IF(ABS($E200-$G200)=ABS(AE200-AG200),Auxiliar!$C$13,IF(AND(SIGN($E200-$G200)=SIGN(AE200-AG200),MIN($E200,$G200)=MIN(AE200,AG200)),Auxiliar!$C$14,IF(SIGN($E200-$G200)=SIGN(AE200-AG200),Auxiliar!$C$15,IF(AE200=AG200,Auxiliar!$C$16,0)))))))</f>
        <v/>
      </c>
    </row>
    <row r="201" spans="3:34" x14ac:dyDescent="0.25">
      <c r="C201" s="24">
        <f t="shared" si="2"/>
        <v>19</v>
      </c>
      <c r="D201" s="18"/>
      <c r="E201" s="13"/>
      <c r="F201" s="12" t="s">
        <v>23</v>
      </c>
      <c r="G201" s="13"/>
      <c r="H201" s="14"/>
      <c r="K201" s="9">
        <v>5</v>
      </c>
      <c r="L201" s="10" t="s">
        <v>23</v>
      </c>
      <c r="M201" s="11">
        <v>5</v>
      </c>
      <c r="N201" s="60" t="str">
        <f>IF(OR($E201="",$G201=""),"",IF(AND(K201=$E201,M201=$G201),Auxiliar!$C$11,IF(AND(SIGN($E201-$G201)=SIGN(K201-M201),MAX($E201,$G201)=MAX(K201,M201)),Auxiliar!$C$12,IF(ABS($E201-$G201)=ABS(K201-M201),Auxiliar!$C$13,IF(AND(SIGN($E201-$G201)=SIGN(K201-M201),MIN($E201,$G201)=MIN(K201,M201)),Auxiliar!$C$14,IF(SIGN($E201-$G201)=SIGN(K201-M201),Auxiliar!$C$15,IF(K201=M201,Auxiliar!$C$16,0)))))))</f>
        <v/>
      </c>
      <c r="P201" s="9">
        <v>2</v>
      </c>
      <c r="Q201" s="10" t="s">
        <v>23</v>
      </c>
      <c r="R201" s="11">
        <v>4</v>
      </c>
      <c r="S201" s="60" t="str">
        <f>IF(OR($E201="",$G201=""),"",IF(AND(P201=$E201,R201=$G201),Auxiliar!$C$11,IF(AND(SIGN($E201-$G201)=SIGN(P201-R201),MAX($E201,$G201)=MAX(P201,R201)),Auxiliar!$C$12,IF(ABS($E201-$G201)=ABS(P201-R201),Auxiliar!$C$13,IF(AND(SIGN($E201-$G201)=SIGN(P201-R201),MIN($E201,$G201)=MIN(P201,R201)),Auxiliar!$C$14,IF(SIGN($E201-$G201)=SIGN(P201-R201),Auxiliar!$C$15,IF(P201=R201,Auxiliar!$C$16,0)))))))</f>
        <v/>
      </c>
      <c r="U201" s="9">
        <v>5</v>
      </c>
      <c r="V201" s="10" t="s">
        <v>23</v>
      </c>
      <c r="W201" s="11">
        <v>1</v>
      </c>
      <c r="X201" s="60" t="str">
        <f>IF(OR($E201="",$G201=""),"",IF(AND(U201=$E201,W201=$G201),Auxiliar!$C$11,IF(AND(SIGN($E201-$G201)=SIGN(U201-W201),MAX($E201,$G201)=MAX(U201,W201)),Auxiliar!$C$12,IF(ABS($E201-$G201)=ABS(U201-W201),Auxiliar!$C$13,IF(AND(SIGN($E201-$G201)=SIGN(U201-W201),MIN($E201,$G201)=MIN(U201,W201)),Auxiliar!$C$14,IF(SIGN($E201-$G201)=SIGN(U201-W201),Auxiliar!$C$15,IF(U201=W201,Auxiliar!$C$16,0)))))))</f>
        <v/>
      </c>
      <c r="Z201" s="9">
        <v>2</v>
      </c>
      <c r="AA201" s="10" t="s">
        <v>23</v>
      </c>
      <c r="AB201" s="11">
        <v>1</v>
      </c>
      <c r="AC201" s="60" t="str">
        <f>IF(OR($E201="",$G201=""),"",IF(AND(Z201=$E201,AB201=$G201),Auxiliar!$C$11,IF(AND(SIGN($E201-$G201)=SIGN(Z201-AB201),MAX($E201,$G201)=MAX(Z201,AB201)),Auxiliar!$C$12,IF(ABS($E201-$G201)=ABS(Z201-AB201),Auxiliar!$C$13,IF(AND(SIGN($E201-$G201)=SIGN(Z201-AB201),MIN($E201,$G201)=MIN(Z201,AB201)),Auxiliar!$C$14,IF(SIGN($E201-$G201)=SIGN(Z201-AB201),Auxiliar!$C$15,IF(Z201=AB201,Auxiliar!$C$16,0)))))))</f>
        <v/>
      </c>
      <c r="AE201" s="9">
        <v>5</v>
      </c>
      <c r="AF201" s="10" t="s">
        <v>23</v>
      </c>
      <c r="AG201" s="11">
        <v>3</v>
      </c>
      <c r="AH201" s="60" t="str">
        <f>IF(OR($E201="",$G201=""),"",IF(AND(AE201=$E201,AG201=$G201),Auxiliar!$C$11,IF(AND(SIGN($E201-$G201)=SIGN(AE201-AG201),MAX($E201,$G201)=MAX(AE201,AG201)),Auxiliar!$C$12,IF(ABS($E201-$G201)=ABS(AE201-AG201),Auxiliar!$C$13,IF(AND(SIGN($E201-$G201)=SIGN(AE201-AG201),MIN($E201,$G201)=MIN(AE201,AG201)),Auxiliar!$C$14,IF(SIGN($E201-$G201)=SIGN(AE201-AG201),Auxiliar!$C$15,IF(AE201=AG201,Auxiliar!$C$16,0)))))))</f>
        <v/>
      </c>
    </row>
    <row r="202" spans="3:34" x14ac:dyDescent="0.25">
      <c r="C202" s="24">
        <f t="shared" si="2"/>
        <v>19</v>
      </c>
      <c r="D202" s="18"/>
      <c r="E202" s="13"/>
      <c r="F202" s="12" t="s">
        <v>23</v>
      </c>
      <c r="G202" s="13"/>
      <c r="H202" s="14"/>
      <c r="K202" s="9">
        <v>5</v>
      </c>
      <c r="L202" s="10" t="s">
        <v>23</v>
      </c>
      <c r="M202" s="11">
        <v>5</v>
      </c>
      <c r="N202" s="60" t="str">
        <f>IF(OR($E202="",$G202=""),"",IF(AND(K202=$E202,M202=$G202),Auxiliar!$C$11,IF(AND(SIGN($E202-$G202)=SIGN(K202-M202),MAX($E202,$G202)=MAX(K202,M202)),Auxiliar!$C$12,IF(ABS($E202-$G202)=ABS(K202-M202),Auxiliar!$C$13,IF(AND(SIGN($E202-$G202)=SIGN(K202-M202),MIN($E202,$G202)=MIN(K202,M202)),Auxiliar!$C$14,IF(SIGN($E202-$G202)=SIGN(K202-M202),Auxiliar!$C$15,IF(K202=M202,Auxiliar!$C$16,0)))))))</f>
        <v/>
      </c>
      <c r="P202" s="9">
        <v>3</v>
      </c>
      <c r="Q202" s="10" t="s">
        <v>23</v>
      </c>
      <c r="R202" s="11">
        <v>0</v>
      </c>
      <c r="S202" s="60" t="str">
        <f>IF(OR($E202="",$G202=""),"",IF(AND(P202=$E202,R202=$G202),Auxiliar!$C$11,IF(AND(SIGN($E202-$G202)=SIGN(P202-R202),MAX($E202,$G202)=MAX(P202,R202)),Auxiliar!$C$12,IF(ABS($E202-$G202)=ABS(P202-R202),Auxiliar!$C$13,IF(AND(SIGN($E202-$G202)=SIGN(P202-R202),MIN($E202,$G202)=MIN(P202,R202)),Auxiliar!$C$14,IF(SIGN($E202-$G202)=SIGN(P202-R202),Auxiliar!$C$15,IF(P202=R202,Auxiliar!$C$16,0)))))))</f>
        <v/>
      </c>
      <c r="U202" s="9">
        <v>0</v>
      </c>
      <c r="V202" s="10" t="s">
        <v>23</v>
      </c>
      <c r="W202" s="11">
        <v>3</v>
      </c>
      <c r="X202" s="60" t="str">
        <f>IF(OR($E202="",$G202=""),"",IF(AND(U202=$E202,W202=$G202),Auxiliar!$C$11,IF(AND(SIGN($E202-$G202)=SIGN(U202-W202),MAX($E202,$G202)=MAX(U202,W202)),Auxiliar!$C$12,IF(ABS($E202-$G202)=ABS(U202-W202),Auxiliar!$C$13,IF(AND(SIGN($E202-$G202)=SIGN(U202-W202),MIN($E202,$G202)=MIN(U202,W202)),Auxiliar!$C$14,IF(SIGN($E202-$G202)=SIGN(U202-W202),Auxiliar!$C$15,IF(U202=W202,Auxiliar!$C$16,0)))))))</f>
        <v/>
      </c>
      <c r="Z202" s="9">
        <v>3</v>
      </c>
      <c r="AA202" s="10" t="s">
        <v>23</v>
      </c>
      <c r="AB202" s="11">
        <v>2</v>
      </c>
      <c r="AC202" s="60" t="str">
        <f>IF(OR($E202="",$G202=""),"",IF(AND(Z202=$E202,AB202=$G202),Auxiliar!$C$11,IF(AND(SIGN($E202-$G202)=SIGN(Z202-AB202),MAX($E202,$G202)=MAX(Z202,AB202)),Auxiliar!$C$12,IF(ABS($E202-$G202)=ABS(Z202-AB202),Auxiliar!$C$13,IF(AND(SIGN($E202-$G202)=SIGN(Z202-AB202),MIN($E202,$G202)=MIN(Z202,AB202)),Auxiliar!$C$14,IF(SIGN($E202-$G202)=SIGN(Z202-AB202),Auxiliar!$C$15,IF(Z202=AB202,Auxiliar!$C$16,0)))))))</f>
        <v/>
      </c>
      <c r="AE202" s="9">
        <v>0</v>
      </c>
      <c r="AF202" s="10" t="s">
        <v>23</v>
      </c>
      <c r="AG202" s="11">
        <v>4</v>
      </c>
      <c r="AH202" s="60" t="str">
        <f>IF(OR($E202="",$G202=""),"",IF(AND(AE202=$E202,AG202=$G202),Auxiliar!$C$11,IF(AND(SIGN($E202-$G202)=SIGN(AE202-AG202),MAX($E202,$G202)=MAX(AE202,AG202)),Auxiliar!$C$12,IF(ABS($E202-$G202)=ABS(AE202-AG202),Auxiliar!$C$13,IF(AND(SIGN($E202-$G202)=SIGN(AE202-AG202),MIN($E202,$G202)=MIN(AE202,AG202)),Auxiliar!$C$14,IF(SIGN($E202-$G202)=SIGN(AE202-AG202),Auxiliar!$C$15,IF(AE202=AG202,Auxiliar!$C$16,0)))))))</f>
        <v/>
      </c>
    </row>
    <row r="203" spans="3:34" x14ac:dyDescent="0.25">
      <c r="C203" s="24">
        <f t="shared" si="2"/>
        <v>19</v>
      </c>
      <c r="D203" s="18"/>
      <c r="E203" s="13"/>
      <c r="F203" s="12" t="s">
        <v>23</v>
      </c>
      <c r="G203" s="13"/>
      <c r="H203" s="14"/>
      <c r="K203" s="9">
        <v>1</v>
      </c>
      <c r="L203" s="10" t="s">
        <v>23</v>
      </c>
      <c r="M203" s="11">
        <v>0</v>
      </c>
      <c r="N203" s="60" t="str">
        <f>IF(OR($E203="",$G203=""),"",IF(AND(K203=$E203,M203=$G203),Auxiliar!$C$11,IF(AND(SIGN($E203-$G203)=SIGN(K203-M203),MAX($E203,$G203)=MAX(K203,M203)),Auxiliar!$C$12,IF(ABS($E203-$G203)=ABS(K203-M203),Auxiliar!$C$13,IF(AND(SIGN($E203-$G203)=SIGN(K203-M203),MIN($E203,$G203)=MIN(K203,M203)),Auxiliar!$C$14,IF(SIGN($E203-$G203)=SIGN(K203-M203),Auxiliar!$C$15,IF(K203=M203,Auxiliar!$C$16,0)))))))</f>
        <v/>
      </c>
      <c r="P203" s="9">
        <v>4</v>
      </c>
      <c r="Q203" s="10" t="s">
        <v>23</v>
      </c>
      <c r="R203" s="11">
        <v>5</v>
      </c>
      <c r="S203" s="60" t="str">
        <f>IF(OR($E203="",$G203=""),"",IF(AND(P203=$E203,R203=$G203),Auxiliar!$C$11,IF(AND(SIGN($E203-$G203)=SIGN(P203-R203),MAX($E203,$G203)=MAX(P203,R203)),Auxiliar!$C$12,IF(ABS($E203-$G203)=ABS(P203-R203),Auxiliar!$C$13,IF(AND(SIGN($E203-$G203)=SIGN(P203-R203),MIN($E203,$G203)=MIN(P203,R203)),Auxiliar!$C$14,IF(SIGN($E203-$G203)=SIGN(P203-R203),Auxiliar!$C$15,IF(P203=R203,Auxiliar!$C$16,0)))))))</f>
        <v/>
      </c>
      <c r="U203" s="9">
        <v>2</v>
      </c>
      <c r="V203" s="10" t="s">
        <v>23</v>
      </c>
      <c r="W203" s="11">
        <v>2</v>
      </c>
      <c r="X203" s="60" t="str">
        <f>IF(OR($E203="",$G203=""),"",IF(AND(U203=$E203,W203=$G203),Auxiliar!$C$11,IF(AND(SIGN($E203-$G203)=SIGN(U203-W203),MAX($E203,$G203)=MAX(U203,W203)),Auxiliar!$C$12,IF(ABS($E203-$G203)=ABS(U203-W203),Auxiliar!$C$13,IF(AND(SIGN($E203-$G203)=SIGN(U203-W203),MIN($E203,$G203)=MIN(U203,W203)),Auxiliar!$C$14,IF(SIGN($E203-$G203)=SIGN(U203-W203),Auxiliar!$C$15,IF(U203=W203,Auxiliar!$C$16,0)))))))</f>
        <v/>
      </c>
      <c r="Z203" s="9">
        <v>4</v>
      </c>
      <c r="AA203" s="10" t="s">
        <v>23</v>
      </c>
      <c r="AB203" s="11">
        <v>4</v>
      </c>
      <c r="AC203" s="60" t="str">
        <f>IF(OR($E203="",$G203=""),"",IF(AND(Z203=$E203,AB203=$G203),Auxiliar!$C$11,IF(AND(SIGN($E203-$G203)=SIGN(Z203-AB203),MAX($E203,$G203)=MAX(Z203,AB203)),Auxiliar!$C$12,IF(ABS($E203-$G203)=ABS(Z203-AB203),Auxiliar!$C$13,IF(AND(SIGN($E203-$G203)=SIGN(Z203-AB203),MIN($E203,$G203)=MIN(Z203,AB203)),Auxiliar!$C$14,IF(SIGN($E203-$G203)=SIGN(Z203-AB203),Auxiliar!$C$15,IF(Z203=AB203,Auxiliar!$C$16,0)))))))</f>
        <v/>
      </c>
      <c r="AE203" s="9">
        <v>3</v>
      </c>
      <c r="AF203" s="10" t="s">
        <v>23</v>
      </c>
      <c r="AG203" s="11">
        <v>0</v>
      </c>
      <c r="AH203" s="60" t="str">
        <f>IF(OR($E203="",$G203=""),"",IF(AND(AE203=$E203,AG203=$G203),Auxiliar!$C$11,IF(AND(SIGN($E203-$G203)=SIGN(AE203-AG203),MAX($E203,$G203)=MAX(AE203,AG203)),Auxiliar!$C$12,IF(ABS($E203-$G203)=ABS(AE203-AG203),Auxiliar!$C$13,IF(AND(SIGN($E203-$G203)=SIGN(AE203-AG203),MIN($E203,$G203)=MIN(AE203,AG203)),Auxiliar!$C$14,IF(SIGN($E203-$G203)=SIGN(AE203-AG203),Auxiliar!$C$15,IF(AE203=AG203,Auxiliar!$C$16,0)))))))</f>
        <v/>
      </c>
    </row>
    <row r="204" spans="3:34" x14ac:dyDescent="0.25">
      <c r="C204" s="24">
        <f t="shared" si="2"/>
        <v>19</v>
      </c>
      <c r="D204" s="18"/>
      <c r="E204" s="13"/>
      <c r="F204" s="12" t="s">
        <v>23</v>
      </c>
      <c r="G204" s="13"/>
      <c r="H204" s="14"/>
      <c r="K204" s="9">
        <v>3</v>
      </c>
      <c r="L204" s="10" t="s">
        <v>23</v>
      </c>
      <c r="M204" s="11">
        <v>0</v>
      </c>
      <c r="N204" s="60" t="str">
        <f>IF(OR($E204="",$G204=""),"",IF(AND(K204=$E204,M204=$G204),Auxiliar!$C$11,IF(AND(SIGN($E204-$G204)=SIGN(K204-M204),MAX($E204,$G204)=MAX(K204,M204)),Auxiliar!$C$12,IF(ABS($E204-$G204)=ABS(K204-M204),Auxiliar!$C$13,IF(AND(SIGN($E204-$G204)=SIGN(K204-M204),MIN($E204,$G204)=MIN(K204,M204)),Auxiliar!$C$14,IF(SIGN($E204-$G204)=SIGN(K204-M204),Auxiliar!$C$15,IF(K204=M204,Auxiliar!$C$16,0)))))))</f>
        <v/>
      </c>
      <c r="P204" s="9">
        <v>3</v>
      </c>
      <c r="Q204" s="10" t="s">
        <v>23</v>
      </c>
      <c r="R204" s="11">
        <v>3</v>
      </c>
      <c r="S204" s="60" t="str">
        <f>IF(OR($E204="",$G204=""),"",IF(AND(P204=$E204,R204=$G204),Auxiliar!$C$11,IF(AND(SIGN($E204-$G204)=SIGN(P204-R204),MAX($E204,$G204)=MAX(P204,R204)),Auxiliar!$C$12,IF(ABS($E204-$G204)=ABS(P204-R204),Auxiliar!$C$13,IF(AND(SIGN($E204-$G204)=SIGN(P204-R204),MIN($E204,$G204)=MIN(P204,R204)),Auxiliar!$C$14,IF(SIGN($E204-$G204)=SIGN(P204-R204),Auxiliar!$C$15,IF(P204=R204,Auxiliar!$C$16,0)))))))</f>
        <v/>
      </c>
      <c r="U204" s="9">
        <v>1</v>
      </c>
      <c r="V204" s="10" t="s">
        <v>23</v>
      </c>
      <c r="W204" s="11">
        <v>5</v>
      </c>
      <c r="X204" s="60" t="str">
        <f>IF(OR($E204="",$G204=""),"",IF(AND(U204=$E204,W204=$G204),Auxiliar!$C$11,IF(AND(SIGN($E204-$G204)=SIGN(U204-W204),MAX($E204,$G204)=MAX(U204,W204)),Auxiliar!$C$12,IF(ABS($E204-$G204)=ABS(U204-W204),Auxiliar!$C$13,IF(AND(SIGN($E204-$G204)=SIGN(U204-W204),MIN($E204,$G204)=MIN(U204,W204)),Auxiliar!$C$14,IF(SIGN($E204-$G204)=SIGN(U204-W204),Auxiliar!$C$15,IF(U204=W204,Auxiliar!$C$16,0)))))))</f>
        <v/>
      </c>
      <c r="Z204" s="9">
        <v>2</v>
      </c>
      <c r="AA204" s="10" t="s">
        <v>23</v>
      </c>
      <c r="AB204" s="11">
        <v>5</v>
      </c>
      <c r="AC204" s="60" t="str">
        <f>IF(OR($E204="",$G204=""),"",IF(AND(Z204=$E204,AB204=$G204),Auxiliar!$C$11,IF(AND(SIGN($E204-$G204)=SIGN(Z204-AB204),MAX($E204,$G204)=MAX(Z204,AB204)),Auxiliar!$C$12,IF(ABS($E204-$G204)=ABS(Z204-AB204),Auxiliar!$C$13,IF(AND(SIGN($E204-$G204)=SIGN(Z204-AB204),MIN($E204,$G204)=MIN(Z204,AB204)),Auxiliar!$C$14,IF(SIGN($E204-$G204)=SIGN(Z204-AB204),Auxiliar!$C$15,IF(Z204=AB204,Auxiliar!$C$16,0)))))))</f>
        <v/>
      </c>
      <c r="AE204" s="9">
        <v>5</v>
      </c>
      <c r="AF204" s="10" t="s">
        <v>23</v>
      </c>
      <c r="AG204" s="11">
        <v>5</v>
      </c>
      <c r="AH204" s="60" t="str">
        <f>IF(OR($E204="",$G204=""),"",IF(AND(AE204=$E204,AG204=$G204),Auxiliar!$C$11,IF(AND(SIGN($E204-$G204)=SIGN(AE204-AG204),MAX($E204,$G204)=MAX(AE204,AG204)),Auxiliar!$C$12,IF(ABS($E204-$G204)=ABS(AE204-AG204),Auxiliar!$C$13,IF(AND(SIGN($E204-$G204)=SIGN(AE204-AG204),MIN($E204,$G204)=MIN(AE204,AG204)),Auxiliar!$C$14,IF(SIGN($E204-$G204)=SIGN(AE204-AG204),Auxiliar!$C$15,IF(AE204=AG204,Auxiliar!$C$16,0)))))))</f>
        <v/>
      </c>
    </row>
    <row r="205" spans="3:34" x14ac:dyDescent="0.25">
      <c r="C205" s="24">
        <f t="shared" si="2"/>
        <v>19</v>
      </c>
      <c r="D205" s="18"/>
      <c r="E205" s="13"/>
      <c r="F205" s="12" t="s">
        <v>23</v>
      </c>
      <c r="G205" s="13"/>
      <c r="H205" s="14"/>
      <c r="K205" s="9">
        <v>2</v>
      </c>
      <c r="L205" s="10" t="s">
        <v>23</v>
      </c>
      <c r="M205" s="11">
        <v>5</v>
      </c>
      <c r="N205" s="60" t="str">
        <f>IF(OR($E205="",$G205=""),"",IF(AND(K205=$E205,M205=$G205),Auxiliar!$C$11,IF(AND(SIGN($E205-$G205)=SIGN(K205-M205),MAX($E205,$G205)=MAX(K205,M205)),Auxiliar!$C$12,IF(ABS($E205-$G205)=ABS(K205-M205),Auxiliar!$C$13,IF(AND(SIGN($E205-$G205)=SIGN(K205-M205),MIN($E205,$G205)=MIN(K205,M205)),Auxiliar!$C$14,IF(SIGN($E205-$G205)=SIGN(K205-M205),Auxiliar!$C$15,IF(K205=M205,Auxiliar!$C$16,0)))))))</f>
        <v/>
      </c>
      <c r="P205" s="9">
        <v>0</v>
      </c>
      <c r="Q205" s="10" t="s">
        <v>23</v>
      </c>
      <c r="R205" s="11">
        <v>1</v>
      </c>
      <c r="S205" s="60" t="str">
        <f>IF(OR($E205="",$G205=""),"",IF(AND(P205=$E205,R205=$G205),Auxiliar!$C$11,IF(AND(SIGN($E205-$G205)=SIGN(P205-R205),MAX($E205,$G205)=MAX(P205,R205)),Auxiliar!$C$12,IF(ABS($E205-$G205)=ABS(P205-R205),Auxiliar!$C$13,IF(AND(SIGN($E205-$G205)=SIGN(P205-R205),MIN($E205,$G205)=MIN(P205,R205)),Auxiliar!$C$14,IF(SIGN($E205-$G205)=SIGN(P205-R205),Auxiliar!$C$15,IF(P205=R205,Auxiliar!$C$16,0)))))))</f>
        <v/>
      </c>
      <c r="U205" s="9">
        <v>4</v>
      </c>
      <c r="V205" s="10" t="s">
        <v>23</v>
      </c>
      <c r="W205" s="11">
        <v>5</v>
      </c>
      <c r="X205" s="60" t="str">
        <f>IF(OR($E205="",$G205=""),"",IF(AND(U205=$E205,W205=$G205),Auxiliar!$C$11,IF(AND(SIGN($E205-$G205)=SIGN(U205-W205),MAX($E205,$G205)=MAX(U205,W205)),Auxiliar!$C$12,IF(ABS($E205-$G205)=ABS(U205-W205),Auxiliar!$C$13,IF(AND(SIGN($E205-$G205)=SIGN(U205-W205),MIN($E205,$G205)=MIN(U205,W205)),Auxiliar!$C$14,IF(SIGN($E205-$G205)=SIGN(U205-W205),Auxiliar!$C$15,IF(U205=W205,Auxiliar!$C$16,0)))))))</f>
        <v/>
      </c>
      <c r="Z205" s="9">
        <v>2</v>
      </c>
      <c r="AA205" s="10" t="s">
        <v>23</v>
      </c>
      <c r="AB205" s="11">
        <v>1</v>
      </c>
      <c r="AC205" s="60" t="str">
        <f>IF(OR($E205="",$G205=""),"",IF(AND(Z205=$E205,AB205=$G205),Auxiliar!$C$11,IF(AND(SIGN($E205-$G205)=SIGN(Z205-AB205),MAX($E205,$G205)=MAX(Z205,AB205)),Auxiliar!$C$12,IF(ABS($E205-$G205)=ABS(Z205-AB205),Auxiliar!$C$13,IF(AND(SIGN($E205-$G205)=SIGN(Z205-AB205),MIN($E205,$G205)=MIN(Z205,AB205)),Auxiliar!$C$14,IF(SIGN($E205-$G205)=SIGN(Z205-AB205),Auxiliar!$C$15,IF(Z205=AB205,Auxiliar!$C$16,0)))))))</f>
        <v/>
      </c>
      <c r="AE205" s="9">
        <v>1</v>
      </c>
      <c r="AF205" s="10" t="s">
        <v>23</v>
      </c>
      <c r="AG205" s="11">
        <v>1</v>
      </c>
      <c r="AH205" s="60" t="str">
        <f>IF(OR($E205="",$G205=""),"",IF(AND(AE205=$E205,AG205=$G205),Auxiliar!$C$11,IF(AND(SIGN($E205-$G205)=SIGN(AE205-AG205),MAX($E205,$G205)=MAX(AE205,AG205)),Auxiliar!$C$12,IF(ABS($E205-$G205)=ABS(AE205-AG205),Auxiliar!$C$13,IF(AND(SIGN($E205-$G205)=SIGN(AE205-AG205),MIN($E205,$G205)=MIN(AE205,AG205)),Auxiliar!$C$14,IF(SIGN($E205-$G205)=SIGN(AE205-AG205),Auxiliar!$C$15,IF(AE205=AG205,Auxiliar!$C$16,0)))))))</f>
        <v/>
      </c>
    </row>
    <row r="206" spans="3:34" x14ac:dyDescent="0.25">
      <c r="C206" s="24">
        <f t="shared" si="2"/>
        <v>19</v>
      </c>
      <c r="D206" s="18"/>
      <c r="E206" s="13"/>
      <c r="F206" s="12" t="s">
        <v>23</v>
      </c>
      <c r="G206" s="13"/>
      <c r="H206" s="14"/>
      <c r="K206" s="9">
        <v>4</v>
      </c>
      <c r="L206" s="10" t="s">
        <v>23</v>
      </c>
      <c r="M206" s="11">
        <v>2</v>
      </c>
      <c r="N206" s="60" t="str">
        <f>IF(OR($E206="",$G206=""),"",IF(AND(K206=$E206,M206=$G206),Auxiliar!$C$11,IF(AND(SIGN($E206-$G206)=SIGN(K206-M206),MAX($E206,$G206)=MAX(K206,M206)),Auxiliar!$C$12,IF(ABS($E206-$G206)=ABS(K206-M206),Auxiliar!$C$13,IF(AND(SIGN($E206-$G206)=SIGN(K206-M206),MIN($E206,$G206)=MIN(K206,M206)),Auxiliar!$C$14,IF(SIGN($E206-$G206)=SIGN(K206-M206),Auxiliar!$C$15,IF(K206=M206,Auxiliar!$C$16,0)))))))</f>
        <v/>
      </c>
      <c r="P206" s="9">
        <v>1</v>
      </c>
      <c r="Q206" s="10" t="s">
        <v>23</v>
      </c>
      <c r="R206" s="11">
        <v>3</v>
      </c>
      <c r="S206" s="60" t="str">
        <f>IF(OR($E206="",$G206=""),"",IF(AND(P206=$E206,R206=$G206),Auxiliar!$C$11,IF(AND(SIGN($E206-$G206)=SIGN(P206-R206),MAX($E206,$G206)=MAX(P206,R206)),Auxiliar!$C$12,IF(ABS($E206-$G206)=ABS(P206-R206),Auxiliar!$C$13,IF(AND(SIGN($E206-$G206)=SIGN(P206-R206),MIN($E206,$G206)=MIN(P206,R206)),Auxiliar!$C$14,IF(SIGN($E206-$G206)=SIGN(P206-R206),Auxiliar!$C$15,IF(P206=R206,Auxiliar!$C$16,0)))))))</f>
        <v/>
      </c>
      <c r="U206" s="9">
        <v>0</v>
      </c>
      <c r="V206" s="10" t="s">
        <v>23</v>
      </c>
      <c r="W206" s="11">
        <v>5</v>
      </c>
      <c r="X206" s="60" t="str">
        <f>IF(OR($E206="",$G206=""),"",IF(AND(U206=$E206,W206=$G206),Auxiliar!$C$11,IF(AND(SIGN($E206-$G206)=SIGN(U206-W206),MAX($E206,$G206)=MAX(U206,W206)),Auxiliar!$C$12,IF(ABS($E206-$G206)=ABS(U206-W206),Auxiliar!$C$13,IF(AND(SIGN($E206-$G206)=SIGN(U206-W206),MIN($E206,$G206)=MIN(U206,W206)),Auxiliar!$C$14,IF(SIGN($E206-$G206)=SIGN(U206-W206),Auxiliar!$C$15,IF(U206=W206,Auxiliar!$C$16,0)))))))</f>
        <v/>
      </c>
      <c r="Z206" s="9">
        <v>0</v>
      </c>
      <c r="AA206" s="10" t="s">
        <v>23</v>
      </c>
      <c r="AB206" s="11">
        <v>5</v>
      </c>
      <c r="AC206" s="60" t="str">
        <f>IF(OR($E206="",$G206=""),"",IF(AND(Z206=$E206,AB206=$G206),Auxiliar!$C$11,IF(AND(SIGN($E206-$G206)=SIGN(Z206-AB206),MAX($E206,$G206)=MAX(Z206,AB206)),Auxiliar!$C$12,IF(ABS($E206-$G206)=ABS(Z206-AB206),Auxiliar!$C$13,IF(AND(SIGN($E206-$G206)=SIGN(Z206-AB206),MIN($E206,$G206)=MIN(Z206,AB206)),Auxiliar!$C$14,IF(SIGN($E206-$G206)=SIGN(Z206-AB206),Auxiliar!$C$15,IF(Z206=AB206,Auxiliar!$C$16,0)))))))</f>
        <v/>
      </c>
      <c r="AE206" s="9">
        <v>3</v>
      </c>
      <c r="AF206" s="10" t="s">
        <v>23</v>
      </c>
      <c r="AG206" s="11">
        <v>0</v>
      </c>
      <c r="AH206" s="60" t="str">
        <f>IF(OR($E206="",$G206=""),"",IF(AND(AE206=$E206,AG206=$G206),Auxiliar!$C$11,IF(AND(SIGN($E206-$G206)=SIGN(AE206-AG206),MAX($E206,$G206)=MAX(AE206,AG206)),Auxiliar!$C$12,IF(ABS($E206-$G206)=ABS(AE206-AG206),Auxiliar!$C$13,IF(AND(SIGN($E206-$G206)=SIGN(AE206-AG206),MIN($E206,$G206)=MIN(AE206,AG206)),Auxiliar!$C$14,IF(SIGN($E206-$G206)=SIGN(AE206-AG206),Auxiliar!$C$15,IF(AE206=AG206,Auxiliar!$C$16,0)))))))</f>
        <v/>
      </c>
    </row>
    <row r="207" spans="3:34" x14ac:dyDescent="0.25">
      <c r="C207" s="24">
        <f t="shared" si="2"/>
        <v>19</v>
      </c>
      <c r="D207" s="18"/>
      <c r="E207" s="13"/>
      <c r="F207" s="12" t="s">
        <v>23</v>
      </c>
      <c r="G207" s="13"/>
      <c r="H207" s="14"/>
      <c r="K207" s="9">
        <v>0</v>
      </c>
      <c r="L207" s="10" t="s">
        <v>23</v>
      </c>
      <c r="M207" s="11">
        <v>5</v>
      </c>
      <c r="N207" s="60" t="str">
        <f>IF(OR($E207="",$G207=""),"",IF(AND(K207=$E207,M207=$G207),Auxiliar!$C$11,IF(AND(SIGN($E207-$G207)=SIGN(K207-M207),MAX($E207,$G207)=MAX(K207,M207)),Auxiliar!$C$12,IF(ABS($E207-$G207)=ABS(K207-M207),Auxiliar!$C$13,IF(AND(SIGN($E207-$G207)=SIGN(K207-M207),MIN($E207,$G207)=MIN(K207,M207)),Auxiliar!$C$14,IF(SIGN($E207-$G207)=SIGN(K207-M207),Auxiliar!$C$15,IF(K207=M207,Auxiliar!$C$16,0)))))))</f>
        <v/>
      </c>
      <c r="P207" s="9">
        <v>5</v>
      </c>
      <c r="Q207" s="10" t="s">
        <v>23</v>
      </c>
      <c r="R207" s="11">
        <v>2</v>
      </c>
      <c r="S207" s="60" t="str">
        <f>IF(OR($E207="",$G207=""),"",IF(AND(P207=$E207,R207=$G207),Auxiliar!$C$11,IF(AND(SIGN($E207-$G207)=SIGN(P207-R207),MAX($E207,$G207)=MAX(P207,R207)),Auxiliar!$C$12,IF(ABS($E207-$G207)=ABS(P207-R207),Auxiliar!$C$13,IF(AND(SIGN($E207-$G207)=SIGN(P207-R207),MIN($E207,$G207)=MIN(P207,R207)),Auxiliar!$C$14,IF(SIGN($E207-$G207)=SIGN(P207-R207),Auxiliar!$C$15,IF(P207=R207,Auxiliar!$C$16,0)))))))</f>
        <v/>
      </c>
      <c r="U207" s="9">
        <v>2</v>
      </c>
      <c r="V207" s="10" t="s">
        <v>23</v>
      </c>
      <c r="W207" s="11">
        <v>4</v>
      </c>
      <c r="X207" s="60" t="str">
        <f>IF(OR($E207="",$G207=""),"",IF(AND(U207=$E207,W207=$G207),Auxiliar!$C$11,IF(AND(SIGN($E207-$G207)=SIGN(U207-W207),MAX($E207,$G207)=MAX(U207,W207)),Auxiliar!$C$12,IF(ABS($E207-$G207)=ABS(U207-W207),Auxiliar!$C$13,IF(AND(SIGN($E207-$G207)=SIGN(U207-W207),MIN($E207,$G207)=MIN(U207,W207)),Auxiliar!$C$14,IF(SIGN($E207-$G207)=SIGN(U207-W207),Auxiliar!$C$15,IF(U207=W207,Auxiliar!$C$16,0)))))))</f>
        <v/>
      </c>
      <c r="Z207" s="9">
        <v>2</v>
      </c>
      <c r="AA207" s="10" t="s">
        <v>23</v>
      </c>
      <c r="AB207" s="11">
        <v>0</v>
      </c>
      <c r="AC207" s="60" t="str">
        <f>IF(OR($E207="",$G207=""),"",IF(AND(Z207=$E207,AB207=$G207),Auxiliar!$C$11,IF(AND(SIGN($E207-$G207)=SIGN(Z207-AB207),MAX($E207,$G207)=MAX(Z207,AB207)),Auxiliar!$C$12,IF(ABS($E207-$G207)=ABS(Z207-AB207),Auxiliar!$C$13,IF(AND(SIGN($E207-$G207)=SIGN(Z207-AB207),MIN($E207,$G207)=MIN(Z207,AB207)),Auxiliar!$C$14,IF(SIGN($E207-$G207)=SIGN(Z207-AB207),Auxiliar!$C$15,IF(Z207=AB207,Auxiliar!$C$16,0)))))))</f>
        <v/>
      </c>
      <c r="AE207" s="9">
        <v>4</v>
      </c>
      <c r="AF207" s="10" t="s">
        <v>23</v>
      </c>
      <c r="AG207" s="11">
        <v>2</v>
      </c>
      <c r="AH207" s="60" t="str">
        <f>IF(OR($E207="",$G207=""),"",IF(AND(AE207=$E207,AG207=$G207),Auxiliar!$C$11,IF(AND(SIGN($E207-$G207)=SIGN(AE207-AG207),MAX($E207,$G207)=MAX(AE207,AG207)),Auxiliar!$C$12,IF(ABS($E207-$G207)=ABS(AE207-AG207),Auxiliar!$C$13,IF(AND(SIGN($E207-$G207)=SIGN(AE207-AG207),MIN($E207,$G207)=MIN(AE207,AG207)),Auxiliar!$C$14,IF(SIGN($E207-$G207)=SIGN(AE207-AG207),Auxiliar!$C$15,IF(AE207=AG207,Auxiliar!$C$16,0)))))))</f>
        <v/>
      </c>
    </row>
    <row r="208" spans="3:34" x14ac:dyDescent="0.25">
      <c r="C208" s="24">
        <f t="shared" si="2"/>
        <v>19</v>
      </c>
      <c r="D208" s="18"/>
      <c r="E208" s="13"/>
      <c r="F208" s="12" t="s">
        <v>23</v>
      </c>
      <c r="G208" s="13"/>
      <c r="H208" s="14"/>
      <c r="K208" s="9">
        <v>5</v>
      </c>
      <c r="L208" s="10" t="s">
        <v>23</v>
      </c>
      <c r="M208" s="11">
        <v>2</v>
      </c>
      <c r="N208" s="60" t="str">
        <f>IF(OR($E208="",$G208=""),"",IF(AND(K208=$E208,M208=$G208),Auxiliar!$C$11,IF(AND(SIGN($E208-$G208)=SIGN(K208-M208),MAX($E208,$G208)=MAX(K208,M208)),Auxiliar!$C$12,IF(ABS($E208-$G208)=ABS(K208-M208),Auxiliar!$C$13,IF(AND(SIGN($E208-$G208)=SIGN(K208-M208),MIN($E208,$G208)=MIN(K208,M208)),Auxiliar!$C$14,IF(SIGN($E208-$G208)=SIGN(K208-M208),Auxiliar!$C$15,IF(K208=M208,Auxiliar!$C$16,0)))))))</f>
        <v/>
      </c>
      <c r="P208" s="9">
        <v>1</v>
      </c>
      <c r="Q208" s="10" t="s">
        <v>23</v>
      </c>
      <c r="R208" s="11">
        <v>3</v>
      </c>
      <c r="S208" s="60" t="str">
        <f>IF(OR($E208="",$G208=""),"",IF(AND(P208=$E208,R208=$G208),Auxiliar!$C$11,IF(AND(SIGN($E208-$G208)=SIGN(P208-R208),MAX($E208,$G208)=MAX(P208,R208)),Auxiliar!$C$12,IF(ABS($E208-$G208)=ABS(P208-R208),Auxiliar!$C$13,IF(AND(SIGN($E208-$G208)=SIGN(P208-R208),MIN($E208,$G208)=MIN(P208,R208)),Auxiliar!$C$14,IF(SIGN($E208-$G208)=SIGN(P208-R208),Auxiliar!$C$15,IF(P208=R208,Auxiliar!$C$16,0)))))))</f>
        <v/>
      </c>
      <c r="U208" s="9">
        <v>0</v>
      </c>
      <c r="V208" s="10" t="s">
        <v>23</v>
      </c>
      <c r="W208" s="11">
        <v>5</v>
      </c>
      <c r="X208" s="60" t="str">
        <f>IF(OR($E208="",$G208=""),"",IF(AND(U208=$E208,W208=$G208),Auxiliar!$C$11,IF(AND(SIGN($E208-$G208)=SIGN(U208-W208),MAX($E208,$G208)=MAX(U208,W208)),Auxiliar!$C$12,IF(ABS($E208-$G208)=ABS(U208-W208),Auxiliar!$C$13,IF(AND(SIGN($E208-$G208)=SIGN(U208-W208),MIN($E208,$G208)=MIN(U208,W208)),Auxiliar!$C$14,IF(SIGN($E208-$G208)=SIGN(U208-W208),Auxiliar!$C$15,IF(U208=W208,Auxiliar!$C$16,0)))))))</f>
        <v/>
      </c>
      <c r="Z208" s="9">
        <v>0</v>
      </c>
      <c r="AA208" s="10" t="s">
        <v>23</v>
      </c>
      <c r="AB208" s="11">
        <v>0</v>
      </c>
      <c r="AC208" s="60" t="str">
        <f>IF(OR($E208="",$G208=""),"",IF(AND(Z208=$E208,AB208=$G208),Auxiliar!$C$11,IF(AND(SIGN($E208-$G208)=SIGN(Z208-AB208),MAX($E208,$G208)=MAX(Z208,AB208)),Auxiliar!$C$12,IF(ABS($E208-$G208)=ABS(Z208-AB208),Auxiliar!$C$13,IF(AND(SIGN($E208-$G208)=SIGN(Z208-AB208),MIN($E208,$G208)=MIN(Z208,AB208)),Auxiliar!$C$14,IF(SIGN($E208-$G208)=SIGN(Z208-AB208),Auxiliar!$C$15,IF(Z208=AB208,Auxiliar!$C$16,0)))))))</f>
        <v/>
      </c>
      <c r="AE208" s="9">
        <v>3</v>
      </c>
      <c r="AF208" s="10" t="s">
        <v>23</v>
      </c>
      <c r="AG208" s="11">
        <v>4</v>
      </c>
      <c r="AH208" s="60" t="str">
        <f>IF(OR($E208="",$G208=""),"",IF(AND(AE208=$E208,AG208=$G208),Auxiliar!$C$11,IF(AND(SIGN($E208-$G208)=SIGN(AE208-AG208),MAX($E208,$G208)=MAX(AE208,AG208)),Auxiliar!$C$12,IF(ABS($E208-$G208)=ABS(AE208-AG208),Auxiliar!$C$13,IF(AND(SIGN($E208-$G208)=SIGN(AE208-AG208),MIN($E208,$G208)=MIN(AE208,AG208)),Auxiliar!$C$14,IF(SIGN($E208-$G208)=SIGN(AE208-AG208),Auxiliar!$C$15,IF(AE208=AG208,Auxiliar!$C$16,0)))))))</f>
        <v/>
      </c>
    </row>
    <row r="209" spans="3:34" x14ac:dyDescent="0.25">
      <c r="C209" s="24">
        <f t="shared" si="2"/>
        <v>20</v>
      </c>
      <c r="D209" s="18"/>
      <c r="E209" s="13"/>
      <c r="F209" s="12" t="s">
        <v>23</v>
      </c>
      <c r="G209" s="13"/>
      <c r="H209" s="14"/>
      <c r="K209" s="9">
        <v>4</v>
      </c>
      <c r="L209" s="10" t="s">
        <v>23</v>
      </c>
      <c r="M209" s="11">
        <v>4</v>
      </c>
      <c r="N209" s="60" t="str">
        <f>IF(OR($E209="",$G209=""),"",IF(AND(K209=$E209,M209=$G209),Auxiliar!$C$11,IF(AND(SIGN($E209-$G209)=SIGN(K209-M209),MAX($E209,$G209)=MAX(K209,M209)),Auxiliar!$C$12,IF(ABS($E209-$G209)=ABS(K209-M209),Auxiliar!$C$13,IF(AND(SIGN($E209-$G209)=SIGN(K209-M209),MIN($E209,$G209)=MIN(K209,M209)),Auxiliar!$C$14,IF(SIGN($E209-$G209)=SIGN(K209-M209),Auxiliar!$C$15,IF(K209=M209,Auxiliar!$C$16,0)))))))</f>
        <v/>
      </c>
      <c r="P209" s="9">
        <v>5</v>
      </c>
      <c r="Q209" s="10" t="s">
        <v>23</v>
      </c>
      <c r="R209" s="11">
        <v>5</v>
      </c>
      <c r="S209" s="60" t="str">
        <f>IF(OR($E209="",$G209=""),"",IF(AND(P209=$E209,R209=$G209),Auxiliar!$C$11,IF(AND(SIGN($E209-$G209)=SIGN(P209-R209),MAX($E209,$G209)=MAX(P209,R209)),Auxiliar!$C$12,IF(ABS($E209-$G209)=ABS(P209-R209),Auxiliar!$C$13,IF(AND(SIGN($E209-$G209)=SIGN(P209-R209),MIN($E209,$G209)=MIN(P209,R209)),Auxiliar!$C$14,IF(SIGN($E209-$G209)=SIGN(P209-R209),Auxiliar!$C$15,IF(P209=R209,Auxiliar!$C$16,0)))))))</f>
        <v/>
      </c>
      <c r="U209" s="9">
        <v>1</v>
      </c>
      <c r="V209" s="10" t="s">
        <v>23</v>
      </c>
      <c r="W209" s="11">
        <v>0</v>
      </c>
      <c r="X209" s="60" t="str">
        <f>IF(OR($E209="",$G209=""),"",IF(AND(U209=$E209,W209=$G209),Auxiliar!$C$11,IF(AND(SIGN($E209-$G209)=SIGN(U209-W209),MAX($E209,$G209)=MAX(U209,W209)),Auxiliar!$C$12,IF(ABS($E209-$G209)=ABS(U209-W209),Auxiliar!$C$13,IF(AND(SIGN($E209-$G209)=SIGN(U209-W209),MIN($E209,$G209)=MIN(U209,W209)),Auxiliar!$C$14,IF(SIGN($E209-$G209)=SIGN(U209-W209),Auxiliar!$C$15,IF(U209=W209,Auxiliar!$C$16,0)))))))</f>
        <v/>
      </c>
      <c r="Z209" s="9">
        <v>3</v>
      </c>
      <c r="AA209" s="10" t="s">
        <v>23</v>
      </c>
      <c r="AB209" s="11">
        <v>4</v>
      </c>
      <c r="AC209" s="60" t="str">
        <f>IF(OR($E209="",$G209=""),"",IF(AND(Z209=$E209,AB209=$G209),Auxiliar!$C$11,IF(AND(SIGN($E209-$G209)=SIGN(Z209-AB209),MAX($E209,$G209)=MAX(Z209,AB209)),Auxiliar!$C$12,IF(ABS($E209-$G209)=ABS(Z209-AB209),Auxiliar!$C$13,IF(AND(SIGN($E209-$G209)=SIGN(Z209-AB209),MIN($E209,$G209)=MIN(Z209,AB209)),Auxiliar!$C$14,IF(SIGN($E209-$G209)=SIGN(Z209-AB209),Auxiliar!$C$15,IF(Z209=AB209,Auxiliar!$C$16,0)))))))</f>
        <v/>
      </c>
      <c r="AE209" s="9">
        <v>4</v>
      </c>
      <c r="AF209" s="10" t="s">
        <v>23</v>
      </c>
      <c r="AG209" s="11">
        <v>0</v>
      </c>
      <c r="AH209" s="60" t="str">
        <f>IF(OR($E209="",$G209=""),"",IF(AND(AE209=$E209,AG209=$G209),Auxiliar!$C$11,IF(AND(SIGN($E209-$G209)=SIGN(AE209-AG209),MAX($E209,$G209)=MAX(AE209,AG209)),Auxiliar!$C$12,IF(ABS($E209-$G209)=ABS(AE209-AG209),Auxiliar!$C$13,IF(AND(SIGN($E209-$G209)=SIGN(AE209-AG209),MIN($E209,$G209)=MIN(AE209,AG209)),Auxiliar!$C$14,IF(SIGN($E209-$G209)=SIGN(AE209-AG209),Auxiliar!$C$15,IF(AE209=AG209,Auxiliar!$C$16,0)))))))</f>
        <v/>
      </c>
    </row>
    <row r="210" spans="3:34" x14ac:dyDescent="0.25">
      <c r="C210" s="24">
        <f t="shared" si="2"/>
        <v>20</v>
      </c>
      <c r="D210" s="18"/>
      <c r="E210" s="13"/>
      <c r="F210" s="12" t="s">
        <v>23</v>
      </c>
      <c r="G210" s="13"/>
      <c r="H210" s="14"/>
      <c r="K210" s="9">
        <v>4</v>
      </c>
      <c r="L210" s="10" t="s">
        <v>23</v>
      </c>
      <c r="M210" s="11">
        <v>0</v>
      </c>
      <c r="N210" s="60" t="str">
        <f>IF(OR($E210="",$G210=""),"",IF(AND(K210=$E210,M210=$G210),Auxiliar!$C$11,IF(AND(SIGN($E210-$G210)=SIGN(K210-M210),MAX($E210,$G210)=MAX(K210,M210)),Auxiliar!$C$12,IF(ABS($E210-$G210)=ABS(K210-M210),Auxiliar!$C$13,IF(AND(SIGN($E210-$G210)=SIGN(K210-M210),MIN($E210,$G210)=MIN(K210,M210)),Auxiliar!$C$14,IF(SIGN($E210-$G210)=SIGN(K210-M210),Auxiliar!$C$15,IF(K210=M210,Auxiliar!$C$16,0)))))))</f>
        <v/>
      </c>
      <c r="P210" s="9">
        <v>0</v>
      </c>
      <c r="Q210" s="10" t="s">
        <v>23</v>
      </c>
      <c r="R210" s="11">
        <v>2</v>
      </c>
      <c r="S210" s="60" t="str">
        <f>IF(OR($E210="",$G210=""),"",IF(AND(P210=$E210,R210=$G210),Auxiliar!$C$11,IF(AND(SIGN($E210-$G210)=SIGN(P210-R210),MAX($E210,$G210)=MAX(P210,R210)),Auxiliar!$C$12,IF(ABS($E210-$G210)=ABS(P210-R210),Auxiliar!$C$13,IF(AND(SIGN($E210-$G210)=SIGN(P210-R210),MIN($E210,$G210)=MIN(P210,R210)),Auxiliar!$C$14,IF(SIGN($E210-$G210)=SIGN(P210-R210),Auxiliar!$C$15,IF(P210=R210,Auxiliar!$C$16,0)))))))</f>
        <v/>
      </c>
      <c r="U210" s="9">
        <v>2</v>
      </c>
      <c r="V210" s="10" t="s">
        <v>23</v>
      </c>
      <c r="W210" s="11">
        <v>5</v>
      </c>
      <c r="X210" s="60" t="str">
        <f>IF(OR($E210="",$G210=""),"",IF(AND(U210=$E210,W210=$G210),Auxiliar!$C$11,IF(AND(SIGN($E210-$G210)=SIGN(U210-W210),MAX($E210,$G210)=MAX(U210,W210)),Auxiliar!$C$12,IF(ABS($E210-$G210)=ABS(U210-W210),Auxiliar!$C$13,IF(AND(SIGN($E210-$G210)=SIGN(U210-W210),MIN($E210,$G210)=MIN(U210,W210)),Auxiliar!$C$14,IF(SIGN($E210-$G210)=SIGN(U210-W210),Auxiliar!$C$15,IF(U210=W210,Auxiliar!$C$16,0)))))))</f>
        <v/>
      </c>
      <c r="Z210" s="9">
        <v>0</v>
      </c>
      <c r="AA210" s="10" t="s">
        <v>23</v>
      </c>
      <c r="AB210" s="11">
        <v>1</v>
      </c>
      <c r="AC210" s="60" t="str">
        <f>IF(OR($E210="",$G210=""),"",IF(AND(Z210=$E210,AB210=$G210),Auxiliar!$C$11,IF(AND(SIGN($E210-$G210)=SIGN(Z210-AB210),MAX($E210,$G210)=MAX(Z210,AB210)),Auxiliar!$C$12,IF(ABS($E210-$G210)=ABS(Z210-AB210),Auxiliar!$C$13,IF(AND(SIGN($E210-$G210)=SIGN(Z210-AB210),MIN($E210,$G210)=MIN(Z210,AB210)),Auxiliar!$C$14,IF(SIGN($E210-$G210)=SIGN(Z210-AB210),Auxiliar!$C$15,IF(Z210=AB210,Auxiliar!$C$16,0)))))))</f>
        <v/>
      </c>
      <c r="AE210" s="9">
        <v>4</v>
      </c>
      <c r="AF210" s="10" t="s">
        <v>23</v>
      </c>
      <c r="AG210" s="11">
        <v>5</v>
      </c>
      <c r="AH210" s="60" t="str">
        <f>IF(OR($E210="",$G210=""),"",IF(AND(AE210=$E210,AG210=$G210),Auxiliar!$C$11,IF(AND(SIGN($E210-$G210)=SIGN(AE210-AG210),MAX($E210,$G210)=MAX(AE210,AG210)),Auxiliar!$C$12,IF(ABS($E210-$G210)=ABS(AE210-AG210),Auxiliar!$C$13,IF(AND(SIGN($E210-$G210)=SIGN(AE210-AG210),MIN($E210,$G210)=MIN(AE210,AG210)),Auxiliar!$C$14,IF(SIGN($E210-$G210)=SIGN(AE210-AG210),Auxiliar!$C$15,IF(AE210=AG210,Auxiliar!$C$16,0)))))))</f>
        <v/>
      </c>
    </row>
    <row r="211" spans="3:34" x14ac:dyDescent="0.25">
      <c r="C211" s="24">
        <f t="shared" si="2"/>
        <v>20</v>
      </c>
      <c r="D211" s="18"/>
      <c r="E211" s="13"/>
      <c r="F211" s="12" t="s">
        <v>23</v>
      </c>
      <c r="G211" s="13"/>
      <c r="H211" s="14"/>
      <c r="K211" s="9">
        <v>4</v>
      </c>
      <c r="L211" s="10" t="s">
        <v>23</v>
      </c>
      <c r="M211" s="11">
        <v>2</v>
      </c>
      <c r="N211" s="60" t="str">
        <f>IF(OR($E211="",$G211=""),"",IF(AND(K211=$E211,M211=$G211),Auxiliar!$C$11,IF(AND(SIGN($E211-$G211)=SIGN(K211-M211),MAX($E211,$G211)=MAX(K211,M211)),Auxiliar!$C$12,IF(ABS($E211-$G211)=ABS(K211-M211),Auxiliar!$C$13,IF(AND(SIGN($E211-$G211)=SIGN(K211-M211),MIN($E211,$G211)=MIN(K211,M211)),Auxiliar!$C$14,IF(SIGN($E211-$G211)=SIGN(K211-M211),Auxiliar!$C$15,IF(K211=M211,Auxiliar!$C$16,0)))))))</f>
        <v/>
      </c>
      <c r="P211" s="9">
        <v>3</v>
      </c>
      <c r="Q211" s="10" t="s">
        <v>23</v>
      </c>
      <c r="R211" s="11">
        <v>1</v>
      </c>
      <c r="S211" s="60" t="str">
        <f>IF(OR($E211="",$G211=""),"",IF(AND(P211=$E211,R211=$G211),Auxiliar!$C$11,IF(AND(SIGN($E211-$G211)=SIGN(P211-R211),MAX($E211,$G211)=MAX(P211,R211)),Auxiliar!$C$12,IF(ABS($E211-$G211)=ABS(P211-R211),Auxiliar!$C$13,IF(AND(SIGN($E211-$G211)=SIGN(P211-R211),MIN($E211,$G211)=MIN(P211,R211)),Auxiliar!$C$14,IF(SIGN($E211-$G211)=SIGN(P211-R211),Auxiliar!$C$15,IF(P211=R211,Auxiliar!$C$16,0)))))))</f>
        <v/>
      </c>
      <c r="U211" s="9">
        <v>1</v>
      </c>
      <c r="V211" s="10" t="s">
        <v>23</v>
      </c>
      <c r="W211" s="11">
        <v>1</v>
      </c>
      <c r="X211" s="60" t="str">
        <f>IF(OR($E211="",$G211=""),"",IF(AND(U211=$E211,W211=$G211),Auxiliar!$C$11,IF(AND(SIGN($E211-$G211)=SIGN(U211-W211),MAX($E211,$G211)=MAX(U211,W211)),Auxiliar!$C$12,IF(ABS($E211-$G211)=ABS(U211-W211),Auxiliar!$C$13,IF(AND(SIGN($E211-$G211)=SIGN(U211-W211),MIN($E211,$G211)=MIN(U211,W211)),Auxiliar!$C$14,IF(SIGN($E211-$G211)=SIGN(U211-W211),Auxiliar!$C$15,IF(U211=W211,Auxiliar!$C$16,0)))))))</f>
        <v/>
      </c>
      <c r="Z211" s="9">
        <v>3</v>
      </c>
      <c r="AA211" s="10" t="s">
        <v>23</v>
      </c>
      <c r="AB211" s="11">
        <v>1</v>
      </c>
      <c r="AC211" s="60" t="str">
        <f>IF(OR($E211="",$G211=""),"",IF(AND(Z211=$E211,AB211=$G211),Auxiliar!$C$11,IF(AND(SIGN($E211-$G211)=SIGN(Z211-AB211),MAX($E211,$G211)=MAX(Z211,AB211)),Auxiliar!$C$12,IF(ABS($E211-$G211)=ABS(Z211-AB211),Auxiliar!$C$13,IF(AND(SIGN($E211-$G211)=SIGN(Z211-AB211),MIN($E211,$G211)=MIN(Z211,AB211)),Auxiliar!$C$14,IF(SIGN($E211-$G211)=SIGN(Z211-AB211),Auxiliar!$C$15,IF(Z211=AB211,Auxiliar!$C$16,0)))))))</f>
        <v/>
      </c>
      <c r="AE211" s="9">
        <v>4</v>
      </c>
      <c r="AF211" s="10" t="s">
        <v>23</v>
      </c>
      <c r="AG211" s="11">
        <v>1</v>
      </c>
      <c r="AH211" s="60" t="str">
        <f>IF(OR($E211="",$G211=""),"",IF(AND(AE211=$E211,AG211=$G211),Auxiliar!$C$11,IF(AND(SIGN($E211-$G211)=SIGN(AE211-AG211),MAX($E211,$G211)=MAX(AE211,AG211)),Auxiliar!$C$12,IF(ABS($E211-$G211)=ABS(AE211-AG211),Auxiliar!$C$13,IF(AND(SIGN($E211-$G211)=SIGN(AE211-AG211),MIN($E211,$G211)=MIN(AE211,AG211)),Auxiliar!$C$14,IF(SIGN($E211-$G211)=SIGN(AE211-AG211),Auxiliar!$C$15,IF(AE211=AG211,Auxiliar!$C$16,0)))))))</f>
        <v/>
      </c>
    </row>
    <row r="212" spans="3:34" x14ac:dyDescent="0.25">
      <c r="C212" s="24">
        <f t="shared" si="2"/>
        <v>20</v>
      </c>
      <c r="D212" s="18"/>
      <c r="E212" s="13"/>
      <c r="F212" s="12" t="s">
        <v>23</v>
      </c>
      <c r="G212" s="13"/>
      <c r="H212" s="14"/>
      <c r="K212" s="9">
        <v>0</v>
      </c>
      <c r="L212" s="10" t="s">
        <v>23</v>
      </c>
      <c r="M212" s="11">
        <v>5</v>
      </c>
      <c r="N212" s="60" t="str">
        <f>IF(OR($E212="",$G212=""),"",IF(AND(K212=$E212,M212=$G212),Auxiliar!$C$11,IF(AND(SIGN($E212-$G212)=SIGN(K212-M212),MAX($E212,$G212)=MAX(K212,M212)),Auxiliar!$C$12,IF(ABS($E212-$G212)=ABS(K212-M212),Auxiliar!$C$13,IF(AND(SIGN($E212-$G212)=SIGN(K212-M212),MIN($E212,$G212)=MIN(K212,M212)),Auxiliar!$C$14,IF(SIGN($E212-$G212)=SIGN(K212-M212),Auxiliar!$C$15,IF(K212=M212,Auxiliar!$C$16,0)))))))</f>
        <v/>
      </c>
      <c r="P212" s="9">
        <v>0</v>
      </c>
      <c r="Q212" s="10" t="s">
        <v>23</v>
      </c>
      <c r="R212" s="11">
        <v>0</v>
      </c>
      <c r="S212" s="60" t="str">
        <f>IF(OR($E212="",$G212=""),"",IF(AND(P212=$E212,R212=$G212),Auxiliar!$C$11,IF(AND(SIGN($E212-$G212)=SIGN(P212-R212),MAX($E212,$G212)=MAX(P212,R212)),Auxiliar!$C$12,IF(ABS($E212-$G212)=ABS(P212-R212),Auxiliar!$C$13,IF(AND(SIGN($E212-$G212)=SIGN(P212-R212),MIN($E212,$G212)=MIN(P212,R212)),Auxiliar!$C$14,IF(SIGN($E212-$G212)=SIGN(P212-R212),Auxiliar!$C$15,IF(P212=R212,Auxiliar!$C$16,0)))))))</f>
        <v/>
      </c>
      <c r="U212" s="9">
        <v>4</v>
      </c>
      <c r="V212" s="10" t="s">
        <v>23</v>
      </c>
      <c r="W212" s="11">
        <v>0</v>
      </c>
      <c r="X212" s="60" t="str">
        <f>IF(OR($E212="",$G212=""),"",IF(AND(U212=$E212,W212=$G212),Auxiliar!$C$11,IF(AND(SIGN($E212-$G212)=SIGN(U212-W212),MAX($E212,$G212)=MAX(U212,W212)),Auxiliar!$C$12,IF(ABS($E212-$G212)=ABS(U212-W212),Auxiliar!$C$13,IF(AND(SIGN($E212-$G212)=SIGN(U212-W212),MIN($E212,$G212)=MIN(U212,W212)),Auxiliar!$C$14,IF(SIGN($E212-$G212)=SIGN(U212-W212),Auxiliar!$C$15,IF(U212=W212,Auxiliar!$C$16,0)))))))</f>
        <v/>
      </c>
      <c r="Z212" s="9">
        <v>3</v>
      </c>
      <c r="AA212" s="10" t="s">
        <v>23</v>
      </c>
      <c r="AB212" s="11">
        <v>4</v>
      </c>
      <c r="AC212" s="60" t="str">
        <f>IF(OR($E212="",$G212=""),"",IF(AND(Z212=$E212,AB212=$G212),Auxiliar!$C$11,IF(AND(SIGN($E212-$G212)=SIGN(Z212-AB212),MAX($E212,$G212)=MAX(Z212,AB212)),Auxiliar!$C$12,IF(ABS($E212-$G212)=ABS(Z212-AB212),Auxiliar!$C$13,IF(AND(SIGN($E212-$G212)=SIGN(Z212-AB212),MIN($E212,$G212)=MIN(Z212,AB212)),Auxiliar!$C$14,IF(SIGN($E212-$G212)=SIGN(Z212-AB212),Auxiliar!$C$15,IF(Z212=AB212,Auxiliar!$C$16,0)))))))</f>
        <v/>
      </c>
      <c r="AE212" s="9">
        <v>0</v>
      </c>
      <c r="AF212" s="10" t="s">
        <v>23</v>
      </c>
      <c r="AG212" s="11">
        <v>2</v>
      </c>
      <c r="AH212" s="60" t="str">
        <f>IF(OR($E212="",$G212=""),"",IF(AND(AE212=$E212,AG212=$G212),Auxiliar!$C$11,IF(AND(SIGN($E212-$G212)=SIGN(AE212-AG212),MAX($E212,$G212)=MAX(AE212,AG212)),Auxiliar!$C$12,IF(ABS($E212-$G212)=ABS(AE212-AG212),Auxiliar!$C$13,IF(AND(SIGN($E212-$G212)=SIGN(AE212-AG212),MIN($E212,$G212)=MIN(AE212,AG212)),Auxiliar!$C$14,IF(SIGN($E212-$G212)=SIGN(AE212-AG212),Auxiliar!$C$15,IF(AE212=AG212,Auxiliar!$C$16,0)))))))</f>
        <v/>
      </c>
    </row>
    <row r="213" spans="3:34" x14ac:dyDescent="0.25">
      <c r="C213" s="24">
        <f t="shared" si="2"/>
        <v>20</v>
      </c>
      <c r="D213" s="18"/>
      <c r="E213" s="13"/>
      <c r="F213" s="12" t="s">
        <v>23</v>
      </c>
      <c r="G213" s="13"/>
      <c r="H213" s="14"/>
      <c r="K213" s="9">
        <v>0</v>
      </c>
      <c r="L213" s="10" t="s">
        <v>23</v>
      </c>
      <c r="M213" s="11">
        <v>2</v>
      </c>
      <c r="N213" s="60" t="str">
        <f>IF(OR($E213="",$G213=""),"",IF(AND(K213=$E213,M213=$G213),Auxiliar!$C$11,IF(AND(SIGN($E213-$G213)=SIGN(K213-M213),MAX($E213,$G213)=MAX(K213,M213)),Auxiliar!$C$12,IF(ABS($E213-$G213)=ABS(K213-M213),Auxiliar!$C$13,IF(AND(SIGN($E213-$G213)=SIGN(K213-M213),MIN($E213,$G213)=MIN(K213,M213)),Auxiliar!$C$14,IF(SIGN($E213-$G213)=SIGN(K213-M213),Auxiliar!$C$15,IF(K213=M213,Auxiliar!$C$16,0)))))))</f>
        <v/>
      </c>
      <c r="P213" s="9">
        <v>0</v>
      </c>
      <c r="Q213" s="10" t="s">
        <v>23</v>
      </c>
      <c r="R213" s="11">
        <v>0</v>
      </c>
      <c r="S213" s="60" t="str">
        <f>IF(OR($E213="",$G213=""),"",IF(AND(P213=$E213,R213=$G213),Auxiliar!$C$11,IF(AND(SIGN($E213-$G213)=SIGN(P213-R213),MAX($E213,$G213)=MAX(P213,R213)),Auxiliar!$C$12,IF(ABS($E213-$G213)=ABS(P213-R213),Auxiliar!$C$13,IF(AND(SIGN($E213-$G213)=SIGN(P213-R213),MIN($E213,$G213)=MIN(P213,R213)),Auxiliar!$C$14,IF(SIGN($E213-$G213)=SIGN(P213-R213),Auxiliar!$C$15,IF(P213=R213,Auxiliar!$C$16,0)))))))</f>
        <v/>
      </c>
      <c r="U213" s="9">
        <v>1</v>
      </c>
      <c r="V213" s="10" t="s">
        <v>23</v>
      </c>
      <c r="W213" s="11">
        <v>1</v>
      </c>
      <c r="X213" s="60" t="str">
        <f>IF(OR($E213="",$G213=""),"",IF(AND(U213=$E213,W213=$G213),Auxiliar!$C$11,IF(AND(SIGN($E213-$G213)=SIGN(U213-W213),MAX($E213,$G213)=MAX(U213,W213)),Auxiliar!$C$12,IF(ABS($E213-$G213)=ABS(U213-W213),Auxiliar!$C$13,IF(AND(SIGN($E213-$G213)=SIGN(U213-W213),MIN($E213,$G213)=MIN(U213,W213)),Auxiliar!$C$14,IF(SIGN($E213-$G213)=SIGN(U213-W213),Auxiliar!$C$15,IF(U213=W213,Auxiliar!$C$16,0)))))))</f>
        <v/>
      </c>
      <c r="Z213" s="9">
        <v>4</v>
      </c>
      <c r="AA213" s="10" t="s">
        <v>23</v>
      </c>
      <c r="AB213" s="11">
        <v>3</v>
      </c>
      <c r="AC213" s="60" t="str">
        <f>IF(OR($E213="",$G213=""),"",IF(AND(Z213=$E213,AB213=$G213),Auxiliar!$C$11,IF(AND(SIGN($E213-$G213)=SIGN(Z213-AB213),MAX($E213,$G213)=MAX(Z213,AB213)),Auxiliar!$C$12,IF(ABS($E213-$G213)=ABS(Z213-AB213),Auxiliar!$C$13,IF(AND(SIGN($E213-$G213)=SIGN(Z213-AB213),MIN($E213,$G213)=MIN(Z213,AB213)),Auxiliar!$C$14,IF(SIGN($E213-$G213)=SIGN(Z213-AB213),Auxiliar!$C$15,IF(Z213=AB213,Auxiliar!$C$16,0)))))))</f>
        <v/>
      </c>
      <c r="AE213" s="9">
        <v>4</v>
      </c>
      <c r="AF213" s="10" t="s">
        <v>23</v>
      </c>
      <c r="AG213" s="11">
        <v>2</v>
      </c>
      <c r="AH213" s="60" t="str">
        <f>IF(OR($E213="",$G213=""),"",IF(AND(AE213=$E213,AG213=$G213),Auxiliar!$C$11,IF(AND(SIGN($E213-$G213)=SIGN(AE213-AG213),MAX($E213,$G213)=MAX(AE213,AG213)),Auxiliar!$C$12,IF(ABS($E213-$G213)=ABS(AE213-AG213),Auxiliar!$C$13,IF(AND(SIGN($E213-$G213)=SIGN(AE213-AG213),MIN($E213,$G213)=MIN(AE213,AG213)),Auxiliar!$C$14,IF(SIGN($E213-$G213)=SIGN(AE213-AG213),Auxiliar!$C$15,IF(AE213=AG213,Auxiliar!$C$16,0)))))))</f>
        <v/>
      </c>
    </row>
    <row r="214" spans="3:34" x14ac:dyDescent="0.25">
      <c r="C214" s="24">
        <f t="shared" si="2"/>
        <v>20</v>
      </c>
      <c r="D214" s="18"/>
      <c r="E214" s="13"/>
      <c r="F214" s="12" t="s">
        <v>23</v>
      </c>
      <c r="G214" s="13"/>
      <c r="H214" s="14"/>
      <c r="K214" s="9">
        <v>3</v>
      </c>
      <c r="L214" s="10" t="s">
        <v>23</v>
      </c>
      <c r="M214" s="11">
        <v>1</v>
      </c>
      <c r="N214" s="60" t="str">
        <f>IF(OR($E214="",$G214=""),"",IF(AND(K214=$E214,M214=$G214),Auxiliar!$C$11,IF(AND(SIGN($E214-$G214)=SIGN(K214-M214),MAX($E214,$G214)=MAX(K214,M214)),Auxiliar!$C$12,IF(ABS($E214-$G214)=ABS(K214-M214),Auxiliar!$C$13,IF(AND(SIGN($E214-$G214)=SIGN(K214-M214),MIN($E214,$G214)=MIN(K214,M214)),Auxiliar!$C$14,IF(SIGN($E214-$G214)=SIGN(K214-M214),Auxiliar!$C$15,IF(K214=M214,Auxiliar!$C$16,0)))))))</f>
        <v/>
      </c>
      <c r="P214" s="9">
        <v>2</v>
      </c>
      <c r="Q214" s="10" t="s">
        <v>23</v>
      </c>
      <c r="R214" s="11">
        <v>4</v>
      </c>
      <c r="S214" s="60" t="str">
        <f>IF(OR($E214="",$G214=""),"",IF(AND(P214=$E214,R214=$G214),Auxiliar!$C$11,IF(AND(SIGN($E214-$G214)=SIGN(P214-R214),MAX($E214,$G214)=MAX(P214,R214)),Auxiliar!$C$12,IF(ABS($E214-$G214)=ABS(P214-R214),Auxiliar!$C$13,IF(AND(SIGN($E214-$G214)=SIGN(P214-R214),MIN($E214,$G214)=MIN(P214,R214)),Auxiliar!$C$14,IF(SIGN($E214-$G214)=SIGN(P214-R214),Auxiliar!$C$15,IF(P214=R214,Auxiliar!$C$16,0)))))))</f>
        <v/>
      </c>
      <c r="U214" s="9">
        <v>4</v>
      </c>
      <c r="V214" s="10" t="s">
        <v>23</v>
      </c>
      <c r="W214" s="11">
        <v>4</v>
      </c>
      <c r="X214" s="60" t="str">
        <f>IF(OR($E214="",$G214=""),"",IF(AND(U214=$E214,W214=$G214),Auxiliar!$C$11,IF(AND(SIGN($E214-$G214)=SIGN(U214-W214),MAX($E214,$G214)=MAX(U214,W214)),Auxiliar!$C$12,IF(ABS($E214-$G214)=ABS(U214-W214),Auxiliar!$C$13,IF(AND(SIGN($E214-$G214)=SIGN(U214-W214),MIN($E214,$G214)=MIN(U214,W214)),Auxiliar!$C$14,IF(SIGN($E214-$G214)=SIGN(U214-W214),Auxiliar!$C$15,IF(U214=W214,Auxiliar!$C$16,0)))))))</f>
        <v/>
      </c>
      <c r="Z214" s="9">
        <v>4</v>
      </c>
      <c r="AA214" s="10" t="s">
        <v>23</v>
      </c>
      <c r="AB214" s="11">
        <v>1</v>
      </c>
      <c r="AC214" s="60" t="str">
        <f>IF(OR($E214="",$G214=""),"",IF(AND(Z214=$E214,AB214=$G214),Auxiliar!$C$11,IF(AND(SIGN($E214-$G214)=SIGN(Z214-AB214),MAX($E214,$G214)=MAX(Z214,AB214)),Auxiliar!$C$12,IF(ABS($E214-$G214)=ABS(Z214-AB214),Auxiliar!$C$13,IF(AND(SIGN($E214-$G214)=SIGN(Z214-AB214),MIN($E214,$G214)=MIN(Z214,AB214)),Auxiliar!$C$14,IF(SIGN($E214-$G214)=SIGN(Z214-AB214),Auxiliar!$C$15,IF(Z214=AB214,Auxiliar!$C$16,0)))))))</f>
        <v/>
      </c>
      <c r="AE214" s="9">
        <v>0</v>
      </c>
      <c r="AF214" s="10" t="s">
        <v>23</v>
      </c>
      <c r="AG214" s="11">
        <v>2</v>
      </c>
      <c r="AH214" s="60" t="str">
        <f>IF(OR($E214="",$G214=""),"",IF(AND(AE214=$E214,AG214=$G214),Auxiliar!$C$11,IF(AND(SIGN($E214-$G214)=SIGN(AE214-AG214),MAX($E214,$G214)=MAX(AE214,AG214)),Auxiliar!$C$12,IF(ABS($E214-$G214)=ABS(AE214-AG214),Auxiliar!$C$13,IF(AND(SIGN($E214-$G214)=SIGN(AE214-AG214),MIN($E214,$G214)=MIN(AE214,AG214)),Auxiliar!$C$14,IF(SIGN($E214-$G214)=SIGN(AE214-AG214),Auxiliar!$C$15,IF(AE214=AG214,Auxiliar!$C$16,0)))))))</f>
        <v/>
      </c>
    </row>
    <row r="215" spans="3:34" x14ac:dyDescent="0.25">
      <c r="C215" s="24">
        <f t="shared" si="2"/>
        <v>20</v>
      </c>
      <c r="D215" s="18"/>
      <c r="E215" s="13"/>
      <c r="F215" s="12" t="s">
        <v>23</v>
      </c>
      <c r="G215" s="13"/>
      <c r="H215" s="14"/>
      <c r="K215" s="9">
        <v>4</v>
      </c>
      <c r="L215" s="10" t="s">
        <v>23</v>
      </c>
      <c r="M215" s="11">
        <v>2</v>
      </c>
      <c r="N215" s="60" t="str">
        <f>IF(OR($E215="",$G215=""),"",IF(AND(K215=$E215,M215=$G215),Auxiliar!$C$11,IF(AND(SIGN($E215-$G215)=SIGN(K215-M215),MAX($E215,$G215)=MAX(K215,M215)),Auxiliar!$C$12,IF(ABS($E215-$G215)=ABS(K215-M215),Auxiliar!$C$13,IF(AND(SIGN($E215-$G215)=SIGN(K215-M215),MIN($E215,$G215)=MIN(K215,M215)),Auxiliar!$C$14,IF(SIGN($E215-$G215)=SIGN(K215-M215),Auxiliar!$C$15,IF(K215=M215,Auxiliar!$C$16,0)))))))</f>
        <v/>
      </c>
      <c r="P215" s="9">
        <v>2</v>
      </c>
      <c r="Q215" s="10" t="s">
        <v>23</v>
      </c>
      <c r="R215" s="11">
        <v>1</v>
      </c>
      <c r="S215" s="60" t="str">
        <f>IF(OR($E215="",$G215=""),"",IF(AND(P215=$E215,R215=$G215),Auxiliar!$C$11,IF(AND(SIGN($E215-$G215)=SIGN(P215-R215),MAX($E215,$G215)=MAX(P215,R215)),Auxiliar!$C$12,IF(ABS($E215-$G215)=ABS(P215-R215),Auxiliar!$C$13,IF(AND(SIGN($E215-$G215)=SIGN(P215-R215),MIN($E215,$G215)=MIN(P215,R215)),Auxiliar!$C$14,IF(SIGN($E215-$G215)=SIGN(P215-R215),Auxiliar!$C$15,IF(P215=R215,Auxiliar!$C$16,0)))))))</f>
        <v/>
      </c>
      <c r="U215" s="9">
        <v>2</v>
      </c>
      <c r="V215" s="10" t="s">
        <v>23</v>
      </c>
      <c r="W215" s="11">
        <v>5</v>
      </c>
      <c r="X215" s="60" t="str">
        <f>IF(OR($E215="",$G215=""),"",IF(AND(U215=$E215,W215=$G215),Auxiliar!$C$11,IF(AND(SIGN($E215-$G215)=SIGN(U215-W215),MAX($E215,$G215)=MAX(U215,W215)),Auxiliar!$C$12,IF(ABS($E215-$G215)=ABS(U215-W215),Auxiliar!$C$13,IF(AND(SIGN($E215-$G215)=SIGN(U215-W215),MIN($E215,$G215)=MIN(U215,W215)),Auxiliar!$C$14,IF(SIGN($E215-$G215)=SIGN(U215-W215),Auxiliar!$C$15,IF(U215=W215,Auxiliar!$C$16,0)))))))</f>
        <v/>
      </c>
      <c r="Z215" s="9">
        <v>1</v>
      </c>
      <c r="AA215" s="10" t="s">
        <v>23</v>
      </c>
      <c r="AB215" s="11">
        <v>1</v>
      </c>
      <c r="AC215" s="60" t="str">
        <f>IF(OR($E215="",$G215=""),"",IF(AND(Z215=$E215,AB215=$G215),Auxiliar!$C$11,IF(AND(SIGN($E215-$G215)=SIGN(Z215-AB215),MAX($E215,$G215)=MAX(Z215,AB215)),Auxiliar!$C$12,IF(ABS($E215-$G215)=ABS(Z215-AB215),Auxiliar!$C$13,IF(AND(SIGN($E215-$G215)=SIGN(Z215-AB215),MIN($E215,$G215)=MIN(Z215,AB215)),Auxiliar!$C$14,IF(SIGN($E215-$G215)=SIGN(Z215-AB215),Auxiliar!$C$15,IF(Z215=AB215,Auxiliar!$C$16,0)))))))</f>
        <v/>
      </c>
      <c r="AE215" s="9">
        <v>1</v>
      </c>
      <c r="AF215" s="10" t="s">
        <v>23</v>
      </c>
      <c r="AG215" s="11">
        <v>4</v>
      </c>
      <c r="AH215" s="60" t="str">
        <f>IF(OR($E215="",$G215=""),"",IF(AND(AE215=$E215,AG215=$G215),Auxiliar!$C$11,IF(AND(SIGN($E215-$G215)=SIGN(AE215-AG215),MAX($E215,$G215)=MAX(AE215,AG215)),Auxiliar!$C$12,IF(ABS($E215-$G215)=ABS(AE215-AG215),Auxiliar!$C$13,IF(AND(SIGN($E215-$G215)=SIGN(AE215-AG215),MIN($E215,$G215)=MIN(AE215,AG215)),Auxiliar!$C$14,IF(SIGN($E215-$G215)=SIGN(AE215-AG215),Auxiliar!$C$15,IF(AE215=AG215,Auxiliar!$C$16,0)))))))</f>
        <v/>
      </c>
    </row>
    <row r="216" spans="3:34" x14ac:dyDescent="0.25">
      <c r="C216" s="24">
        <f t="shared" si="2"/>
        <v>20</v>
      </c>
      <c r="D216" s="18"/>
      <c r="E216" s="13"/>
      <c r="F216" s="12" t="s">
        <v>23</v>
      </c>
      <c r="G216" s="13"/>
      <c r="H216" s="14"/>
      <c r="K216" s="9">
        <v>3</v>
      </c>
      <c r="L216" s="10" t="s">
        <v>23</v>
      </c>
      <c r="M216" s="11">
        <v>1</v>
      </c>
      <c r="N216" s="60" t="str">
        <f>IF(OR($E216="",$G216=""),"",IF(AND(K216=$E216,M216=$G216),Auxiliar!$C$11,IF(AND(SIGN($E216-$G216)=SIGN(K216-M216),MAX($E216,$G216)=MAX(K216,M216)),Auxiliar!$C$12,IF(ABS($E216-$G216)=ABS(K216-M216),Auxiliar!$C$13,IF(AND(SIGN($E216-$G216)=SIGN(K216-M216),MIN($E216,$G216)=MIN(K216,M216)),Auxiliar!$C$14,IF(SIGN($E216-$G216)=SIGN(K216-M216),Auxiliar!$C$15,IF(K216=M216,Auxiliar!$C$16,0)))))))</f>
        <v/>
      </c>
      <c r="P216" s="9">
        <v>3</v>
      </c>
      <c r="Q216" s="10" t="s">
        <v>23</v>
      </c>
      <c r="R216" s="11">
        <v>3</v>
      </c>
      <c r="S216" s="60" t="str">
        <f>IF(OR($E216="",$G216=""),"",IF(AND(P216=$E216,R216=$G216),Auxiliar!$C$11,IF(AND(SIGN($E216-$G216)=SIGN(P216-R216),MAX($E216,$G216)=MAX(P216,R216)),Auxiliar!$C$12,IF(ABS($E216-$G216)=ABS(P216-R216),Auxiliar!$C$13,IF(AND(SIGN($E216-$G216)=SIGN(P216-R216),MIN($E216,$G216)=MIN(P216,R216)),Auxiliar!$C$14,IF(SIGN($E216-$G216)=SIGN(P216-R216),Auxiliar!$C$15,IF(P216=R216,Auxiliar!$C$16,0)))))))</f>
        <v/>
      </c>
      <c r="U216" s="9">
        <v>1</v>
      </c>
      <c r="V216" s="10" t="s">
        <v>23</v>
      </c>
      <c r="W216" s="11">
        <v>0</v>
      </c>
      <c r="X216" s="60" t="str">
        <f>IF(OR($E216="",$G216=""),"",IF(AND(U216=$E216,W216=$G216),Auxiliar!$C$11,IF(AND(SIGN($E216-$G216)=SIGN(U216-W216),MAX($E216,$G216)=MAX(U216,W216)),Auxiliar!$C$12,IF(ABS($E216-$G216)=ABS(U216-W216),Auxiliar!$C$13,IF(AND(SIGN($E216-$G216)=SIGN(U216-W216),MIN($E216,$G216)=MIN(U216,W216)),Auxiliar!$C$14,IF(SIGN($E216-$G216)=SIGN(U216-W216),Auxiliar!$C$15,IF(U216=W216,Auxiliar!$C$16,0)))))))</f>
        <v/>
      </c>
      <c r="Z216" s="9">
        <v>0</v>
      </c>
      <c r="AA216" s="10" t="s">
        <v>23</v>
      </c>
      <c r="AB216" s="11">
        <v>5</v>
      </c>
      <c r="AC216" s="60" t="str">
        <f>IF(OR($E216="",$G216=""),"",IF(AND(Z216=$E216,AB216=$G216),Auxiliar!$C$11,IF(AND(SIGN($E216-$G216)=SIGN(Z216-AB216),MAX($E216,$G216)=MAX(Z216,AB216)),Auxiliar!$C$12,IF(ABS($E216-$G216)=ABS(Z216-AB216),Auxiliar!$C$13,IF(AND(SIGN($E216-$G216)=SIGN(Z216-AB216),MIN($E216,$G216)=MIN(Z216,AB216)),Auxiliar!$C$14,IF(SIGN($E216-$G216)=SIGN(Z216-AB216),Auxiliar!$C$15,IF(Z216=AB216,Auxiliar!$C$16,0)))))))</f>
        <v/>
      </c>
      <c r="AE216" s="9">
        <v>4</v>
      </c>
      <c r="AF216" s="10" t="s">
        <v>23</v>
      </c>
      <c r="AG216" s="11">
        <v>1</v>
      </c>
      <c r="AH216" s="60" t="str">
        <f>IF(OR($E216="",$G216=""),"",IF(AND(AE216=$E216,AG216=$G216),Auxiliar!$C$11,IF(AND(SIGN($E216-$G216)=SIGN(AE216-AG216),MAX($E216,$G216)=MAX(AE216,AG216)),Auxiliar!$C$12,IF(ABS($E216-$G216)=ABS(AE216-AG216),Auxiliar!$C$13,IF(AND(SIGN($E216-$G216)=SIGN(AE216-AG216),MIN($E216,$G216)=MIN(AE216,AG216)),Auxiliar!$C$14,IF(SIGN($E216-$G216)=SIGN(AE216-AG216),Auxiliar!$C$15,IF(AE216=AG216,Auxiliar!$C$16,0)))))))</f>
        <v/>
      </c>
    </row>
    <row r="217" spans="3:34" x14ac:dyDescent="0.25">
      <c r="C217" s="24">
        <f t="shared" si="2"/>
        <v>20</v>
      </c>
      <c r="D217" s="18"/>
      <c r="E217" s="13"/>
      <c r="F217" s="12" t="s">
        <v>23</v>
      </c>
      <c r="G217" s="13"/>
      <c r="H217" s="14"/>
      <c r="K217" s="9">
        <v>5</v>
      </c>
      <c r="L217" s="10" t="s">
        <v>23</v>
      </c>
      <c r="M217" s="11">
        <v>0</v>
      </c>
      <c r="N217" s="60" t="str">
        <f>IF(OR($E217="",$G217=""),"",IF(AND(K217=$E217,M217=$G217),Auxiliar!$C$11,IF(AND(SIGN($E217-$G217)=SIGN(K217-M217),MAX($E217,$G217)=MAX(K217,M217)),Auxiliar!$C$12,IF(ABS($E217-$G217)=ABS(K217-M217),Auxiliar!$C$13,IF(AND(SIGN($E217-$G217)=SIGN(K217-M217),MIN($E217,$G217)=MIN(K217,M217)),Auxiliar!$C$14,IF(SIGN($E217-$G217)=SIGN(K217-M217),Auxiliar!$C$15,IF(K217=M217,Auxiliar!$C$16,0)))))))</f>
        <v/>
      </c>
      <c r="P217" s="9">
        <v>0</v>
      </c>
      <c r="Q217" s="10" t="s">
        <v>23</v>
      </c>
      <c r="R217" s="11">
        <v>2</v>
      </c>
      <c r="S217" s="60" t="str">
        <f>IF(OR($E217="",$G217=""),"",IF(AND(P217=$E217,R217=$G217),Auxiliar!$C$11,IF(AND(SIGN($E217-$G217)=SIGN(P217-R217),MAX($E217,$G217)=MAX(P217,R217)),Auxiliar!$C$12,IF(ABS($E217-$G217)=ABS(P217-R217),Auxiliar!$C$13,IF(AND(SIGN($E217-$G217)=SIGN(P217-R217),MIN($E217,$G217)=MIN(P217,R217)),Auxiliar!$C$14,IF(SIGN($E217-$G217)=SIGN(P217-R217),Auxiliar!$C$15,IF(P217=R217,Auxiliar!$C$16,0)))))))</f>
        <v/>
      </c>
      <c r="U217" s="9">
        <v>3</v>
      </c>
      <c r="V217" s="10" t="s">
        <v>23</v>
      </c>
      <c r="W217" s="11">
        <v>1</v>
      </c>
      <c r="X217" s="60" t="str">
        <f>IF(OR($E217="",$G217=""),"",IF(AND(U217=$E217,W217=$G217),Auxiliar!$C$11,IF(AND(SIGN($E217-$G217)=SIGN(U217-W217),MAX($E217,$G217)=MAX(U217,W217)),Auxiliar!$C$12,IF(ABS($E217-$G217)=ABS(U217-W217),Auxiliar!$C$13,IF(AND(SIGN($E217-$G217)=SIGN(U217-W217),MIN($E217,$G217)=MIN(U217,W217)),Auxiliar!$C$14,IF(SIGN($E217-$G217)=SIGN(U217-W217),Auxiliar!$C$15,IF(U217=W217,Auxiliar!$C$16,0)))))))</f>
        <v/>
      </c>
      <c r="Z217" s="9">
        <v>3</v>
      </c>
      <c r="AA217" s="10" t="s">
        <v>23</v>
      </c>
      <c r="AB217" s="11">
        <v>5</v>
      </c>
      <c r="AC217" s="60" t="str">
        <f>IF(OR($E217="",$G217=""),"",IF(AND(Z217=$E217,AB217=$G217),Auxiliar!$C$11,IF(AND(SIGN($E217-$G217)=SIGN(Z217-AB217),MAX($E217,$G217)=MAX(Z217,AB217)),Auxiliar!$C$12,IF(ABS($E217-$G217)=ABS(Z217-AB217),Auxiliar!$C$13,IF(AND(SIGN($E217-$G217)=SIGN(Z217-AB217),MIN($E217,$G217)=MIN(Z217,AB217)),Auxiliar!$C$14,IF(SIGN($E217-$G217)=SIGN(Z217-AB217),Auxiliar!$C$15,IF(Z217=AB217,Auxiliar!$C$16,0)))))))</f>
        <v/>
      </c>
      <c r="AE217" s="9">
        <v>5</v>
      </c>
      <c r="AF217" s="10" t="s">
        <v>23</v>
      </c>
      <c r="AG217" s="11">
        <v>4</v>
      </c>
      <c r="AH217" s="60" t="str">
        <f>IF(OR($E217="",$G217=""),"",IF(AND(AE217=$E217,AG217=$G217),Auxiliar!$C$11,IF(AND(SIGN($E217-$G217)=SIGN(AE217-AG217),MAX($E217,$G217)=MAX(AE217,AG217)),Auxiliar!$C$12,IF(ABS($E217-$G217)=ABS(AE217-AG217),Auxiliar!$C$13,IF(AND(SIGN($E217-$G217)=SIGN(AE217-AG217),MIN($E217,$G217)=MIN(AE217,AG217)),Auxiliar!$C$14,IF(SIGN($E217-$G217)=SIGN(AE217-AG217),Auxiliar!$C$15,IF(AE217=AG217,Auxiliar!$C$16,0)))))))</f>
        <v/>
      </c>
    </row>
    <row r="218" spans="3:34" x14ac:dyDescent="0.25">
      <c r="C218" s="24">
        <f t="shared" si="2"/>
        <v>20</v>
      </c>
      <c r="D218" s="18"/>
      <c r="E218" s="13"/>
      <c r="F218" s="12" t="s">
        <v>23</v>
      </c>
      <c r="G218" s="13"/>
      <c r="H218" s="14"/>
      <c r="K218" s="9">
        <v>2</v>
      </c>
      <c r="L218" s="10" t="s">
        <v>23</v>
      </c>
      <c r="M218" s="11">
        <v>5</v>
      </c>
      <c r="N218" s="60" t="str">
        <f>IF(OR($E218="",$G218=""),"",IF(AND(K218=$E218,M218=$G218),Auxiliar!$C$11,IF(AND(SIGN($E218-$G218)=SIGN(K218-M218),MAX($E218,$G218)=MAX(K218,M218)),Auxiliar!$C$12,IF(ABS($E218-$G218)=ABS(K218-M218),Auxiliar!$C$13,IF(AND(SIGN($E218-$G218)=SIGN(K218-M218),MIN($E218,$G218)=MIN(K218,M218)),Auxiliar!$C$14,IF(SIGN($E218-$G218)=SIGN(K218-M218),Auxiliar!$C$15,IF(K218=M218,Auxiliar!$C$16,0)))))))</f>
        <v/>
      </c>
      <c r="P218" s="9">
        <v>5</v>
      </c>
      <c r="Q218" s="10" t="s">
        <v>23</v>
      </c>
      <c r="R218" s="11">
        <v>2</v>
      </c>
      <c r="S218" s="60" t="str">
        <f>IF(OR($E218="",$G218=""),"",IF(AND(P218=$E218,R218=$G218),Auxiliar!$C$11,IF(AND(SIGN($E218-$G218)=SIGN(P218-R218),MAX($E218,$G218)=MAX(P218,R218)),Auxiliar!$C$12,IF(ABS($E218-$G218)=ABS(P218-R218),Auxiliar!$C$13,IF(AND(SIGN($E218-$G218)=SIGN(P218-R218),MIN($E218,$G218)=MIN(P218,R218)),Auxiliar!$C$14,IF(SIGN($E218-$G218)=SIGN(P218-R218),Auxiliar!$C$15,IF(P218=R218,Auxiliar!$C$16,0)))))))</f>
        <v/>
      </c>
      <c r="U218" s="9">
        <v>3</v>
      </c>
      <c r="V218" s="10" t="s">
        <v>23</v>
      </c>
      <c r="W218" s="11">
        <v>4</v>
      </c>
      <c r="X218" s="60" t="str">
        <f>IF(OR($E218="",$G218=""),"",IF(AND(U218=$E218,W218=$G218),Auxiliar!$C$11,IF(AND(SIGN($E218-$G218)=SIGN(U218-W218),MAX($E218,$G218)=MAX(U218,W218)),Auxiliar!$C$12,IF(ABS($E218-$G218)=ABS(U218-W218),Auxiliar!$C$13,IF(AND(SIGN($E218-$G218)=SIGN(U218-W218),MIN($E218,$G218)=MIN(U218,W218)),Auxiliar!$C$14,IF(SIGN($E218-$G218)=SIGN(U218-W218),Auxiliar!$C$15,IF(U218=W218,Auxiliar!$C$16,0)))))))</f>
        <v/>
      </c>
      <c r="Z218" s="9">
        <v>1</v>
      </c>
      <c r="AA218" s="10" t="s">
        <v>23</v>
      </c>
      <c r="AB218" s="11">
        <v>2</v>
      </c>
      <c r="AC218" s="60" t="str">
        <f>IF(OR($E218="",$G218=""),"",IF(AND(Z218=$E218,AB218=$G218),Auxiliar!$C$11,IF(AND(SIGN($E218-$G218)=SIGN(Z218-AB218),MAX($E218,$G218)=MAX(Z218,AB218)),Auxiliar!$C$12,IF(ABS($E218-$G218)=ABS(Z218-AB218),Auxiliar!$C$13,IF(AND(SIGN($E218-$G218)=SIGN(Z218-AB218),MIN($E218,$G218)=MIN(Z218,AB218)),Auxiliar!$C$14,IF(SIGN($E218-$G218)=SIGN(Z218-AB218),Auxiliar!$C$15,IF(Z218=AB218,Auxiliar!$C$16,0)))))))</f>
        <v/>
      </c>
      <c r="AE218" s="9">
        <v>4</v>
      </c>
      <c r="AF218" s="10" t="s">
        <v>23</v>
      </c>
      <c r="AG218" s="11">
        <v>1</v>
      </c>
      <c r="AH218" s="60" t="str">
        <f>IF(OR($E218="",$G218=""),"",IF(AND(AE218=$E218,AG218=$G218),Auxiliar!$C$11,IF(AND(SIGN($E218-$G218)=SIGN(AE218-AG218),MAX($E218,$G218)=MAX(AE218,AG218)),Auxiliar!$C$12,IF(ABS($E218-$G218)=ABS(AE218-AG218),Auxiliar!$C$13,IF(AND(SIGN($E218-$G218)=SIGN(AE218-AG218),MIN($E218,$G218)=MIN(AE218,AG218)),Auxiliar!$C$14,IF(SIGN($E218-$G218)=SIGN(AE218-AG218),Auxiliar!$C$15,IF(AE218=AG218,Auxiliar!$C$16,0)))))))</f>
        <v/>
      </c>
    </row>
    <row r="219" spans="3:34" x14ac:dyDescent="0.25">
      <c r="C219" s="24">
        <f t="shared" si="2"/>
        <v>21</v>
      </c>
      <c r="D219" s="18"/>
      <c r="E219" s="13"/>
      <c r="F219" s="12" t="s">
        <v>23</v>
      </c>
      <c r="G219" s="13"/>
      <c r="H219" s="14"/>
      <c r="K219" s="9">
        <v>4</v>
      </c>
      <c r="L219" s="10" t="s">
        <v>23</v>
      </c>
      <c r="M219" s="11">
        <v>2</v>
      </c>
      <c r="N219" s="60" t="str">
        <f>IF(OR($E219="",$G219=""),"",IF(AND(K219=$E219,M219=$G219),Auxiliar!$C$11,IF(AND(SIGN($E219-$G219)=SIGN(K219-M219),MAX($E219,$G219)=MAX(K219,M219)),Auxiliar!$C$12,IF(ABS($E219-$G219)=ABS(K219-M219),Auxiliar!$C$13,IF(AND(SIGN($E219-$G219)=SIGN(K219-M219),MIN($E219,$G219)=MIN(K219,M219)),Auxiliar!$C$14,IF(SIGN($E219-$G219)=SIGN(K219-M219),Auxiliar!$C$15,IF(K219=M219,Auxiliar!$C$16,0)))))))</f>
        <v/>
      </c>
      <c r="P219" s="9">
        <v>1</v>
      </c>
      <c r="Q219" s="10" t="s">
        <v>23</v>
      </c>
      <c r="R219" s="11">
        <v>3</v>
      </c>
      <c r="S219" s="60" t="str">
        <f>IF(OR($E219="",$G219=""),"",IF(AND(P219=$E219,R219=$G219),Auxiliar!$C$11,IF(AND(SIGN($E219-$G219)=SIGN(P219-R219),MAX($E219,$G219)=MAX(P219,R219)),Auxiliar!$C$12,IF(ABS($E219-$G219)=ABS(P219-R219),Auxiliar!$C$13,IF(AND(SIGN($E219-$G219)=SIGN(P219-R219),MIN($E219,$G219)=MIN(P219,R219)),Auxiliar!$C$14,IF(SIGN($E219-$G219)=SIGN(P219-R219),Auxiliar!$C$15,IF(P219=R219,Auxiliar!$C$16,0)))))))</f>
        <v/>
      </c>
      <c r="U219" s="9">
        <v>3</v>
      </c>
      <c r="V219" s="10" t="s">
        <v>23</v>
      </c>
      <c r="W219" s="11">
        <v>2</v>
      </c>
      <c r="X219" s="60" t="str">
        <f>IF(OR($E219="",$G219=""),"",IF(AND(U219=$E219,W219=$G219),Auxiliar!$C$11,IF(AND(SIGN($E219-$G219)=SIGN(U219-W219),MAX($E219,$G219)=MAX(U219,W219)),Auxiliar!$C$12,IF(ABS($E219-$G219)=ABS(U219-W219),Auxiliar!$C$13,IF(AND(SIGN($E219-$G219)=SIGN(U219-W219),MIN($E219,$G219)=MIN(U219,W219)),Auxiliar!$C$14,IF(SIGN($E219-$G219)=SIGN(U219-W219),Auxiliar!$C$15,IF(U219=W219,Auxiliar!$C$16,0)))))))</f>
        <v/>
      </c>
      <c r="Z219" s="9">
        <v>0</v>
      </c>
      <c r="AA219" s="10" t="s">
        <v>23</v>
      </c>
      <c r="AB219" s="11">
        <v>2</v>
      </c>
      <c r="AC219" s="60" t="str">
        <f>IF(OR($E219="",$G219=""),"",IF(AND(Z219=$E219,AB219=$G219),Auxiliar!$C$11,IF(AND(SIGN($E219-$G219)=SIGN(Z219-AB219),MAX($E219,$G219)=MAX(Z219,AB219)),Auxiliar!$C$12,IF(ABS($E219-$G219)=ABS(Z219-AB219),Auxiliar!$C$13,IF(AND(SIGN($E219-$G219)=SIGN(Z219-AB219),MIN($E219,$G219)=MIN(Z219,AB219)),Auxiliar!$C$14,IF(SIGN($E219-$G219)=SIGN(Z219-AB219),Auxiliar!$C$15,IF(Z219=AB219,Auxiliar!$C$16,0)))))))</f>
        <v/>
      </c>
      <c r="AE219" s="9">
        <v>1</v>
      </c>
      <c r="AF219" s="10" t="s">
        <v>23</v>
      </c>
      <c r="AG219" s="11">
        <v>5</v>
      </c>
      <c r="AH219" s="60" t="str">
        <f>IF(OR($E219="",$G219=""),"",IF(AND(AE219=$E219,AG219=$G219),Auxiliar!$C$11,IF(AND(SIGN($E219-$G219)=SIGN(AE219-AG219),MAX($E219,$G219)=MAX(AE219,AG219)),Auxiliar!$C$12,IF(ABS($E219-$G219)=ABS(AE219-AG219),Auxiliar!$C$13,IF(AND(SIGN($E219-$G219)=SIGN(AE219-AG219),MIN($E219,$G219)=MIN(AE219,AG219)),Auxiliar!$C$14,IF(SIGN($E219-$G219)=SIGN(AE219-AG219),Auxiliar!$C$15,IF(AE219=AG219,Auxiliar!$C$16,0)))))))</f>
        <v/>
      </c>
    </row>
    <row r="220" spans="3:34" x14ac:dyDescent="0.25">
      <c r="C220" s="24">
        <f t="shared" si="2"/>
        <v>21</v>
      </c>
      <c r="D220" s="18"/>
      <c r="E220" s="13"/>
      <c r="F220" s="12" t="s">
        <v>23</v>
      </c>
      <c r="G220" s="13"/>
      <c r="H220" s="14"/>
      <c r="K220" s="9">
        <v>5</v>
      </c>
      <c r="L220" s="10" t="s">
        <v>23</v>
      </c>
      <c r="M220" s="11">
        <v>4</v>
      </c>
      <c r="N220" s="60" t="str">
        <f>IF(OR($E220="",$G220=""),"",IF(AND(K220=$E220,M220=$G220),Auxiliar!$C$11,IF(AND(SIGN($E220-$G220)=SIGN(K220-M220),MAX($E220,$G220)=MAX(K220,M220)),Auxiliar!$C$12,IF(ABS($E220-$G220)=ABS(K220-M220),Auxiliar!$C$13,IF(AND(SIGN($E220-$G220)=SIGN(K220-M220),MIN($E220,$G220)=MIN(K220,M220)),Auxiliar!$C$14,IF(SIGN($E220-$G220)=SIGN(K220-M220),Auxiliar!$C$15,IF(K220=M220,Auxiliar!$C$16,0)))))))</f>
        <v/>
      </c>
      <c r="P220" s="9">
        <v>2</v>
      </c>
      <c r="Q220" s="10" t="s">
        <v>23</v>
      </c>
      <c r="R220" s="11">
        <v>5</v>
      </c>
      <c r="S220" s="60" t="str">
        <f>IF(OR($E220="",$G220=""),"",IF(AND(P220=$E220,R220=$G220),Auxiliar!$C$11,IF(AND(SIGN($E220-$G220)=SIGN(P220-R220),MAX($E220,$G220)=MAX(P220,R220)),Auxiliar!$C$12,IF(ABS($E220-$G220)=ABS(P220-R220),Auxiliar!$C$13,IF(AND(SIGN($E220-$G220)=SIGN(P220-R220),MIN($E220,$G220)=MIN(P220,R220)),Auxiliar!$C$14,IF(SIGN($E220-$G220)=SIGN(P220-R220),Auxiliar!$C$15,IF(P220=R220,Auxiliar!$C$16,0)))))))</f>
        <v/>
      </c>
      <c r="U220" s="9">
        <v>2</v>
      </c>
      <c r="V220" s="10" t="s">
        <v>23</v>
      </c>
      <c r="W220" s="11">
        <v>3</v>
      </c>
      <c r="X220" s="60" t="str">
        <f>IF(OR($E220="",$G220=""),"",IF(AND(U220=$E220,W220=$G220),Auxiliar!$C$11,IF(AND(SIGN($E220-$G220)=SIGN(U220-W220),MAX($E220,$G220)=MAX(U220,W220)),Auxiliar!$C$12,IF(ABS($E220-$G220)=ABS(U220-W220),Auxiliar!$C$13,IF(AND(SIGN($E220-$G220)=SIGN(U220-W220),MIN($E220,$G220)=MIN(U220,W220)),Auxiliar!$C$14,IF(SIGN($E220-$G220)=SIGN(U220-W220),Auxiliar!$C$15,IF(U220=W220,Auxiliar!$C$16,0)))))))</f>
        <v/>
      </c>
      <c r="Z220" s="9">
        <v>0</v>
      </c>
      <c r="AA220" s="10" t="s">
        <v>23</v>
      </c>
      <c r="AB220" s="11">
        <v>2</v>
      </c>
      <c r="AC220" s="60" t="str">
        <f>IF(OR($E220="",$G220=""),"",IF(AND(Z220=$E220,AB220=$G220),Auxiliar!$C$11,IF(AND(SIGN($E220-$G220)=SIGN(Z220-AB220),MAX($E220,$G220)=MAX(Z220,AB220)),Auxiliar!$C$12,IF(ABS($E220-$G220)=ABS(Z220-AB220),Auxiliar!$C$13,IF(AND(SIGN($E220-$G220)=SIGN(Z220-AB220),MIN($E220,$G220)=MIN(Z220,AB220)),Auxiliar!$C$14,IF(SIGN($E220-$G220)=SIGN(Z220-AB220),Auxiliar!$C$15,IF(Z220=AB220,Auxiliar!$C$16,0)))))))</f>
        <v/>
      </c>
      <c r="AE220" s="9">
        <v>3</v>
      </c>
      <c r="AF220" s="10" t="s">
        <v>23</v>
      </c>
      <c r="AG220" s="11">
        <v>4</v>
      </c>
      <c r="AH220" s="60" t="str">
        <f>IF(OR($E220="",$G220=""),"",IF(AND(AE220=$E220,AG220=$G220),Auxiliar!$C$11,IF(AND(SIGN($E220-$G220)=SIGN(AE220-AG220),MAX($E220,$G220)=MAX(AE220,AG220)),Auxiliar!$C$12,IF(ABS($E220-$G220)=ABS(AE220-AG220),Auxiliar!$C$13,IF(AND(SIGN($E220-$G220)=SIGN(AE220-AG220),MIN($E220,$G220)=MIN(AE220,AG220)),Auxiliar!$C$14,IF(SIGN($E220-$G220)=SIGN(AE220-AG220),Auxiliar!$C$15,IF(AE220=AG220,Auxiliar!$C$16,0)))))))</f>
        <v/>
      </c>
    </row>
    <row r="221" spans="3:34" x14ac:dyDescent="0.25">
      <c r="C221" s="24">
        <f t="shared" si="2"/>
        <v>21</v>
      </c>
      <c r="D221" s="18"/>
      <c r="E221" s="13"/>
      <c r="F221" s="12" t="s">
        <v>23</v>
      </c>
      <c r="G221" s="13"/>
      <c r="H221" s="14"/>
      <c r="K221" s="9">
        <v>5</v>
      </c>
      <c r="L221" s="10" t="s">
        <v>23</v>
      </c>
      <c r="M221" s="11">
        <v>4</v>
      </c>
      <c r="N221" s="60" t="str">
        <f>IF(OR($E221="",$G221=""),"",IF(AND(K221=$E221,M221=$G221),Auxiliar!$C$11,IF(AND(SIGN($E221-$G221)=SIGN(K221-M221),MAX($E221,$G221)=MAX(K221,M221)),Auxiliar!$C$12,IF(ABS($E221-$G221)=ABS(K221-M221),Auxiliar!$C$13,IF(AND(SIGN($E221-$G221)=SIGN(K221-M221),MIN($E221,$G221)=MIN(K221,M221)),Auxiliar!$C$14,IF(SIGN($E221-$G221)=SIGN(K221-M221),Auxiliar!$C$15,IF(K221=M221,Auxiliar!$C$16,0)))))))</f>
        <v/>
      </c>
      <c r="P221" s="9">
        <v>5</v>
      </c>
      <c r="Q221" s="10" t="s">
        <v>23</v>
      </c>
      <c r="R221" s="11">
        <v>5</v>
      </c>
      <c r="S221" s="60" t="str">
        <f>IF(OR($E221="",$G221=""),"",IF(AND(P221=$E221,R221=$G221),Auxiliar!$C$11,IF(AND(SIGN($E221-$G221)=SIGN(P221-R221),MAX($E221,$G221)=MAX(P221,R221)),Auxiliar!$C$12,IF(ABS($E221-$G221)=ABS(P221-R221),Auxiliar!$C$13,IF(AND(SIGN($E221-$G221)=SIGN(P221-R221),MIN($E221,$G221)=MIN(P221,R221)),Auxiliar!$C$14,IF(SIGN($E221-$G221)=SIGN(P221-R221),Auxiliar!$C$15,IF(P221=R221,Auxiliar!$C$16,0)))))))</f>
        <v/>
      </c>
      <c r="U221" s="9">
        <v>2</v>
      </c>
      <c r="V221" s="10" t="s">
        <v>23</v>
      </c>
      <c r="W221" s="11">
        <v>2</v>
      </c>
      <c r="X221" s="60" t="str">
        <f>IF(OR($E221="",$G221=""),"",IF(AND(U221=$E221,W221=$G221),Auxiliar!$C$11,IF(AND(SIGN($E221-$G221)=SIGN(U221-W221),MAX($E221,$G221)=MAX(U221,W221)),Auxiliar!$C$12,IF(ABS($E221-$G221)=ABS(U221-W221),Auxiliar!$C$13,IF(AND(SIGN($E221-$G221)=SIGN(U221-W221),MIN($E221,$G221)=MIN(U221,W221)),Auxiliar!$C$14,IF(SIGN($E221-$G221)=SIGN(U221-W221),Auxiliar!$C$15,IF(U221=W221,Auxiliar!$C$16,0)))))))</f>
        <v/>
      </c>
      <c r="Z221" s="9">
        <v>4</v>
      </c>
      <c r="AA221" s="10" t="s">
        <v>23</v>
      </c>
      <c r="AB221" s="11">
        <v>1</v>
      </c>
      <c r="AC221" s="60" t="str">
        <f>IF(OR($E221="",$G221=""),"",IF(AND(Z221=$E221,AB221=$G221),Auxiliar!$C$11,IF(AND(SIGN($E221-$G221)=SIGN(Z221-AB221),MAX($E221,$G221)=MAX(Z221,AB221)),Auxiliar!$C$12,IF(ABS($E221-$G221)=ABS(Z221-AB221),Auxiliar!$C$13,IF(AND(SIGN($E221-$G221)=SIGN(Z221-AB221),MIN($E221,$G221)=MIN(Z221,AB221)),Auxiliar!$C$14,IF(SIGN($E221-$G221)=SIGN(Z221-AB221),Auxiliar!$C$15,IF(Z221=AB221,Auxiliar!$C$16,0)))))))</f>
        <v/>
      </c>
      <c r="AE221" s="9">
        <v>3</v>
      </c>
      <c r="AF221" s="10" t="s">
        <v>23</v>
      </c>
      <c r="AG221" s="11">
        <v>1</v>
      </c>
      <c r="AH221" s="60" t="str">
        <f>IF(OR($E221="",$G221=""),"",IF(AND(AE221=$E221,AG221=$G221),Auxiliar!$C$11,IF(AND(SIGN($E221-$G221)=SIGN(AE221-AG221),MAX($E221,$G221)=MAX(AE221,AG221)),Auxiliar!$C$12,IF(ABS($E221-$G221)=ABS(AE221-AG221),Auxiliar!$C$13,IF(AND(SIGN($E221-$G221)=SIGN(AE221-AG221),MIN($E221,$G221)=MIN(AE221,AG221)),Auxiliar!$C$14,IF(SIGN($E221-$G221)=SIGN(AE221-AG221),Auxiliar!$C$15,IF(AE221=AG221,Auxiliar!$C$16,0)))))))</f>
        <v/>
      </c>
    </row>
    <row r="222" spans="3:34" x14ac:dyDescent="0.25">
      <c r="C222" s="24">
        <f t="shared" ref="C222:C285" si="3">C212+1</f>
        <v>21</v>
      </c>
      <c r="D222" s="18"/>
      <c r="E222" s="13"/>
      <c r="F222" s="12" t="s">
        <v>23</v>
      </c>
      <c r="G222" s="13"/>
      <c r="H222" s="14"/>
      <c r="K222" s="9">
        <v>0</v>
      </c>
      <c r="L222" s="10" t="s">
        <v>23</v>
      </c>
      <c r="M222" s="11">
        <v>0</v>
      </c>
      <c r="N222" s="60" t="str">
        <f>IF(OR($E222="",$G222=""),"",IF(AND(K222=$E222,M222=$G222),Auxiliar!$C$11,IF(AND(SIGN($E222-$G222)=SIGN(K222-M222),MAX($E222,$G222)=MAX(K222,M222)),Auxiliar!$C$12,IF(ABS($E222-$G222)=ABS(K222-M222),Auxiliar!$C$13,IF(AND(SIGN($E222-$G222)=SIGN(K222-M222),MIN($E222,$G222)=MIN(K222,M222)),Auxiliar!$C$14,IF(SIGN($E222-$G222)=SIGN(K222-M222),Auxiliar!$C$15,IF(K222=M222,Auxiliar!$C$16,0)))))))</f>
        <v/>
      </c>
      <c r="P222" s="9">
        <v>2</v>
      </c>
      <c r="Q222" s="10" t="s">
        <v>23</v>
      </c>
      <c r="R222" s="11">
        <v>3</v>
      </c>
      <c r="S222" s="60" t="str">
        <f>IF(OR($E222="",$G222=""),"",IF(AND(P222=$E222,R222=$G222),Auxiliar!$C$11,IF(AND(SIGN($E222-$G222)=SIGN(P222-R222),MAX($E222,$G222)=MAX(P222,R222)),Auxiliar!$C$12,IF(ABS($E222-$G222)=ABS(P222-R222),Auxiliar!$C$13,IF(AND(SIGN($E222-$G222)=SIGN(P222-R222),MIN($E222,$G222)=MIN(P222,R222)),Auxiliar!$C$14,IF(SIGN($E222-$G222)=SIGN(P222-R222),Auxiliar!$C$15,IF(P222=R222,Auxiliar!$C$16,0)))))))</f>
        <v/>
      </c>
      <c r="U222" s="9">
        <v>2</v>
      </c>
      <c r="V222" s="10" t="s">
        <v>23</v>
      </c>
      <c r="W222" s="11">
        <v>4</v>
      </c>
      <c r="X222" s="60" t="str">
        <f>IF(OR($E222="",$G222=""),"",IF(AND(U222=$E222,W222=$G222),Auxiliar!$C$11,IF(AND(SIGN($E222-$G222)=SIGN(U222-W222),MAX($E222,$G222)=MAX(U222,W222)),Auxiliar!$C$12,IF(ABS($E222-$G222)=ABS(U222-W222),Auxiliar!$C$13,IF(AND(SIGN($E222-$G222)=SIGN(U222-W222),MIN($E222,$G222)=MIN(U222,W222)),Auxiliar!$C$14,IF(SIGN($E222-$G222)=SIGN(U222-W222),Auxiliar!$C$15,IF(U222=W222,Auxiliar!$C$16,0)))))))</f>
        <v/>
      </c>
      <c r="Z222" s="9">
        <v>2</v>
      </c>
      <c r="AA222" s="10" t="s">
        <v>23</v>
      </c>
      <c r="AB222" s="11">
        <v>2</v>
      </c>
      <c r="AC222" s="60" t="str">
        <f>IF(OR($E222="",$G222=""),"",IF(AND(Z222=$E222,AB222=$G222),Auxiliar!$C$11,IF(AND(SIGN($E222-$G222)=SIGN(Z222-AB222),MAX($E222,$G222)=MAX(Z222,AB222)),Auxiliar!$C$12,IF(ABS($E222-$G222)=ABS(Z222-AB222),Auxiliar!$C$13,IF(AND(SIGN($E222-$G222)=SIGN(Z222-AB222),MIN($E222,$G222)=MIN(Z222,AB222)),Auxiliar!$C$14,IF(SIGN($E222-$G222)=SIGN(Z222-AB222),Auxiliar!$C$15,IF(Z222=AB222,Auxiliar!$C$16,0)))))))</f>
        <v/>
      </c>
      <c r="AE222" s="9">
        <v>5</v>
      </c>
      <c r="AF222" s="10" t="s">
        <v>23</v>
      </c>
      <c r="AG222" s="11">
        <v>4</v>
      </c>
      <c r="AH222" s="60" t="str">
        <f>IF(OR($E222="",$G222=""),"",IF(AND(AE222=$E222,AG222=$G222),Auxiliar!$C$11,IF(AND(SIGN($E222-$G222)=SIGN(AE222-AG222),MAX($E222,$G222)=MAX(AE222,AG222)),Auxiliar!$C$12,IF(ABS($E222-$G222)=ABS(AE222-AG222),Auxiliar!$C$13,IF(AND(SIGN($E222-$G222)=SIGN(AE222-AG222),MIN($E222,$G222)=MIN(AE222,AG222)),Auxiliar!$C$14,IF(SIGN($E222-$G222)=SIGN(AE222-AG222),Auxiliar!$C$15,IF(AE222=AG222,Auxiliar!$C$16,0)))))))</f>
        <v/>
      </c>
    </row>
    <row r="223" spans="3:34" x14ac:dyDescent="0.25">
      <c r="C223" s="24">
        <f t="shared" si="3"/>
        <v>21</v>
      </c>
      <c r="D223" s="18"/>
      <c r="E223" s="13"/>
      <c r="F223" s="12" t="s">
        <v>23</v>
      </c>
      <c r="G223" s="13"/>
      <c r="H223" s="14"/>
      <c r="K223" s="9">
        <v>4</v>
      </c>
      <c r="L223" s="10" t="s">
        <v>23</v>
      </c>
      <c r="M223" s="11">
        <v>3</v>
      </c>
      <c r="N223" s="60" t="str">
        <f>IF(OR($E223="",$G223=""),"",IF(AND(K223=$E223,M223=$G223),Auxiliar!$C$11,IF(AND(SIGN($E223-$G223)=SIGN(K223-M223),MAX($E223,$G223)=MAX(K223,M223)),Auxiliar!$C$12,IF(ABS($E223-$G223)=ABS(K223-M223),Auxiliar!$C$13,IF(AND(SIGN($E223-$G223)=SIGN(K223-M223),MIN($E223,$G223)=MIN(K223,M223)),Auxiliar!$C$14,IF(SIGN($E223-$G223)=SIGN(K223-M223),Auxiliar!$C$15,IF(K223=M223,Auxiliar!$C$16,0)))))))</f>
        <v/>
      </c>
      <c r="P223" s="9">
        <v>4</v>
      </c>
      <c r="Q223" s="10" t="s">
        <v>23</v>
      </c>
      <c r="R223" s="11">
        <v>2</v>
      </c>
      <c r="S223" s="60" t="str">
        <f>IF(OR($E223="",$G223=""),"",IF(AND(P223=$E223,R223=$G223),Auxiliar!$C$11,IF(AND(SIGN($E223-$G223)=SIGN(P223-R223),MAX($E223,$G223)=MAX(P223,R223)),Auxiliar!$C$12,IF(ABS($E223-$G223)=ABS(P223-R223),Auxiliar!$C$13,IF(AND(SIGN($E223-$G223)=SIGN(P223-R223),MIN($E223,$G223)=MIN(P223,R223)),Auxiliar!$C$14,IF(SIGN($E223-$G223)=SIGN(P223-R223),Auxiliar!$C$15,IF(P223=R223,Auxiliar!$C$16,0)))))))</f>
        <v/>
      </c>
      <c r="U223" s="9">
        <v>4</v>
      </c>
      <c r="V223" s="10" t="s">
        <v>23</v>
      </c>
      <c r="W223" s="11">
        <v>3</v>
      </c>
      <c r="X223" s="60" t="str">
        <f>IF(OR($E223="",$G223=""),"",IF(AND(U223=$E223,W223=$G223),Auxiliar!$C$11,IF(AND(SIGN($E223-$G223)=SIGN(U223-W223),MAX($E223,$G223)=MAX(U223,W223)),Auxiliar!$C$12,IF(ABS($E223-$G223)=ABS(U223-W223),Auxiliar!$C$13,IF(AND(SIGN($E223-$G223)=SIGN(U223-W223),MIN($E223,$G223)=MIN(U223,W223)),Auxiliar!$C$14,IF(SIGN($E223-$G223)=SIGN(U223-W223),Auxiliar!$C$15,IF(U223=W223,Auxiliar!$C$16,0)))))))</f>
        <v/>
      </c>
      <c r="Z223" s="9">
        <v>1</v>
      </c>
      <c r="AA223" s="10" t="s">
        <v>23</v>
      </c>
      <c r="AB223" s="11">
        <v>5</v>
      </c>
      <c r="AC223" s="60" t="str">
        <f>IF(OR($E223="",$G223=""),"",IF(AND(Z223=$E223,AB223=$G223),Auxiliar!$C$11,IF(AND(SIGN($E223-$G223)=SIGN(Z223-AB223),MAX($E223,$G223)=MAX(Z223,AB223)),Auxiliar!$C$12,IF(ABS($E223-$G223)=ABS(Z223-AB223),Auxiliar!$C$13,IF(AND(SIGN($E223-$G223)=SIGN(Z223-AB223),MIN($E223,$G223)=MIN(Z223,AB223)),Auxiliar!$C$14,IF(SIGN($E223-$G223)=SIGN(Z223-AB223),Auxiliar!$C$15,IF(Z223=AB223,Auxiliar!$C$16,0)))))))</f>
        <v/>
      </c>
      <c r="AE223" s="9">
        <v>4</v>
      </c>
      <c r="AF223" s="10" t="s">
        <v>23</v>
      </c>
      <c r="AG223" s="11">
        <v>2</v>
      </c>
      <c r="AH223" s="60" t="str">
        <f>IF(OR($E223="",$G223=""),"",IF(AND(AE223=$E223,AG223=$G223),Auxiliar!$C$11,IF(AND(SIGN($E223-$G223)=SIGN(AE223-AG223),MAX($E223,$G223)=MAX(AE223,AG223)),Auxiliar!$C$12,IF(ABS($E223-$G223)=ABS(AE223-AG223),Auxiliar!$C$13,IF(AND(SIGN($E223-$G223)=SIGN(AE223-AG223),MIN($E223,$G223)=MIN(AE223,AG223)),Auxiliar!$C$14,IF(SIGN($E223-$G223)=SIGN(AE223-AG223),Auxiliar!$C$15,IF(AE223=AG223,Auxiliar!$C$16,0)))))))</f>
        <v/>
      </c>
    </row>
    <row r="224" spans="3:34" x14ac:dyDescent="0.25">
      <c r="C224" s="24">
        <f t="shared" si="3"/>
        <v>21</v>
      </c>
      <c r="D224" s="18"/>
      <c r="E224" s="13"/>
      <c r="F224" s="12" t="s">
        <v>23</v>
      </c>
      <c r="G224" s="13"/>
      <c r="H224" s="14"/>
      <c r="K224" s="9">
        <v>0</v>
      </c>
      <c r="L224" s="10" t="s">
        <v>23</v>
      </c>
      <c r="M224" s="11">
        <v>1</v>
      </c>
      <c r="N224" s="60" t="str">
        <f>IF(OR($E224="",$G224=""),"",IF(AND(K224=$E224,M224=$G224),Auxiliar!$C$11,IF(AND(SIGN($E224-$G224)=SIGN(K224-M224),MAX($E224,$G224)=MAX(K224,M224)),Auxiliar!$C$12,IF(ABS($E224-$G224)=ABS(K224-M224),Auxiliar!$C$13,IF(AND(SIGN($E224-$G224)=SIGN(K224-M224),MIN($E224,$G224)=MIN(K224,M224)),Auxiliar!$C$14,IF(SIGN($E224-$G224)=SIGN(K224-M224),Auxiliar!$C$15,IF(K224=M224,Auxiliar!$C$16,0)))))))</f>
        <v/>
      </c>
      <c r="P224" s="9">
        <v>5</v>
      </c>
      <c r="Q224" s="10" t="s">
        <v>23</v>
      </c>
      <c r="R224" s="11">
        <v>4</v>
      </c>
      <c r="S224" s="60" t="str">
        <f>IF(OR($E224="",$G224=""),"",IF(AND(P224=$E224,R224=$G224),Auxiliar!$C$11,IF(AND(SIGN($E224-$G224)=SIGN(P224-R224),MAX($E224,$G224)=MAX(P224,R224)),Auxiliar!$C$12,IF(ABS($E224-$G224)=ABS(P224-R224),Auxiliar!$C$13,IF(AND(SIGN($E224-$G224)=SIGN(P224-R224),MIN($E224,$G224)=MIN(P224,R224)),Auxiliar!$C$14,IF(SIGN($E224-$G224)=SIGN(P224-R224),Auxiliar!$C$15,IF(P224=R224,Auxiliar!$C$16,0)))))))</f>
        <v/>
      </c>
      <c r="U224" s="9">
        <v>1</v>
      </c>
      <c r="V224" s="10" t="s">
        <v>23</v>
      </c>
      <c r="W224" s="11">
        <v>5</v>
      </c>
      <c r="X224" s="60" t="str">
        <f>IF(OR($E224="",$G224=""),"",IF(AND(U224=$E224,W224=$G224),Auxiliar!$C$11,IF(AND(SIGN($E224-$G224)=SIGN(U224-W224),MAX($E224,$G224)=MAX(U224,W224)),Auxiliar!$C$12,IF(ABS($E224-$G224)=ABS(U224-W224),Auxiliar!$C$13,IF(AND(SIGN($E224-$G224)=SIGN(U224-W224),MIN($E224,$G224)=MIN(U224,W224)),Auxiliar!$C$14,IF(SIGN($E224-$G224)=SIGN(U224-W224),Auxiliar!$C$15,IF(U224=W224,Auxiliar!$C$16,0)))))))</f>
        <v/>
      </c>
      <c r="Z224" s="9">
        <v>2</v>
      </c>
      <c r="AA224" s="10" t="s">
        <v>23</v>
      </c>
      <c r="AB224" s="11">
        <v>4</v>
      </c>
      <c r="AC224" s="60" t="str">
        <f>IF(OR($E224="",$G224=""),"",IF(AND(Z224=$E224,AB224=$G224),Auxiliar!$C$11,IF(AND(SIGN($E224-$G224)=SIGN(Z224-AB224),MAX($E224,$G224)=MAX(Z224,AB224)),Auxiliar!$C$12,IF(ABS($E224-$G224)=ABS(Z224-AB224),Auxiliar!$C$13,IF(AND(SIGN($E224-$G224)=SIGN(Z224-AB224),MIN($E224,$G224)=MIN(Z224,AB224)),Auxiliar!$C$14,IF(SIGN($E224-$G224)=SIGN(Z224-AB224),Auxiliar!$C$15,IF(Z224=AB224,Auxiliar!$C$16,0)))))))</f>
        <v/>
      </c>
      <c r="AE224" s="9">
        <v>4</v>
      </c>
      <c r="AF224" s="10" t="s">
        <v>23</v>
      </c>
      <c r="AG224" s="11">
        <v>5</v>
      </c>
      <c r="AH224" s="60" t="str">
        <f>IF(OR($E224="",$G224=""),"",IF(AND(AE224=$E224,AG224=$G224),Auxiliar!$C$11,IF(AND(SIGN($E224-$G224)=SIGN(AE224-AG224),MAX($E224,$G224)=MAX(AE224,AG224)),Auxiliar!$C$12,IF(ABS($E224-$G224)=ABS(AE224-AG224),Auxiliar!$C$13,IF(AND(SIGN($E224-$G224)=SIGN(AE224-AG224),MIN($E224,$G224)=MIN(AE224,AG224)),Auxiliar!$C$14,IF(SIGN($E224-$G224)=SIGN(AE224-AG224),Auxiliar!$C$15,IF(AE224=AG224,Auxiliar!$C$16,0)))))))</f>
        <v/>
      </c>
    </row>
    <row r="225" spans="3:34" x14ac:dyDescent="0.25">
      <c r="C225" s="24">
        <f t="shared" si="3"/>
        <v>21</v>
      </c>
      <c r="D225" s="18"/>
      <c r="E225" s="13"/>
      <c r="F225" s="12" t="s">
        <v>23</v>
      </c>
      <c r="G225" s="13"/>
      <c r="H225" s="14"/>
      <c r="K225" s="9">
        <v>1</v>
      </c>
      <c r="L225" s="10" t="s">
        <v>23</v>
      </c>
      <c r="M225" s="11">
        <v>0</v>
      </c>
      <c r="N225" s="60" t="str">
        <f>IF(OR($E225="",$G225=""),"",IF(AND(K225=$E225,M225=$G225),Auxiliar!$C$11,IF(AND(SIGN($E225-$G225)=SIGN(K225-M225),MAX($E225,$G225)=MAX(K225,M225)),Auxiliar!$C$12,IF(ABS($E225-$G225)=ABS(K225-M225),Auxiliar!$C$13,IF(AND(SIGN($E225-$G225)=SIGN(K225-M225),MIN($E225,$G225)=MIN(K225,M225)),Auxiliar!$C$14,IF(SIGN($E225-$G225)=SIGN(K225-M225),Auxiliar!$C$15,IF(K225=M225,Auxiliar!$C$16,0)))))))</f>
        <v/>
      </c>
      <c r="P225" s="9">
        <v>2</v>
      </c>
      <c r="Q225" s="10" t="s">
        <v>23</v>
      </c>
      <c r="R225" s="11">
        <v>0</v>
      </c>
      <c r="S225" s="60" t="str">
        <f>IF(OR($E225="",$G225=""),"",IF(AND(P225=$E225,R225=$G225),Auxiliar!$C$11,IF(AND(SIGN($E225-$G225)=SIGN(P225-R225),MAX($E225,$G225)=MAX(P225,R225)),Auxiliar!$C$12,IF(ABS($E225-$G225)=ABS(P225-R225),Auxiliar!$C$13,IF(AND(SIGN($E225-$G225)=SIGN(P225-R225),MIN($E225,$G225)=MIN(P225,R225)),Auxiliar!$C$14,IF(SIGN($E225-$G225)=SIGN(P225-R225),Auxiliar!$C$15,IF(P225=R225,Auxiliar!$C$16,0)))))))</f>
        <v/>
      </c>
      <c r="U225" s="9">
        <v>2</v>
      </c>
      <c r="V225" s="10" t="s">
        <v>23</v>
      </c>
      <c r="W225" s="11">
        <v>2</v>
      </c>
      <c r="X225" s="60" t="str">
        <f>IF(OR($E225="",$G225=""),"",IF(AND(U225=$E225,W225=$G225),Auxiliar!$C$11,IF(AND(SIGN($E225-$G225)=SIGN(U225-W225),MAX($E225,$G225)=MAX(U225,W225)),Auxiliar!$C$12,IF(ABS($E225-$G225)=ABS(U225-W225),Auxiliar!$C$13,IF(AND(SIGN($E225-$G225)=SIGN(U225-W225),MIN($E225,$G225)=MIN(U225,W225)),Auxiliar!$C$14,IF(SIGN($E225-$G225)=SIGN(U225-W225),Auxiliar!$C$15,IF(U225=W225,Auxiliar!$C$16,0)))))))</f>
        <v/>
      </c>
      <c r="Z225" s="9">
        <v>0</v>
      </c>
      <c r="AA225" s="10" t="s">
        <v>23</v>
      </c>
      <c r="AB225" s="11">
        <v>4</v>
      </c>
      <c r="AC225" s="60" t="str">
        <f>IF(OR($E225="",$G225=""),"",IF(AND(Z225=$E225,AB225=$G225),Auxiliar!$C$11,IF(AND(SIGN($E225-$G225)=SIGN(Z225-AB225),MAX($E225,$G225)=MAX(Z225,AB225)),Auxiliar!$C$12,IF(ABS($E225-$G225)=ABS(Z225-AB225),Auxiliar!$C$13,IF(AND(SIGN($E225-$G225)=SIGN(Z225-AB225),MIN($E225,$G225)=MIN(Z225,AB225)),Auxiliar!$C$14,IF(SIGN($E225-$G225)=SIGN(Z225-AB225),Auxiliar!$C$15,IF(Z225=AB225,Auxiliar!$C$16,0)))))))</f>
        <v/>
      </c>
      <c r="AE225" s="9">
        <v>2</v>
      </c>
      <c r="AF225" s="10" t="s">
        <v>23</v>
      </c>
      <c r="AG225" s="11">
        <v>1</v>
      </c>
      <c r="AH225" s="60" t="str">
        <f>IF(OR($E225="",$G225=""),"",IF(AND(AE225=$E225,AG225=$G225),Auxiliar!$C$11,IF(AND(SIGN($E225-$G225)=SIGN(AE225-AG225),MAX($E225,$G225)=MAX(AE225,AG225)),Auxiliar!$C$12,IF(ABS($E225-$G225)=ABS(AE225-AG225),Auxiliar!$C$13,IF(AND(SIGN($E225-$G225)=SIGN(AE225-AG225),MIN($E225,$G225)=MIN(AE225,AG225)),Auxiliar!$C$14,IF(SIGN($E225-$G225)=SIGN(AE225-AG225),Auxiliar!$C$15,IF(AE225=AG225,Auxiliar!$C$16,0)))))))</f>
        <v/>
      </c>
    </row>
    <row r="226" spans="3:34" x14ac:dyDescent="0.25">
      <c r="C226" s="24">
        <f t="shared" si="3"/>
        <v>21</v>
      </c>
      <c r="D226" s="18"/>
      <c r="E226" s="13"/>
      <c r="F226" s="12" t="s">
        <v>23</v>
      </c>
      <c r="G226" s="13"/>
      <c r="H226" s="14"/>
      <c r="K226" s="9">
        <v>0</v>
      </c>
      <c r="L226" s="10" t="s">
        <v>23</v>
      </c>
      <c r="M226" s="11">
        <v>0</v>
      </c>
      <c r="N226" s="60" t="str">
        <f>IF(OR($E226="",$G226=""),"",IF(AND(K226=$E226,M226=$G226),Auxiliar!$C$11,IF(AND(SIGN($E226-$G226)=SIGN(K226-M226),MAX($E226,$G226)=MAX(K226,M226)),Auxiliar!$C$12,IF(ABS($E226-$G226)=ABS(K226-M226),Auxiliar!$C$13,IF(AND(SIGN($E226-$G226)=SIGN(K226-M226),MIN($E226,$G226)=MIN(K226,M226)),Auxiliar!$C$14,IF(SIGN($E226-$G226)=SIGN(K226-M226),Auxiliar!$C$15,IF(K226=M226,Auxiliar!$C$16,0)))))))</f>
        <v/>
      </c>
      <c r="P226" s="9">
        <v>5</v>
      </c>
      <c r="Q226" s="10" t="s">
        <v>23</v>
      </c>
      <c r="R226" s="11">
        <v>3</v>
      </c>
      <c r="S226" s="60" t="str">
        <f>IF(OR($E226="",$G226=""),"",IF(AND(P226=$E226,R226=$G226),Auxiliar!$C$11,IF(AND(SIGN($E226-$G226)=SIGN(P226-R226),MAX($E226,$G226)=MAX(P226,R226)),Auxiliar!$C$12,IF(ABS($E226-$G226)=ABS(P226-R226),Auxiliar!$C$13,IF(AND(SIGN($E226-$G226)=SIGN(P226-R226),MIN($E226,$G226)=MIN(P226,R226)),Auxiliar!$C$14,IF(SIGN($E226-$G226)=SIGN(P226-R226),Auxiliar!$C$15,IF(P226=R226,Auxiliar!$C$16,0)))))))</f>
        <v/>
      </c>
      <c r="U226" s="9">
        <v>2</v>
      </c>
      <c r="V226" s="10" t="s">
        <v>23</v>
      </c>
      <c r="W226" s="11">
        <v>3</v>
      </c>
      <c r="X226" s="60" t="str">
        <f>IF(OR($E226="",$G226=""),"",IF(AND(U226=$E226,W226=$G226),Auxiliar!$C$11,IF(AND(SIGN($E226-$G226)=SIGN(U226-W226),MAX($E226,$G226)=MAX(U226,W226)),Auxiliar!$C$12,IF(ABS($E226-$G226)=ABS(U226-W226),Auxiliar!$C$13,IF(AND(SIGN($E226-$G226)=SIGN(U226-W226),MIN($E226,$G226)=MIN(U226,W226)),Auxiliar!$C$14,IF(SIGN($E226-$G226)=SIGN(U226-W226),Auxiliar!$C$15,IF(U226=W226,Auxiliar!$C$16,0)))))))</f>
        <v/>
      </c>
      <c r="Z226" s="9">
        <v>1</v>
      </c>
      <c r="AA226" s="10" t="s">
        <v>23</v>
      </c>
      <c r="AB226" s="11">
        <v>0</v>
      </c>
      <c r="AC226" s="60" t="str">
        <f>IF(OR($E226="",$G226=""),"",IF(AND(Z226=$E226,AB226=$G226),Auxiliar!$C$11,IF(AND(SIGN($E226-$G226)=SIGN(Z226-AB226),MAX($E226,$G226)=MAX(Z226,AB226)),Auxiliar!$C$12,IF(ABS($E226-$G226)=ABS(Z226-AB226),Auxiliar!$C$13,IF(AND(SIGN($E226-$G226)=SIGN(Z226-AB226),MIN($E226,$G226)=MIN(Z226,AB226)),Auxiliar!$C$14,IF(SIGN($E226-$G226)=SIGN(Z226-AB226),Auxiliar!$C$15,IF(Z226=AB226,Auxiliar!$C$16,0)))))))</f>
        <v/>
      </c>
      <c r="AE226" s="9">
        <v>2</v>
      </c>
      <c r="AF226" s="10" t="s">
        <v>23</v>
      </c>
      <c r="AG226" s="11">
        <v>4</v>
      </c>
      <c r="AH226" s="60" t="str">
        <f>IF(OR($E226="",$G226=""),"",IF(AND(AE226=$E226,AG226=$G226),Auxiliar!$C$11,IF(AND(SIGN($E226-$G226)=SIGN(AE226-AG226),MAX($E226,$G226)=MAX(AE226,AG226)),Auxiliar!$C$12,IF(ABS($E226-$G226)=ABS(AE226-AG226),Auxiliar!$C$13,IF(AND(SIGN($E226-$G226)=SIGN(AE226-AG226),MIN($E226,$G226)=MIN(AE226,AG226)),Auxiliar!$C$14,IF(SIGN($E226-$G226)=SIGN(AE226-AG226),Auxiliar!$C$15,IF(AE226=AG226,Auxiliar!$C$16,0)))))))</f>
        <v/>
      </c>
    </row>
    <row r="227" spans="3:34" x14ac:dyDescent="0.25">
      <c r="C227" s="24">
        <f t="shared" si="3"/>
        <v>21</v>
      </c>
      <c r="D227" s="18"/>
      <c r="E227" s="13"/>
      <c r="F227" s="12" t="s">
        <v>23</v>
      </c>
      <c r="G227" s="13"/>
      <c r="H227" s="14"/>
      <c r="K227" s="9">
        <v>4</v>
      </c>
      <c r="L227" s="10" t="s">
        <v>23</v>
      </c>
      <c r="M227" s="11">
        <v>0</v>
      </c>
      <c r="N227" s="60" t="str">
        <f>IF(OR($E227="",$G227=""),"",IF(AND(K227=$E227,M227=$G227),Auxiliar!$C$11,IF(AND(SIGN($E227-$G227)=SIGN(K227-M227),MAX($E227,$G227)=MAX(K227,M227)),Auxiliar!$C$12,IF(ABS($E227-$G227)=ABS(K227-M227),Auxiliar!$C$13,IF(AND(SIGN($E227-$G227)=SIGN(K227-M227),MIN($E227,$G227)=MIN(K227,M227)),Auxiliar!$C$14,IF(SIGN($E227-$G227)=SIGN(K227-M227),Auxiliar!$C$15,IF(K227=M227,Auxiliar!$C$16,0)))))))</f>
        <v/>
      </c>
      <c r="P227" s="9">
        <v>4</v>
      </c>
      <c r="Q227" s="10" t="s">
        <v>23</v>
      </c>
      <c r="R227" s="11">
        <v>3</v>
      </c>
      <c r="S227" s="60" t="str">
        <f>IF(OR($E227="",$G227=""),"",IF(AND(P227=$E227,R227=$G227),Auxiliar!$C$11,IF(AND(SIGN($E227-$G227)=SIGN(P227-R227),MAX($E227,$G227)=MAX(P227,R227)),Auxiliar!$C$12,IF(ABS($E227-$G227)=ABS(P227-R227),Auxiliar!$C$13,IF(AND(SIGN($E227-$G227)=SIGN(P227-R227),MIN($E227,$G227)=MIN(P227,R227)),Auxiliar!$C$14,IF(SIGN($E227-$G227)=SIGN(P227-R227),Auxiliar!$C$15,IF(P227=R227,Auxiliar!$C$16,0)))))))</f>
        <v/>
      </c>
      <c r="U227" s="9">
        <v>1</v>
      </c>
      <c r="V227" s="10" t="s">
        <v>23</v>
      </c>
      <c r="W227" s="11">
        <v>0</v>
      </c>
      <c r="X227" s="60" t="str">
        <f>IF(OR($E227="",$G227=""),"",IF(AND(U227=$E227,W227=$G227),Auxiliar!$C$11,IF(AND(SIGN($E227-$G227)=SIGN(U227-W227),MAX($E227,$G227)=MAX(U227,W227)),Auxiliar!$C$12,IF(ABS($E227-$G227)=ABS(U227-W227),Auxiliar!$C$13,IF(AND(SIGN($E227-$G227)=SIGN(U227-W227),MIN($E227,$G227)=MIN(U227,W227)),Auxiliar!$C$14,IF(SIGN($E227-$G227)=SIGN(U227-W227),Auxiliar!$C$15,IF(U227=W227,Auxiliar!$C$16,0)))))))</f>
        <v/>
      </c>
      <c r="Z227" s="9">
        <v>4</v>
      </c>
      <c r="AA227" s="10" t="s">
        <v>23</v>
      </c>
      <c r="AB227" s="11">
        <v>0</v>
      </c>
      <c r="AC227" s="60" t="str">
        <f>IF(OR($E227="",$G227=""),"",IF(AND(Z227=$E227,AB227=$G227),Auxiliar!$C$11,IF(AND(SIGN($E227-$G227)=SIGN(Z227-AB227),MAX($E227,$G227)=MAX(Z227,AB227)),Auxiliar!$C$12,IF(ABS($E227-$G227)=ABS(Z227-AB227),Auxiliar!$C$13,IF(AND(SIGN($E227-$G227)=SIGN(Z227-AB227),MIN($E227,$G227)=MIN(Z227,AB227)),Auxiliar!$C$14,IF(SIGN($E227-$G227)=SIGN(Z227-AB227),Auxiliar!$C$15,IF(Z227=AB227,Auxiliar!$C$16,0)))))))</f>
        <v/>
      </c>
      <c r="AE227" s="9">
        <v>1</v>
      </c>
      <c r="AF227" s="10" t="s">
        <v>23</v>
      </c>
      <c r="AG227" s="11">
        <v>2</v>
      </c>
      <c r="AH227" s="60" t="str">
        <f>IF(OR($E227="",$G227=""),"",IF(AND(AE227=$E227,AG227=$G227),Auxiliar!$C$11,IF(AND(SIGN($E227-$G227)=SIGN(AE227-AG227),MAX($E227,$G227)=MAX(AE227,AG227)),Auxiliar!$C$12,IF(ABS($E227-$G227)=ABS(AE227-AG227),Auxiliar!$C$13,IF(AND(SIGN($E227-$G227)=SIGN(AE227-AG227),MIN($E227,$G227)=MIN(AE227,AG227)),Auxiliar!$C$14,IF(SIGN($E227-$G227)=SIGN(AE227-AG227),Auxiliar!$C$15,IF(AE227=AG227,Auxiliar!$C$16,0)))))))</f>
        <v/>
      </c>
    </row>
    <row r="228" spans="3:34" x14ac:dyDescent="0.25">
      <c r="C228" s="24">
        <f t="shared" si="3"/>
        <v>21</v>
      </c>
      <c r="D228" s="18"/>
      <c r="E228" s="13"/>
      <c r="F228" s="12" t="s">
        <v>23</v>
      </c>
      <c r="G228" s="13"/>
      <c r="H228" s="14"/>
      <c r="K228" s="9">
        <v>0</v>
      </c>
      <c r="L228" s="10" t="s">
        <v>23</v>
      </c>
      <c r="M228" s="11">
        <v>2</v>
      </c>
      <c r="N228" s="60" t="str">
        <f>IF(OR($E228="",$G228=""),"",IF(AND(K228=$E228,M228=$G228),Auxiliar!$C$11,IF(AND(SIGN($E228-$G228)=SIGN(K228-M228),MAX($E228,$G228)=MAX(K228,M228)),Auxiliar!$C$12,IF(ABS($E228-$G228)=ABS(K228-M228),Auxiliar!$C$13,IF(AND(SIGN($E228-$G228)=SIGN(K228-M228),MIN($E228,$G228)=MIN(K228,M228)),Auxiliar!$C$14,IF(SIGN($E228-$G228)=SIGN(K228-M228),Auxiliar!$C$15,IF(K228=M228,Auxiliar!$C$16,0)))))))</f>
        <v/>
      </c>
      <c r="P228" s="9">
        <v>1</v>
      </c>
      <c r="Q228" s="10" t="s">
        <v>23</v>
      </c>
      <c r="R228" s="11">
        <v>4</v>
      </c>
      <c r="S228" s="60" t="str">
        <f>IF(OR($E228="",$G228=""),"",IF(AND(P228=$E228,R228=$G228),Auxiliar!$C$11,IF(AND(SIGN($E228-$G228)=SIGN(P228-R228),MAX($E228,$G228)=MAX(P228,R228)),Auxiliar!$C$12,IF(ABS($E228-$G228)=ABS(P228-R228),Auxiliar!$C$13,IF(AND(SIGN($E228-$G228)=SIGN(P228-R228),MIN($E228,$G228)=MIN(P228,R228)),Auxiliar!$C$14,IF(SIGN($E228-$G228)=SIGN(P228-R228),Auxiliar!$C$15,IF(P228=R228,Auxiliar!$C$16,0)))))))</f>
        <v/>
      </c>
      <c r="U228" s="9">
        <v>0</v>
      </c>
      <c r="V228" s="10" t="s">
        <v>23</v>
      </c>
      <c r="W228" s="11">
        <v>5</v>
      </c>
      <c r="X228" s="60" t="str">
        <f>IF(OR($E228="",$G228=""),"",IF(AND(U228=$E228,W228=$G228),Auxiliar!$C$11,IF(AND(SIGN($E228-$G228)=SIGN(U228-W228),MAX($E228,$G228)=MAX(U228,W228)),Auxiliar!$C$12,IF(ABS($E228-$G228)=ABS(U228-W228),Auxiliar!$C$13,IF(AND(SIGN($E228-$G228)=SIGN(U228-W228),MIN($E228,$G228)=MIN(U228,W228)),Auxiliar!$C$14,IF(SIGN($E228-$G228)=SIGN(U228-W228),Auxiliar!$C$15,IF(U228=W228,Auxiliar!$C$16,0)))))))</f>
        <v/>
      </c>
      <c r="Z228" s="9">
        <v>5</v>
      </c>
      <c r="AA228" s="10" t="s">
        <v>23</v>
      </c>
      <c r="AB228" s="11">
        <v>0</v>
      </c>
      <c r="AC228" s="60" t="str">
        <f>IF(OR($E228="",$G228=""),"",IF(AND(Z228=$E228,AB228=$G228),Auxiliar!$C$11,IF(AND(SIGN($E228-$G228)=SIGN(Z228-AB228),MAX($E228,$G228)=MAX(Z228,AB228)),Auxiliar!$C$12,IF(ABS($E228-$G228)=ABS(Z228-AB228),Auxiliar!$C$13,IF(AND(SIGN($E228-$G228)=SIGN(Z228-AB228),MIN($E228,$G228)=MIN(Z228,AB228)),Auxiliar!$C$14,IF(SIGN($E228-$G228)=SIGN(Z228-AB228),Auxiliar!$C$15,IF(Z228=AB228,Auxiliar!$C$16,0)))))))</f>
        <v/>
      </c>
      <c r="AE228" s="9">
        <v>0</v>
      </c>
      <c r="AF228" s="10" t="s">
        <v>23</v>
      </c>
      <c r="AG228" s="11">
        <v>5</v>
      </c>
      <c r="AH228" s="60" t="str">
        <f>IF(OR($E228="",$G228=""),"",IF(AND(AE228=$E228,AG228=$G228),Auxiliar!$C$11,IF(AND(SIGN($E228-$G228)=SIGN(AE228-AG228),MAX($E228,$G228)=MAX(AE228,AG228)),Auxiliar!$C$12,IF(ABS($E228-$G228)=ABS(AE228-AG228),Auxiliar!$C$13,IF(AND(SIGN($E228-$G228)=SIGN(AE228-AG228),MIN($E228,$G228)=MIN(AE228,AG228)),Auxiliar!$C$14,IF(SIGN($E228-$G228)=SIGN(AE228-AG228),Auxiliar!$C$15,IF(AE228=AG228,Auxiliar!$C$16,0)))))))</f>
        <v/>
      </c>
    </row>
    <row r="229" spans="3:34" x14ac:dyDescent="0.25">
      <c r="C229" s="24">
        <f t="shared" si="3"/>
        <v>22</v>
      </c>
      <c r="D229" s="18"/>
      <c r="E229" s="13"/>
      <c r="F229" s="12" t="s">
        <v>23</v>
      </c>
      <c r="G229" s="13"/>
      <c r="H229" s="14"/>
      <c r="K229" s="9">
        <v>3</v>
      </c>
      <c r="L229" s="10" t="s">
        <v>23</v>
      </c>
      <c r="M229" s="11">
        <v>1</v>
      </c>
      <c r="N229" s="60" t="str">
        <f>IF(OR($E229="",$G229=""),"",IF(AND(K229=$E229,M229=$G229),Auxiliar!$C$11,IF(AND(SIGN($E229-$G229)=SIGN(K229-M229),MAX($E229,$G229)=MAX(K229,M229)),Auxiliar!$C$12,IF(ABS($E229-$G229)=ABS(K229-M229),Auxiliar!$C$13,IF(AND(SIGN($E229-$G229)=SIGN(K229-M229),MIN($E229,$G229)=MIN(K229,M229)),Auxiliar!$C$14,IF(SIGN($E229-$G229)=SIGN(K229-M229),Auxiliar!$C$15,IF(K229=M229,Auxiliar!$C$16,0)))))))</f>
        <v/>
      </c>
      <c r="P229" s="9">
        <v>5</v>
      </c>
      <c r="Q229" s="10" t="s">
        <v>23</v>
      </c>
      <c r="R229" s="11">
        <v>5</v>
      </c>
      <c r="S229" s="60" t="str">
        <f>IF(OR($E229="",$G229=""),"",IF(AND(P229=$E229,R229=$G229),Auxiliar!$C$11,IF(AND(SIGN($E229-$G229)=SIGN(P229-R229),MAX($E229,$G229)=MAX(P229,R229)),Auxiliar!$C$12,IF(ABS($E229-$G229)=ABS(P229-R229),Auxiliar!$C$13,IF(AND(SIGN($E229-$G229)=SIGN(P229-R229),MIN($E229,$G229)=MIN(P229,R229)),Auxiliar!$C$14,IF(SIGN($E229-$G229)=SIGN(P229-R229),Auxiliar!$C$15,IF(P229=R229,Auxiliar!$C$16,0)))))))</f>
        <v/>
      </c>
      <c r="U229" s="9">
        <v>2</v>
      </c>
      <c r="V229" s="10" t="s">
        <v>23</v>
      </c>
      <c r="W229" s="11">
        <v>5</v>
      </c>
      <c r="X229" s="60" t="str">
        <f>IF(OR($E229="",$G229=""),"",IF(AND(U229=$E229,W229=$G229),Auxiliar!$C$11,IF(AND(SIGN($E229-$G229)=SIGN(U229-W229),MAX($E229,$G229)=MAX(U229,W229)),Auxiliar!$C$12,IF(ABS($E229-$G229)=ABS(U229-W229),Auxiliar!$C$13,IF(AND(SIGN($E229-$G229)=SIGN(U229-W229),MIN($E229,$G229)=MIN(U229,W229)),Auxiliar!$C$14,IF(SIGN($E229-$G229)=SIGN(U229-W229),Auxiliar!$C$15,IF(U229=W229,Auxiliar!$C$16,0)))))))</f>
        <v/>
      </c>
      <c r="Z229" s="9">
        <v>2</v>
      </c>
      <c r="AA229" s="10" t="s">
        <v>23</v>
      </c>
      <c r="AB229" s="11">
        <v>0</v>
      </c>
      <c r="AC229" s="60" t="str">
        <f>IF(OR($E229="",$G229=""),"",IF(AND(Z229=$E229,AB229=$G229),Auxiliar!$C$11,IF(AND(SIGN($E229-$G229)=SIGN(Z229-AB229),MAX($E229,$G229)=MAX(Z229,AB229)),Auxiliar!$C$12,IF(ABS($E229-$G229)=ABS(Z229-AB229),Auxiliar!$C$13,IF(AND(SIGN($E229-$G229)=SIGN(Z229-AB229),MIN($E229,$G229)=MIN(Z229,AB229)),Auxiliar!$C$14,IF(SIGN($E229-$G229)=SIGN(Z229-AB229),Auxiliar!$C$15,IF(Z229=AB229,Auxiliar!$C$16,0)))))))</f>
        <v/>
      </c>
      <c r="AE229" s="9">
        <v>0</v>
      </c>
      <c r="AF229" s="10" t="s">
        <v>23</v>
      </c>
      <c r="AG229" s="11">
        <v>5</v>
      </c>
      <c r="AH229" s="60" t="str">
        <f>IF(OR($E229="",$G229=""),"",IF(AND(AE229=$E229,AG229=$G229),Auxiliar!$C$11,IF(AND(SIGN($E229-$G229)=SIGN(AE229-AG229),MAX($E229,$G229)=MAX(AE229,AG229)),Auxiliar!$C$12,IF(ABS($E229-$G229)=ABS(AE229-AG229),Auxiliar!$C$13,IF(AND(SIGN($E229-$G229)=SIGN(AE229-AG229),MIN($E229,$G229)=MIN(AE229,AG229)),Auxiliar!$C$14,IF(SIGN($E229-$G229)=SIGN(AE229-AG229),Auxiliar!$C$15,IF(AE229=AG229,Auxiliar!$C$16,0)))))))</f>
        <v/>
      </c>
    </row>
    <row r="230" spans="3:34" x14ac:dyDescent="0.25">
      <c r="C230" s="24">
        <f t="shared" si="3"/>
        <v>22</v>
      </c>
      <c r="D230" s="18"/>
      <c r="E230" s="13"/>
      <c r="F230" s="12" t="s">
        <v>23</v>
      </c>
      <c r="G230" s="13"/>
      <c r="H230" s="14"/>
      <c r="K230" s="9">
        <v>2</v>
      </c>
      <c r="L230" s="10" t="s">
        <v>23</v>
      </c>
      <c r="M230" s="11">
        <v>1</v>
      </c>
      <c r="N230" s="60" t="str">
        <f>IF(OR($E230="",$G230=""),"",IF(AND(K230=$E230,M230=$G230),Auxiliar!$C$11,IF(AND(SIGN($E230-$G230)=SIGN(K230-M230),MAX($E230,$G230)=MAX(K230,M230)),Auxiliar!$C$12,IF(ABS($E230-$G230)=ABS(K230-M230),Auxiliar!$C$13,IF(AND(SIGN($E230-$G230)=SIGN(K230-M230),MIN($E230,$G230)=MIN(K230,M230)),Auxiliar!$C$14,IF(SIGN($E230-$G230)=SIGN(K230-M230),Auxiliar!$C$15,IF(K230=M230,Auxiliar!$C$16,0)))))))</f>
        <v/>
      </c>
      <c r="P230" s="9">
        <v>5</v>
      </c>
      <c r="Q230" s="10" t="s">
        <v>23</v>
      </c>
      <c r="R230" s="11">
        <v>1</v>
      </c>
      <c r="S230" s="60" t="str">
        <f>IF(OR($E230="",$G230=""),"",IF(AND(P230=$E230,R230=$G230),Auxiliar!$C$11,IF(AND(SIGN($E230-$G230)=SIGN(P230-R230),MAX($E230,$G230)=MAX(P230,R230)),Auxiliar!$C$12,IF(ABS($E230-$G230)=ABS(P230-R230),Auxiliar!$C$13,IF(AND(SIGN($E230-$G230)=SIGN(P230-R230),MIN($E230,$G230)=MIN(P230,R230)),Auxiliar!$C$14,IF(SIGN($E230-$G230)=SIGN(P230-R230),Auxiliar!$C$15,IF(P230=R230,Auxiliar!$C$16,0)))))))</f>
        <v/>
      </c>
      <c r="U230" s="9">
        <v>3</v>
      </c>
      <c r="V230" s="10" t="s">
        <v>23</v>
      </c>
      <c r="W230" s="11">
        <v>0</v>
      </c>
      <c r="X230" s="60" t="str">
        <f>IF(OR($E230="",$G230=""),"",IF(AND(U230=$E230,W230=$G230),Auxiliar!$C$11,IF(AND(SIGN($E230-$G230)=SIGN(U230-W230),MAX($E230,$G230)=MAX(U230,W230)),Auxiliar!$C$12,IF(ABS($E230-$G230)=ABS(U230-W230),Auxiliar!$C$13,IF(AND(SIGN($E230-$G230)=SIGN(U230-W230),MIN($E230,$G230)=MIN(U230,W230)),Auxiliar!$C$14,IF(SIGN($E230-$G230)=SIGN(U230-W230),Auxiliar!$C$15,IF(U230=W230,Auxiliar!$C$16,0)))))))</f>
        <v/>
      </c>
      <c r="Z230" s="9">
        <v>5</v>
      </c>
      <c r="AA230" s="10" t="s">
        <v>23</v>
      </c>
      <c r="AB230" s="11">
        <v>4</v>
      </c>
      <c r="AC230" s="60" t="str">
        <f>IF(OR($E230="",$G230=""),"",IF(AND(Z230=$E230,AB230=$G230),Auxiliar!$C$11,IF(AND(SIGN($E230-$G230)=SIGN(Z230-AB230),MAX($E230,$G230)=MAX(Z230,AB230)),Auxiliar!$C$12,IF(ABS($E230-$G230)=ABS(Z230-AB230),Auxiliar!$C$13,IF(AND(SIGN($E230-$G230)=SIGN(Z230-AB230),MIN($E230,$G230)=MIN(Z230,AB230)),Auxiliar!$C$14,IF(SIGN($E230-$G230)=SIGN(Z230-AB230),Auxiliar!$C$15,IF(Z230=AB230,Auxiliar!$C$16,0)))))))</f>
        <v/>
      </c>
      <c r="AE230" s="9">
        <v>3</v>
      </c>
      <c r="AF230" s="10" t="s">
        <v>23</v>
      </c>
      <c r="AG230" s="11">
        <v>1</v>
      </c>
      <c r="AH230" s="60" t="str">
        <f>IF(OR($E230="",$G230=""),"",IF(AND(AE230=$E230,AG230=$G230),Auxiliar!$C$11,IF(AND(SIGN($E230-$G230)=SIGN(AE230-AG230),MAX($E230,$G230)=MAX(AE230,AG230)),Auxiliar!$C$12,IF(ABS($E230-$G230)=ABS(AE230-AG230),Auxiliar!$C$13,IF(AND(SIGN($E230-$G230)=SIGN(AE230-AG230),MIN($E230,$G230)=MIN(AE230,AG230)),Auxiliar!$C$14,IF(SIGN($E230-$G230)=SIGN(AE230-AG230),Auxiliar!$C$15,IF(AE230=AG230,Auxiliar!$C$16,0)))))))</f>
        <v/>
      </c>
    </row>
    <row r="231" spans="3:34" x14ac:dyDescent="0.25">
      <c r="C231" s="24">
        <f t="shared" si="3"/>
        <v>22</v>
      </c>
      <c r="D231" s="18"/>
      <c r="E231" s="13"/>
      <c r="F231" s="12" t="s">
        <v>23</v>
      </c>
      <c r="G231" s="13"/>
      <c r="H231" s="14"/>
      <c r="K231" s="9">
        <v>5</v>
      </c>
      <c r="L231" s="10" t="s">
        <v>23</v>
      </c>
      <c r="M231" s="11">
        <v>2</v>
      </c>
      <c r="N231" s="60" t="str">
        <f>IF(OR($E231="",$G231=""),"",IF(AND(K231=$E231,M231=$G231),Auxiliar!$C$11,IF(AND(SIGN($E231-$G231)=SIGN(K231-M231),MAX($E231,$G231)=MAX(K231,M231)),Auxiliar!$C$12,IF(ABS($E231-$G231)=ABS(K231-M231),Auxiliar!$C$13,IF(AND(SIGN($E231-$G231)=SIGN(K231-M231),MIN($E231,$G231)=MIN(K231,M231)),Auxiliar!$C$14,IF(SIGN($E231-$G231)=SIGN(K231-M231),Auxiliar!$C$15,IF(K231=M231,Auxiliar!$C$16,0)))))))</f>
        <v/>
      </c>
      <c r="P231" s="9">
        <v>2</v>
      </c>
      <c r="Q231" s="10" t="s">
        <v>23</v>
      </c>
      <c r="R231" s="11">
        <v>1</v>
      </c>
      <c r="S231" s="60" t="str">
        <f>IF(OR($E231="",$G231=""),"",IF(AND(P231=$E231,R231=$G231),Auxiliar!$C$11,IF(AND(SIGN($E231-$G231)=SIGN(P231-R231),MAX($E231,$G231)=MAX(P231,R231)),Auxiliar!$C$12,IF(ABS($E231-$G231)=ABS(P231-R231),Auxiliar!$C$13,IF(AND(SIGN($E231-$G231)=SIGN(P231-R231),MIN($E231,$G231)=MIN(P231,R231)),Auxiliar!$C$14,IF(SIGN($E231-$G231)=SIGN(P231-R231),Auxiliar!$C$15,IF(P231=R231,Auxiliar!$C$16,0)))))))</f>
        <v/>
      </c>
      <c r="U231" s="9">
        <v>3</v>
      </c>
      <c r="V231" s="10" t="s">
        <v>23</v>
      </c>
      <c r="W231" s="11">
        <v>5</v>
      </c>
      <c r="X231" s="60" t="str">
        <f>IF(OR($E231="",$G231=""),"",IF(AND(U231=$E231,W231=$G231),Auxiliar!$C$11,IF(AND(SIGN($E231-$G231)=SIGN(U231-W231),MAX($E231,$G231)=MAX(U231,W231)),Auxiliar!$C$12,IF(ABS($E231-$G231)=ABS(U231-W231),Auxiliar!$C$13,IF(AND(SIGN($E231-$G231)=SIGN(U231-W231),MIN($E231,$G231)=MIN(U231,W231)),Auxiliar!$C$14,IF(SIGN($E231-$G231)=SIGN(U231-W231),Auxiliar!$C$15,IF(U231=W231,Auxiliar!$C$16,0)))))))</f>
        <v/>
      </c>
      <c r="Z231" s="9">
        <v>3</v>
      </c>
      <c r="AA231" s="10" t="s">
        <v>23</v>
      </c>
      <c r="AB231" s="11">
        <v>5</v>
      </c>
      <c r="AC231" s="60" t="str">
        <f>IF(OR($E231="",$G231=""),"",IF(AND(Z231=$E231,AB231=$G231),Auxiliar!$C$11,IF(AND(SIGN($E231-$G231)=SIGN(Z231-AB231),MAX($E231,$G231)=MAX(Z231,AB231)),Auxiliar!$C$12,IF(ABS($E231-$G231)=ABS(Z231-AB231),Auxiliar!$C$13,IF(AND(SIGN($E231-$G231)=SIGN(Z231-AB231),MIN($E231,$G231)=MIN(Z231,AB231)),Auxiliar!$C$14,IF(SIGN($E231-$G231)=SIGN(Z231-AB231),Auxiliar!$C$15,IF(Z231=AB231,Auxiliar!$C$16,0)))))))</f>
        <v/>
      </c>
      <c r="AE231" s="9">
        <v>3</v>
      </c>
      <c r="AF231" s="10" t="s">
        <v>23</v>
      </c>
      <c r="AG231" s="11">
        <v>0</v>
      </c>
      <c r="AH231" s="60" t="str">
        <f>IF(OR($E231="",$G231=""),"",IF(AND(AE231=$E231,AG231=$G231),Auxiliar!$C$11,IF(AND(SIGN($E231-$G231)=SIGN(AE231-AG231),MAX($E231,$G231)=MAX(AE231,AG231)),Auxiliar!$C$12,IF(ABS($E231-$G231)=ABS(AE231-AG231),Auxiliar!$C$13,IF(AND(SIGN($E231-$G231)=SIGN(AE231-AG231),MIN($E231,$G231)=MIN(AE231,AG231)),Auxiliar!$C$14,IF(SIGN($E231-$G231)=SIGN(AE231-AG231),Auxiliar!$C$15,IF(AE231=AG231,Auxiliar!$C$16,0)))))))</f>
        <v/>
      </c>
    </row>
    <row r="232" spans="3:34" x14ac:dyDescent="0.25">
      <c r="C232" s="24">
        <f t="shared" si="3"/>
        <v>22</v>
      </c>
      <c r="D232" s="18"/>
      <c r="E232" s="13"/>
      <c r="F232" s="12" t="s">
        <v>23</v>
      </c>
      <c r="G232" s="13"/>
      <c r="H232" s="14"/>
      <c r="K232" s="9">
        <v>4</v>
      </c>
      <c r="L232" s="10" t="s">
        <v>23</v>
      </c>
      <c r="M232" s="11">
        <v>5</v>
      </c>
      <c r="N232" s="60" t="str">
        <f>IF(OR($E232="",$G232=""),"",IF(AND(K232=$E232,M232=$G232),Auxiliar!$C$11,IF(AND(SIGN($E232-$G232)=SIGN(K232-M232),MAX($E232,$G232)=MAX(K232,M232)),Auxiliar!$C$12,IF(ABS($E232-$G232)=ABS(K232-M232),Auxiliar!$C$13,IF(AND(SIGN($E232-$G232)=SIGN(K232-M232),MIN($E232,$G232)=MIN(K232,M232)),Auxiliar!$C$14,IF(SIGN($E232-$G232)=SIGN(K232-M232),Auxiliar!$C$15,IF(K232=M232,Auxiliar!$C$16,0)))))))</f>
        <v/>
      </c>
      <c r="P232" s="9">
        <v>3</v>
      </c>
      <c r="Q232" s="10" t="s">
        <v>23</v>
      </c>
      <c r="R232" s="11">
        <v>3</v>
      </c>
      <c r="S232" s="60" t="str">
        <f>IF(OR($E232="",$G232=""),"",IF(AND(P232=$E232,R232=$G232),Auxiliar!$C$11,IF(AND(SIGN($E232-$G232)=SIGN(P232-R232),MAX($E232,$G232)=MAX(P232,R232)),Auxiliar!$C$12,IF(ABS($E232-$G232)=ABS(P232-R232),Auxiliar!$C$13,IF(AND(SIGN($E232-$G232)=SIGN(P232-R232),MIN($E232,$G232)=MIN(P232,R232)),Auxiliar!$C$14,IF(SIGN($E232-$G232)=SIGN(P232-R232),Auxiliar!$C$15,IF(P232=R232,Auxiliar!$C$16,0)))))))</f>
        <v/>
      </c>
      <c r="U232" s="9">
        <v>3</v>
      </c>
      <c r="V232" s="10" t="s">
        <v>23</v>
      </c>
      <c r="W232" s="11">
        <v>2</v>
      </c>
      <c r="X232" s="60" t="str">
        <f>IF(OR($E232="",$G232=""),"",IF(AND(U232=$E232,W232=$G232),Auxiliar!$C$11,IF(AND(SIGN($E232-$G232)=SIGN(U232-W232),MAX($E232,$G232)=MAX(U232,W232)),Auxiliar!$C$12,IF(ABS($E232-$G232)=ABS(U232-W232),Auxiliar!$C$13,IF(AND(SIGN($E232-$G232)=SIGN(U232-W232),MIN($E232,$G232)=MIN(U232,W232)),Auxiliar!$C$14,IF(SIGN($E232-$G232)=SIGN(U232-W232),Auxiliar!$C$15,IF(U232=W232,Auxiliar!$C$16,0)))))))</f>
        <v/>
      </c>
      <c r="Z232" s="9">
        <v>1</v>
      </c>
      <c r="AA232" s="10" t="s">
        <v>23</v>
      </c>
      <c r="AB232" s="11">
        <v>1</v>
      </c>
      <c r="AC232" s="60" t="str">
        <f>IF(OR($E232="",$G232=""),"",IF(AND(Z232=$E232,AB232=$G232),Auxiliar!$C$11,IF(AND(SIGN($E232-$G232)=SIGN(Z232-AB232),MAX($E232,$G232)=MAX(Z232,AB232)),Auxiliar!$C$12,IF(ABS($E232-$G232)=ABS(Z232-AB232),Auxiliar!$C$13,IF(AND(SIGN($E232-$G232)=SIGN(Z232-AB232),MIN($E232,$G232)=MIN(Z232,AB232)),Auxiliar!$C$14,IF(SIGN($E232-$G232)=SIGN(Z232-AB232),Auxiliar!$C$15,IF(Z232=AB232,Auxiliar!$C$16,0)))))))</f>
        <v/>
      </c>
      <c r="AE232" s="9">
        <v>0</v>
      </c>
      <c r="AF232" s="10" t="s">
        <v>23</v>
      </c>
      <c r="AG232" s="11">
        <v>3</v>
      </c>
      <c r="AH232" s="60" t="str">
        <f>IF(OR($E232="",$G232=""),"",IF(AND(AE232=$E232,AG232=$G232),Auxiliar!$C$11,IF(AND(SIGN($E232-$G232)=SIGN(AE232-AG232),MAX($E232,$G232)=MAX(AE232,AG232)),Auxiliar!$C$12,IF(ABS($E232-$G232)=ABS(AE232-AG232),Auxiliar!$C$13,IF(AND(SIGN($E232-$G232)=SIGN(AE232-AG232),MIN($E232,$G232)=MIN(AE232,AG232)),Auxiliar!$C$14,IF(SIGN($E232-$G232)=SIGN(AE232-AG232),Auxiliar!$C$15,IF(AE232=AG232,Auxiliar!$C$16,0)))))))</f>
        <v/>
      </c>
    </row>
    <row r="233" spans="3:34" x14ac:dyDescent="0.25">
      <c r="C233" s="24">
        <f t="shared" si="3"/>
        <v>22</v>
      </c>
      <c r="D233" s="18"/>
      <c r="E233" s="13"/>
      <c r="F233" s="12" t="s">
        <v>23</v>
      </c>
      <c r="G233" s="13"/>
      <c r="H233" s="14"/>
      <c r="K233" s="9">
        <v>0</v>
      </c>
      <c r="L233" s="10" t="s">
        <v>23</v>
      </c>
      <c r="M233" s="11">
        <v>1</v>
      </c>
      <c r="N233" s="60" t="str">
        <f>IF(OR($E233="",$G233=""),"",IF(AND(K233=$E233,M233=$G233),Auxiliar!$C$11,IF(AND(SIGN($E233-$G233)=SIGN(K233-M233),MAX($E233,$G233)=MAX(K233,M233)),Auxiliar!$C$12,IF(ABS($E233-$G233)=ABS(K233-M233),Auxiliar!$C$13,IF(AND(SIGN($E233-$G233)=SIGN(K233-M233),MIN($E233,$G233)=MIN(K233,M233)),Auxiliar!$C$14,IF(SIGN($E233-$G233)=SIGN(K233-M233),Auxiliar!$C$15,IF(K233=M233,Auxiliar!$C$16,0)))))))</f>
        <v/>
      </c>
      <c r="P233" s="9">
        <v>3</v>
      </c>
      <c r="Q233" s="10" t="s">
        <v>23</v>
      </c>
      <c r="R233" s="11">
        <v>5</v>
      </c>
      <c r="S233" s="60" t="str">
        <f>IF(OR($E233="",$G233=""),"",IF(AND(P233=$E233,R233=$G233),Auxiliar!$C$11,IF(AND(SIGN($E233-$G233)=SIGN(P233-R233),MAX($E233,$G233)=MAX(P233,R233)),Auxiliar!$C$12,IF(ABS($E233-$G233)=ABS(P233-R233),Auxiliar!$C$13,IF(AND(SIGN($E233-$G233)=SIGN(P233-R233),MIN($E233,$G233)=MIN(P233,R233)),Auxiliar!$C$14,IF(SIGN($E233-$G233)=SIGN(P233-R233),Auxiliar!$C$15,IF(P233=R233,Auxiliar!$C$16,0)))))))</f>
        <v/>
      </c>
      <c r="U233" s="9">
        <v>0</v>
      </c>
      <c r="V233" s="10" t="s">
        <v>23</v>
      </c>
      <c r="W233" s="11">
        <v>4</v>
      </c>
      <c r="X233" s="60" t="str">
        <f>IF(OR($E233="",$G233=""),"",IF(AND(U233=$E233,W233=$G233),Auxiliar!$C$11,IF(AND(SIGN($E233-$G233)=SIGN(U233-W233),MAX($E233,$G233)=MAX(U233,W233)),Auxiliar!$C$12,IF(ABS($E233-$G233)=ABS(U233-W233),Auxiliar!$C$13,IF(AND(SIGN($E233-$G233)=SIGN(U233-W233),MIN($E233,$G233)=MIN(U233,W233)),Auxiliar!$C$14,IF(SIGN($E233-$G233)=SIGN(U233-W233),Auxiliar!$C$15,IF(U233=W233,Auxiliar!$C$16,0)))))))</f>
        <v/>
      </c>
      <c r="Z233" s="9">
        <v>0</v>
      </c>
      <c r="AA233" s="10" t="s">
        <v>23</v>
      </c>
      <c r="AB233" s="11">
        <v>5</v>
      </c>
      <c r="AC233" s="60" t="str">
        <f>IF(OR($E233="",$G233=""),"",IF(AND(Z233=$E233,AB233=$G233),Auxiliar!$C$11,IF(AND(SIGN($E233-$G233)=SIGN(Z233-AB233),MAX($E233,$G233)=MAX(Z233,AB233)),Auxiliar!$C$12,IF(ABS($E233-$G233)=ABS(Z233-AB233),Auxiliar!$C$13,IF(AND(SIGN($E233-$G233)=SIGN(Z233-AB233),MIN($E233,$G233)=MIN(Z233,AB233)),Auxiliar!$C$14,IF(SIGN($E233-$G233)=SIGN(Z233-AB233),Auxiliar!$C$15,IF(Z233=AB233,Auxiliar!$C$16,0)))))))</f>
        <v/>
      </c>
      <c r="AE233" s="9">
        <v>0</v>
      </c>
      <c r="AF233" s="10" t="s">
        <v>23</v>
      </c>
      <c r="AG233" s="11">
        <v>4</v>
      </c>
      <c r="AH233" s="60" t="str">
        <f>IF(OR($E233="",$G233=""),"",IF(AND(AE233=$E233,AG233=$G233),Auxiliar!$C$11,IF(AND(SIGN($E233-$G233)=SIGN(AE233-AG233),MAX($E233,$G233)=MAX(AE233,AG233)),Auxiliar!$C$12,IF(ABS($E233-$G233)=ABS(AE233-AG233),Auxiliar!$C$13,IF(AND(SIGN($E233-$G233)=SIGN(AE233-AG233),MIN($E233,$G233)=MIN(AE233,AG233)),Auxiliar!$C$14,IF(SIGN($E233-$G233)=SIGN(AE233-AG233),Auxiliar!$C$15,IF(AE233=AG233,Auxiliar!$C$16,0)))))))</f>
        <v/>
      </c>
    </row>
    <row r="234" spans="3:34" x14ac:dyDescent="0.25">
      <c r="C234" s="24">
        <f t="shared" si="3"/>
        <v>22</v>
      </c>
      <c r="D234" s="18"/>
      <c r="E234" s="13"/>
      <c r="F234" s="12" t="s">
        <v>23</v>
      </c>
      <c r="G234" s="13"/>
      <c r="H234" s="14"/>
      <c r="K234" s="9">
        <v>2</v>
      </c>
      <c r="L234" s="10" t="s">
        <v>23</v>
      </c>
      <c r="M234" s="11">
        <v>3</v>
      </c>
      <c r="N234" s="60" t="str">
        <f>IF(OR($E234="",$G234=""),"",IF(AND(K234=$E234,M234=$G234),Auxiliar!$C$11,IF(AND(SIGN($E234-$G234)=SIGN(K234-M234),MAX($E234,$G234)=MAX(K234,M234)),Auxiliar!$C$12,IF(ABS($E234-$G234)=ABS(K234-M234),Auxiliar!$C$13,IF(AND(SIGN($E234-$G234)=SIGN(K234-M234),MIN($E234,$G234)=MIN(K234,M234)),Auxiliar!$C$14,IF(SIGN($E234-$G234)=SIGN(K234-M234),Auxiliar!$C$15,IF(K234=M234,Auxiliar!$C$16,0)))))))</f>
        <v/>
      </c>
      <c r="P234" s="9">
        <v>5</v>
      </c>
      <c r="Q234" s="10" t="s">
        <v>23</v>
      </c>
      <c r="R234" s="11">
        <v>3</v>
      </c>
      <c r="S234" s="60" t="str">
        <f>IF(OR($E234="",$G234=""),"",IF(AND(P234=$E234,R234=$G234),Auxiliar!$C$11,IF(AND(SIGN($E234-$G234)=SIGN(P234-R234),MAX($E234,$G234)=MAX(P234,R234)),Auxiliar!$C$12,IF(ABS($E234-$G234)=ABS(P234-R234),Auxiliar!$C$13,IF(AND(SIGN($E234-$G234)=SIGN(P234-R234),MIN($E234,$G234)=MIN(P234,R234)),Auxiliar!$C$14,IF(SIGN($E234-$G234)=SIGN(P234-R234),Auxiliar!$C$15,IF(P234=R234,Auxiliar!$C$16,0)))))))</f>
        <v/>
      </c>
      <c r="U234" s="9">
        <v>1</v>
      </c>
      <c r="V234" s="10" t="s">
        <v>23</v>
      </c>
      <c r="W234" s="11">
        <v>0</v>
      </c>
      <c r="X234" s="60" t="str">
        <f>IF(OR($E234="",$G234=""),"",IF(AND(U234=$E234,W234=$G234),Auxiliar!$C$11,IF(AND(SIGN($E234-$G234)=SIGN(U234-W234),MAX($E234,$G234)=MAX(U234,W234)),Auxiliar!$C$12,IF(ABS($E234-$G234)=ABS(U234-W234),Auxiliar!$C$13,IF(AND(SIGN($E234-$G234)=SIGN(U234-W234),MIN($E234,$G234)=MIN(U234,W234)),Auxiliar!$C$14,IF(SIGN($E234-$G234)=SIGN(U234-W234),Auxiliar!$C$15,IF(U234=W234,Auxiliar!$C$16,0)))))))</f>
        <v/>
      </c>
      <c r="Z234" s="9">
        <v>2</v>
      </c>
      <c r="AA234" s="10" t="s">
        <v>23</v>
      </c>
      <c r="AB234" s="11">
        <v>0</v>
      </c>
      <c r="AC234" s="60" t="str">
        <f>IF(OR($E234="",$G234=""),"",IF(AND(Z234=$E234,AB234=$G234),Auxiliar!$C$11,IF(AND(SIGN($E234-$G234)=SIGN(Z234-AB234),MAX($E234,$G234)=MAX(Z234,AB234)),Auxiliar!$C$12,IF(ABS($E234-$G234)=ABS(Z234-AB234),Auxiliar!$C$13,IF(AND(SIGN($E234-$G234)=SIGN(Z234-AB234),MIN($E234,$G234)=MIN(Z234,AB234)),Auxiliar!$C$14,IF(SIGN($E234-$G234)=SIGN(Z234-AB234),Auxiliar!$C$15,IF(Z234=AB234,Auxiliar!$C$16,0)))))))</f>
        <v/>
      </c>
      <c r="AE234" s="9">
        <v>3</v>
      </c>
      <c r="AF234" s="10" t="s">
        <v>23</v>
      </c>
      <c r="AG234" s="11">
        <v>3</v>
      </c>
      <c r="AH234" s="60" t="str">
        <f>IF(OR($E234="",$G234=""),"",IF(AND(AE234=$E234,AG234=$G234),Auxiliar!$C$11,IF(AND(SIGN($E234-$G234)=SIGN(AE234-AG234),MAX($E234,$G234)=MAX(AE234,AG234)),Auxiliar!$C$12,IF(ABS($E234-$G234)=ABS(AE234-AG234),Auxiliar!$C$13,IF(AND(SIGN($E234-$G234)=SIGN(AE234-AG234),MIN($E234,$G234)=MIN(AE234,AG234)),Auxiliar!$C$14,IF(SIGN($E234-$G234)=SIGN(AE234-AG234),Auxiliar!$C$15,IF(AE234=AG234,Auxiliar!$C$16,0)))))))</f>
        <v/>
      </c>
    </row>
    <row r="235" spans="3:34" x14ac:dyDescent="0.25">
      <c r="C235" s="24">
        <f t="shared" si="3"/>
        <v>22</v>
      </c>
      <c r="D235" s="18"/>
      <c r="E235" s="13"/>
      <c r="F235" s="12" t="s">
        <v>23</v>
      </c>
      <c r="G235" s="13"/>
      <c r="H235" s="14"/>
      <c r="K235" s="9">
        <v>3</v>
      </c>
      <c r="L235" s="10" t="s">
        <v>23</v>
      </c>
      <c r="M235" s="11">
        <v>2</v>
      </c>
      <c r="N235" s="60" t="str">
        <f>IF(OR($E235="",$G235=""),"",IF(AND(K235=$E235,M235=$G235),Auxiliar!$C$11,IF(AND(SIGN($E235-$G235)=SIGN(K235-M235),MAX($E235,$G235)=MAX(K235,M235)),Auxiliar!$C$12,IF(ABS($E235-$G235)=ABS(K235-M235),Auxiliar!$C$13,IF(AND(SIGN($E235-$G235)=SIGN(K235-M235),MIN($E235,$G235)=MIN(K235,M235)),Auxiliar!$C$14,IF(SIGN($E235-$G235)=SIGN(K235-M235),Auxiliar!$C$15,IF(K235=M235,Auxiliar!$C$16,0)))))))</f>
        <v/>
      </c>
      <c r="P235" s="9">
        <v>2</v>
      </c>
      <c r="Q235" s="10" t="s">
        <v>23</v>
      </c>
      <c r="R235" s="11">
        <v>4</v>
      </c>
      <c r="S235" s="60" t="str">
        <f>IF(OR($E235="",$G235=""),"",IF(AND(P235=$E235,R235=$G235),Auxiliar!$C$11,IF(AND(SIGN($E235-$G235)=SIGN(P235-R235),MAX($E235,$G235)=MAX(P235,R235)),Auxiliar!$C$12,IF(ABS($E235-$G235)=ABS(P235-R235),Auxiliar!$C$13,IF(AND(SIGN($E235-$G235)=SIGN(P235-R235),MIN($E235,$G235)=MIN(P235,R235)),Auxiliar!$C$14,IF(SIGN($E235-$G235)=SIGN(P235-R235),Auxiliar!$C$15,IF(P235=R235,Auxiliar!$C$16,0)))))))</f>
        <v/>
      </c>
      <c r="U235" s="9">
        <v>0</v>
      </c>
      <c r="V235" s="10" t="s">
        <v>23</v>
      </c>
      <c r="W235" s="11">
        <v>3</v>
      </c>
      <c r="X235" s="60" t="str">
        <f>IF(OR($E235="",$G235=""),"",IF(AND(U235=$E235,W235=$G235),Auxiliar!$C$11,IF(AND(SIGN($E235-$G235)=SIGN(U235-W235),MAX($E235,$G235)=MAX(U235,W235)),Auxiliar!$C$12,IF(ABS($E235-$G235)=ABS(U235-W235),Auxiliar!$C$13,IF(AND(SIGN($E235-$G235)=SIGN(U235-W235),MIN($E235,$G235)=MIN(U235,W235)),Auxiliar!$C$14,IF(SIGN($E235-$G235)=SIGN(U235-W235),Auxiliar!$C$15,IF(U235=W235,Auxiliar!$C$16,0)))))))</f>
        <v/>
      </c>
      <c r="Z235" s="9">
        <v>3</v>
      </c>
      <c r="AA235" s="10" t="s">
        <v>23</v>
      </c>
      <c r="AB235" s="11">
        <v>1</v>
      </c>
      <c r="AC235" s="60" t="str">
        <f>IF(OR($E235="",$G235=""),"",IF(AND(Z235=$E235,AB235=$G235),Auxiliar!$C$11,IF(AND(SIGN($E235-$G235)=SIGN(Z235-AB235),MAX($E235,$G235)=MAX(Z235,AB235)),Auxiliar!$C$12,IF(ABS($E235-$G235)=ABS(Z235-AB235),Auxiliar!$C$13,IF(AND(SIGN($E235-$G235)=SIGN(Z235-AB235),MIN($E235,$G235)=MIN(Z235,AB235)),Auxiliar!$C$14,IF(SIGN($E235-$G235)=SIGN(Z235-AB235),Auxiliar!$C$15,IF(Z235=AB235,Auxiliar!$C$16,0)))))))</f>
        <v/>
      </c>
      <c r="AE235" s="9">
        <v>2</v>
      </c>
      <c r="AF235" s="10" t="s">
        <v>23</v>
      </c>
      <c r="AG235" s="11">
        <v>1</v>
      </c>
      <c r="AH235" s="60" t="str">
        <f>IF(OR($E235="",$G235=""),"",IF(AND(AE235=$E235,AG235=$G235),Auxiliar!$C$11,IF(AND(SIGN($E235-$G235)=SIGN(AE235-AG235),MAX($E235,$G235)=MAX(AE235,AG235)),Auxiliar!$C$12,IF(ABS($E235-$G235)=ABS(AE235-AG235),Auxiliar!$C$13,IF(AND(SIGN($E235-$G235)=SIGN(AE235-AG235),MIN($E235,$G235)=MIN(AE235,AG235)),Auxiliar!$C$14,IF(SIGN($E235-$G235)=SIGN(AE235-AG235),Auxiliar!$C$15,IF(AE235=AG235,Auxiliar!$C$16,0)))))))</f>
        <v/>
      </c>
    </row>
    <row r="236" spans="3:34" x14ac:dyDescent="0.25">
      <c r="C236" s="24">
        <f t="shared" si="3"/>
        <v>22</v>
      </c>
      <c r="D236" s="18"/>
      <c r="E236" s="13"/>
      <c r="F236" s="12" t="s">
        <v>23</v>
      </c>
      <c r="G236" s="13"/>
      <c r="H236" s="14"/>
      <c r="K236" s="9">
        <v>2</v>
      </c>
      <c r="L236" s="10" t="s">
        <v>23</v>
      </c>
      <c r="M236" s="11">
        <v>3</v>
      </c>
      <c r="N236" s="60" t="str">
        <f>IF(OR($E236="",$G236=""),"",IF(AND(K236=$E236,M236=$G236),Auxiliar!$C$11,IF(AND(SIGN($E236-$G236)=SIGN(K236-M236),MAX($E236,$G236)=MAX(K236,M236)),Auxiliar!$C$12,IF(ABS($E236-$G236)=ABS(K236-M236),Auxiliar!$C$13,IF(AND(SIGN($E236-$G236)=SIGN(K236-M236),MIN($E236,$G236)=MIN(K236,M236)),Auxiliar!$C$14,IF(SIGN($E236-$G236)=SIGN(K236-M236),Auxiliar!$C$15,IF(K236=M236,Auxiliar!$C$16,0)))))))</f>
        <v/>
      </c>
      <c r="P236" s="9">
        <v>2</v>
      </c>
      <c r="Q236" s="10" t="s">
        <v>23</v>
      </c>
      <c r="R236" s="11">
        <v>0</v>
      </c>
      <c r="S236" s="60" t="str">
        <f>IF(OR($E236="",$G236=""),"",IF(AND(P236=$E236,R236=$G236),Auxiliar!$C$11,IF(AND(SIGN($E236-$G236)=SIGN(P236-R236),MAX($E236,$G236)=MAX(P236,R236)),Auxiliar!$C$12,IF(ABS($E236-$G236)=ABS(P236-R236),Auxiliar!$C$13,IF(AND(SIGN($E236-$G236)=SIGN(P236-R236),MIN($E236,$G236)=MIN(P236,R236)),Auxiliar!$C$14,IF(SIGN($E236-$G236)=SIGN(P236-R236),Auxiliar!$C$15,IF(P236=R236,Auxiliar!$C$16,0)))))))</f>
        <v/>
      </c>
      <c r="U236" s="9">
        <v>1</v>
      </c>
      <c r="V236" s="10" t="s">
        <v>23</v>
      </c>
      <c r="W236" s="11">
        <v>5</v>
      </c>
      <c r="X236" s="60" t="str">
        <f>IF(OR($E236="",$G236=""),"",IF(AND(U236=$E236,W236=$G236),Auxiliar!$C$11,IF(AND(SIGN($E236-$G236)=SIGN(U236-W236),MAX($E236,$G236)=MAX(U236,W236)),Auxiliar!$C$12,IF(ABS($E236-$G236)=ABS(U236-W236),Auxiliar!$C$13,IF(AND(SIGN($E236-$G236)=SIGN(U236-W236),MIN($E236,$G236)=MIN(U236,W236)),Auxiliar!$C$14,IF(SIGN($E236-$G236)=SIGN(U236-W236),Auxiliar!$C$15,IF(U236=W236,Auxiliar!$C$16,0)))))))</f>
        <v/>
      </c>
      <c r="Z236" s="9">
        <v>4</v>
      </c>
      <c r="AA236" s="10" t="s">
        <v>23</v>
      </c>
      <c r="AB236" s="11">
        <v>5</v>
      </c>
      <c r="AC236" s="60" t="str">
        <f>IF(OR($E236="",$G236=""),"",IF(AND(Z236=$E236,AB236=$G236),Auxiliar!$C$11,IF(AND(SIGN($E236-$G236)=SIGN(Z236-AB236),MAX($E236,$G236)=MAX(Z236,AB236)),Auxiliar!$C$12,IF(ABS($E236-$G236)=ABS(Z236-AB236),Auxiliar!$C$13,IF(AND(SIGN($E236-$G236)=SIGN(Z236-AB236),MIN($E236,$G236)=MIN(Z236,AB236)),Auxiliar!$C$14,IF(SIGN($E236-$G236)=SIGN(Z236-AB236),Auxiliar!$C$15,IF(Z236=AB236,Auxiliar!$C$16,0)))))))</f>
        <v/>
      </c>
      <c r="AE236" s="9">
        <v>2</v>
      </c>
      <c r="AF236" s="10" t="s">
        <v>23</v>
      </c>
      <c r="AG236" s="11">
        <v>0</v>
      </c>
      <c r="AH236" s="60" t="str">
        <f>IF(OR($E236="",$G236=""),"",IF(AND(AE236=$E236,AG236=$G236),Auxiliar!$C$11,IF(AND(SIGN($E236-$G236)=SIGN(AE236-AG236),MAX($E236,$G236)=MAX(AE236,AG236)),Auxiliar!$C$12,IF(ABS($E236-$G236)=ABS(AE236-AG236),Auxiliar!$C$13,IF(AND(SIGN($E236-$G236)=SIGN(AE236-AG236),MIN($E236,$G236)=MIN(AE236,AG236)),Auxiliar!$C$14,IF(SIGN($E236-$G236)=SIGN(AE236-AG236),Auxiliar!$C$15,IF(AE236=AG236,Auxiliar!$C$16,0)))))))</f>
        <v/>
      </c>
    </row>
    <row r="237" spans="3:34" x14ac:dyDescent="0.25">
      <c r="C237" s="24">
        <f t="shared" si="3"/>
        <v>22</v>
      </c>
      <c r="D237" s="18"/>
      <c r="E237" s="13"/>
      <c r="F237" s="12" t="s">
        <v>23</v>
      </c>
      <c r="G237" s="13"/>
      <c r="H237" s="14"/>
      <c r="K237" s="9">
        <v>0</v>
      </c>
      <c r="L237" s="10" t="s">
        <v>23</v>
      </c>
      <c r="M237" s="11">
        <v>3</v>
      </c>
      <c r="N237" s="60" t="str">
        <f>IF(OR($E237="",$G237=""),"",IF(AND(K237=$E237,M237=$G237),Auxiliar!$C$11,IF(AND(SIGN($E237-$G237)=SIGN(K237-M237),MAX($E237,$G237)=MAX(K237,M237)),Auxiliar!$C$12,IF(ABS($E237-$G237)=ABS(K237-M237),Auxiliar!$C$13,IF(AND(SIGN($E237-$G237)=SIGN(K237-M237),MIN($E237,$G237)=MIN(K237,M237)),Auxiliar!$C$14,IF(SIGN($E237-$G237)=SIGN(K237-M237),Auxiliar!$C$15,IF(K237=M237,Auxiliar!$C$16,0)))))))</f>
        <v/>
      </c>
      <c r="P237" s="9">
        <v>0</v>
      </c>
      <c r="Q237" s="10" t="s">
        <v>23</v>
      </c>
      <c r="R237" s="11">
        <v>2</v>
      </c>
      <c r="S237" s="60" t="str">
        <f>IF(OR($E237="",$G237=""),"",IF(AND(P237=$E237,R237=$G237),Auxiliar!$C$11,IF(AND(SIGN($E237-$G237)=SIGN(P237-R237),MAX($E237,$G237)=MAX(P237,R237)),Auxiliar!$C$12,IF(ABS($E237-$G237)=ABS(P237-R237),Auxiliar!$C$13,IF(AND(SIGN($E237-$G237)=SIGN(P237-R237),MIN($E237,$G237)=MIN(P237,R237)),Auxiliar!$C$14,IF(SIGN($E237-$G237)=SIGN(P237-R237),Auxiliar!$C$15,IF(P237=R237,Auxiliar!$C$16,0)))))))</f>
        <v/>
      </c>
      <c r="U237" s="9">
        <v>1</v>
      </c>
      <c r="V237" s="10" t="s">
        <v>23</v>
      </c>
      <c r="W237" s="11">
        <v>1</v>
      </c>
      <c r="X237" s="60" t="str">
        <f>IF(OR($E237="",$G237=""),"",IF(AND(U237=$E237,W237=$G237),Auxiliar!$C$11,IF(AND(SIGN($E237-$G237)=SIGN(U237-W237),MAX($E237,$G237)=MAX(U237,W237)),Auxiliar!$C$12,IF(ABS($E237-$G237)=ABS(U237-W237),Auxiliar!$C$13,IF(AND(SIGN($E237-$G237)=SIGN(U237-W237),MIN($E237,$G237)=MIN(U237,W237)),Auxiliar!$C$14,IF(SIGN($E237-$G237)=SIGN(U237-W237),Auxiliar!$C$15,IF(U237=W237,Auxiliar!$C$16,0)))))))</f>
        <v/>
      </c>
      <c r="Z237" s="9">
        <v>3</v>
      </c>
      <c r="AA237" s="10" t="s">
        <v>23</v>
      </c>
      <c r="AB237" s="11">
        <v>0</v>
      </c>
      <c r="AC237" s="60" t="str">
        <f>IF(OR($E237="",$G237=""),"",IF(AND(Z237=$E237,AB237=$G237),Auxiliar!$C$11,IF(AND(SIGN($E237-$G237)=SIGN(Z237-AB237),MAX($E237,$G237)=MAX(Z237,AB237)),Auxiliar!$C$12,IF(ABS($E237-$G237)=ABS(Z237-AB237),Auxiliar!$C$13,IF(AND(SIGN($E237-$G237)=SIGN(Z237-AB237),MIN($E237,$G237)=MIN(Z237,AB237)),Auxiliar!$C$14,IF(SIGN($E237-$G237)=SIGN(Z237-AB237),Auxiliar!$C$15,IF(Z237=AB237,Auxiliar!$C$16,0)))))))</f>
        <v/>
      </c>
      <c r="AE237" s="9">
        <v>0</v>
      </c>
      <c r="AF237" s="10" t="s">
        <v>23</v>
      </c>
      <c r="AG237" s="11">
        <v>5</v>
      </c>
      <c r="AH237" s="60" t="str">
        <f>IF(OR($E237="",$G237=""),"",IF(AND(AE237=$E237,AG237=$G237),Auxiliar!$C$11,IF(AND(SIGN($E237-$G237)=SIGN(AE237-AG237),MAX($E237,$G237)=MAX(AE237,AG237)),Auxiliar!$C$12,IF(ABS($E237-$G237)=ABS(AE237-AG237),Auxiliar!$C$13,IF(AND(SIGN($E237-$G237)=SIGN(AE237-AG237),MIN($E237,$G237)=MIN(AE237,AG237)),Auxiliar!$C$14,IF(SIGN($E237-$G237)=SIGN(AE237-AG237),Auxiliar!$C$15,IF(AE237=AG237,Auxiliar!$C$16,0)))))))</f>
        <v/>
      </c>
    </row>
    <row r="238" spans="3:34" x14ac:dyDescent="0.25">
      <c r="C238" s="24">
        <f t="shared" si="3"/>
        <v>22</v>
      </c>
      <c r="D238" s="18"/>
      <c r="E238" s="13"/>
      <c r="F238" s="12" t="s">
        <v>23</v>
      </c>
      <c r="G238" s="13"/>
      <c r="H238" s="14"/>
      <c r="K238" s="9">
        <v>1</v>
      </c>
      <c r="L238" s="10" t="s">
        <v>23</v>
      </c>
      <c r="M238" s="11">
        <v>1</v>
      </c>
      <c r="N238" s="60" t="str">
        <f>IF(OR($E238="",$G238=""),"",IF(AND(K238=$E238,M238=$G238),Auxiliar!$C$11,IF(AND(SIGN($E238-$G238)=SIGN(K238-M238),MAX($E238,$G238)=MAX(K238,M238)),Auxiliar!$C$12,IF(ABS($E238-$G238)=ABS(K238-M238),Auxiliar!$C$13,IF(AND(SIGN($E238-$G238)=SIGN(K238-M238),MIN($E238,$G238)=MIN(K238,M238)),Auxiliar!$C$14,IF(SIGN($E238-$G238)=SIGN(K238-M238),Auxiliar!$C$15,IF(K238=M238,Auxiliar!$C$16,0)))))))</f>
        <v/>
      </c>
      <c r="P238" s="9">
        <v>4</v>
      </c>
      <c r="Q238" s="10" t="s">
        <v>23</v>
      </c>
      <c r="R238" s="11">
        <v>4</v>
      </c>
      <c r="S238" s="60" t="str">
        <f>IF(OR($E238="",$G238=""),"",IF(AND(P238=$E238,R238=$G238),Auxiliar!$C$11,IF(AND(SIGN($E238-$G238)=SIGN(P238-R238),MAX($E238,$G238)=MAX(P238,R238)),Auxiliar!$C$12,IF(ABS($E238-$G238)=ABS(P238-R238),Auxiliar!$C$13,IF(AND(SIGN($E238-$G238)=SIGN(P238-R238),MIN($E238,$G238)=MIN(P238,R238)),Auxiliar!$C$14,IF(SIGN($E238-$G238)=SIGN(P238-R238),Auxiliar!$C$15,IF(P238=R238,Auxiliar!$C$16,0)))))))</f>
        <v/>
      </c>
      <c r="U238" s="9">
        <v>4</v>
      </c>
      <c r="V238" s="10" t="s">
        <v>23</v>
      </c>
      <c r="W238" s="11">
        <v>1</v>
      </c>
      <c r="X238" s="60" t="str">
        <f>IF(OR($E238="",$G238=""),"",IF(AND(U238=$E238,W238=$G238),Auxiliar!$C$11,IF(AND(SIGN($E238-$G238)=SIGN(U238-W238),MAX($E238,$G238)=MAX(U238,W238)),Auxiliar!$C$12,IF(ABS($E238-$G238)=ABS(U238-W238),Auxiliar!$C$13,IF(AND(SIGN($E238-$G238)=SIGN(U238-W238),MIN($E238,$G238)=MIN(U238,W238)),Auxiliar!$C$14,IF(SIGN($E238-$G238)=SIGN(U238-W238),Auxiliar!$C$15,IF(U238=W238,Auxiliar!$C$16,0)))))))</f>
        <v/>
      </c>
      <c r="Z238" s="9">
        <v>3</v>
      </c>
      <c r="AA238" s="10" t="s">
        <v>23</v>
      </c>
      <c r="AB238" s="11">
        <v>1</v>
      </c>
      <c r="AC238" s="60" t="str">
        <f>IF(OR($E238="",$G238=""),"",IF(AND(Z238=$E238,AB238=$G238),Auxiliar!$C$11,IF(AND(SIGN($E238-$G238)=SIGN(Z238-AB238),MAX($E238,$G238)=MAX(Z238,AB238)),Auxiliar!$C$12,IF(ABS($E238-$G238)=ABS(Z238-AB238),Auxiliar!$C$13,IF(AND(SIGN($E238-$G238)=SIGN(Z238-AB238),MIN($E238,$G238)=MIN(Z238,AB238)),Auxiliar!$C$14,IF(SIGN($E238-$G238)=SIGN(Z238-AB238),Auxiliar!$C$15,IF(Z238=AB238,Auxiliar!$C$16,0)))))))</f>
        <v/>
      </c>
      <c r="AE238" s="9">
        <v>0</v>
      </c>
      <c r="AF238" s="10" t="s">
        <v>23</v>
      </c>
      <c r="AG238" s="11">
        <v>1</v>
      </c>
      <c r="AH238" s="60" t="str">
        <f>IF(OR($E238="",$G238=""),"",IF(AND(AE238=$E238,AG238=$G238),Auxiliar!$C$11,IF(AND(SIGN($E238-$G238)=SIGN(AE238-AG238),MAX($E238,$G238)=MAX(AE238,AG238)),Auxiliar!$C$12,IF(ABS($E238-$G238)=ABS(AE238-AG238),Auxiliar!$C$13,IF(AND(SIGN($E238-$G238)=SIGN(AE238-AG238),MIN($E238,$G238)=MIN(AE238,AG238)),Auxiliar!$C$14,IF(SIGN($E238-$G238)=SIGN(AE238-AG238),Auxiliar!$C$15,IF(AE238=AG238,Auxiliar!$C$16,0)))))))</f>
        <v/>
      </c>
    </row>
    <row r="239" spans="3:34" x14ac:dyDescent="0.25">
      <c r="C239" s="24">
        <f t="shared" si="3"/>
        <v>23</v>
      </c>
      <c r="D239" s="18"/>
      <c r="E239" s="13"/>
      <c r="F239" s="12" t="s">
        <v>23</v>
      </c>
      <c r="G239" s="13"/>
      <c r="H239" s="14"/>
      <c r="K239" s="9">
        <v>2</v>
      </c>
      <c r="L239" s="10" t="s">
        <v>23</v>
      </c>
      <c r="M239" s="11">
        <v>5</v>
      </c>
      <c r="N239" s="60" t="str">
        <f>IF(OR($E239="",$G239=""),"",IF(AND(K239=$E239,M239=$G239),Auxiliar!$C$11,IF(AND(SIGN($E239-$G239)=SIGN(K239-M239),MAX($E239,$G239)=MAX(K239,M239)),Auxiliar!$C$12,IF(ABS($E239-$G239)=ABS(K239-M239),Auxiliar!$C$13,IF(AND(SIGN($E239-$G239)=SIGN(K239-M239),MIN($E239,$G239)=MIN(K239,M239)),Auxiliar!$C$14,IF(SIGN($E239-$G239)=SIGN(K239-M239),Auxiliar!$C$15,IF(K239=M239,Auxiliar!$C$16,0)))))))</f>
        <v/>
      </c>
      <c r="P239" s="9">
        <v>0</v>
      </c>
      <c r="Q239" s="10" t="s">
        <v>23</v>
      </c>
      <c r="R239" s="11">
        <v>1</v>
      </c>
      <c r="S239" s="60" t="str">
        <f>IF(OR($E239="",$G239=""),"",IF(AND(P239=$E239,R239=$G239),Auxiliar!$C$11,IF(AND(SIGN($E239-$G239)=SIGN(P239-R239),MAX($E239,$G239)=MAX(P239,R239)),Auxiliar!$C$12,IF(ABS($E239-$G239)=ABS(P239-R239),Auxiliar!$C$13,IF(AND(SIGN($E239-$G239)=SIGN(P239-R239),MIN($E239,$G239)=MIN(P239,R239)),Auxiliar!$C$14,IF(SIGN($E239-$G239)=SIGN(P239-R239),Auxiliar!$C$15,IF(P239=R239,Auxiliar!$C$16,0)))))))</f>
        <v/>
      </c>
      <c r="U239" s="9">
        <v>3</v>
      </c>
      <c r="V239" s="10" t="s">
        <v>23</v>
      </c>
      <c r="W239" s="11">
        <v>1</v>
      </c>
      <c r="X239" s="60" t="str">
        <f>IF(OR($E239="",$G239=""),"",IF(AND(U239=$E239,W239=$G239),Auxiliar!$C$11,IF(AND(SIGN($E239-$G239)=SIGN(U239-W239),MAX($E239,$G239)=MAX(U239,W239)),Auxiliar!$C$12,IF(ABS($E239-$G239)=ABS(U239-W239),Auxiliar!$C$13,IF(AND(SIGN($E239-$G239)=SIGN(U239-W239),MIN($E239,$G239)=MIN(U239,W239)),Auxiliar!$C$14,IF(SIGN($E239-$G239)=SIGN(U239-W239),Auxiliar!$C$15,IF(U239=W239,Auxiliar!$C$16,0)))))))</f>
        <v/>
      </c>
      <c r="Z239" s="9">
        <v>0</v>
      </c>
      <c r="AA239" s="10" t="s">
        <v>23</v>
      </c>
      <c r="AB239" s="11">
        <v>2</v>
      </c>
      <c r="AC239" s="60" t="str">
        <f>IF(OR($E239="",$G239=""),"",IF(AND(Z239=$E239,AB239=$G239),Auxiliar!$C$11,IF(AND(SIGN($E239-$G239)=SIGN(Z239-AB239),MAX($E239,$G239)=MAX(Z239,AB239)),Auxiliar!$C$12,IF(ABS($E239-$G239)=ABS(Z239-AB239),Auxiliar!$C$13,IF(AND(SIGN($E239-$G239)=SIGN(Z239-AB239),MIN($E239,$G239)=MIN(Z239,AB239)),Auxiliar!$C$14,IF(SIGN($E239-$G239)=SIGN(Z239-AB239),Auxiliar!$C$15,IF(Z239=AB239,Auxiliar!$C$16,0)))))))</f>
        <v/>
      </c>
      <c r="AE239" s="9">
        <v>3</v>
      </c>
      <c r="AF239" s="10" t="s">
        <v>23</v>
      </c>
      <c r="AG239" s="11">
        <v>0</v>
      </c>
      <c r="AH239" s="60" t="str">
        <f>IF(OR($E239="",$G239=""),"",IF(AND(AE239=$E239,AG239=$G239),Auxiliar!$C$11,IF(AND(SIGN($E239-$G239)=SIGN(AE239-AG239),MAX($E239,$G239)=MAX(AE239,AG239)),Auxiliar!$C$12,IF(ABS($E239-$G239)=ABS(AE239-AG239),Auxiliar!$C$13,IF(AND(SIGN($E239-$G239)=SIGN(AE239-AG239),MIN($E239,$G239)=MIN(AE239,AG239)),Auxiliar!$C$14,IF(SIGN($E239-$G239)=SIGN(AE239-AG239),Auxiliar!$C$15,IF(AE239=AG239,Auxiliar!$C$16,0)))))))</f>
        <v/>
      </c>
    </row>
    <row r="240" spans="3:34" x14ac:dyDescent="0.25">
      <c r="C240" s="24">
        <f t="shared" si="3"/>
        <v>23</v>
      </c>
      <c r="D240" s="18"/>
      <c r="E240" s="13"/>
      <c r="F240" s="12" t="s">
        <v>23</v>
      </c>
      <c r="G240" s="13"/>
      <c r="H240" s="14"/>
      <c r="K240" s="9">
        <v>5</v>
      </c>
      <c r="L240" s="10" t="s">
        <v>23</v>
      </c>
      <c r="M240" s="11">
        <v>3</v>
      </c>
      <c r="N240" s="60" t="str">
        <f>IF(OR($E240="",$G240=""),"",IF(AND(K240=$E240,M240=$G240),Auxiliar!$C$11,IF(AND(SIGN($E240-$G240)=SIGN(K240-M240),MAX($E240,$G240)=MAX(K240,M240)),Auxiliar!$C$12,IF(ABS($E240-$G240)=ABS(K240-M240),Auxiliar!$C$13,IF(AND(SIGN($E240-$G240)=SIGN(K240-M240),MIN($E240,$G240)=MIN(K240,M240)),Auxiliar!$C$14,IF(SIGN($E240-$G240)=SIGN(K240-M240),Auxiliar!$C$15,IF(K240=M240,Auxiliar!$C$16,0)))))))</f>
        <v/>
      </c>
      <c r="P240" s="9">
        <v>0</v>
      </c>
      <c r="Q240" s="10" t="s">
        <v>23</v>
      </c>
      <c r="R240" s="11">
        <v>1</v>
      </c>
      <c r="S240" s="60" t="str">
        <f>IF(OR($E240="",$G240=""),"",IF(AND(P240=$E240,R240=$G240),Auxiliar!$C$11,IF(AND(SIGN($E240-$G240)=SIGN(P240-R240),MAX($E240,$G240)=MAX(P240,R240)),Auxiliar!$C$12,IF(ABS($E240-$G240)=ABS(P240-R240),Auxiliar!$C$13,IF(AND(SIGN($E240-$G240)=SIGN(P240-R240),MIN($E240,$G240)=MIN(P240,R240)),Auxiliar!$C$14,IF(SIGN($E240-$G240)=SIGN(P240-R240),Auxiliar!$C$15,IF(P240=R240,Auxiliar!$C$16,0)))))))</f>
        <v/>
      </c>
      <c r="U240" s="9">
        <v>1</v>
      </c>
      <c r="V240" s="10" t="s">
        <v>23</v>
      </c>
      <c r="W240" s="11">
        <v>0</v>
      </c>
      <c r="X240" s="60" t="str">
        <f>IF(OR($E240="",$G240=""),"",IF(AND(U240=$E240,W240=$G240),Auxiliar!$C$11,IF(AND(SIGN($E240-$G240)=SIGN(U240-W240),MAX($E240,$G240)=MAX(U240,W240)),Auxiliar!$C$12,IF(ABS($E240-$G240)=ABS(U240-W240),Auxiliar!$C$13,IF(AND(SIGN($E240-$G240)=SIGN(U240-W240),MIN($E240,$G240)=MIN(U240,W240)),Auxiliar!$C$14,IF(SIGN($E240-$G240)=SIGN(U240-W240),Auxiliar!$C$15,IF(U240=W240,Auxiliar!$C$16,0)))))))</f>
        <v/>
      </c>
      <c r="Z240" s="9">
        <v>0</v>
      </c>
      <c r="AA240" s="10" t="s">
        <v>23</v>
      </c>
      <c r="AB240" s="11">
        <v>2</v>
      </c>
      <c r="AC240" s="60" t="str">
        <f>IF(OR($E240="",$G240=""),"",IF(AND(Z240=$E240,AB240=$G240),Auxiliar!$C$11,IF(AND(SIGN($E240-$G240)=SIGN(Z240-AB240),MAX($E240,$G240)=MAX(Z240,AB240)),Auxiliar!$C$12,IF(ABS($E240-$G240)=ABS(Z240-AB240),Auxiliar!$C$13,IF(AND(SIGN($E240-$G240)=SIGN(Z240-AB240),MIN($E240,$G240)=MIN(Z240,AB240)),Auxiliar!$C$14,IF(SIGN($E240-$G240)=SIGN(Z240-AB240),Auxiliar!$C$15,IF(Z240=AB240,Auxiliar!$C$16,0)))))))</f>
        <v/>
      </c>
      <c r="AE240" s="9">
        <v>2</v>
      </c>
      <c r="AF240" s="10" t="s">
        <v>23</v>
      </c>
      <c r="AG240" s="11">
        <v>1</v>
      </c>
      <c r="AH240" s="60" t="str">
        <f>IF(OR($E240="",$G240=""),"",IF(AND(AE240=$E240,AG240=$G240),Auxiliar!$C$11,IF(AND(SIGN($E240-$G240)=SIGN(AE240-AG240),MAX($E240,$G240)=MAX(AE240,AG240)),Auxiliar!$C$12,IF(ABS($E240-$G240)=ABS(AE240-AG240),Auxiliar!$C$13,IF(AND(SIGN($E240-$G240)=SIGN(AE240-AG240),MIN($E240,$G240)=MIN(AE240,AG240)),Auxiliar!$C$14,IF(SIGN($E240-$G240)=SIGN(AE240-AG240),Auxiliar!$C$15,IF(AE240=AG240,Auxiliar!$C$16,0)))))))</f>
        <v/>
      </c>
    </row>
    <row r="241" spans="3:34" x14ac:dyDescent="0.25">
      <c r="C241" s="24">
        <f t="shared" si="3"/>
        <v>23</v>
      </c>
      <c r="D241" s="18"/>
      <c r="E241" s="13"/>
      <c r="F241" s="12" t="s">
        <v>23</v>
      </c>
      <c r="G241" s="13"/>
      <c r="H241" s="14"/>
      <c r="K241" s="9">
        <v>0</v>
      </c>
      <c r="L241" s="10" t="s">
        <v>23</v>
      </c>
      <c r="M241" s="11">
        <v>3</v>
      </c>
      <c r="N241" s="60" t="str">
        <f>IF(OR($E241="",$G241=""),"",IF(AND(K241=$E241,M241=$G241),Auxiliar!$C$11,IF(AND(SIGN($E241-$G241)=SIGN(K241-M241),MAX($E241,$G241)=MAX(K241,M241)),Auxiliar!$C$12,IF(ABS($E241-$G241)=ABS(K241-M241),Auxiliar!$C$13,IF(AND(SIGN($E241-$G241)=SIGN(K241-M241),MIN($E241,$G241)=MIN(K241,M241)),Auxiliar!$C$14,IF(SIGN($E241-$G241)=SIGN(K241-M241),Auxiliar!$C$15,IF(K241=M241,Auxiliar!$C$16,0)))))))</f>
        <v/>
      </c>
      <c r="P241" s="9">
        <v>3</v>
      </c>
      <c r="Q241" s="10" t="s">
        <v>23</v>
      </c>
      <c r="R241" s="11">
        <v>5</v>
      </c>
      <c r="S241" s="60" t="str">
        <f>IF(OR($E241="",$G241=""),"",IF(AND(P241=$E241,R241=$G241),Auxiliar!$C$11,IF(AND(SIGN($E241-$G241)=SIGN(P241-R241),MAX($E241,$G241)=MAX(P241,R241)),Auxiliar!$C$12,IF(ABS($E241-$G241)=ABS(P241-R241),Auxiliar!$C$13,IF(AND(SIGN($E241-$G241)=SIGN(P241-R241),MIN($E241,$G241)=MIN(P241,R241)),Auxiliar!$C$14,IF(SIGN($E241-$G241)=SIGN(P241-R241),Auxiliar!$C$15,IF(P241=R241,Auxiliar!$C$16,0)))))))</f>
        <v/>
      </c>
      <c r="U241" s="9">
        <v>4</v>
      </c>
      <c r="V241" s="10" t="s">
        <v>23</v>
      </c>
      <c r="W241" s="11">
        <v>2</v>
      </c>
      <c r="X241" s="60" t="str">
        <f>IF(OR($E241="",$G241=""),"",IF(AND(U241=$E241,W241=$G241),Auxiliar!$C$11,IF(AND(SIGN($E241-$G241)=SIGN(U241-W241),MAX($E241,$G241)=MAX(U241,W241)),Auxiliar!$C$12,IF(ABS($E241-$G241)=ABS(U241-W241),Auxiliar!$C$13,IF(AND(SIGN($E241-$G241)=SIGN(U241-W241),MIN($E241,$G241)=MIN(U241,W241)),Auxiliar!$C$14,IF(SIGN($E241-$G241)=SIGN(U241-W241),Auxiliar!$C$15,IF(U241=W241,Auxiliar!$C$16,0)))))))</f>
        <v/>
      </c>
      <c r="Z241" s="9">
        <v>5</v>
      </c>
      <c r="AA241" s="10" t="s">
        <v>23</v>
      </c>
      <c r="AB241" s="11">
        <v>0</v>
      </c>
      <c r="AC241" s="60" t="str">
        <f>IF(OR($E241="",$G241=""),"",IF(AND(Z241=$E241,AB241=$G241),Auxiliar!$C$11,IF(AND(SIGN($E241-$G241)=SIGN(Z241-AB241),MAX($E241,$G241)=MAX(Z241,AB241)),Auxiliar!$C$12,IF(ABS($E241-$G241)=ABS(Z241-AB241),Auxiliar!$C$13,IF(AND(SIGN($E241-$G241)=SIGN(Z241-AB241),MIN($E241,$G241)=MIN(Z241,AB241)),Auxiliar!$C$14,IF(SIGN($E241-$G241)=SIGN(Z241-AB241),Auxiliar!$C$15,IF(Z241=AB241,Auxiliar!$C$16,0)))))))</f>
        <v/>
      </c>
      <c r="AE241" s="9">
        <v>3</v>
      </c>
      <c r="AF241" s="10" t="s">
        <v>23</v>
      </c>
      <c r="AG241" s="11">
        <v>4</v>
      </c>
      <c r="AH241" s="60" t="str">
        <f>IF(OR($E241="",$G241=""),"",IF(AND(AE241=$E241,AG241=$G241),Auxiliar!$C$11,IF(AND(SIGN($E241-$G241)=SIGN(AE241-AG241),MAX($E241,$G241)=MAX(AE241,AG241)),Auxiliar!$C$12,IF(ABS($E241-$G241)=ABS(AE241-AG241),Auxiliar!$C$13,IF(AND(SIGN($E241-$G241)=SIGN(AE241-AG241),MIN($E241,$G241)=MIN(AE241,AG241)),Auxiliar!$C$14,IF(SIGN($E241-$G241)=SIGN(AE241-AG241),Auxiliar!$C$15,IF(AE241=AG241,Auxiliar!$C$16,0)))))))</f>
        <v/>
      </c>
    </row>
    <row r="242" spans="3:34" x14ac:dyDescent="0.25">
      <c r="C242" s="24">
        <f t="shared" si="3"/>
        <v>23</v>
      </c>
      <c r="D242" s="18"/>
      <c r="E242" s="13"/>
      <c r="F242" s="12" t="s">
        <v>23</v>
      </c>
      <c r="G242" s="13"/>
      <c r="H242" s="14"/>
      <c r="K242" s="9">
        <v>2</v>
      </c>
      <c r="L242" s="10" t="s">
        <v>23</v>
      </c>
      <c r="M242" s="11">
        <v>0</v>
      </c>
      <c r="N242" s="60" t="str">
        <f>IF(OR($E242="",$G242=""),"",IF(AND(K242=$E242,M242=$G242),Auxiliar!$C$11,IF(AND(SIGN($E242-$G242)=SIGN(K242-M242),MAX($E242,$G242)=MAX(K242,M242)),Auxiliar!$C$12,IF(ABS($E242-$G242)=ABS(K242-M242),Auxiliar!$C$13,IF(AND(SIGN($E242-$G242)=SIGN(K242-M242),MIN($E242,$G242)=MIN(K242,M242)),Auxiliar!$C$14,IF(SIGN($E242-$G242)=SIGN(K242-M242),Auxiliar!$C$15,IF(K242=M242,Auxiliar!$C$16,0)))))))</f>
        <v/>
      </c>
      <c r="P242" s="9">
        <v>3</v>
      </c>
      <c r="Q242" s="10" t="s">
        <v>23</v>
      </c>
      <c r="R242" s="11">
        <v>2</v>
      </c>
      <c r="S242" s="60" t="str">
        <f>IF(OR($E242="",$G242=""),"",IF(AND(P242=$E242,R242=$G242),Auxiliar!$C$11,IF(AND(SIGN($E242-$G242)=SIGN(P242-R242),MAX($E242,$G242)=MAX(P242,R242)),Auxiliar!$C$12,IF(ABS($E242-$G242)=ABS(P242-R242),Auxiliar!$C$13,IF(AND(SIGN($E242-$G242)=SIGN(P242-R242),MIN($E242,$G242)=MIN(P242,R242)),Auxiliar!$C$14,IF(SIGN($E242-$G242)=SIGN(P242-R242),Auxiliar!$C$15,IF(P242=R242,Auxiliar!$C$16,0)))))))</f>
        <v/>
      </c>
      <c r="U242" s="9">
        <v>2</v>
      </c>
      <c r="V242" s="10" t="s">
        <v>23</v>
      </c>
      <c r="W242" s="11">
        <v>0</v>
      </c>
      <c r="X242" s="60" t="str">
        <f>IF(OR($E242="",$G242=""),"",IF(AND(U242=$E242,W242=$G242),Auxiliar!$C$11,IF(AND(SIGN($E242-$G242)=SIGN(U242-W242),MAX($E242,$G242)=MAX(U242,W242)),Auxiliar!$C$12,IF(ABS($E242-$G242)=ABS(U242-W242),Auxiliar!$C$13,IF(AND(SIGN($E242-$G242)=SIGN(U242-W242),MIN($E242,$G242)=MIN(U242,W242)),Auxiliar!$C$14,IF(SIGN($E242-$G242)=SIGN(U242-W242),Auxiliar!$C$15,IF(U242=W242,Auxiliar!$C$16,0)))))))</f>
        <v/>
      </c>
      <c r="Z242" s="9">
        <v>0</v>
      </c>
      <c r="AA242" s="10" t="s">
        <v>23</v>
      </c>
      <c r="AB242" s="11">
        <v>4</v>
      </c>
      <c r="AC242" s="60" t="str">
        <f>IF(OR($E242="",$G242=""),"",IF(AND(Z242=$E242,AB242=$G242),Auxiliar!$C$11,IF(AND(SIGN($E242-$G242)=SIGN(Z242-AB242),MAX($E242,$G242)=MAX(Z242,AB242)),Auxiliar!$C$12,IF(ABS($E242-$G242)=ABS(Z242-AB242),Auxiliar!$C$13,IF(AND(SIGN($E242-$G242)=SIGN(Z242-AB242),MIN($E242,$G242)=MIN(Z242,AB242)),Auxiliar!$C$14,IF(SIGN($E242-$G242)=SIGN(Z242-AB242),Auxiliar!$C$15,IF(Z242=AB242,Auxiliar!$C$16,0)))))))</f>
        <v/>
      </c>
      <c r="AE242" s="9">
        <v>3</v>
      </c>
      <c r="AF242" s="10" t="s">
        <v>23</v>
      </c>
      <c r="AG242" s="11">
        <v>4</v>
      </c>
      <c r="AH242" s="60" t="str">
        <f>IF(OR($E242="",$G242=""),"",IF(AND(AE242=$E242,AG242=$G242),Auxiliar!$C$11,IF(AND(SIGN($E242-$G242)=SIGN(AE242-AG242),MAX($E242,$G242)=MAX(AE242,AG242)),Auxiliar!$C$12,IF(ABS($E242-$G242)=ABS(AE242-AG242),Auxiliar!$C$13,IF(AND(SIGN($E242-$G242)=SIGN(AE242-AG242),MIN($E242,$G242)=MIN(AE242,AG242)),Auxiliar!$C$14,IF(SIGN($E242-$G242)=SIGN(AE242-AG242),Auxiliar!$C$15,IF(AE242=AG242,Auxiliar!$C$16,0)))))))</f>
        <v/>
      </c>
    </row>
    <row r="243" spans="3:34" x14ac:dyDescent="0.25">
      <c r="C243" s="24">
        <f t="shared" si="3"/>
        <v>23</v>
      </c>
      <c r="D243" s="18"/>
      <c r="E243" s="13"/>
      <c r="F243" s="12" t="s">
        <v>23</v>
      </c>
      <c r="G243" s="13"/>
      <c r="H243" s="14"/>
      <c r="K243" s="9">
        <v>3</v>
      </c>
      <c r="L243" s="10" t="s">
        <v>23</v>
      </c>
      <c r="M243" s="11">
        <v>2</v>
      </c>
      <c r="N243" s="60" t="str">
        <f>IF(OR($E243="",$G243=""),"",IF(AND(K243=$E243,M243=$G243),Auxiliar!$C$11,IF(AND(SIGN($E243-$G243)=SIGN(K243-M243),MAX($E243,$G243)=MAX(K243,M243)),Auxiliar!$C$12,IF(ABS($E243-$G243)=ABS(K243-M243),Auxiliar!$C$13,IF(AND(SIGN($E243-$G243)=SIGN(K243-M243),MIN($E243,$G243)=MIN(K243,M243)),Auxiliar!$C$14,IF(SIGN($E243-$G243)=SIGN(K243-M243),Auxiliar!$C$15,IF(K243=M243,Auxiliar!$C$16,0)))))))</f>
        <v/>
      </c>
      <c r="P243" s="9">
        <v>5</v>
      </c>
      <c r="Q243" s="10" t="s">
        <v>23</v>
      </c>
      <c r="R243" s="11">
        <v>5</v>
      </c>
      <c r="S243" s="60" t="str">
        <f>IF(OR($E243="",$G243=""),"",IF(AND(P243=$E243,R243=$G243),Auxiliar!$C$11,IF(AND(SIGN($E243-$G243)=SIGN(P243-R243),MAX($E243,$G243)=MAX(P243,R243)),Auxiliar!$C$12,IF(ABS($E243-$G243)=ABS(P243-R243),Auxiliar!$C$13,IF(AND(SIGN($E243-$G243)=SIGN(P243-R243),MIN($E243,$G243)=MIN(P243,R243)),Auxiliar!$C$14,IF(SIGN($E243-$G243)=SIGN(P243-R243),Auxiliar!$C$15,IF(P243=R243,Auxiliar!$C$16,0)))))))</f>
        <v/>
      </c>
      <c r="U243" s="9">
        <v>3</v>
      </c>
      <c r="V243" s="10" t="s">
        <v>23</v>
      </c>
      <c r="W243" s="11">
        <v>0</v>
      </c>
      <c r="X243" s="60" t="str">
        <f>IF(OR($E243="",$G243=""),"",IF(AND(U243=$E243,W243=$G243),Auxiliar!$C$11,IF(AND(SIGN($E243-$G243)=SIGN(U243-W243),MAX($E243,$G243)=MAX(U243,W243)),Auxiliar!$C$12,IF(ABS($E243-$G243)=ABS(U243-W243),Auxiliar!$C$13,IF(AND(SIGN($E243-$G243)=SIGN(U243-W243),MIN($E243,$G243)=MIN(U243,W243)),Auxiliar!$C$14,IF(SIGN($E243-$G243)=SIGN(U243-W243),Auxiliar!$C$15,IF(U243=W243,Auxiliar!$C$16,0)))))))</f>
        <v/>
      </c>
      <c r="Z243" s="9">
        <v>0</v>
      </c>
      <c r="AA243" s="10" t="s">
        <v>23</v>
      </c>
      <c r="AB243" s="11">
        <v>5</v>
      </c>
      <c r="AC243" s="60" t="str">
        <f>IF(OR($E243="",$G243=""),"",IF(AND(Z243=$E243,AB243=$G243),Auxiliar!$C$11,IF(AND(SIGN($E243-$G243)=SIGN(Z243-AB243),MAX($E243,$G243)=MAX(Z243,AB243)),Auxiliar!$C$12,IF(ABS($E243-$G243)=ABS(Z243-AB243),Auxiliar!$C$13,IF(AND(SIGN($E243-$G243)=SIGN(Z243-AB243),MIN($E243,$G243)=MIN(Z243,AB243)),Auxiliar!$C$14,IF(SIGN($E243-$G243)=SIGN(Z243-AB243),Auxiliar!$C$15,IF(Z243=AB243,Auxiliar!$C$16,0)))))))</f>
        <v/>
      </c>
      <c r="AE243" s="9">
        <v>0</v>
      </c>
      <c r="AF243" s="10" t="s">
        <v>23</v>
      </c>
      <c r="AG243" s="11">
        <v>5</v>
      </c>
      <c r="AH243" s="60" t="str">
        <f>IF(OR($E243="",$G243=""),"",IF(AND(AE243=$E243,AG243=$G243),Auxiliar!$C$11,IF(AND(SIGN($E243-$G243)=SIGN(AE243-AG243),MAX($E243,$G243)=MAX(AE243,AG243)),Auxiliar!$C$12,IF(ABS($E243-$G243)=ABS(AE243-AG243),Auxiliar!$C$13,IF(AND(SIGN($E243-$G243)=SIGN(AE243-AG243),MIN($E243,$G243)=MIN(AE243,AG243)),Auxiliar!$C$14,IF(SIGN($E243-$G243)=SIGN(AE243-AG243),Auxiliar!$C$15,IF(AE243=AG243,Auxiliar!$C$16,0)))))))</f>
        <v/>
      </c>
    </row>
    <row r="244" spans="3:34" x14ac:dyDescent="0.25">
      <c r="C244" s="24">
        <f t="shared" si="3"/>
        <v>23</v>
      </c>
      <c r="D244" s="18"/>
      <c r="E244" s="13"/>
      <c r="F244" s="12" t="s">
        <v>23</v>
      </c>
      <c r="G244" s="13"/>
      <c r="H244" s="14"/>
      <c r="K244" s="9">
        <v>2</v>
      </c>
      <c r="L244" s="10" t="s">
        <v>23</v>
      </c>
      <c r="M244" s="11">
        <v>4</v>
      </c>
      <c r="N244" s="60" t="str">
        <f>IF(OR($E244="",$G244=""),"",IF(AND(K244=$E244,M244=$G244),Auxiliar!$C$11,IF(AND(SIGN($E244-$G244)=SIGN(K244-M244),MAX($E244,$G244)=MAX(K244,M244)),Auxiliar!$C$12,IF(ABS($E244-$G244)=ABS(K244-M244),Auxiliar!$C$13,IF(AND(SIGN($E244-$G244)=SIGN(K244-M244),MIN($E244,$G244)=MIN(K244,M244)),Auxiliar!$C$14,IF(SIGN($E244-$G244)=SIGN(K244-M244),Auxiliar!$C$15,IF(K244=M244,Auxiliar!$C$16,0)))))))</f>
        <v/>
      </c>
      <c r="P244" s="9">
        <v>3</v>
      </c>
      <c r="Q244" s="10" t="s">
        <v>23</v>
      </c>
      <c r="R244" s="11">
        <v>2</v>
      </c>
      <c r="S244" s="60" t="str">
        <f>IF(OR($E244="",$G244=""),"",IF(AND(P244=$E244,R244=$G244),Auxiliar!$C$11,IF(AND(SIGN($E244-$G244)=SIGN(P244-R244),MAX($E244,$G244)=MAX(P244,R244)),Auxiliar!$C$12,IF(ABS($E244-$G244)=ABS(P244-R244),Auxiliar!$C$13,IF(AND(SIGN($E244-$G244)=SIGN(P244-R244),MIN($E244,$G244)=MIN(P244,R244)),Auxiliar!$C$14,IF(SIGN($E244-$G244)=SIGN(P244-R244),Auxiliar!$C$15,IF(P244=R244,Auxiliar!$C$16,0)))))))</f>
        <v/>
      </c>
      <c r="U244" s="9">
        <v>3</v>
      </c>
      <c r="V244" s="10" t="s">
        <v>23</v>
      </c>
      <c r="W244" s="11">
        <v>3</v>
      </c>
      <c r="X244" s="60" t="str">
        <f>IF(OR($E244="",$G244=""),"",IF(AND(U244=$E244,W244=$G244),Auxiliar!$C$11,IF(AND(SIGN($E244-$G244)=SIGN(U244-W244),MAX($E244,$G244)=MAX(U244,W244)),Auxiliar!$C$12,IF(ABS($E244-$G244)=ABS(U244-W244),Auxiliar!$C$13,IF(AND(SIGN($E244-$G244)=SIGN(U244-W244),MIN($E244,$G244)=MIN(U244,W244)),Auxiliar!$C$14,IF(SIGN($E244-$G244)=SIGN(U244-W244),Auxiliar!$C$15,IF(U244=W244,Auxiliar!$C$16,0)))))))</f>
        <v/>
      </c>
      <c r="Z244" s="9">
        <v>4</v>
      </c>
      <c r="AA244" s="10" t="s">
        <v>23</v>
      </c>
      <c r="AB244" s="11">
        <v>0</v>
      </c>
      <c r="AC244" s="60" t="str">
        <f>IF(OR($E244="",$G244=""),"",IF(AND(Z244=$E244,AB244=$G244),Auxiliar!$C$11,IF(AND(SIGN($E244-$G244)=SIGN(Z244-AB244),MAX($E244,$G244)=MAX(Z244,AB244)),Auxiliar!$C$12,IF(ABS($E244-$G244)=ABS(Z244-AB244),Auxiliar!$C$13,IF(AND(SIGN($E244-$G244)=SIGN(Z244-AB244),MIN($E244,$G244)=MIN(Z244,AB244)),Auxiliar!$C$14,IF(SIGN($E244-$G244)=SIGN(Z244-AB244),Auxiliar!$C$15,IF(Z244=AB244,Auxiliar!$C$16,0)))))))</f>
        <v/>
      </c>
      <c r="AE244" s="9">
        <v>5</v>
      </c>
      <c r="AF244" s="10" t="s">
        <v>23</v>
      </c>
      <c r="AG244" s="11">
        <v>0</v>
      </c>
      <c r="AH244" s="60" t="str">
        <f>IF(OR($E244="",$G244=""),"",IF(AND(AE244=$E244,AG244=$G244),Auxiliar!$C$11,IF(AND(SIGN($E244-$G244)=SIGN(AE244-AG244),MAX($E244,$G244)=MAX(AE244,AG244)),Auxiliar!$C$12,IF(ABS($E244-$G244)=ABS(AE244-AG244),Auxiliar!$C$13,IF(AND(SIGN($E244-$G244)=SIGN(AE244-AG244),MIN($E244,$G244)=MIN(AE244,AG244)),Auxiliar!$C$14,IF(SIGN($E244-$G244)=SIGN(AE244-AG244),Auxiliar!$C$15,IF(AE244=AG244,Auxiliar!$C$16,0)))))))</f>
        <v/>
      </c>
    </row>
    <row r="245" spans="3:34" x14ac:dyDescent="0.25">
      <c r="C245" s="24">
        <f t="shared" si="3"/>
        <v>23</v>
      </c>
      <c r="D245" s="18"/>
      <c r="E245" s="13"/>
      <c r="F245" s="12" t="s">
        <v>23</v>
      </c>
      <c r="G245" s="13"/>
      <c r="H245" s="14"/>
      <c r="K245" s="9">
        <v>4</v>
      </c>
      <c r="L245" s="10" t="s">
        <v>23</v>
      </c>
      <c r="M245" s="11">
        <v>0</v>
      </c>
      <c r="N245" s="60" t="str">
        <f>IF(OR($E245="",$G245=""),"",IF(AND(K245=$E245,M245=$G245),Auxiliar!$C$11,IF(AND(SIGN($E245-$G245)=SIGN(K245-M245),MAX($E245,$G245)=MAX(K245,M245)),Auxiliar!$C$12,IF(ABS($E245-$G245)=ABS(K245-M245),Auxiliar!$C$13,IF(AND(SIGN($E245-$G245)=SIGN(K245-M245),MIN($E245,$G245)=MIN(K245,M245)),Auxiliar!$C$14,IF(SIGN($E245-$G245)=SIGN(K245-M245),Auxiliar!$C$15,IF(K245=M245,Auxiliar!$C$16,0)))))))</f>
        <v/>
      </c>
      <c r="P245" s="9">
        <v>2</v>
      </c>
      <c r="Q245" s="10" t="s">
        <v>23</v>
      </c>
      <c r="R245" s="11">
        <v>0</v>
      </c>
      <c r="S245" s="60" t="str">
        <f>IF(OR($E245="",$G245=""),"",IF(AND(P245=$E245,R245=$G245),Auxiliar!$C$11,IF(AND(SIGN($E245-$G245)=SIGN(P245-R245),MAX($E245,$G245)=MAX(P245,R245)),Auxiliar!$C$12,IF(ABS($E245-$G245)=ABS(P245-R245),Auxiliar!$C$13,IF(AND(SIGN($E245-$G245)=SIGN(P245-R245),MIN($E245,$G245)=MIN(P245,R245)),Auxiliar!$C$14,IF(SIGN($E245-$G245)=SIGN(P245-R245),Auxiliar!$C$15,IF(P245=R245,Auxiliar!$C$16,0)))))))</f>
        <v/>
      </c>
      <c r="U245" s="9">
        <v>0</v>
      </c>
      <c r="V245" s="10" t="s">
        <v>23</v>
      </c>
      <c r="W245" s="11">
        <v>5</v>
      </c>
      <c r="X245" s="60" t="str">
        <f>IF(OR($E245="",$G245=""),"",IF(AND(U245=$E245,W245=$G245),Auxiliar!$C$11,IF(AND(SIGN($E245-$G245)=SIGN(U245-W245),MAX($E245,$G245)=MAX(U245,W245)),Auxiliar!$C$12,IF(ABS($E245-$G245)=ABS(U245-W245),Auxiliar!$C$13,IF(AND(SIGN($E245-$G245)=SIGN(U245-W245),MIN($E245,$G245)=MIN(U245,W245)),Auxiliar!$C$14,IF(SIGN($E245-$G245)=SIGN(U245-W245),Auxiliar!$C$15,IF(U245=W245,Auxiliar!$C$16,0)))))))</f>
        <v/>
      </c>
      <c r="Z245" s="9">
        <v>2</v>
      </c>
      <c r="AA245" s="10" t="s">
        <v>23</v>
      </c>
      <c r="AB245" s="11">
        <v>0</v>
      </c>
      <c r="AC245" s="60" t="str">
        <f>IF(OR($E245="",$G245=""),"",IF(AND(Z245=$E245,AB245=$G245),Auxiliar!$C$11,IF(AND(SIGN($E245-$G245)=SIGN(Z245-AB245),MAX($E245,$G245)=MAX(Z245,AB245)),Auxiliar!$C$12,IF(ABS($E245-$G245)=ABS(Z245-AB245),Auxiliar!$C$13,IF(AND(SIGN($E245-$G245)=SIGN(Z245-AB245),MIN($E245,$G245)=MIN(Z245,AB245)),Auxiliar!$C$14,IF(SIGN($E245-$G245)=SIGN(Z245-AB245),Auxiliar!$C$15,IF(Z245=AB245,Auxiliar!$C$16,0)))))))</f>
        <v/>
      </c>
      <c r="AE245" s="9">
        <v>4</v>
      </c>
      <c r="AF245" s="10" t="s">
        <v>23</v>
      </c>
      <c r="AG245" s="11">
        <v>3</v>
      </c>
      <c r="AH245" s="60" t="str">
        <f>IF(OR($E245="",$G245=""),"",IF(AND(AE245=$E245,AG245=$G245),Auxiliar!$C$11,IF(AND(SIGN($E245-$G245)=SIGN(AE245-AG245),MAX($E245,$G245)=MAX(AE245,AG245)),Auxiliar!$C$12,IF(ABS($E245-$G245)=ABS(AE245-AG245),Auxiliar!$C$13,IF(AND(SIGN($E245-$G245)=SIGN(AE245-AG245),MIN($E245,$G245)=MIN(AE245,AG245)),Auxiliar!$C$14,IF(SIGN($E245-$G245)=SIGN(AE245-AG245),Auxiliar!$C$15,IF(AE245=AG245,Auxiliar!$C$16,0)))))))</f>
        <v/>
      </c>
    </row>
    <row r="246" spans="3:34" x14ac:dyDescent="0.25">
      <c r="C246" s="24">
        <f t="shared" si="3"/>
        <v>23</v>
      </c>
      <c r="D246" s="18"/>
      <c r="E246" s="13"/>
      <c r="F246" s="12" t="s">
        <v>23</v>
      </c>
      <c r="G246" s="13"/>
      <c r="H246" s="14"/>
      <c r="K246" s="9">
        <v>5</v>
      </c>
      <c r="L246" s="10" t="s">
        <v>23</v>
      </c>
      <c r="M246" s="11">
        <v>4</v>
      </c>
      <c r="N246" s="60" t="str">
        <f>IF(OR($E246="",$G246=""),"",IF(AND(K246=$E246,M246=$G246),Auxiliar!$C$11,IF(AND(SIGN($E246-$G246)=SIGN(K246-M246),MAX($E246,$G246)=MAX(K246,M246)),Auxiliar!$C$12,IF(ABS($E246-$G246)=ABS(K246-M246),Auxiliar!$C$13,IF(AND(SIGN($E246-$G246)=SIGN(K246-M246),MIN($E246,$G246)=MIN(K246,M246)),Auxiliar!$C$14,IF(SIGN($E246-$G246)=SIGN(K246-M246),Auxiliar!$C$15,IF(K246=M246,Auxiliar!$C$16,0)))))))</f>
        <v/>
      </c>
      <c r="P246" s="9">
        <v>0</v>
      </c>
      <c r="Q246" s="10" t="s">
        <v>23</v>
      </c>
      <c r="R246" s="11">
        <v>2</v>
      </c>
      <c r="S246" s="60" t="str">
        <f>IF(OR($E246="",$G246=""),"",IF(AND(P246=$E246,R246=$G246),Auxiliar!$C$11,IF(AND(SIGN($E246-$G246)=SIGN(P246-R246),MAX($E246,$G246)=MAX(P246,R246)),Auxiliar!$C$12,IF(ABS($E246-$G246)=ABS(P246-R246),Auxiliar!$C$13,IF(AND(SIGN($E246-$G246)=SIGN(P246-R246),MIN($E246,$G246)=MIN(P246,R246)),Auxiliar!$C$14,IF(SIGN($E246-$G246)=SIGN(P246-R246),Auxiliar!$C$15,IF(P246=R246,Auxiliar!$C$16,0)))))))</f>
        <v/>
      </c>
      <c r="U246" s="9">
        <v>4</v>
      </c>
      <c r="V246" s="10" t="s">
        <v>23</v>
      </c>
      <c r="W246" s="11">
        <v>0</v>
      </c>
      <c r="X246" s="60" t="str">
        <f>IF(OR($E246="",$G246=""),"",IF(AND(U246=$E246,W246=$G246),Auxiliar!$C$11,IF(AND(SIGN($E246-$G246)=SIGN(U246-W246),MAX($E246,$G246)=MAX(U246,W246)),Auxiliar!$C$12,IF(ABS($E246-$G246)=ABS(U246-W246),Auxiliar!$C$13,IF(AND(SIGN($E246-$G246)=SIGN(U246-W246),MIN($E246,$G246)=MIN(U246,W246)),Auxiliar!$C$14,IF(SIGN($E246-$G246)=SIGN(U246-W246),Auxiliar!$C$15,IF(U246=W246,Auxiliar!$C$16,0)))))))</f>
        <v/>
      </c>
      <c r="Z246" s="9">
        <v>5</v>
      </c>
      <c r="AA246" s="10" t="s">
        <v>23</v>
      </c>
      <c r="AB246" s="11">
        <v>3</v>
      </c>
      <c r="AC246" s="60" t="str">
        <f>IF(OR($E246="",$G246=""),"",IF(AND(Z246=$E246,AB246=$G246),Auxiliar!$C$11,IF(AND(SIGN($E246-$G246)=SIGN(Z246-AB246),MAX($E246,$G246)=MAX(Z246,AB246)),Auxiliar!$C$12,IF(ABS($E246-$G246)=ABS(Z246-AB246),Auxiliar!$C$13,IF(AND(SIGN($E246-$G246)=SIGN(Z246-AB246),MIN($E246,$G246)=MIN(Z246,AB246)),Auxiliar!$C$14,IF(SIGN($E246-$G246)=SIGN(Z246-AB246),Auxiliar!$C$15,IF(Z246=AB246,Auxiliar!$C$16,0)))))))</f>
        <v/>
      </c>
      <c r="AE246" s="9">
        <v>1</v>
      </c>
      <c r="AF246" s="10" t="s">
        <v>23</v>
      </c>
      <c r="AG246" s="11">
        <v>5</v>
      </c>
      <c r="AH246" s="60" t="str">
        <f>IF(OR($E246="",$G246=""),"",IF(AND(AE246=$E246,AG246=$G246),Auxiliar!$C$11,IF(AND(SIGN($E246-$G246)=SIGN(AE246-AG246),MAX($E246,$G246)=MAX(AE246,AG246)),Auxiliar!$C$12,IF(ABS($E246-$G246)=ABS(AE246-AG246),Auxiliar!$C$13,IF(AND(SIGN($E246-$G246)=SIGN(AE246-AG246),MIN($E246,$G246)=MIN(AE246,AG246)),Auxiliar!$C$14,IF(SIGN($E246-$G246)=SIGN(AE246-AG246),Auxiliar!$C$15,IF(AE246=AG246,Auxiliar!$C$16,0)))))))</f>
        <v/>
      </c>
    </row>
    <row r="247" spans="3:34" x14ac:dyDescent="0.25">
      <c r="C247" s="24">
        <f t="shared" si="3"/>
        <v>23</v>
      </c>
      <c r="D247" s="18"/>
      <c r="E247" s="13"/>
      <c r="F247" s="12" t="s">
        <v>23</v>
      </c>
      <c r="G247" s="13"/>
      <c r="H247" s="14"/>
      <c r="K247" s="9">
        <v>4</v>
      </c>
      <c r="L247" s="10" t="s">
        <v>23</v>
      </c>
      <c r="M247" s="11">
        <v>0</v>
      </c>
      <c r="N247" s="60" t="str">
        <f>IF(OR($E247="",$G247=""),"",IF(AND(K247=$E247,M247=$G247),Auxiliar!$C$11,IF(AND(SIGN($E247-$G247)=SIGN(K247-M247),MAX($E247,$G247)=MAX(K247,M247)),Auxiliar!$C$12,IF(ABS($E247-$G247)=ABS(K247-M247),Auxiliar!$C$13,IF(AND(SIGN($E247-$G247)=SIGN(K247-M247),MIN($E247,$G247)=MIN(K247,M247)),Auxiliar!$C$14,IF(SIGN($E247-$G247)=SIGN(K247-M247),Auxiliar!$C$15,IF(K247=M247,Auxiliar!$C$16,0)))))))</f>
        <v/>
      </c>
      <c r="P247" s="9">
        <v>4</v>
      </c>
      <c r="Q247" s="10" t="s">
        <v>23</v>
      </c>
      <c r="R247" s="11">
        <v>1</v>
      </c>
      <c r="S247" s="60" t="str">
        <f>IF(OR($E247="",$G247=""),"",IF(AND(P247=$E247,R247=$G247),Auxiliar!$C$11,IF(AND(SIGN($E247-$G247)=SIGN(P247-R247),MAX($E247,$G247)=MAX(P247,R247)),Auxiliar!$C$12,IF(ABS($E247-$G247)=ABS(P247-R247),Auxiliar!$C$13,IF(AND(SIGN($E247-$G247)=SIGN(P247-R247),MIN($E247,$G247)=MIN(P247,R247)),Auxiliar!$C$14,IF(SIGN($E247-$G247)=SIGN(P247-R247),Auxiliar!$C$15,IF(P247=R247,Auxiliar!$C$16,0)))))))</f>
        <v/>
      </c>
      <c r="U247" s="9">
        <v>0</v>
      </c>
      <c r="V247" s="10" t="s">
        <v>23</v>
      </c>
      <c r="W247" s="11">
        <v>2</v>
      </c>
      <c r="X247" s="60" t="str">
        <f>IF(OR($E247="",$G247=""),"",IF(AND(U247=$E247,W247=$G247),Auxiliar!$C$11,IF(AND(SIGN($E247-$G247)=SIGN(U247-W247),MAX($E247,$G247)=MAX(U247,W247)),Auxiliar!$C$12,IF(ABS($E247-$G247)=ABS(U247-W247),Auxiliar!$C$13,IF(AND(SIGN($E247-$G247)=SIGN(U247-W247),MIN($E247,$G247)=MIN(U247,W247)),Auxiliar!$C$14,IF(SIGN($E247-$G247)=SIGN(U247-W247),Auxiliar!$C$15,IF(U247=W247,Auxiliar!$C$16,0)))))))</f>
        <v/>
      </c>
      <c r="Z247" s="9">
        <v>3</v>
      </c>
      <c r="AA247" s="10" t="s">
        <v>23</v>
      </c>
      <c r="AB247" s="11">
        <v>5</v>
      </c>
      <c r="AC247" s="60" t="str">
        <f>IF(OR($E247="",$G247=""),"",IF(AND(Z247=$E247,AB247=$G247),Auxiliar!$C$11,IF(AND(SIGN($E247-$G247)=SIGN(Z247-AB247),MAX($E247,$G247)=MAX(Z247,AB247)),Auxiliar!$C$12,IF(ABS($E247-$G247)=ABS(Z247-AB247),Auxiliar!$C$13,IF(AND(SIGN($E247-$G247)=SIGN(Z247-AB247),MIN($E247,$G247)=MIN(Z247,AB247)),Auxiliar!$C$14,IF(SIGN($E247-$G247)=SIGN(Z247-AB247),Auxiliar!$C$15,IF(Z247=AB247,Auxiliar!$C$16,0)))))))</f>
        <v/>
      </c>
      <c r="AE247" s="9">
        <v>0</v>
      </c>
      <c r="AF247" s="10" t="s">
        <v>23</v>
      </c>
      <c r="AG247" s="11">
        <v>5</v>
      </c>
      <c r="AH247" s="60" t="str">
        <f>IF(OR($E247="",$G247=""),"",IF(AND(AE247=$E247,AG247=$G247),Auxiliar!$C$11,IF(AND(SIGN($E247-$G247)=SIGN(AE247-AG247),MAX($E247,$G247)=MAX(AE247,AG247)),Auxiliar!$C$12,IF(ABS($E247-$G247)=ABS(AE247-AG247),Auxiliar!$C$13,IF(AND(SIGN($E247-$G247)=SIGN(AE247-AG247),MIN($E247,$G247)=MIN(AE247,AG247)),Auxiliar!$C$14,IF(SIGN($E247-$G247)=SIGN(AE247-AG247),Auxiliar!$C$15,IF(AE247=AG247,Auxiliar!$C$16,0)))))))</f>
        <v/>
      </c>
    </row>
    <row r="248" spans="3:34" x14ac:dyDescent="0.25">
      <c r="C248" s="24">
        <f t="shared" si="3"/>
        <v>23</v>
      </c>
      <c r="D248" s="18"/>
      <c r="E248" s="13"/>
      <c r="F248" s="12" t="s">
        <v>23</v>
      </c>
      <c r="G248" s="13"/>
      <c r="H248" s="14"/>
      <c r="K248" s="9">
        <v>1</v>
      </c>
      <c r="L248" s="10" t="s">
        <v>23</v>
      </c>
      <c r="M248" s="11">
        <v>3</v>
      </c>
      <c r="N248" s="60" t="str">
        <f>IF(OR($E248="",$G248=""),"",IF(AND(K248=$E248,M248=$G248),Auxiliar!$C$11,IF(AND(SIGN($E248-$G248)=SIGN(K248-M248),MAX($E248,$G248)=MAX(K248,M248)),Auxiliar!$C$12,IF(ABS($E248-$G248)=ABS(K248-M248),Auxiliar!$C$13,IF(AND(SIGN($E248-$G248)=SIGN(K248-M248),MIN($E248,$G248)=MIN(K248,M248)),Auxiliar!$C$14,IF(SIGN($E248-$G248)=SIGN(K248-M248),Auxiliar!$C$15,IF(K248=M248,Auxiliar!$C$16,0)))))))</f>
        <v/>
      </c>
      <c r="P248" s="9">
        <v>0</v>
      </c>
      <c r="Q248" s="10" t="s">
        <v>23</v>
      </c>
      <c r="R248" s="11">
        <v>2</v>
      </c>
      <c r="S248" s="60" t="str">
        <f>IF(OR($E248="",$G248=""),"",IF(AND(P248=$E248,R248=$G248),Auxiliar!$C$11,IF(AND(SIGN($E248-$G248)=SIGN(P248-R248),MAX($E248,$G248)=MAX(P248,R248)),Auxiliar!$C$12,IF(ABS($E248-$G248)=ABS(P248-R248),Auxiliar!$C$13,IF(AND(SIGN($E248-$G248)=SIGN(P248-R248),MIN($E248,$G248)=MIN(P248,R248)),Auxiliar!$C$14,IF(SIGN($E248-$G248)=SIGN(P248-R248),Auxiliar!$C$15,IF(P248=R248,Auxiliar!$C$16,0)))))))</f>
        <v/>
      </c>
      <c r="U248" s="9">
        <v>5</v>
      </c>
      <c r="V248" s="10" t="s">
        <v>23</v>
      </c>
      <c r="W248" s="11">
        <v>5</v>
      </c>
      <c r="X248" s="60" t="str">
        <f>IF(OR($E248="",$G248=""),"",IF(AND(U248=$E248,W248=$G248),Auxiliar!$C$11,IF(AND(SIGN($E248-$G248)=SIGN(U248-W248),MAX($E248,$G248)=MAX(U248,W248)),Auxiliar!$C$12,IF(ABS($E248-$G248)=ABS(U248-W248),Auxiliar!$C$13,IF(AND(SIGN($E248-$G248)=SIGN(U248-W248),MIN($E248,$G248)=MIN(U248,W248)),Auxiliar!$C$14,IF(SIGN($E248-$G248)=SIGN(U248-W248),Auxiliar!$C$15,IF(U248=W248,Auxiliar!$C$16,0)))))))</f>
        <v/>
      </c>
      <c r="Z248" s="9">
        <v>3</v>
      </c>
      <c r="AA248" s="10" t="s">
        <v>23</v>
      </c>
      <c r="AB248" s="11">
        <v>4</v>
      </c>
      <c r="AC248" s="60" t="str">
        <f>IF(OR($E248="",$G248=""),"",IF(AND(Z248=$E248,AB248=$G248),Auxiliar!$C$11,IF(AND(SIGN($E248-$G248)=SIGN(Z248-AB248),MAX($E248,$G248)=MAX(Z248,AB248)),Auxiliar!$C$12,IF(ABS($E248-$G248)=ABS(Z248-AB248),Auxiliar!$C$13,IF(AND(SIGN($E248-$G248)=SIGN(Z248-AB248),MIN($E248,$G248)=MIN(Z248,AB248)),Auxiliar!$C$14,IF(SIGN($E248-$G248)=SIGN(Z248-AB248),Auxiliar!$C$15,IF(Z248=AB248,Auxiliar!$C$16,0)))))))</f>
        <v/>
      </c>
      <c r="AE248" s="9">
        <v>2</v>
      </c>
      <c r="AF248" s="10" t="s">
        <v>23</v>
      </c>
      <c r="AG248" s="11">
        <v>5</v>
      </c>
      <c r="AH248" s="60" t="str">
        <f>IF(OR($E248="",$G248=""),"",IF(AND(AE248=$E248,AG248=$G248),Auxiliar!$C$11,IF(AND(SIGN($E248-$G248)=SIGN(AE248-AG248),MAX($E248,$G248)=MAX(AE248,AG248)),Auxiliar!$C$12,IF(ABS($E248-$G248)=ABS(AE248-AG248),Auxiliar!$C$13,IF(AND(SIGN($E248-$G248)=SIGN(AE248-AG248),MIN($E248,$G248)=MIN(AE248,AG248)),Auxiliar!$C$14,IF(SIGN($E248-$G248)=SIGN(AE248-AG248),Auxiliar!$C$15,IF(AE248=AG248,Auxiliar!$C$16,0)))))))</f>
        <v/>
      </c>
    </row>
    <row r="249" spans="3:34" x14ac:dyDescent="0.25">
      <c r="C249" s="24">
        <f t="shared" si="3"/>
        <v>24</v>
      </c>
      <c r="D249" s="18"/>
      <c r="E249" s="13"/>
      <c r="F249" s="12" t="s">
        <v>23</v>
      </c>
      <c r="G249" s="13"/>
      <c r="H249" s="14"/>
      <c r="K249" s="9">
        <v>2</v>
      </c>
      <c r="L249" s="10" t="s">
        <v>23</v>
      </c>
      <c r="M249" s="11">
        <v>2</v>
      </c>
      <c r="N249" s="60" t="str">
        <f>IF(OR($E249="",$G249=""),"",IF(AND(K249=$E249,M249=$G249),Auxiliar!$C$11,IF(AND(SIGN($E249-$G249)=SIGN(K249-M249),MAX($E249,$G249)=MAX(K249,M249)),Auxiliar!$C$12,IF(ABS($E249-$G249)=ABS(K249-M249),Auxiliar!$C$13,IF(AND(SIGN($E249-$G249)=SIGN(K249-M249),MIN($E249,$G249)=MIN(K249,M249)),Auxiliar!$C$14,IF(SIGN($E249-$G249)=SIGN(K249-M249),Auxiliar!$C$15,IF(K249=M249,Auxiliar!$C$16,0)))))))</f>
        <v/>
      </c>
      <c r="P249" s="9">
        <v>1</v>
      </c>
      <c r="Q249" s="10" t="s">
        <v>23</v>
      </c>
      <c r="R249" s="11">
        <v>2</v>
      </c>
      <c r="S249" s="60" t="str">
        <f>IF(OR($E249="",$G249=""),"",IF(AND(P249=$E249,R249=$G249),Auxiliar!$C$11,IF(AND(SIGN($E249-$G249)=SIGN(P249-R249),MAX($E249,$G249)=MAX(P249,R249)),Auxiliar!$C$12,IF(ABS($E249-$G249)=ABS(P249-R249),Auxiliar!$C$13,IF(AND(SIGN($E249-$G249)=SIGN(P249-R249),MIN($E249,$G249)=MIN(P249,R249)),Auxiliar!$C$14,IF(SIGN($E249-$G249)=SIGN(P249-R249),Auxiliar!$C$15,IF(P249=R249,Auxiliar!$C$16,0)))))))</f>
        <v/>
      </c>
      <c r="U249" s="9">
        <v>2</v>
      </c>
      <c r="V249" s="10" t="s">
        <v>23</v>
      </c>
      <c r="W249" s="11">
        <v>0</v>
      </c>
      <c r="X249" s="60" t="str">
        <f>IF(OR($E249="",$G249=""),"",IF(AND(U249=$E249,W249=$G249),Auxiliar!$C$11,IF(AND(SIGN($E249-$G249)=SIGN(U249-W249),MAX($E249,$G249)=MAX(U249,W249)),Auxiliar!$C$12,IF(ABS($E249-$G249)=ABS(U249-W249),Auxiliar!$C$13,IF(AND(SIGN($E249-$G249)=SIGN(U249-W249),MIN($E249,$G249)=MIN(U249,W249)),Auxiliar!$C$14,IF(SIGN($E249-$G249)=SIGN(U249-W249),Auxiliar!$C$15,IF(U249=W249,Auxiliar!$C$16,0)))))))</f>
        <v/>
      </c>
      <c r="Z249" s="9">
        <v>3</v>
      </c>
      <c r="AA249" s="10" t="s">
        <v>23</v>
      </c>
      <c r="AB249" s="11">
        <v>4</v>
      </c>
      <c r="AC249" s="60" t="str">
        <f>IF(OR($E249="",$G249=""),"",IF(AND(Z249=$E249,AB249=$G249),Auxiliar!$C$11,IF(AND(SIGN($E249-$G249)=SIGN(Z249-AB249),MAX($E249,$G249)=MAX(Z249,AB249)),Auxiliar!$C$12,IF(ABS($E249-$G249)=ABS(Z249-AB249),Auxiliar!$C$13,IF(AND(SIGN($E249-$G249)=SIGN(Z249-AB249),MIN($E249,$G249)=MIN(Z249,AB249)),Auxiliar!$C$14,IF(SIGN($E249-$G249)=SIGN(Z249-AB249),Auxiliar!$C$15,IF(Z249=AB249,Auxiliar!$C$16,0)))))))</f>
        <v/>
      </c>
      <c r="AE249" s="9">
        <v>4</v>
      </c>
      <c r="AF249" s="10" t="s">
        <v>23</v>
      </c>
      <c r="AG249" s="11">
        <v>0</v>
      </c>
      <c r="AH249" s="60" t="str">
        <f>IF(OR($E249="",$G249=""),"",IF(AND(AE249=$E249,AG249=$G249),Auxiliar!$C$11,IF(AND(SIGN($E249-$G249)=SIGN(AE249-AG249),MAX($E249,$G249)=MAX(AE249,AG249)),Auxiliar!$C$12,IF(ABS($E249-$G249)=ABS(AE249-AG249),Auxiliar!$C$13,IF(AND(SIGN($E249-$G249)=SIGN(AE249-AG249),MIN($E249,$G249)=MIN(AE249,AG249)),Auxiliar!$C$14,IF(SIGN($E249-$G249)=SIGN(AE249-AG249),Auxiliar!$C$15,IF(AE249=AG249,Auxiliar!$C$16,0)))))))</f>
        <v/>
      </c>
    </row>
    <row r="250" spans="3:34" x14ac:dyDescent="0.25">
      <c r="C250" s="24">
        <f t="shared" si="3"/>
        <v>24</v>
      </c>
      <c r="D250" s="18"/>
      <c r="E250" s="13"/>
      <c r="F250" s="12" t="s">
        <v>23</v>
      </c>
      <c r="G250" s="13"/>
      <c r="H250" s="14"/>
      <c r="K250" s="9">
        <v>1</v>
      </c>
      <c r="L250" s="10" t="s">
        <v>23</v>
      </c>
      <c r="M250" s="11">
        <v>4</v>
      </c>
      <c r="N250" s="60" t="str">
        <f>IF(OR($E250="",$G250=""),"",IF(AND(K250=$E250,M250=$G250),Auxiliar!$C$11,IF(AND(SIGN($E250-$G250)=SIGN(K250-M250),MAX($E250,$G250)=MAX(K250,M250)),Auxiliar!$C$12,IF(ABS($E250-$G250)=ABS(K250-M250),Auxiliar!$C$13,IF(AND(SIGN($E250-$G250)=SIGN(K250-M250),MIN($E250,$G250)=MIN(K250,M250)),Auxiliar!$C$14,IF(SIGN($E250-$G250)=SIGN(K250-M250),Auxiliar!$C$15,IF(K250=M250,Auxiliar!$C$16,0)))))))</f>
        <v/>
      </c>
      <c r="P250" s="9">
        <v>5</v>
      </c>
      <c r="Q250" s="10" t="s">
        <v>23</v>
      </c>
      <c r="R250" s="11">
        <v>5</v>
      </c>
      <c r="S250" s="60" t="str">
        <f>IF(OR($E250="",$G250=""),"",IF(AND(P250=$E250,R250=$G250),Auxiliar!$C$11,IF(AND(SIGN($E250-$G250)=SIGN(P250-R250),MAX($E250,$G250)=MAX(P250,R250)),Auxiliar!$C$12,IF(ABS($E250-$G250)=ABS(P250-R250),Auxiliar!$C$13,IF(AND(SIGN($E250-$G250)=SIGN(P250-R250),MIN($E250,$G250)=MIN(P250,R250)),Auxiliar!$C$14,IF(SIGN($E250-$G250)=SIGN(P250-R250),Auxiliar!$C$15,IF(P250=R250,Auxiliar!$C$16,0)))))))</f>
        <v/>
      </c>
      <c r="U250" s="9">
        <v>3</v>
      </c>
      <c r="V250" s="10" t="s">
        <v>23</v>
      </c>
      <c r="W250" s="11">
        <v>3</v>
      </c>
      <c r="X250" s="60" t="str">
        <f>IF(OR($E250="",$G250=""),"",IF(AND(U250=$E250,W250=$G250),Auxiliar!$C$11,IF(AND(SIGN($E250-$G250)=SIGN(U250-W250),MAX($E250,$G250)=MAX(U250,W250)),Auxiliar!$C$12,IF(ABS($E250-$G250)=ABS(U250-W250),Auxiliar!$C$13,IF(AND(SIGN($E250-$G250)=SIGN(U250-W250),MIN($E250,$G250)=MIN(U250,W250)),Auxiliar!$C$14,IF(SIGN($E250-$G250)=SIGN(U250-W250),Auxiliar!$C$15,IF(U250=W250,Auxiliar!$C$16,0)))))))</f>
        <v/>
      </c>
      <c r="Z250" s="9">
        <v>2</v>
      </c>
      <c r="AA250" s="10" t="s">
        <v>23</v>
      </c>
      <c r="AB250" s="11">
        <v>2</v>
      </c>
      <c r="AC250" s="60" t="str">
        <f>IF(OR($E250="",$G250=""),"",IF(AND(Z250=$E250,AB250=$G250),Auxiliar!$C$11,IF(AND(SIGN($E250-$G250)=SIGN(Z250-AB250),MAX($E250,$G250)=MAX(Z250,AB250)),Auxiliar!$C$12,IF(ABS($E250-$G250)=ABS(Z250-AB250),Auxiliar!$C$13,IF(AND(SIGN($E250-$G250)=SIGN(Z250-AB250),MIN($E250,$G250)=MIN(Z250,AB250)),Auxiliar!$C$14,IF(SIGN($E250-$G250)=SIGN(Z250-AB250),Auxiliar!$C$15,IF(Z250=AB250,Auxiliar!$C$16,0)))))))</f>
        <v/>
      </c>
      <c r="AE250" s="9">
        <v>1</v>
      </c>
      <c r="AF250" s="10" t="s">
        <v>23</v>
      </c>
      <c r="AG250" s="11">
        <v>5</v>
      </c>
      <c r="AH250" s="60" t="str">
        <f>IF(OR($E250="",$G250=""),"",IF(AND(AE250=$E250,AG250=$G250),Auxiliar!$C$11,IF(AND(SIGN($E250-$G250)=SIGN(AE250-AG250),MAX($E250,$G250)=MAX(AE250,AG250)),Auxiliar!$C$12,IF(ABS($E250-$G250)=ABS(AE250-AG250),Auxiliar!$C$13,IF(AND(SIGN($E250-$G250)=SIGN(AE250-AG250),MIN($E250,$G250)=MIN(AE250,AG250)),Auxiliar!$C$14,IF(SIGN($E250-$G250)=SIGN(AE250-AG250),Auxiliar!$C$15,IF(AE250=AG250,Auxiliar!$C$16,0)))))))</f>
        <v/>
      </c>
    </row>
    <row r="251" spans="3:34" x14ac:dyDescent="0.25">
      <c r="C251" s="24">
        <f t="shared" si="3"/>
        <v>24</v>
      </c>
      <c r="D251" s="18"/>
      <c r="E251" s="13"/>
      <c r="F251" s="12" t="s">
        <v>23</v>
      </c>
      <c r="G251" s="13"/>
      <c r="H251" s="14"/>
      <c r="K251" s="9">
        <v>1</v>
      </c>
      <c r="L251" s="10" t="s">
        <v>23</v>
      </c>
      <c r="M251" s="11">
        <v>5</v>
      </c>
      <c r="N251" s="60" t="str">
        <f>IF(OR($E251="",$G251=""),"",IF(AND(K251=$E251,M251=$G251),Auxiliar!$C$11,IF(AND(SIGN($E251-$G251)=SIGN(K251-M251),MAX($E251,$G251)=MAX(K251,M251)),Auxiliar!$C$12,IF(ABS($E251-$G251)=ABS(K251-M251),Auxiliar!$C$13,IF(AND(SIGN($E251-$G251)=SIGN(K251-M251),MIN($E251,$G251)=MIN(K251,M251)),Auxiliar!$C$14,IF(SIGN($E251-$G251)=SIGN(K251-M251),Auxiliar!$C$15,IF(K251=M251,Auxiliar!$C$16,0)))))))</f>
        <v/>
      </c>
      <c r="P251" s="9">
        <v>4</v>
      </c>
      <c r="Q251" s="10" t="s">
        <v>23</v>
      </c>
      <c r="R251" s="11">
        <v>3</v>
      </c>
      <c r="S251" s="60" t="str">
        <f>IF(OR($E251="",$G251=""),"",IF(AND(P251=$E251,R251=$G251),Auxiliar!$C$11,IF(AND(SIGN($E251-$G251)=SIGN(P251-R251),MAX($E251,$G251)=MAX(P251,R251)),Auxiliar!$C$12,IF(ABS($E251-$G251)=ABS(P251-R251),Auxiliar!$C$13,IF(AND(SIGN($E251-$G251)=SIGN(P251-R251),MIN($E251,$G251)=MIN(P251,R251)),Auxiliar!$C$14,IF(SIGN($E251-$G251)=SIGN(P251-R251),Auxiliar!$C$15,IF(P251=R251,Auxiliar!$C$16,0)))))))</f>
        <v/>
      </c>
      <c r="U251" s="9">
        <v>4</v>
      </c>
      <c r="V251" s="10" t="s">
        <v>23</v>
      </c>
      <c r="W251" s="11">
        <v>3</v>
      </c>
      <c r="X251" s="60" t="str">
        <f>IF(OR($E251="",$G251=""),"",IF(AND(U251=$E251,W251=$G251),Auxiliar!$C$11,IF(AND(SIGN($E251-$G251)=SIGN(U251-W251),MAX($E251,$G251)=MAX(U251,W251)),Auxiliar!$C$12,IF(ABS($E251-$G251)=ABS(U251-W251),Auxiliar!$C$13,IF(AND(SIGN($E251-$G251)=SIGN(U251-W251),MIN($E251,$G251)=MIN(U251,W251)),Auxiliar!$C$14,IF(SIGN($E251-$G251)=SIGN(U251-W251),Auxiliar!$C$15,IF(U251=W251,Auxiliar!$C$16,0)))))))</f>
        <v/>
      </c>
      <c r="Z251" s="9">
        <v>1</v>
      </c>
      <c r="AA251" s="10" t="s">
        <v>23</v>
      </c>
      <c r="AB251" s="11">
        <v>5</v>
      </c>
      <c r="AC251" s="60" t="str">
        <f>IF(OR($E251="",$G251=""),"",IF(AND(Z251=$E251,AB251=$G251),Auxiliar!$C$11,IF(AND(SIGN($E251-$G251)=SIGN(Z251-AB251),MAX($E251,$G251)=MAX(Z251,AB251)),Auxiliar!$C$12,IF(ABS($E251-$G251)=ABS(Z251-AB251),Auxiliar!$C$13,IF(AND(SIGN($E251-$G251)=SIGN(Z251-AB251),MIN($E251,$G251)=MIN(Z251,AB251)),Auxiliar!$C$14,IF(SIGN($E251-$G251)=SIGN(Z251-AB251),Auxiliar!$C$15,IF(Z251=AB251,Auxiliar!$C$16,0)))))))</f>
        <v/>
      </c>
      <c r="AE251" s="9">
        <v>0</v>
      </c>
      <c r="AF251" s="10" t="s">
        <v>23</v>
      </c>
      <c r="AG251" s="11">
        <v>2</v>
      </c>
      <c r="AH251" s="60" t="str">
        <f>IF(OR($E251="",$G251=""),"",IF(AND(AE251=$E251,AG251=$G251),Auxiliar!$C$11,IF(AND(SIGN($E251-$G251)=SIGN(AE251-AG251),MAX($E251,$G251)=MAX(AE251,AG251)),Auxiliar!$C$12,IF(ABS($E251-$G251)=ABS(AE251-AG251),Auxiliar!$C$13,IF(AND(SIGN($E251-$G251)=SIGN(AE251-AG251),MIN($E251,$G251)=MIN(AE251,AG251)),Auxiliar!$C$14,IF(SIGN($E251-$G251)=SIGN(AE251-AG251),Auxiliar!$C$15,IF(AE251=AG251,Auxiliar!$C$16,0)))))))</f>
        <v/>
      </c>
    </row>
    <row r="252" spans="3:34" x14ac:dyDescent="0.25">
      <c r="C252" s="24">
        <f t="shared" si="3"/>
        <v>24</v>
      </c>
      <c r="D252" s="18"/>
      <c r="E252" s="13"/>
      <c r="F252" s="12" t="s">
        <v>23</v>
      </c>
      <c r="G252" s="13"/>
      <c r="H252" s="14"/>
      <c r="K252" s="9">
        <v>1</v>
      </c>
      <c r="L252" s="10" t="s">
        <v>23</v>
      </c>
      <c r="M252" s="11">
        <v>0</v>
      </c>
      <c r="N252" s="60" t="str">
        <f>IF(OR($E252="",$G252=""),"",IF(AND(K252=$E252,M252=$G252),Auxiliar!$C$11,IF(AND(SIGN($E252-$G252)=SIGN(K252-M252),MAX($E252,$G252)=MAX(K252,M252)),Auxiliar!$C$12,IF(ABS($E252-$G252)=ABS(K252-M252),Auxiliar!$C$13,IF(AND(SIGN($E252-$G252)=SIGN(K252-M252),MIN($E252,$G252)=MIN(K252,M252)),Auxiliar!$C$14,IF(SIGN($E252-$G252)=SIGN(K252-M252),Auxiliar!$C$15,IF(K252=M252,Auxiliar!$C$16,0)))))))</f>
        <v/>
      </c>
      <c r="P252" s="9">
        <v>1</v>
      </c>
      <c r="Q252" s="10" t="s">
        <v>23</v>
      </c>
      <c r="R252" s="11">
        <v>4</v>
      </c>
      <c r="S252" s="60" t="str">
        <f>IF(OR($E252="",$G252=""),"",IF(AND(P252=$E252,R252=$G252),Auxiliar!$C$11,IF(AND(SIGN($E252-$G252)=SIGN(P252-R252),MAX($E252,$G252)=MAX(P252,R252)),Auxiliar!$C$12,IF(ABS($E252-$G252)=ABS(P252-R252),Auxiliar!$C$13,IF(AND(SIGN($E252-$G252)=SIGN(P252-R252),MIN($E252,$G252)=MIN(P252,R252)),Auxiliar!$C$14,IF(SIGN($E252-$G252)=SIGN(P252-R252),Auxiliar!$C$15,IF(P252=R252,Auxiliar!$C$16,0)))))))</f>
        <v/>
      </c>
      <c r="U252" s="9">
        <v>4</v>
      </c>
      <c r="V252" s="10" t="s">
        <v>23</v>
      </c>
      <c r="W252" s="11">
        <v>0</v>
      </c>
      <c r="X252" s="60" t="str">
        <f>IF(OR($E252="",$G252=""),"",IF(AND(U252=$E252,W252=$G252),Auxiliar!$C$11,IF(AND(SIGN($E252-$G252)=SIGN(U252-W252),MAX($E252,$G252)=MAX(U252,W252)),Auxiliar!$C$12,IF(ABS($E252-$G252)=ABS(U252-W252),Auxiliar!$C$13,IF(AND(SIGN($E252-$G252)=SIGN(U252-W252),MIN($E252,$G252)=MIN(U252,W252)),Auxiliar!$C$14,IF(SIGN($E252-$G252)=SIGN(U252-W252),Auxiliar!$C$15,IF(U252=W252,Auxiliar!$C$16,0)))))))</f>
        <v/>
      </c>
      <c r="Z252" s="9">
        <v>0</v>
      </c>
      <c r="AA252" s="10" t="s">
        <v>23</v>
      </c>
      <c r="AB252" s="11">
        <v>3</v>
      </c>
      <c r="AC252" s="60" t="str">
        <f>IF(OR($E252="",$G252=""),"",IF(AND(Z252=$E252,AB252=$G252),Auxiliar!$C$11,IF(AND(SIGN($E252-$G252)=SIGN(Z252-AB252),MAX($E252,$G252)=MAX(Z252,AB252)),Auxiliar!$C$12,IF(ABS($E252-$G252)=ABS(Z252-AB252),Auxiliar!$C$13,IF(AND(SIGN($E252-$G252)=SIGN(Z252-AB252),MIN($E252,$G252)=MIN(Z252,AB252)),Auxiliar!$C$14,IF(SIGN($E252-$G252)=SIGN(Z252-AB252),Auxiliar!$C$15,IF(Z252=AB252,Auxiliar!$C$16,0)))))))</f>
        <v/>
      </c>
      <c r="AE252" s="9">
        <v>5</v>
      </c>
      <c r="AF252" s="10" t="s">
        <v>23</v>
      </c>
      <c r="AG252" s="11">
        <v>4</v>
      </c>
      <c r="AH252" s="60" t="str">
        <f>IF(OR($E252="",$G252=""),"",IF(AND(AE252=$E252,AG252=$G252),Auxiliar!$C$11,IF(AND(SIGN($E252-$G252)=SIGN(AE252-AG252),MAX($E252,$G252)=MAX(AE252,AG252)),Auxiliar!$C$12,IF(ABS($E252-$G252)=ABS(AE252-AG252),Auxiliar!$C$13,IF(AND(SIGN($E252-$G252)=SIGN(AE252-AG252),MIN($E252,$G252)=MIN(AE252,AG252)),Auxiliar!$C$14,IF(SIGN($E252-$G252)=SIGN(AE252-AG252),Auxiliar!$C$15,IF(AE252=AG252,Auxiliar!$C$16,0)))))))</f>
        <v/>
      </c>
    </row>
    <row r="253" spans="3:34" x14ac:dyDescent="0.25">
      <c r="C253" s="24">
        <f t="shared" si="3"/>
        <v>24</v>
      </c>
      <c r="D253" s="18"/>
      <c r="E253" s="13"/>
      <c r="F253" s="12" t="s">
        <v>23</v>
      </c>
      <c r="G253" s="13"/>
      <c r="H253" s="14"/>
      <c r="K253" s="9">
        <v>1</v>
      </c>
      <c r="L253" s="10" t="s">
        <v>23</v>
      </c>
      <c r="M253" s="11">
        <v>2</v>
      </c>
      <c r="N253" s="60" t="str">
        <f>IF(OR($E253="",$G253=""),"",IF(AND(K253=$E253,M253=$G253),Auxiliar!$C$11,IF(AND(SIGN($E253-$G253)=SIGN(K253-M253),MAX($E253,$G253)=MAX(K253,M253)),Auxiliar!$C$12,IF(ABS($E253-$G253)=ABS(K253-M253),Auxiliar!$C$13,IF(AND(SIGN($E253-$G253)=SIGN(K253-M253),MIN($E253,$G253)=MIN(K253,M253)),Auxiliar!$C$14,IF(SIGN($E253-$G253)=SIGN(K253-M253),Auxiliar!$C$15,IF(K253=M253,Auxiliar!$C$16,0)))))))</f>
        <v/>
      </c>
      <c r="P253" s="9">
        <v>2</v>
      </c>
      <c r="Q253" s="10" t="s">
        <v>23</v>
      </c>
      <c r="R253" s="11">
        <v>5</v>
      </c>
      <c r="S253" s="60" t="str">
        <f>IF(OR($E253="",$G253=""),"",IF(AND(P253=$E253,R253=$G253),Auxiliar!$C$11,IF(AND(SIGN($E253-$G253)=SIGN(P253-R253),MAX($E253,$G253)=MAX(P253,R253)),Auxiliar!$C$12,IF(ABS($E253-$G253)=ABS(P253-R253),Auxiliar!$C$13,IF(AND(SIGN($E253-$G253)=SIGN(P253-R253),MIN($E253,$G253)=MIN(P253,R253)),Auxiliar!$C$14,IF(SIGN($E253-$G253)=SIGN(P253-R253),Auxiliar!$C$15,IF(P253=R253,Auxiliar!$C$16,0)))))))</f>
        <v/>
      </c>
      <c r="U253" s="9">
        <v>3</v>
      </c>
      <c r="V253" s="10" t="s">
        <v>23</v>
      </c>
      <c r="W253" s="11">
        <v>2</v>
      </c>
      <c r="X253" s="60" t="str">
        <f>IF(OR($E253="",$G253=""),"",IF(AND(U253=$E253,W253=$G253),Auxiliar!$C$11,IF(AND(SIGN($E253-$G253)=SIGN(U253-W253),MAX($E253,$G253)=MAX(U253,W253)),Auxiliar!$C$12,IF(ABS($E253-$G253)=ABS(U253-W253),Auxiliar!$C$13,IF(AND(SIGN($E253-$G253)=SIGN(U253-W253),MIN($E253,$G253)=MIN(U253,W253)),Auxiliar!$C$14,IF(SIGN($E253-$G253)=SIGN(U253-W253),Auxiliar!$C$15,IF(U253=W253,Auxiliar!$C$16,0)))))))</f>
        <v/>
      </c>
      <c r="Z253" s="9">
        <v>4</v>
      </c>
      <c r="AA253" s="10" t="s">
        <v>23</v>
      </c>
      <c r="AB253" s="11">
        <v>3</v>
      </c>
      <c r="AC253" s="60" t="str">
        <f>IF(OR($E253="",$G253=""),"",IF(AND(Z253=$E253,AB253=$G253),Auxiliar!$C$11,IF(AND(SIGN($E253-$G253)=SIGN(Z253-AB253),MAX($E253,$G253)=MAX(Z253,AB253)),Auxiliar!$C$12,IF(ABS($E253-$G253)=ABS(Z253-AB253),Auxiliar!$C$13,IF(AND(SIGN($E253-$G253)=SIGN(Z253-AB253),MIN($E253,$G253)=MIN(Z253,AB253)),Auxiliar!$C$14,IF(SIGN($E253-$G253)=SIGN(Z253-AB253),Auxiliar!$C$15,IF(Z253=AB253,Auxiliar!$C$16,0)))))))</f>
        <v/>
      </c>
      <c r="AE253" s="9">
        <v>1</v>
      </c>
      <c r="AF253" s="10" t="s">
        <v>23</v>
      </c>
      <c r="AG253" s="11">
        <v>4</v>
      </c>
      <c r="AH253" s="60" t="str">
        <f>IF(OR($E253="",$G253=""),"",IF(AND(AE253=$E253,AG253=$G253),Auxiliar!$C$11,IF(AND(SIGN($E253-$G253)=SIGN(AE253-AG253),MAX($E253,$G253)=MAX(AE253,AG253)),Auxiliar!$C$12,IF(ABS($E253-$G253)=ABS(AE253-AG253),Auxiliar!$C$13,IF(AND(SIGN($E253-$G253)=SIGN(AE253-AG253),MIN($E253,$G253)=MIN(AE253,AG253)),Auxiliar!$C$14,IF(SIGN($E253-$G253)=SIGN(AE253-AG253),Auxiliar!$C$15,IF(AE253=AG253,Auxiliar!$C$16,0)))))))</f>
        <v/>
      </c>
    </row>
    <row r="254" spans="3:34" x14ac:dyDescent="0.25">
      <c r="C254" s="24">
        <f t="shared" si="3"/>
        <v>24</v>
      </c>
      <c r="D254" s="18"/>
      <c r="E254" s="13"/>
      <c r="F254" s="12" t="s">
        <v>23</v>
      </c>
      <c r="G254" s="13"/>
      <c r="H254" s="14"/>
      <c r="K254" s="9">
        <v>1</v>
      </c>
      <c r="L254" s="10" t="s">
        <v>23</v>
      </c>
      <c r="M254" s="11">
        <v>3</v>
      </c>
      <c r="N254" s="60" t="str">
        <f>IF(OR($E254="",$G254=""),"",IF(AND(K254=$E254,M254=$G254),Auxiliar!$C$11,IF(AND(SIGN($E254-$G254)=SIGN(K254-M254),MAX($E254,$G254)=MAX(K254,M254)),Auxiliar!$C$12,IF(ABS($E254-$G254)=ABS(K254-M254),Auxiliar!$C$13,IF(AND(SIGN($E254-$G254)=SIGN(K254-M254),MIN($E254,$G254)=MIN(K254,M254)),Auxiliar!$C$14,IF(SIGN($E254-$G254)=SIGN(K254-M254),Auxiliar!$C$15,IF(K254=M254,Auxiliar!$C$16,0)))))))</f>
        <v/>
      </c>
      <c r="P254" s="9">
        <v>5</v>
      </c>
      <c r="Q254" s="10" t="s">
        <v>23</v>
      </c>
      <c r="R254" s="11">
        <v>5</v>
      </c>
      <c r="S254" s="60" t="str">
        <f>IF(OR($E254="",$G254=""),"",IF(AND(P254=$E254,R254=$G254),Auxiliar!$C$11,IF(AND(SIGN($E254-$G254)=SIGN(P254-R254),MAX($E254,$G254)=MAX(P254,R254)),Auxiliar!$C$12,IF(ABS($E254-$G254)=ABS(P254-R254),Auxiliar!$C$13,IF(AND(SIGN($E254-$G254)=SIGN(P254-R254),MIN($E254,$G254)=MIN(P254,R254)),Auxiliar!$C$14,IF(SIGN($E254-$G254)=SIGN(P254-R254),Auxiliar!$C$15,IF(P254=R254,Auxiliar!$C$16,0)))))))</f>
        <v/>
      </c>
      <c r="U254" s="9">
        <v>1</v>
      </c>
      <c r="V254" s="10" t="s">
        <v>23</v>
      </c>
      <c r="W254" s="11">
        <v>5</v>
      </c>
      <c r="X254" s="60" t="str">
        <f>IF(OR($E254="",$G254=""),"",IF(AND(U254=$E254,W254=$G254),Auxiliar!$C$11,IF(AND(SIGN($E254-$G254)=SIGN(U254-W254),MAX($E254,$G254)=MAX(U254,W254)),Auxiliar!$C$12,IF(ABS($E254-$G254)=ABS(U254-W254),Auxiliar!$C$13,IF(AND(SIGN($E254-$G254)=SIGN(U254-W254),MIN($E254,$G254)=MIN(U254,W254)),Auxiliar!$C$14,IF(SIGN($E254-$G254)=SIGN(U254-W254),Auxiliar!$C$15,IF(U254=W254,Auxiliar!$C$16,0)))))))</f>
        <v/>
      </c>
      <c r="Z254" s="9">
        <v>3</v>
      </c>
      <c r="AA254" s="10" t="s">
        <v>23</v>
      </c>
      <c r="AB254" s="11">
        <v>2</v>
      </c>
      <c r="AC254" s="60" t="str">
        <f>IF(OR($E254="",$G254=""),"",IF(AND(Z254=$E254,AB254=$G254),Auxiliar!$C$11,IF(AND(SIGN($E254-$G254)=SIGN(Z254-AB254),MAX($E254,$G254)=MAX(Z254,AB254)),Auxiliar!$C$12,IF(ABS($E254-$G254)=ABS(Z254-AB254),Auxiliar!$C$13,IF(AND(SIGN($E254-$G254)=SIGN(Z254-AB254),MIN($E254,$G254)=MIN(Z254,AB254)),Auxiliar!$C$14,IF(SIGN($E254-$G254)=SIGN(Z254-AB254),Auxiliar!$C$15,IF(Z254=AB254,Auxiliar!$C$16,0)))))))</f>
        <v/>
      </c>
      <c r="AE254" s="9">
        <v>3</v>
      </c>
      <c r="AF254" s="10" t="s">
        <v>23</v>
      </c>
      <c r="AG254" s="11">
        <v>2</v>
      </c>
      <c r="AH254" s="60" t="str">
        <f>IF(OR($E254="",$G254=""),"",IF(AND(AE254=$E254,AG254=$G254),Auxiliar!$C$11,IF(AND(SIGN($E254-$G254)=SIGN(AE254-AG254),MAX($E254,$G254)=MAX(AE254,AG254)),Auxiliar!$C$12,IF(ABS($E254-$G254)=ABS(AE254-AG254),Auxiliar!$C$13,IF(AND(SIGN($E254-$G254)=SIGN(AE254-AG254),MIN($E254,$G254)=MIN(AE254,AG254)),Auxiliar!$C$14,IF(SIGN($E254-$G254)=SIGN(AE254-AG254),Auxiliar!$C$15,IF(AE254=AG254,Auxiliar!$C$16,0)))))))</f>
        <v/>
      </c>
    </row>
    <row r="255" spans="3:34" x14ac:dyDescent="0.25">
      <c r="C255" s="24">
        <f t="shared" si="3"/>
        <v>24</v>
      </c>
      <c r="D255" s="18"/>
      <c r="E255" s="13"/>
      <c r="F255" s="12" t="s">
        <v>23</v>
      </c>
      <c r="G255" s="13"/>
      <c r="H255" s="14"/>
      <c r="K255" s="9">
        <v>4</v>
      </c>
      <c r="L255" s="10" t="s">
        <v>23</v>
      </c>
      <c r="M255" s="11">
        <v>1</v>
      </c>
      <c r="N255" s="60" t="str">
        <f>IF(OR($E255="",$G255=""),"",IF(AND(K255=$E255,M255=$G255),Auxiliar!$C$11,IF(AND(SIGN($E255-$G255)=SIGN(K255-M255),MAX($E255,$G255)=MAX(K255,M255)),Auxiliar!$C$12,IF(ABS($E255-$G255)=ABS(K255-M255),Auxiliar!$C$13,IF(AND(SIGN($E255-$G255)=SIGN(K255-M255),MIN($E255,$G255)=MIN(K255,M255)),Auxiliar!$C$14,IF(SIGN($E255-$G255)=SIGN(K255-M255),Auxiliar!$C$15,IF(K255=M255,Auxiliar!$C$16,0)))))))</f>
        <v/>
      </c>
      <c r="P255" s="9">
        <v>0</v>
      </c>
      <c r="Q255" s="10" t="s">
        <v>23</v>
      </c>
      <c r="R255" s="11">
        <v>4</v>
      </c>
      <c r="S255" s="60" t="str">
        <f>IF(OR($E255="",$G255=""),"",IF(AND(P255=$E255,R255=$G255),Auxiliar!$C$11,IF(AND(SIGN($E255-$G255)=SIGN(P255-R255),MAX($E255,$G255)=MAX(P255,R255)),Auxiliar!$C$12,IF(ABS($E255-$G255)=ABS(P255-R255),Auxiliar!$C$13,IF(AND(SIGN($E255-$G255)=SIGN(P255-R255),MIN($E255,$G255)=MIN(P255,R255)),Auxiliar!$C$14,IF(SIGN($E255-$G255)=SIGN(P255-R255),Auxiliar!$C$15,IF(P255=R255,Auxiliar!$C$16,0)))))))</f>
        <v/>
      </c>
      <c r="U255" s="9">
        <v>0</v>
      </c>
      <c r="V255" s="10" t="s">
        <v>23</v>
      </c>
      <c r="W255" s="11">
        <v>5</v>
      </c>
      <c r="X255" s="60" t="str">
        <f>IF(OR($E255="",$G255=""),"",IF(AND(U255=$E255,W255=$G255),Auxiliar!$C$11,IF(AND(SIGN($E255-$G255)=SIGN(U255-W255),MAX($E255,$G255)=MAX(U255,W255)),Auxiliar!$C$12,IF(ABS($E255-$G255)=ABS(U255-W255),Auxiliar!$C$13,IF(AND(SIGN($E255-$G255)=SIGN(U255-W255),MIN($E255,$G255)=MIN(U255,W255)),Auxiliar!$C$14,IF(SIGN($E255-$G255)=SIGN(U255-W255),Auxiliar!$C$15,IF(U255=W255,Auxiliar!$C$16,0)))))))</f>
        <v/>
      </c>
      <c r="Z255" s="9">
        <v>3</v>
      </c>
      <c r="AA255" s="10" t="s">
        <v>23</v>
      </c>
      <c r="AB255" s="11">
        <v>4</v>
      </c>
      <c r="AC255" s="60" t="str">
        <f>IF(OR($E255="",$G255=""),"",IF(AND(Z255=$E255,AB255=$G255),Auxiliar!$C$11,IF(AND(SIGN($E255-$G255)=SIGN(Z255-AB255),MAX($E255,$G255)=MAX(Z255,AB255)),Auxiliar!$C$12,IF(ABS($E255-$G255)=ABS(Z255-AB255),Auxiliar!$C$13,IF(AND(SIGN($E255-$G255)=SIGN(Z255-AB255),MIN($E255,$G255)=MIN(Z255,AB255)),Auxiliar!$C$14,IF(SIGN($E255-$G255)=SIGN(Z255-AB255),Auxiliar!$C$15,IF(Z255=AB255,Auxiliar!$C$16,0)))))))</f>
        <v/>
      </c>
      <c r="AE255" s="9">
        <v>2</v>
      </c>
      <c r="AF255" s="10" t="s">
        <v>23</v>
      </c>
      <c r="AG255" s="11">
        <v>0</v>
      </c>
      <c r="AH255" s="60" t="str">
        <f>IF(OR($E255="",$G255=""),"",IF(AND(AE255=$E255,AG255=$G255),Auxiliar!$C$11,IF(AND(SIGN($E255-$G255)=SIGN(AE255-AG255),MAX($E255,$G255)=MAX(AE255,AG255)),Auxiliar!$C$12,IF(ABS($E255-$G255)=ABS(AE255-AG255),Auxiliar!$C$13,IF(AND(SIGN($E255-$G255)=SIGN(AE255-AG255),MIN($E255,$G255)=MIN(AE255,AG255)),Auxiliar!$C$14,IF(SIGN($E255-$G255)=SIGN(AE255-AG255),Auxiliar!$C$15,IF(AE255=AG255,Auxiliar!$C$16,0)))))))</f>
        <v/>
      </c>
    </row>
    <row r="256" spans="3:34" x14ac:dyDescent="0.25">
      <c r="C256" s="24">
        <f t="shared" si="3"/>
        <v>24</v>
      </c>
      <c r="D256" s="18"/>
      <c r="E256" s="13"/>
      <c r="F256" s="12" t="s">
        <v>23</v>
      </c>
      <c r="G256" s="13"/>
      <c r="H256" s="14"/>
      <c r="K256" s="9">
        <v>4</v>
      </c>
      <c r="L256" s="10" t="s">
        <v>23</v>
      </c>
      <c r="M256" s="11">
        <v>0</v>
      </c>
      <c r="N256" s="60" t="str">
        <f>IF(OR($E256="",$G256=""),"",IF(AND(K256=$E256,M256=$G256),Auxiliar!$C$11,IF(AND(SIGN($E256-$G256)=SIGN(K256-M256),MAX($E256,$G256)=MAX(K256,M256)),Auxiliar!$C$12,IF(ABS($E256-$G256)=ABS(K256-M256),Auxiliar!$C$13,IF(AND(SIGN($E256-$G256)=SIGN(K256-M256),MIN($E256,$G256)=MIN(K256,M256)),Auxiliar!$C$14,IF(SIGN($E256-$G256)=SIGN(K256-M256),Auxiliar!$C$15,IF(K256=M256,Auxiliar!$C$16,0)))))))</f>
        <v/>
      </c>
      <c r="P256" s="9">
        <v>2</v>
      </c>
      <c r="Q256" s="10" t="s">
        <v>23</v>
      </c>
      <c r="R256" s="11">
        <v>2</v>
      </c>
      <c r="S256" s="60" t="str">
        <f>IF(OR($E256="",$G256=""),"",IF(AND(P256=$E256,R256=$G256),Auxiliar!$C$11,IF(AND(SIGN($E256-$G256)=SIGN(P256-R256),MAX($E256,$G256)=MAX(P256,R256)),Auxiliar!$C$12,IF(ABS($E256-$G256)=ABS(P256-R256),Auxiliar!$C$13,IF(AND(SIGN($E256-$G256)=SIGN(P256-R256),MIN($E256,$G256)=MIN(P256,R256)),Auxiliar!$C$14,IF(SIGN($E256-$G256)=SIGN(P256-R256),Auxiliar!$C$15,IF(P256=R256,Auxiliar!$C$16,0)))))))</f>
        <v/>
      </c>
      <c r="U256" s="9">
        <v>5</v>
      </c>
      <c r="V256" s="10" t="s">
        <v>23</v>
      </c>
      <c r="W256" s="11">
        <v>5</v>
      </c>
      <c r="X256" s="60" t="str">
        <f>IF(OR($E256="",$G256=""),"",IF(AND(U256=$E256,W256=$G256),Auxiliar!$C$11,IF(AND(SIGN($E256-$G256)=SIGN(U256-W256),MAX($E256,$G256)=MAX(U256,W256)),Auxiliar!$C$12,IF(ABS($E256-$G256)=ABS(U256-W256),Auxiliar!$C$13,IF(AND(SIGN($E256-$G256)=SIGN(U256-W256),MIN($E256,$G256)=MIN(U256,W256)),Auxiliar!$C$14,IF(SIGN($E256-$G256)=SIGN(U256-W256),Auxiliar!$C$15,IF(U256=W256,Auxiliar!$C$16,0)))))))</f>
        <v/>
      </c>
      <c r="Z256" s="9">
        <v>2</v>
      </c>
      <c r="AA256" s="10" t="s">
        <v>23</v>
      </c>
      <c r="AB256" s="11">
        <v>2</v>
      </c>
      <c r="AC256" s="60" t="str">
        <f>IF(OR($E256="",$G256=""),"",IF(AND(Z256=$E256,AB256=$G256),Auxiliar!$C$11,IF(AND(SIGN($E256-$G256)=SIGN(Z256-AB256),MAX($E256,$G256)=MAX(Z256,AB256)),Auxiliar!$C$12,IF(ABS($E256-$G256)=ABS(Z256-AB256),Auxiliar!$C$13,IF(AND(SIGN($E256-$G256)=SIGN(Z256-AB256),MIN($E256,$G256)=MIN(Z256,AB256)),Auxiliar!$C$14,IF(SIGN($E256-$G256)=SIGN(Z256-AB256),Auxiliar!$C$15,IF(Z256=AB256,Auxiliar!$C$16,0)))))))</f>
        <v/>
      </c>
      <c r="AE256" s="9">
        <v>3</v>
      </c>
      <c r="AF256" s="10" t="s">
        <v>23</v>
      </c>
      <c r="AG256" s="11">
        <v>1</v>
      </c>
      <c r="AH256" s="60" t="str">
        <f>IF(OR($E256="",$G256=""),"",IF(AND(AE256=$E256,AG256=$G256),Auxiliar!$C$11,IF(AND(SIGN($E256-$G256)=SIGN(AE256-AG256),MAX($E256,$G256)=MAX(AE256,AG256)),Auxiliar!$C$12,IF(ABS($E256-$G256)=ABS(AE256-AG256),Auxiliar!$C$13,IF(AND(SIGN($E256-$G256)=SIGN(AE256-AG256),MIN($E256,$G256)=MIN(AE256,AG256)),Auxiliar!$C$14,IF(SIGN($E256-$G256)=SIGN(AE256-AG256),Auxiliar!$C$15,IF(AE256=AG256,Auxiliar!$C$16,0)))))))</f>
        <v/>
      </c>
    </row>
    <row r="257" spans="3:34" x14ac:dyDescent="0.25">
      <c r="C257" s="24">
        <f t="shared" si="3"/>
        <v>24</v>
      </c>
      <c r="D257" s="18"/>
      <c r="E257" s="13"/>
      <c r="F257" s="12" t="s">
        <v>23</v>
      </c>
      <c r="G257" s="13"/>
      <c r="H257" s="14"/>
      <c r="K257" s="9">
        <v>4</v>
      </c>
      <c r="L257" s="10" t="s">
        <v>23</v>
      </c>
      <c r="M257" s="11">
        <v>5</v>
      </c>
      <c r="N257" s="60" t="str">
        <f>IF(OR($E257="",$G257=""),"",IF(AND(K257=$E257,M257=$G257),Auxiliar!$C$11,IF(AND(SIGN($E257-$G257)=SIGN(K257-M257),MAX($E257,$G257)=MAX(K257,M257)),Auxiliar!$C$12,IF(ABS($E257-$G257)=ABS(K257-M257),Auxiliar!$C$13,IF(AND(SIGN($E257-$G257)=SIGN(K257-M257),MIN($E257,$G257)=MIN(K257,M257)),Auxiliar!$C$14,IF(SIGN($E257-$G257)=SIGN(K257-M257),Auxiliar!$C$15,IF(K257=M257,Auxiliar!$C$16,0)))))))</f>
        <v/>
      </c>
      <c r="P257" s="9">
        <v>3</v>
      </c>
      <c r="Q257" s="10" t="s">
        <v>23</v>
      </c>
      <c r="R257" s="11">
        <v>3</v>
      </c>
      <c r="S257" s="60" t="str">
        <f>IF(OR($E257="",$G257=""),"",IF(AND(P257=$E257,R257=$G257),Auxiliar!$C$11,IF(AND(SIGN($E257-$G257)=SIGN(P257-R257),MAX($E257,$G257)=MAX(P257,R257)),Auxiliar!$C$12,IF(ABS($E257-$G257)=ABS(P257-R257),Auxiliar!$C$13,IF(AND(SIGN($E257-$G257)=SIGN(P257-R257),MIN($E257,$G257)=MIN(P257,R257)),Auxiliar!$C$14,IF(SIGN($E257-$G257)=SIGN(P257-R257),Auxiliar!$C$15,IF(P257=R257,Auxiliar!$C$16,0)))))))</f>
        <v/>
      </c>
      <c r="U257" s="9">
        <v>1</v>
      </c>
      <c r="V257" s="10" t="s">
        <v>23</v>
      </c>
      <c r="W257" s="11">
        <v>2</v>
      </c>
      <c r="X257" s="60" t="str">
        <f>IF(OR($E257="",$G257=""),"",IF(AND(U257=$E257,W257=$G257),Auxiliar!$C$11,IF(AND(SIGN($E257-$G257)=SIGN(U257-W257),MAX($E257,$G257)=MAX(U257,W257)),Auxiliar!$C$12,IF(ABS($E257-$G257)=ABS(U257-W257),Auxiliar!$C$13,IF(AND(SIGN($E257-$G257)=SIGN(U257-W257),MIN($E257,$G257)=MIN(U257,W257)),Auxiliar!$C$14,IF(SIGN($E257-$G257)=SIGN(U257-W257),Auxiliar!$C$15,IF(U257=W257,Auxiliar!$C$16,0)))))))</f>
        <v/>
      </c>
      <c r="Z257" s="9">
        <v>4</v>
      </c>
      <c r="AA257" s="10" t="s">
        <v>23</v>
      </c>
      <c r="AB257" s="11">
        <v>4</v>
      </c>
      <c r="AC257" s="60" t="str">
        <f>IF(OR($E257="",$G257=""),"",IF(AND(Z257=$E257,AB257=$G257),Auxiliar!$C$11,IF(AND(SIGN($E257-$G257)=SIGN(Z257-AB257),MAX($E257,$G257)=MAX(Z257,AB257)),Auxiliar!$C$12,IF(ABS($E257-$G257)=ABS(Z257-AB257),Auxiliar!$C$13,IF(AND(SIGN($E257-$G257)=SIGN(Z257-AB257),MIN($E257,$G257)=MIN(Z257,AB257)),Auxiliar!$C$14,IF(SIGN($E257-$G257)=SIGN(Z257-AB257),Auxiliar!$C$15,IF(Z257=AB257,Auxiliar!$C$16,0)))))))</f>
        <v/>
      </c>
      <c r="AE257" s="9">
        <v>4</v>
      </c>
      <c r="AF257" s="10" t="s">
        <v>23</v>
      </c>
      <c r="AG257" s="11">
        <v>3</v>
      </c>
      <c r="AH257" s="60" t="str">
        <f>IF(OR($E257="",$G257=""),"",IF(AND(AE257=$E257,AG257=$G257),Auxiliar!$C$11,IF(AND(SIGN($E257-$G257)=SIGN(AE257-AG257),MAX($E257,$G257)=MAX(AE257,AG257)),Auxiliar!$C$12,IF(ABS($E257-$G257)=ABS(AE257-AG257),Auxiliar!$C$13,IF(AND(SIGN($E257-$G257)=SIGN(AE257-AG257),MIN($E257,$G257)=MIN(AE257,AG257)),Auxiliar!$C$14,IF(SIGN($E257-$G257)=SIGN(AE257-AG257),Auxiliar!$C$15,IF(AE257=AG257,Auxiliar!$C$16,0)))))))</f>
        <v/>
      </c>
    </row>
    <row r="258" spans="3:34" x14ac:dyDescent="0.25">
      <c r="C258" s="24">
        <f t="shared" si="3"/>
        <v>24</v>
      </c>
      <c r="D258" s="18"/>
      <c r="E258" s="13"/>
      <c r="F258" s="12" t="s">
        <v>23</v>
      </c>
      <c r="G258" s="13"/>
      <c r="H258" s="14"/>
      <c r="K258" s="9">
        <v>5</v>
      </c>
      <c r="L258" s="10" t="s">
        <v>23</v>
      </c>
      <c r="M258" s="11">
        <v>5</v>
      </c>
      <c r="N258" s="60" t="str">
        <f>IF(OR($E258="",$G258=""),"",IF(AND(K258=$E258,M258=$G258),Auxiliar!$C$11,IF(AND(SIGN($E258-$G258)=SIGN(K258-M258),MAX($E258,$G258)=MAX(K258,M258)),Auxiliar!$C$12,IF(ABS($E258-$G258)=ABS(K258-M258),Auxiliar!$C$13,IF(AND(SIGN($E258-$G258)=SIGN(K258-M258),MIN($E258,$G258)=MIN(K258,M258)),Auxiliar!$C$14,IF(SIGN($E258-$G258)=SIGN(K258-M258),Auxiliar!$C$15,IF(K258=M258,Auxiliar!$C$16,0)))))))</f>
        <v/>
      </c>
      <c r="P258" s="9">
        <v>5</v>
      </c>
      <c r="Q258" s="10" t="s">
        <v>23</v>
      </c>
      <c r="R258" s="11">
        <v>3</v>
      </c>
      <c r="S258" s="60" t="str">
        <f>IF(OR($E258="",$G258=""),"",IF(AND(P258=$E258,R258=$G258),Auxiliar!$C$11,IF(AND(SIGN($E258-$G258)=SIGN(P258-R258),MAX($E258,$G258)=MAX(P258,R258)),Auxiliar!$C$12,IF(ABS($E258-$G258)=ABS(P258-R258),Auxiliar!$C$13,IF(AND(SIGN($E258-$G258)=SIGN(P258-R258),MIN($E258,$G258)=MIN(P258,R258)),Auxiliar!$C$14,IF(SIGN($E258-$G258)=SIGN(P258-R258),Auxiliar!$C$15,IF(P258=R258,Auxiliar!$C$16,0)))))))</f>
        <v/>
      </c>
      <c r="U258" s="9">
        <v>2</v>
      </c>
      <c r="V258" s="10" t="s">
        <v>23</v>
      </c>
      <c r="W258" s="11">
        <v>5</v>
      </c>
      <c r="X258" s="60" t="str">
        <f>IF(OR($E258="",$G258=""),"",IF(AND(U258=$E258,W258=$G258),Auxiliar!$C$11,IF(AND(SIGN($E258-$G258)=SIGN(U258-W258),MAX($E258,$G258)=MAX(U258,W258)),Auxiliar!$C$12,IF(ABS($E258-$G258)=ABS(U258-W258),Auxiliar!$C$13,IF(AND(SIGN($E258-$G258)=SIGN(U258-W258),MIN($E258,$G258)=MIN(U258,W258)),Auxiliar!$C$14,IF(SIGN($E258-$G258)=SIGN(U258-W258),Auxiliar!$C$15,IF(U258=W258,Auxiliar!$C$16,0)))))))</f>
        <v/>
      </c>
      <c r="Z258" s="9">
        <v>1</v>
      </c>
      <c r="AA258" s="10" t="s">
        <v>23</v>
      </c>
      <c r="AB258" s="11">
        <v>0</v>
      </c>
      <c r="AC258" s="60" t="str">
        <f>IF(OR($E258="",$G258=""),"",IF(AND(Z258=$E258,AB258=$G258),Auxiliar!$C$11,IF(AND(SIGN($E258-$G258)=SIGN(Z258-AB258),MAX($E258,$G258)=MAX(Z258,AB258)),Auxiliar!$C$12,IF(ABS($E258-$G258)=ABS(Z258-AB258),Auxiliar!$C$13,IF(AND(SIGN($E258-$G258)=SIGN(Z258-AB258),MIN($E258,$G258)=MIN(Z258,AB258)),Auxiliar!$C$14,IF(SIGN($E258-$G258)=SIGN(Z258-AB258),Auxiliar!$C$15,IF(Z258=AB258,Auxiliar!$C$16,0)))))))</f>
        <v/>
      </c>
      <c r="AE258" s="9">
        <v>1</v>
      </c>
      <c r="AF258" s="10" t="s">
        <v>23</v>
      </c>
      <c r="AG258" s="11">
        <v>1</v>
      </c>
      <c r="AH258" s="60" t="str">
        <f>IF(OR($E258="",$G258=""),"",IF(AND(AE258=$E258,AG258=$G258),Auxiliar!$C$11,IF(AND(SIGN($E258-$G258)=SIGN(AE258-AG258),MAX($E258,$G258)=MAX(AE258,AG258)),Auxiliar!$C$12,IF(ABS($E258-$G258)=ABS(AE258-AG258),Auxiliar!$C$13,IF(AND(SIGN($E258-$G258)=SIGN(AE258-AG258),MIN($E258,$G258)=MIN(AE258,AG258)),Auxiliar!$C$14,IF(SIGN($E258-$G258)=SIGN(AE258-AG258),Auxiliar!$C$15,IF(AE258=AG258,Auxiliar!$C$16,0)))))))</f>
        <v/>
      </c>
    </row>
    <row r="259" spans="3:34" x14ac:dyDescent="0.25">
      <c r="C259" s="24">
        <f t="shared" si="3"/>
        <v>25</v>
      </c>
      <c r="D259" s="18"/>
      <c r="E259" s="13"/>
      <c r="F259" s="12" t="s">
        <v>23</v>
      </c>
      <c r="G259" s="13"/>
      <c r="H259" s="14"/>
      <c r="K259" s="9">
        <v>4</v>
      </c>
      <c r="L259" s="10" t="s">
        <v>23</v>
      </c>
      <c r="M259" s="11">
        <v>5</v>
      </c>
      <c r="N259" s="60" t="str">
        <f>IF(OR($E259="",$G259=""),"",IF(AND(K259=$E259,M259=$G259),Auxiliar!$C$11,IF(AND(SIGN($E259-$G259)=SIGN(K259-M259),MAX($E259,$G259)=MAX(K259,M259)),Auxiliar!$C$12,IF(ABS($E259-$G259)=ABS(K259-M259),Auxiliar!$C$13,IF(AND(SIGN($E259-$G259)=SIGN(K259-M259),MIN($E259,$G259)=MIN(K259,M259)),Auxiliar!$C$14,IF(SIGN($E259-$G259)=SIGN(K259-M259),Auxiliar!$C$15,IF(K259=M259,Auxiliar!$C$16,0)))))))</f>
        <v/>
      </c>
      <c r="P259" s="9">
        <v>1</v>
      </c>
      <c r="Q259" s="10" t="s">
        <v>23</v>
      </c>
      <c r="R259" s="11">
        <v>5</v>
      </c>
      <c r="S259" s="60" t="str">
        <f>IF(OR($E259="",$G259=""),"",IF(AND(P259=$E259,R259=$G259),Auxiliar!$C$11,IF(AND(SIGN($E259-$G259)=SIGN(P259-R259),MAX($E259,$G259)=MAX(P259,R259)),Auxiliar!$C$12,IF(ABS($E259-$G259)=ABS(P259-R259),Auxiliar!$C$13,IF(AND(SIGN($E259-$G259)=SIGN(P259-R259),MIN($E259,$G259)=MIN(P259,R259)),Auxiliar!$C$14,IF(SIGN($E259-$G259)=SIGN(P259-R259),Auxiliar!$C$15,IF(P259=R259,Auxiliar!$C$16,0)))))))</f>
        <v/>
      </c>
      <c r="U259" s="9">
        <v>2</v>
      </c>
      <c r="V259" s="10" t="s">
        <v>23</v>
      </c>
      <c r="W259" s="11">
        <v>5</v>
      </c>
      <c r="X259" s="60" t="str">
        <f>IF(OR($E259="",$G259=""),"",IF(AND(U259=$E259,W259=$G259),Auxiliar!$C$11,IF(AND(SIGN($E259-$G259)=SIGN(U259-W259),MAX($E259,$G259)=MAX(U259,W259)),Auxiliar!$C$12,IF(ABS($E259-$G259)=ABS(U259-W259),Auxiliar!$C$13,IF(AND(SIGN($E259-$G259)=SIGN(U259-W259),MIN($E259,$G259)=MIN(U259,W259)),Auxiliar!$C$14,IF(SIGN($E259-$G259)=SIGN(U259-W259),Auxiliar!$C$15,IF(U259=W259,Auxiliar!$C$16,0)))))))</f>
        <v/>
      </c>
      <c r="Z259" s="9">
        <v>3</v>
      </c>
      <c r="AA259" s="10" t="s">
        <v>23</v>
      </c>
      <c r="AB259" s="11">
        <v>3</v>
      </c>
      <c r="AC259" s="60" t="str">
        <f>IF(OR($E259="",$G259=""),"",IF(AND(Z259=$E259,AB259=$G259),Auxiliar!$C$11,IF(AND(SIGN($E259-$G259)=SIGN(Z259-AB259),MAX($E259,$G259)=MAX(Z259,AB259)),Auxiliar!$C$12,IF(ABS($E259-$G259)=ABS(Z259-AB259),Auxiliar!$C$13,IF(AND(SIGN($E259-$G259)=SIGN(Z259-AB259),MIN($E259,$G259)=MIN(Z259,AB259)),Auxiliar!$C$14,IF(SIGN($E259-$G259)=SIGN(Z259-AB259),Auxiliar!$C$15,IF(Z259=AB259,Auxiliar!$C$16,0)))))))</f>
        <v/>
      </c>
      <c r="AE259" s="9">
        <v>3</v>
      </c>
      <c r="AF259" s="10" t="s">
        <v>23</v>
      </c>
      <c r="AG259" s="11">
        <v>2</v>
      </c>
      <c r="AH259" s="60" t="str">
        <f>IF(OR($E259="",$G259=""),"",IF(AND(AE259=$E259,AG259=$G259),Auxiliar!$C$11,IF(AND(SIGN($E259-$G259)=SIGN(AE259-AG259),MAX($E259,$G259)=MAX(AE259,AG259)),Auxiliar!$C$12,IF(ABS($E259-$G259)=ABS(AE259-AG259),Auxiliar!$C$13,IF(AND(SIGN($E259-$G259)=SIGN(AE259-AG259),MIN($E259,$G259)=MIN(AE259,AG259)),Auxiliar!$C$14,IF(SIGN($E259-$G259)=SIGN(AE259-AG259),Auxiliar!$C$15,IF(AE259=AG259,Auxiliar!$C$16,0)))))))</f>
        <v/>
      </c>
    </row>
    <row r="260" spans="3:34" x14ac:dyDescent="0.25">
      <c r="C260" s="24">
        <f t="shared" si="3"/>
        <v>25</v>
      </c>
      <c r="D260" s="18"/>
      <c r="E260" s="13"/>
      <c r="F260" s="12" t="s">
        <v>23</v>
      </c>
      <c r="G260" s="13"/>
      <c r="H260" s="14"/>
      <c r="K260" s="9">
        <v>1</v>
      </c>
      <c r="L260" s="10" t="s">
        <v>23</v>
      </c>
      <c r="M260" s="11">
        <v>3</v>
      </c>
      <c r="N260" s="60" t="str">
        <f>IF(OR($E260="",$G260=""),"",IF(AND(K260=$E260,M260=$G260),Auxiliar!$C$11,IF(AND(SIGN($E260-$G260)=SIGN(K260-M260),MAX($E260,$G260)=MAX(K260,M260)),Auxiliar!$C$12,IF(ABS($E260-$G260)=ABS(K260-M260),Auxiliar!$C$13,IF(AND(SIGN($E260-$G260)=SIGN(K260-M260),MIN($E260,$G260)=MIN(K260,M260)),Auxiliar!$C$14,IF(SIGN($E260-$G260)=SIGN(K260-M260),Auxiliar!$C$15,IF(K260=M260,Auxiliar!$C$16,0)))))))</f>
        <v/>
      </c>
      <c r="P260" s="9">
        <v>5</v>
      </c>
      <c r="Q260" s="10" t="s">
        <v>23</v>
      </c>
      <c r="R260" s="11">
        <v>3</v>
      </c>
      <c r="S260" s="60" t="str">
        <f>IF(OR($E260="",$G260=""),"",IF(AND(P260=$E260,R260=$G260),Auxiliar!$C$11,IF(AND(SIGN($E260-$G260)=SIGN(P260-R260),MAX($E260,$G260)=MAX(P260,R260)),Auxiliar!$C$12,IF(ABS($E260-$G260)=ABS(P260-R260),Auxiliar!$C$13,IF(AND(SIGN($E260-$G260)=SIGN(P260-R260),MIN($E260,$G260)=MIN(P260,R260)),Auxiliar!$C$14,IF(SIGN($E260-$G260)=SIGN(P260-R260),Auxiliar!$C$15,IF(P260=R260,Auxiliar!$C$16,0)))))))</f>
        <v/>
      </c>
      <c r="U260" s="9">
        <v>5</v>
      </c>
      <c r="V260" s="10" t="s">
        <v>23</v>
      </c>
      <c r="W260" s="11">
        <v>0</v>
      </c>
      <c r="X260" s="60" t="str">
        <f>IF(OR($E260="",$G260=""),"",IF(AND(U260=$E260,W260=$G260),Auxiliar!$C$11,IF(AND(SIGN($E260-$G260)=SIGN(U260-W260),MAX($E260,$G260)=MAX(U260,W260)),Auxiliar!$C$12,IF(ABS($E260-$G260)=ABS(U260-W260),Auxiliar!$C$13,IF(AND(SIGN($E260-$G260)=SIGN(U260-W260),MIN($E260,$G260)=MIN(U260,W260)),Auxiliar!$C$14,IF(SIGN($E260-$G260)=SIGN(U260-W260),Auxiliar!$C$15,IF(U260=W260,Auxiliar!$C$16,0)))))))</f>
        <v/>
      </c>
      <c r="Z260" s="9">
        <v>1</v>
      </c>
      <c r="AA260" s="10" t="s">
        <v>23</v>
      </c>
      <c r="AB260" s="11">
        <v>4</v>
      </c>
      <c r="AC260" s="60" t="str">
        <f>IF(OR($E260="",$G260=""),"",IF(AND(Z260=$E260,AB260=$G260),Auxiliar!$C$11,IF(AND(SIGN($E260-$G260)=SIGN(Z260-AB260),MAX($E260,$G260)=MAX(Z260,AB260)),Auxiliar!$C$12,IF(ABS($E260-$G260)=ABS(Z260-AB260),Auxiliar!$C$13,IF(AND(SIGN($E260-$G260)=SIGN(Z260-AB260),MIN($E260,$G260)=MIN(Z260,AB260)),Auxiliar!$C$14,IF(SIGN($E260-$G260)=SIGN(Z260-AB260),Auxiliar!$C$15,IF(Z260=AB260,Auxiliar!$C$16,0)))))))</f>
        <v/>
      </c>
      <c r="AE260" s="9">
        <v>2</v>
      </c>
      <c r="AF260" s="10" t="s">
        <v>23</v>
      </c>
      <c r="AG260" s="11">
        <v>2</v>
      </c>
      <c r="AH260" s="60" t="str">
        <f>IF(OR($E260="",$G260=""),"",IF(AND(AE260=$E260,AG260=$G260),Auxiliar!$C$11,IF(AND(SIGN($E260-$G260)=SIGN(AE260-AG260),MAX($E260,$G260)=MAX(AE260,AG260)),Auxiliar!$C$12,IF(ABS($E260-$G260)=ABS(AE260-AG260),Auxiliar!$C$13,IF(AND(SIGN($E260-$G260)=SIGN(AE260-AG260),MIN($E260,$G260)=MIN(AE260,AG260)),Auxiliar!$C$14,IF(SIGN($E260-$G260)=SIGN(AE260-AG260),Auxiliar!$C$15,IF(AE260=AG260,Auxiliar!$C$16,0)))))))</f>
        <v/>
      </c>
    </row>
    <row r="261" spans="3:34" x14ac:dyDescent="0.25">
      <c r="C261" s="24">
        <f t="shared" si="3"/>
        <v>25</v>
      </c>
      <c r="D261" s="18"/>
      <c r="E261" s="13"/>
      <c r="F261" s="12" t="s">
        <v>23</v>
      </c>
      <c r="G261" s="13"/>
      <c r="H261" s="14"/>
      <c r="K261" s="9">
        <v>4</v>
      </c>
      <c r="L261" s="10" t="s">
        <v>23</v>
      </c>
      <c r="M261" s="11">
        <v>0</v>
      </c>
      <c r="N261" s="60" t="str">
        <f>IF(OR($E261="",$G261=""),"",IF(AND(K261=$E261,M261=$G261),Auxiliar!$C$11,IF(AND(SIGN($E261-$G261)=SIGN(K261-M261),MAX($E261,$G261)=MAX(K261,M261)),Auxiliar!$C$12,IF(ABS($E261-$G261)=ABS(K261-M261),Auxiliar!$C$13,IF(AND(SIGN($E261-$G261)=SIGN(K261-M261),MIN($E261,$G261)=MIN(K261,M261)),Auxiliar!$C$14,IF(SIGN($E261-$G261)=SIGN(K261-M261),Auxiliar!$C$15,IF(K261=M261,Auxiliar!$C$16,0)))))))</f>
        <v/>
      </c>
      <c r="P261" s="9">
        <v>1</v>
      </c>
      <c r="Q261" s="10" t="s">
        <v>23</v>
      </c>
      <c r="R261" s="11">
        <v>1</v>
      </c>
      <c r="S261" s="60" t="str">
        <f>IF(OR($E261="",$G261=""),"",IF(AND(P261=$E261,R261=$G261),Auxiliar!$C$11,IF(AND(SIGN($E261-$G261)=SIGN(P261-R261),MAX($E261,$G261)=MAX(P261,R261)),Auxiliar!$C$12,IF(ABS($E261-$G261)=ABS(P261-R261),Auxiliar!$C$13,IF(AND(SIGN($E261-$G261)=SIGN(P261-R261),MIN($E261,$G261)=MIN(P261,R261)),Auxiliar!$C$14,IF(SIGN($E261-$G261)=SIGN(P261-R261),Auxiliar!$C$15,IF(P261=R261,Auxiliar!$C$16,0)))))))</f>
        <v/>
      </c>
      <c r="U261" s="9">
        <v>1</v>
      </c>
      <c r="V261" s="10" t="s">
        <v>23</v>
      </c>
      <c r="W261" s="11">
        <v>4</v>
      </c>
      <c r="X261" s="60" t="str">
        <f>IF(OR($E261="",$G261=""),"",IF(AND(U261=$E261,W261=$G261),Auxiliar!$C$11,IF(AND(SIGN($E261-$G261)=SIGN(U261-W261),MAX($E261,$G261)=MAX(U261,W261)),Auxiliar!$C$12,IF(ABS($E261-$G261)=ABS(U261-W261),Auxiliar!$C$13,IF(AND(SIGN($E261-$G261)=SIGN(U261-W261),MIN($E261,$G261)=MIN(U261,W261)),Auxiliar!$C$14,IF(SIGN($E261-$G261)=SIGN(U261-W261),Auxiliar!$C$15,IF(U261=W261,Auxiliar!$C$16,0)))))))</f>
        <v/>
      </c>
      <c r="Z261" s="9">
        <v>0</v>
      </c>
      <c r="AA261" s="10" t="s">
        <v>23</v>
      </c>
      <c r="AB261" s="11">
        <v>2</v>
      </c>
      <c r="AC261" s="60" t="str">
        <f>IF(OR($E261="",$G261=""),"",IF(AND(Z261=$E261,AB261=$G261),Auxiliar!$C$11,IF(AND(SIGN($E261-$G261)=SIGN(Z261-AB261),MAX($E261,$G261)=MAX(Z261,AB261)),Auxiliar!$C$12,IF(ABS($E261-$G261)=ABS(Z261-AB261),Auxiliar!$C$13,IF(AND(SIGN($E261-$G261)=SIGN(Z261-AB261),MIN($E261,$G261)=MIN(Z261,AB261)),Auxiliar!$C$14,IF(SIGN($E261-$G261)=SIGN(Z261-AB261),Auxiliar!$C$15,IF(Z261=AB261,Auxiliar!$C$16,0)))))))</f>
        <v/>
      </c>
      <c r="AE261" s="9">
        <v>0</v>
      </c>
      <c r="AF261" s="10" t="s">
        <v>23</v>
      </c>
      <c r="AG261" s="11">
        <v>3</v>
      </c>
      <c r="AH261" s="60" t="str">
        <f>IF(OR($E261="",$G261=""),"",IF(AND(AE261=$E261,AG261=$G261),Auxiliar!$C$11,IF(AND(SIGN($E261-$G261)=SIGN(AE261-AG261),MAX($E261,$G261)=MAX(AE261,AG261)),Auxiliar!$C$12,IF(ABS($E261-$G261)=ABS(AE261-AG261),Auxiliar!$C$13,IF(AND(SIGN($E261-$G261)=SIGN(AE261-AG261),MIN($E261,$G261)=MIN(AE261,AG261)),Auxiliar!$C$14,IF(SIGN($E261-$G261)=SIGN(AE261-AG261),Auxiliar!$C$15,IF(AE261=AG261,Auxiliar!$C$16,0)))))))</f>
        <v/>
      </c>
    </row>
    <row r="262" spans="3:34" x14ac:dyDescent="0.25">
      <c r="C262" s="24">
        <f t="shared" si="3"/>
        <v>25</v>
      </c>
      <c r="D262" s="18"/>
      <c r="E262" s="13"/>
      <c r="F262" s="12" t="s">
        <v>23</v>
      </c>
      <c r="G262" s="13"/>
      <c r="H262" s="14"/>
      <c r="K262" s="9">
        <v>3</v>
      </c>
      <c r="L262" s="10" t="s">
        <v>23</v>
      </c>
      <c r="M262" s="11">
        <v>3</v>
      </c>
      <c r="N262" s="60" t="str">
        <f>IF(OR($E262="",$G262=""),"",IF(AND(K262=$E262,M262=$G262),Auxiliar!$C$11,IF(AND(SIGN($E262-$G262)=SIGN(K262-M262),MAX($E262,$G262)=MAX(K262,M262)),Auxiliar!$C$12,IF(ABS($E262-$G262)=ABS(K262-M262),Auxiliar!$C$13,IF(AND(SIGN($E262-$G262)=SIGN(K262-M262),MIN($E262,$G262)=MIN(K262,M262)),Auxiliar!$C$14,IF(SIGN($E262-$G262)=SIGN(K262-M262),Auxiliar!$C$15,IF(K262=M262,Auxiliar!$C$16,0)))))))</f>
        <v/>
      </c>
      <c r="P262" s="9">
        <v>3</v>
      </c>
      <c r="Q262" s="10" t="s">
        <v>23</v>
      </c>
      <c r="R262" s="11">
        <v>2</v>
      </c>
      <c r="S262" s="60" t="str">
        <f>IF(OR($E262="",$G262=""),"",IF(AND(P262=$E262,R262=$G262),Auxiliar!$C$11,IF(AND(SIGN($E262-$G262)=SIGN(P262-R262),MAX($E262,$G262)=MAX(P262,R262)),Auxiliar!$C$12,IF(ABS($E262-$G262)=ABS(P262-R262),Auxiliar!$C$13,IF(AND(SIGN($E262-$G262)=SIGN(P262-R262),MIN($E262,$G262)=MIN(P262,R262)),Auxiliar!$C$14,IF(SIGN($E262-$G262)=SIGN(P262-R262),Auxiliar!$C$15,IF(P262=R262,Auxiliar!$C$16,0)))))))</f>
        <v/>
      </c>
      <c r="U262" s="9">
        <v>4</v>
      </c>
      <c r="V262" s="10" t="s">
        <v>23</v>
      </c>
      <c r="W262" s="11">
        <v>4</v>
      </c>
      <c r="X262" s="60" t="str">
        <f>IF(OR($E262="",$G262=""),"",IF(AND(U262=$E262,W262=$G262),Auxiliar!$C$11,IF(AND(SIGN($E262-$G262)=SIGN(U262-W262),MAX($E262,$G262)=MAX(U262,W262)),Auxiliar!$C$12,IF(ABS($E262-$G262)=ABS(U262-W262),Auxiliar!$C$13,IF(AND(SIGN($E262-$G262)=SIGN(U262-W262),MIN($E262,$G262)=MIN(U262,W262)),Auxiliar!$C$14,IF(SIGN($E262-$G262)=SIGN(U262-W262),Auxiliar!$C$15,IF(U262=W262,Auxiliar!$C$16,0)))))))</f>
        <v/>
      </c>
      <c r="Z262" s="9">
        <v>3</v>
      </c>
      <c r="AA262" s="10" t="s">
        <v>23</v>
      </c>
      <c r="AB262" s="11">
        <v>5</v>
      </c>
      <c r="AC262" s="60" t="str">
        <f>IF(OR($E262="",$G262=""),"",IF(AND(Z262=$E262,AB262=$G262),Auxiliar!$C$11,IF(AND(SIGN($E262-$G262)=SIGN(Z262-AB262),MAX($E262,$G262)=MAX(Z262,AB262)),Auxiliar!$C$12,IF(ABS($E262-$G262)=ABS(Z262-AB262),Auxiliar!$C$13,IF(AND(SIGN($E262-$G262)=SIGN(Z262-AB262),MIN($E262,$G262)=MIN(Z262,AB262)),Auxiliar!$C$14,IF(SIGN($E262-$G262)=SIGN(Z262-AB262),Auxiliar!$C$15,IF(Z262=AB262,Auxiliar!$C$16,0)))))))</f>
        <v/>
      </c>
      <c r="AE262" s="9">
        <v>2</v>
      </c>
      <c r="AF262" s="10" t="s">
        <v>23</v>
      </c>
      <c r="AG262" s="11">
        <v>5</v>
      </c>
      <c r="AH262" s="60" t="str">
        <f>IF(OR($E262="",$G262=""),"",IF(AND(AE262=$E262,AG262=$G262),Auxiliar!$C$11,IF(AND(SIGN($E262-$G262)=SIGN(AE262-AG262),MAX($E262,$G262)=MAX(AE262,AG262)),Auxiliar!$C$12,IF(ABS($E262-$G262)=ABS(AE262-AG262),Auxiliar!$C$13,IF(AND(SIGN($E262-$G262)=SIGN(AE262-AG262),MIN($E262,$G262)=MIN(AE262,AG262)),Auxiliar!$C$14,IF(SIGN($E262-$G262)=SIGN(AE262-AG262),Auxiliar!$C$15,IF(AE262=AG262,Auxiliar!$C$16,0)))))))</f>
        <v/>
      </c>
    </row>
    <row r="263" spans="3:34" x14ac:dyDescent="0.25">
      <c r="C263" s="24">
        <f t="shared" si="3"/>
        <v>25</v>
      </c>
      <c r="D263" s="18"/>
      <c r="E263" s="13"/>
      <c r="F263" s="12" t="s">
        <v>23</v>
      </c>
      <c r="G263" s="13"/>
      <c r="H263" s="14"/>
      <c r="K263" s="9">
        <v>0</v>
      </c>
      <c r="L263" s="10" t="s">
        <v>23</v>
      </c>
      <c r="M263" s="11">
        <v>4</v>
      </c>
      <c r="N263" s="60" t="str">
        <f>IF(OR($E263="",$G263=""),"",IF(AND(K263=$E263,M263=$G263),Auxiliar!$C$11,IF(AND(SIGN($E263-$G263)=SIGN(K263-M263),MAX($E263,$G263)=MAX(K263,M263)),Auxiliar!$C$12,IF(ABS($E263-$G263)=ABS(K263-M263),Auxiliar!$C$13,IF(AND(SIGN($E263-$G263)=SIGN(K263-M263),MIN($E263,$G263)=MIN(K263,M263)),Auxiliar!$C$14,IF(SIGN($E263-$G263)=SIGN(K263-M263),Auxiliar!$C$15,IF(K263=M263,Auxiliar!$C$16,0)))))))</f>
        <v/>
      </c>
      <c r="P263" s="9">
        <v>5</v>
      </c>
      <c r="Q263" s="10" t="s">
        <v>23</v>
      </c>
      <c r="R263" s="11">
        <v>1</v>
      </c>
      <c r="S263" s="60" t="str">
        <f>IF(OR($E263="",$G263=""),"",IF(AND(P263=$E263,R263=$G263),Auxiliar!$C$11,IF(AND(SIGN($E263-$G263)=SIGN(P263-R263),MAX($E263,$G263)=MAX(P263,R263)),Auxiliar!$C$12,IF(ABS($E263-$G263)=ABS(P263-R263),Auxiliar!$C$13,IF(AND(SIGN($E263-$G263)=SIGN(P263-R263),MIN($E263,$G263)=MIN(P263,R263)),Auxiliar!$C$14,IF(SIGN($E263-$G263)=SIGN(P263-R263),Auxiliar!$C$15,IF(P263=R263,Auxiliar!$C$16,0)))))))</f>
        <v/>
      </c>
      <c r="U263" s="9">
        <v>4</v>
      </c>
      <c r="V263" s="10" t="s">
        <v>23</v>
      </c>
      <c r="W263" s="11">
        <v>4</v>
      </c>
      <c r="X263" s="60" t="str">
        <f>IF(OR($E263="",$G263=""),"",IF(AND(U263=$E263,W263=$G263),Auxiliar!$C$11,IF(AND(SIGN($E263-$G263)=SIGN(U263-W263),MAX($E263,$G263)=MAX(U263,W263)),Auxiliar!$C$12,IF(ABS($E263-$G263)=ABS(U263-W263),Auxiliar!$C$13,IF(AND(SIGN($E263-$G263)=SIGN(U263-W263),MIN($E263,$G263)=MIN(U263,W263)),Auxiliar!$C$14,IF(SIGN($E263-$G263)=SIGN(U263-W263),Auxiliar!$C$15,IF(U263=W263,Auxiliar!$C$16,0)))))))</f>
        <v/>
      </c>
      <c r="Z263" s="9">
        <v>0</v>
      </c>
      <c r="AA263" s="10" t="s">
        <v>23</v>
      </c>
      <c r="AB263" s="11">
        <v>0</v>
      </c>
      <c r="AC263" s="60" t="str">
        <f>IF(OR($E263="",$G263=""),"",IF(AND(Z263=$E263,AB263=$G263),Auxiliar!$C$11,IF(AND(SIGN($E263-$G263)=SIGN(Z263-AB263),MAX($E263,$G263)=MAX(Z263,AB263)),Auxiliar!$C$12,IF(ABS($E263-$G263)=ABS(Z263-AB263),Auxiliar!$C$13,IF(AND(SIGN($E263-$G263)=SIGN(Z263-AB263),MIN($E263,$G263)=MIN(Z263,AB263)),Auxiliar!$C$14,IF(SIGN($E263-$G263)=SIGN(Z263-AB263),Auxiliar!$C$15,IF(Z263=AB263,Auxiliar!$C$16,0)))))))</f>
        <v/>
      </c>
      <c r="AE263" s="9">
        <v>2</v>
      </c>
      <c r="AF263" s="10" t="s">
        <v>23</v>
      </c>
      <c r="AG263" s="11">
        <v>5</v>
      </c>
      <c r="AH263" s="60" t="str">
        <f>IF(OR($E263="",$G263=""),"",IF(AND(AE263=$E263,AG263=$G263),Auxiliar!$C$11,IF(AND(SIGN($E263-$G263)=SIGN(AE263-AG263),MAX($E263,$G263)=MAX(AE263,AG263)),Auxiliar!$C$12,IF(ABS($E263-$G263)=ABS(AE263-AG263),Auxiliar!$C$13,IF(AND(SIGN($E263-$G263)=SIGN(AE263-AG263),MIN($E263,$G263)=MIN(AE263,AG263)),Auxiliar!$C$14,IF(SIGN($E263-$G263)=SIGN(AE263-AG263),Auxiliar!$C$15,IF(AE263=AG263,Auxiliar!$C$16,0)))))))</f>
        <v/>
      </c>
    </row>
    <row r="264" spans="3:34" x14ac:dyDescent="0.25">
      <c r="C264" s="24">
        <f t="shared" si="3"/>
        <v>25</v>
      </c>
      <c r="D264" s="18"/>
      <c r="E264" s="13"/>
      <c r="F264" s="12" t="s">
        <v>23</v>
      </c>
      <c r="G264" s="13"/>
      <c r="H264" s="14"/>
      <c r="K264" s="9">
        <v>1</v>
      </c>
      <c r="L264" s="10" t="s">
        <v>23</v>
      </c>
      <c r="M264" s="11">
        <v>0</v>
      </c>
      <c r="N264" s="60" t="str">
        <f>IF(OR($E264="",$G264=""),"",IF(AND(K264=$E264,M264=$G264),Auxiliar!$C$11,IF(AND(SIGN($E264-$G264)=SIGN(K264-M264),MAX($E264,$G264)=MAX(K264,M264)),Auxiliar!$C$12,IF(ABS($E264-$G264)=ABS(K264-M264),Auxiliar!$C$13,IF(AND(SIGN($E264-$G264)=SIGN(K264-M264),MIN($E264,$G264)=MIN(K264,M264)),Auxiliar!$C$14,IF(SIGN($E264-$G264)=SIGN(K264-M264),Auxiliar!$C$15,IF(K264=M264,Auxiliar!$C$16,0)))))))</f>
        <v/>
      </c>
      <c r="P264" s="9">
        <v>3</v>
      </c>
      <c r="Q264" s="10" t="s">
        <v>23</v>
      </c>
      <c r="R264" s="11">
        <v>0</v>
      </c>
      <c r="S264" s="60" t="str">
        <f>IF(OR($E264="",$G264=""),"",IF(AND(P264=$E264,R264=$G264),Auxiliar!$C$11,IF(AND(SIGN($E264-$G264)=SIGN(P264-R264),MAX($E264,$G264)=MAX(P264,R264)),Auxiliar!$C$12,IF(ABS($E264-$G264)=ABS(P264-R264),Auxiliar!$C$13,IF(AND(SIGN($E264-$G264)=SIGN(P264-R264),MIN($E264,$G264)=MIN(P264,R264)),Auxiliar!$C$14,IF(SIGN($E264-$G264)=SIGN(P264-R264),Auxiliar!$C$15,IF(P264=R264,Auxiliar!$C$16,0)))))))</f>
        <v/>
      </c>
      <c r="U264" s="9">
        <v>0</v>
      </c>
      <c r="V264" s="10" t="s">
        <v>23</v>
      </c>
      <c r="W264" s="11">
        <v>3</v>
      </c>
      <c r="X264" s="60" t="str">
        <f>IF(OR($E264="",$G264=""),"",IF(AND(U264=$E264,W264=$G264),Auxiliar!$C$11,IF(AND(SIGN($E264-$G264)=SIGN(U264-W264),MAX($E264,$G264)=MAX(U264,W264)),Auxiliar!$C$12,IF(ABS($E264-$G264)=ABS(U264-W264),Auxiliar!$C$13,IF(AND(SIGN($E264-$G264)=SIGN(U264-W264),MIN($E264,$G264)=MIN(U264,W264)),Auxiliar!$C$14,IF(SIGN($E264-$G264)=SIGN(U264-W264),Auxiliar!$C$15,IF(U264=W264,Auxiliar!$C$16,0)))))))</f>
        <v/>
      </c>
      <c r="Z264" s="9">
        <v>3</v>
      </c>
      <c r="AA264" s="10" t="s">
        <v>23</v>
      </c>
      <c r="AB264" s="11">
        <v>0</v>
      </c>
      <c r="AC264" s="60" t="str">
        <f>IF(OR($E264="",$G264=""),"",IF(AND(Z264=$E264,AB264=$G264),Auxiliar!$C$11,IF(AND(SIGN($E264-$G264)=SIGN(Z264-AB264),MAX($E264,$G264)=MAX(Z264,AB264)),Auxiliar!$C$12,IF(ABS($E264-$G264)=ABS(Z264-AB264),Auxiliar!$C$13,IF(AND(SIGN($E264-$G264)=SIGN(Z264-AB264),MIN($E264,$G264)=MIN(Z264,AB264)),Auxiliar!$C$14,IF(SIGN($E264-$G264)=SIGN(Z264-AB264),Auxiliar!$C$15,IF(Z264=AB264,Auxiliar!$C$16,0)))))))</f>
        <v/>
      </c>
      <c r="AE264" s="9">
        <v>1</v>
      </c>
      <c r="AF264" s="10" t="s">
        <v>23</v>
      </c>
      <c r="AG264" s="11">
        <v>0</v>
      </c>
      <c r="AH264" s="60" t="str">
        <f>IF(OR($E264="",$G264=""),"",IF(AND(AE264=$E264,AG264=$G264),Auxiliar!$C$11,IF(AND(SIGN($E264-$G264)=SIGN(AE264-AG264),MAX($E264,$G264)=MAX(AE264,AG264)),Auxiliar!$C$12,IF(ABS($E264-$G264)=ABS(AE264-AG264),Auxiliar!$C$13,IF(AND(SIGN($E264-$G264)=SIGN(AE264-AG264),MIN($E264,$G264)=MIN(AE264,AG264)),Auxiliar!$C$14,IF(SIGN($E264-$G264)=SIGN(AE264-AG264),Auxiliar!$C$15,IF(AE264=AG264,Auxiliar!$C$16,0)))))))</f>
        <v/>
      </c>
    </row>
    <row r="265" spans="3:34" x14ac:dyDescent="0.25">
      <c r="C265" s="24">
        <f t="shared" si="3"/>
        <v>25</v>
      </c>
      <c r="D265" s="18"/>
      <c r="E265" s="13"/>
      <c r="F265" s="12" t="s">
        <v>23</v>
      </c>
      <c r="G265" s="13"/>
      <c r="H265" s="14"/>
      <c r="K265" s="9">
        <v>3</v>
      </c>
      <c r="L265" s="10" t="s">
        <v>23</v>
      </c>
      <c r="M265" s="11">
        <v>5</v>
      </c>
      <c r="N265" s="60" t="str">
        <f>IF(OR($E265="",$G265=""),"",IF(AND(K265=$E265,M265=$G265),Auxiliar!$C$11,IF(AND(SIGN($E265-$G265)=SIGN(K265-M265),MAX($E265,$G265)=MAX(K265,M265)),Auxiliar!$C$12,IF(ABS($E265-$G265)=ABS(K265-M265),Auxiliar!$C$13,IF(AND(SIGN($E265-$G265)=SIGN(K265-M265),MIN($E265,$G265)=MIN(K265,M265)),Auxiliar!$C$14,IF(SIGN($E265-$G265)=SIGN(K265-M265),Auxiliar!$C$15,IF(K265=M265,Auxiliar!$C$16,0)))))))</f>
        <v/>
      </c>
      <c r="P265" s="9">
        <v>4</v>
      </c>
      <c r="Q265" s="10" t="s">
        <v>23</v>
      </c>
      <c r="R265" s="11">
        <v>0</v>
      </c>
      <c r="S265" s="60" t="str">
        <f>IF(OR($E265="",$G265=""),"",IF(AND(P265=$E265,R265=$G265),Auxiliar!$C$11,IF(AND(SIGN($E265-$G265)=SIGN(P265-R265),MAX($E265,$G265)=MAX(P265,R265)),Auxiliar!$C$12,IF(ABS($E265-$G265)=ABS(P265-R265),Auxiliar!$C$13,IF(AND(SIGN($E265-$G265)=SIGN(P265-R265),MIN($E265,$G265)=MIN(P265,R265)),Auxiliar!$C$14,IF(SIGN($E265-$G265)=SIGN(P265-R265),Auxiliar!$C$15,IF(P265=R265,Auxiliar!$C$16,0)))))))</f>
        <v/>
      </c>
      <c r="U265" s="9">
        <v>3</v>
      </c>
      <c r="V265" s="10" t="s">
        <v>23</v>
      </c>
      <c r="W265" s="11">
        <v>0</v>
      </c>
      <c r="X265" s="60" t="str">
        <f>IF(OR($E265="",$G265=""),"",IF(AND(U265=$E265,W265=$G265),Auxiliar!$C$11,IF(AND(SIGN($E265-$G265)=SIGN(U265-W265),MAX($E265,$G265)=MAX(U265,W265)),Auxiliar!$C$12,IF(ABS($E265-$G265)=ABS(U265-W265),Auxiliar!$C$13,IF(AND(SIGN($E265-$G265)=SIGN(U265-W265),MIN($E265,$G265)=MIN(U265,W265)),Auxiliar!$C$14,IF(SIGN($E265-$G265)=SIGN(U265-W265),Auxiliar!$C$15,IF(U265=W265,Auxiliar!$C$16,0)))))))</f>
        <v/>
      </c>
      <c r="Z265" s="9">
        <v>0</v>
      </c>
      <c r="AA265" s="10" t="s">
        <v>23</v>
      </c>
      <c r="AB265" s="11">
        <v>4</v>
      </c>
      <c r="AC265" s="60" t="str">
        <f>IF(OR($E265="",$G265=""),"",IF(AND(Z265=$E265,AB265=$G265),Auxiliar!$C$11,IF(AND(SIGN($E265-$G265)=SIGN(Z265-AB265),MAX($E265,$G265)=MAX(Z265,AB265)),Auxiliar!$C$12,IF(ABS($E265-$G265)=ABS(Z265-AB265),Auxiliar!$C$13,IF(AND(SIGN($E265-$G265)=SIGN(Z265-AB265),MIN($E265,$G265)=MIN(Z265,AB265)),Auxiliar!$C$14,IF(SIGN($E265-$G265)=SIGN(Z265-AB265),Auxiliar!$C$15,IF(Z265=AB265,Auxiliar!$C$16,0)))))))</f>
        <v/>
      </c>
      <c r="AE265" s="9">
        <v>4</v>
      </c>
      <c r="AF265" s="10" t="s">
        <v>23</v>
      </c>
      <c r="AG265" s="11">
        <v>2</v>
      </c>
      <c r="AH265" s="60" t="str">
        <f>IF(OR($E265="",$G265=""),"",IF(AND(AE265=$E265,AG265=$G265),Auxiliar!$C$11,IF(AND(SIGN($E265-$G265)=SIGN(AE265-AG265),MAX($E265,$G265)=MAX(AE265,AG265)),Auxiliar!$C$12,IF(ABS($E265-$G265)=ABS(AE265-AG265),Auxiliar!$C$13,IF(AND(SIGN($E265-$G265)=SIGN(AE265-AG265),MIN($E265,$G265)=MIN(AE265,AG265)),Auxiliar!$C$14,IF(SIGN($E265-$G265)=SIGN(AE265-AG265),Auxiliar!$C$15,IF(AE265=AG265,Auxiliar!$C$16,0)))))))</f>
        <v/>
      </c>
    </row>
    <row r="266" spans="3:34" x14ac:dyDescent="0.25">
      <c r="C266" s="24">
        <f t="shared" si="3"/>
        <v>25</v>
      </c>
      <c r="D266" s="18"/>
      <c r="E266" s="13"/>
      <c r="F266" s="12" t="s">
        <v>23</v>
      </c>
      <c r="G266" s="13"/>
      <c r="H266" s="14"/>
      <c r="K266" s="9">
        <v>3</v>
      </c>
      <c r="L266" s="10" t="s">
        <v>23</v>
      </c>
      <c r="M266" s="11">
        <v>5</v>
      </c>
      <c r="N266" s="60" t="str">
        <f>IF(OR($E266="",$G266=""),"",IF(AND(K266=$E266,M266=$G266),Auxiliar!$C$11,IF(AND(SIGN($E266-$G266)=SIGN(K266-M266),MAX($E266,$G266)=MAX(K266,M266)),Auxiliar!$C$12,IF(ABS($E266-$G266)=ABS(K266-M266),Auxiliar!$C$13,IF(AND(SIGN($E266-$G266)=SIGN(K266-M266),MIN($E266,$G266)=MIN(K266,M266)),Auxiliar!$C$14,IF(SIGN($E266-$G266)=SIGN(K266-M266),Auxiliar!$C$15,IF(K266=M266,Auxiliar!$C$16,0)))))))</f>
        <v/>
      </c>
      <c r="P266" s="9">
        <v>1</v>
      </c>
      <c r="Q266" s="10" t="s">
        <v>23</v>
      </c>
      <c r="R266" s="11">
        <v>1</v>
      </c>
      <c r="S266" s="60" t="str">
        <f>IF(OR($E266="",$G266=""),"",IF(AND(P266=$E266,R266=$G266),Auxiliar!$C$11,IF(AND(SIGN($E266-$G266)=SIGN(P266-R266),MAX($E266,$G266)=MAX(P266,R266)),Auxiliar!$C$12,IF(ABS($E266-$G266)=ABS(P266-R266),Auxiliar!$C$13,IF(AND(SIGN($E266-$G266)=SIGN(P266-R266),MIN($E266,$G266)=MIN(P266,R266)),Auxiliar!$C$14,IF(SIGN($E266-$G266)=SIGN(P266-R266),Auxiliar!$C$15,IF(P266=R266,Auxiliar!$C$16,0)))))))</f>
        <v/>
      </c>
      <c r="U266" s="9">
        <v>2</v>
      </c>
      <c r="V266" s="10" t="s">
        <v>23</v>
      </c>
      <c r="W266" s="11">
        <v>4</v>
      </c>
      <c r="X266" s="60" t="str">
        <f>IF(OR($E266="",$G266=""),"",IF(AND(U266=$E266,W266=$G266),Auxiliar!$C$11,IF(AND(SIGN($E266-$G266)=SIGN(U266-W266),MAX($E266,$G266)=MAX(U266,W266)),Auxiliar!$C$12,IF(ABS($E266-$G266)=ABS(U266-W266),Auxiliar!$C$13,IF(AND(SIGN($E266-$G266)=SIGN(U266-W266),MIN($E266,$G266)=MIN(U266,W266)),Auxiliar!$C$14,IF(SIGN($E266-$G266)=SIGN(U266-W266),Auxiliar!$C$15,IF(U266=W266,Auxiliar!$C$16,0)))))))</f>
        <v/>
      </c>
      <c r="Z266" s="9">
        <v>0</v>
      </c>
      <c r="AA266" s="10" t="s">
        <v>23</v>
      </c>
      <c r="AB266" s="11">
        <v>4</v>
      </c>
      <c r="AC266" s="60" t="str">
        <f>IF(OR($E266="",$G266=""),"",IF(AND(Z266=$E266,AB266=$G266),Auxiliar!$C$11,IF(AND(SIGN($E266-$G266)=SIGN(Z266-AB266),MAX($E266,$G266)=MAX(Z266,AB266)),Auxiliar!$C$12,IF(ABS($E266-$G266)=ABS(Z266-AB266),Auxiliar!$C$13,IF(AND(SIGN($E266-$G266)=SIGN(Z266-AB266),MIN($E266,$G266)=MIN(Z266,AB266)),Auxiliar!$C$14,IF(SIGN($E266-$G266)=SIGN(Z266-AB266),Auxiliar!$C$15,IF(Z266=AB266,Auxiliar!$C$16,0)))))))</f>
        <v/>
      </c>
      <c r="AE266" s="9">
        <v>2</v>
      </c>
      <c r="AF266" s="10" t="s">
        <v>23</v>
      </c>
      <c r="AG266" s="11">
        <v>0</v>
      </c>
      <c r="AH266" s="60" t="str">
        <f>IF(OR($E266="",$G266=""),"",IF(AND(AE266=$E266,AG266=$G266),Auxiliar!$C$11,IF(AND(SIGN($E266-$G266)=SIGN(AE266-AG266),MAX($E266,$G266)=MAX(AE266,AG266)),Auxiliar!$C$12,IF(ABS($E266-$G266)=ABS(AE266-AG266),Auxiliar!$C$13,IF(AND(SIGN($E266-$G266)=SIGN(AE266-AG266),MIN($E266,$G266)=MIN(AE266,AG266)),Auxiliar!$C$14,IF(SIGN($E266-$G266)=SIGN(AE266-AG266),Auxiliar!$C$15,IF(AE266=AG266,Auxiliar!$C$16,0)))))))</f>
        <v/>
      </c>
    </row>
    <row r="267" spans="3:34" x14ac:dyDescent="0.25">
      <c r="C267" s="24">
        <f t="shared" si="3"/>
        <v>25</v>
      </c>
      <c r="D267" s="18"/>
      <c r="E267" s="13"/>
      <c r="F267" s="12" t="s">
        <v>23</v>
      </c>
      <c r="G267" s="13"/>
      <c r="H267" s="14"/>
      <c r="K267" s="9">
        <v>1</v>
      </c>
      <c r="L267" s="10" t="s">
        <v>23</v>
      </c>
      <c r="M267" s="11">
        <v>4</v>
      </c>
      <c r="N267" s="60" t="str">
        <f>IF(OR($E267="",$G267=""),"",IF(AND(K267=$E267,M267=$G267),Auxiliar!$C$11,IF(AND(SIGN($E267-$G267)=SIGN(K267-M267),MAX($E267,$G267)=MAX(K267,M267)),Auxiliar!$C$12,IF(ABS($E267-$G267)=ABS(K267-M267),Auxiliar!$C$13,IF(AND(SIGN($E267-$G267)=SIGN(K267-M267),MIN($E267,$G267)=MIN(K267,M267)),Auxiliar!$C$14,IF(SIGN($E267-$G267)=SIGN(K267-M267),Auxiliar!$C$15,IF(K267=M267,Auxiliar!$C$16,0)))))))</f>
        <v/>
      </c>
      <c r="P267" s="9">
        <v>0</v>
      </c>
      <c r="Q267" s="10" t="s">
        <v>23</v>
      </c>
      <c r="R267" s="11">
        <v>5</v>
      </c>
      <c r="S267" s="60" t="str">
        <f>IF(OR($E267="",$G267=""),"",IF(AND(P267=$E267,R267=$G267),Auxiliar!$C$11,IF(AND(SIGN($E267-$G267)=SIGN(P267-R267),MAX($E267,$G267)=MAX(P267,R267)),Auxiliar!$C$12,IF(ABS($E267-$G267)=ABS(P267-R267),Auxiliar!$C$13,IF(AND(SIGN($E267-$G267)=SIGN(P267-R267),MIN($E267,$G267)=MIN(P267,R267)),Auxiliar!$C$14,IF(SIGN($E267-$G267)=SIGN(P267-R267),Auxiliar!$C$15,IF(P267=R267,Auxiliar!$C$16,0)))))))</f>
        <v/>
      </c>
      <c r="U267" s="9">
        <v>3</v>
      </c>
      <c r="V267" s="10" t="s">
        <v>23</v>
      </c>
      <c r="W267" s="11">
        <v>1</v>
      </c>
      <c r="X267" s="60" t="str">
        <f>IF(OR($E267="",$G267=""),"",IF(AND(U267=$E267,W267=$G267),Auxiliar!$C$11,IF(AND(SIGN($E267-$G267)=SIGN(U267-W267),MAX($E267,$G267)=MAX(U267,W267)),Auxiliar!$C$12,IF(ABS($E267-$G267)=ABS(U267-W267),Auxiliar!$C$13,IF(AND(SIGN($E267-$G267)=SIGN(U267-W267),MIN($E267,$G267)=MIN(U267,W267)),Auxiliar!$C$14,IF(SIGN($E267-$G267)=SIGN(U267-W267),Auxiliar!$C$15,IF(U267=W267,Auxiliar!$C$16,0)))))))</f>
        <v/>
      </c>
      <c r="Z267" s="9">
        <v>2</v>
      </c>
      <c r="AA267" s="10" t="s">
        <v>23</v>
      </c>
      <c r="AB267" s="11">
        <v>0</v>
      </c>
      <c r="AC267" s="60" t="str">
        <f>IF(OR($E267="",$G267=""),"",IF(AND(Z267=$E267,AB267=$G267),Auxiliar!$C$11,IF(AND(SIGN($E267-$G267)=SIGN(Z267-AB267),MAX($E267,$G267)=MAX(Z267,AB267)),Auxiliar!$C$12,IF(ABS($E267-$G267)=ABS(Z267-AB267),Auxiliar!$C$13,IF(AND(SIGN($E267-$G267)=SIGN(Z267-AB267),MIN($E267,$G267)=MIN(Z267,AB267)),Auxiliar!$C$14,IF(SIGN($E267-$G267)=SIGN(Z267-AB267),Auxiliar!$C$15,IF(Z267=AB267,Auxiliar!$C$16,0)))))))</f>
        <v/>
      </c>
      <c r="AE267" s="9">
        <v>0</v>
      </c>
      <c r="AF267" s="10" t="s">
        <v>23</v>
      </c>
      <c r="AG267" s="11">
        <v>0</v>
      </c>
      <c r="AH267" s="60" t="str">
        <f>IF(OR($E267="",$G267=""),"",IF(AND(AE267=$E267,AG267=$G267),Auxiliar!$C$11,IF(AND(SIGN($E267-$G267)=SIGN(AE267-AG267),MAX($E267,$G267)=MAX(AE267,AG267)),Auxiliar!$C$12,IF(ABS($E267-$G267)=ABS(AE267-AG267),Auxiliar!$C$13,IF(AND(SIGN($E267-$G267)=SIGN(AE267-AG267),MIN($E267,$G267)=MIN(AE267,AG267)),Auxiliar!$C$14,IF(SIGN($E267-$G267)=SIGN(AE267-AG267),Auxiliar!$C$15,IF(AE267=AG267,Auxiliar!$C$16,0)))))))</f>
        <v/>
      </c>
    </row>
    <row r="268" spans="3:34" x14ac:dyDescent="0.25">
      <c r="C268" s="24">
        <f t="shared" si="3"/>
        <v>25</v>
      </c>
      <c r="D268" s="18"/>
      <c r="E268" s="13"/>
      <c r="F268" s="12" t="s">
        <v>23</v>
      </c>
      <c r="G268" s="13"/>
      <c r="H268" s="14"/>
      <c r="K268" s="9">
        <v>5</v>
      </c>
      <c r="L268" s="10" t="s">
        <v>23</v>
      </c>
      <c r="M268" s="11">
        <v>3</v>
      </c>
      <c r="N268" s="60" t="str">
        <f>IF(OR($E268="",$G268=""),"",IF(AND(K268=$E268,M268=$G268),Auxiliar!$C$11,IF(AND(SIGN($E268-$G268)=SIGN(K268-M268),MAX($E268,$G268)=MAX(K268,M268)),Auxiliar!$C$12,IF(ABS($E268-$G268)=ABS(K268-M268),Auxiliar!$C$13,IF(AND(SIGN($E268-$G268)=SIGN(K268-M268),MIN($E268,$G268)=MIN(K268,M268)),Auxiliar!$C$14,IF(SIGN($E268-$G268)=SIGN(K268-M268),Auxiliar!$C$15,IF(K268=M268,Auxiliar!$C$16,0)))))))</f>
        <v/>
      </c>
      <c r="P268" s="9">
        <v>2</v>
      </c>
      <c r="Q268" s="10" t="s">
        <v>23</v>
      </c>
      <c r="R268" s="11">
        <v>5</v>
      </c>
      <c r="S268" s="60" t="str">
        <f>IF(OR($E268="",$G268=""),"",IF(AND(P268=$E268,R268=$G268),Auxiliar!$C$11,IF(AND(SIGN($E268-$G268)=SIGN(P268-R268),MAX($E268,$G268)=MAX(P268,R268)),Auxiliar!$C$12,IF(ABS($E268-$G268)=ABS(P268-R268),Auxiliar!$C$13,IF(AND(SIGN($E268-$G268)=SIGN(P268-R268),MIN($E268,$G268)=MIN(P268,R268)),Auxiliar!$C$14,IF(SIGN($E268-$G268)=SIGN(P268-R268),Auxiliar!$C$15,IF(P268=R268,Auxiliar!$C$16,0)))))))</f>
        <v/>
      </c>
      <c r="U268" s="9">
        <v>0</v>
      </c>
      <c r="V268" s="10" t="s">
        <v>23</v>
      </c>
      <c r="W268" s="11">
        <v>0</v>
      </c>
      <c r="X268" s="60" t="str">
        <f>IF(OR($E268="",$G268=""),"",IF(AND(U268=$E268,W268=$G268),Auxiliar!$C$11,IF(AND(SIGN($E268-$G268)=SIGN(U268-W268),MAX($E268,$G268)=MAX(U268,W268)),Auxiliar!$C$12,IF(ABS($E268-$G268)=ABS(U268-W268),Auxiliar!$C$13,IF(AND(SIGN($E268-$G268)=SIGN(U268-W268),MIN($E268,$G268)=MIN(U268,W268)),Auxiliar!$C$14,IF(SIGN($E268-$G268)=SIGN(U268-W268),Auxiliar!$C$15,IF(U268=W268,Auxiliar!$C$16,0)))))))</f>
        <v/>
      </c>
      <c r="Z268" s="9">
        <v>3</v>
      </c>
      <c r="AA268" s="10" t="s">
        <v>23</v>
      </c>
      <c r="AB268" s="11">
        <v>1</v>
      </c>
      <c r="AC268" s="60" t="str">
        <f>IF(OR($E268="",$G268=""),"",IF(AND(Z268=$E268,AB268=$G268),Auxiliar!$C$11,IF(AND(SIGN($E268-$G268)=SIGN(Z268-AB268),MAX($E268,$G268)=MAX(Z268,AB268)),Auxiliar!$C$12,IF(ABS($E268-$G268)=ABS(Z268-AB268),Auxiliar!$C$13,IF(AND(SIGN($E268-$G268)=SIGN(Z268-AB268),MIN($E268,$G268)=MIN(Z268,AB268)),Auxiliar!$C$14,IF(SIGN($E268-$G268)=SIGN(Z268-AB268),Auxiliar!$C$15,IF(Z268=AB268,Auxiliar!$C$16,0)))))))</f>
        <v/>
      </c>
      <c r="AE268" s="9">
        <v>5</v>
      </c>
      <c r="AF268" s="10" t="s">
        <v>23</v>
      </c>
      <c r="AG268" s="11">
        <v>0</v>
      </c>
      <c r="AH268" s="60" t="str">
        <f>IF(OR($E268="",$G268=""),"",IF(AND(AE268=$E268,AG268=$G268),Auxiliar!$C$11,IF(AND(SIGN($E268-$G268)=SIGN(AE268-AG268),MAX($E268,$G268)=MAX(AE268,AG268)),Auxiliar!$C$12,IF(ABS($E268-$G268)=ABS(AE268-AG268),Auxiliar!$C$13,IF(AND(SIGN($E268-$G268)=SIGN(AE268-AG268),MIN($E268,$G268)=MIN(AE268,AG268)),Auxiliar!$C$14,IF(SIGN($E268-$G268)=SIGN(AE268-AG268),Auxiliar!$C$15,IF(AE268=AG268,Auxiliar!$C$16,0)))))))</f>
        <v/>
      </c>
    </row>
    <row r="269" spans="3:34" x14ac:dyDescent="0.25">
      <c r="C269" s="24">
        <f t="shared" si="3"/>
        <v>26</v>
      </c>
      <c r="D269" s="18"/>
      <c r="E269" s="13"/>
      <c r="F269" s="12" t="s">
        <v>23</v>
      </c>
      <c r="G269" s="13"/>
      <c r="H269" s="14"/>
      <c r="K269" s="9">
        <v>5</v>
      </c>
      <c r="L269" s="10" t="s">
        <v>23</v>
      </c>
      <c r="M269" s="11">
        <v>4</v>
      </c>
      <c r="N269" s="60" t="str">
        <f>IF(OR($E269="",$G269=""),"",IF(AND(K269=$E269,M269=$G269),Auxiliar!$C$11,IF(AND(SIGN($E269-$G269)=SIGN(K269-M269),MAX($E269,$G269)=MAX(K269,M269)),Auxiliar!$C$12,IF(ABS($E269-$G269)=ABS(K269-M269),Auxiliar!$C$13,IF(AND(SIGN($E269-$G269)=SIGN(K269-M269),MIN($E269,$G269)=MIN(K269,M269)),Auxiliar!$C$14,IF(SIGN($E269-$G269)=SIGN(K269-M269),Auxiliar!$C$15,IF(K269=M269,Auxiliar!$C$16,0)))))))</f>
        <v/>
      </c>
      <c r="P269" s="9">
        <v>4</v>
      </c>
      <c r="Q269" s="10" t="s">
        <v>23</v>
      </c>
      <c r="R269" s="11">
        <v>2</v>
      </c>
      <c r="S269" s="60" t="str">
        <f>IF(OR($E269="",$G269=""),"",IF(AND(P269=$E269,R269=$G269),Auxiliar!$C$11,IF(AND(SIGN($E269-$G269)=SIGN(P269-R269),MAX($E269,$G269)=MAX(P269,R269)),Auxiliar!$C$12,IF(ABS($E269-$G269)=ABS(P269-R269),Auxiliar!$C$13,IF(AND(SIGN($E269-$G269)=SIGN(P269-R269),MIN($E269,$G269)=MIN(P269,R269)),Auxiliar!$C$14,IF(SIGN($E269-$G269)=SIGN(P269-R269),Auxiliar!$C$15,IF(P269=R269,Auxiliar!$C$16,0)))))))</f>
        <v/>
      </c>
      <c r="U269" s="9">
        <v>4</v>
      </c>
      <c r="V269" s="10" t="s">
        <v>23</v>
      </c>
      <c r="W269" s="11">
        <v>0</v>
      </c>
      <c r="X269" s="60" t="str">
        <f>IF(OR($E269="",$G269=""),"",IF(AND(U269=$E269,W269=$G269),Auxiliar!$C$11,IF(AND(SIGN($E269-$G269)=SIGN(U269-W269),MAX($E269,$G269)=MAX(U269,W269)),Auxiliar!$C$12,IF(ABS($E269-$G269)=ABS(U269-W269),Auxiliar!$C$13,IF(AND(SIGN($E269-$G269)=SIGN(U269-W269),MIN($E269,$G269)=MIN(U269,W269)),Auxiliar!$C$14,IF(SIGN($E269-$G269)=SIGN(U269-W269),Auxiliar!$C$15,IF(U269=W269,Auxiliar!$C$16,0)))))))</f>
        <v/>
      </c>
      <c r="Z269" s="9">
        <v>3</v>
      </c>
      <c r="AA269" s="10" t="s">
        <v>23</v>
      </c>
      <c r="AB269" s="11">
        <v>0</v>
      </c>
      <c r="AC269" s="60" t="str">
        <f>IF(OR($E269="",$G269=""),"",IF(AND(Z269=$E269,AB269=$G269),Auxiliar!$C$11,IF(AND(SIGN($E269-$G269)=SIGN(Z269-AB269),MAX($E269,$G269)=MAX(Z269,AB269)),Auxiliar!$C$12,IF(ABS($E269-$G269)=ABS(Z269-AB269),Auxiliar!$C$13,IF(AND(SIGN($E269-$G269)=SIGN(Z269-AB269),MIN($E269,$G269)=MIN(Z269,AB269)),Auxiliar!$C$14,IF(SIGN($E269-$G269)=SIGN(Z269-AB269),Auxiliar!$C$15,IF(Z269=AB269,Auxiliar!$C$16,0)))))))</f>
        <v/>
      </c>
      <c r="AE269" s="9">
        <v>2</v>
      </c>
      <c r="AF269" s="10" t="s">
        <v>23</v>
      </c>
      <c r="AG269" s="11">
        <v>1</v>
      </c>
      <c r="AH269" s="60" t="str">
        <f>IF(OR($E269="",$G269=""),"",IF(AND(AE269=$E269,AG269=$G269),Auxiliar!$C$11,IF(AND(SIGN($E269-$G269)=SIGN(AE269-AG269),MAX($E269,$G269)=MAX(AE269,AG269)),Auxiliar!$C$12,IF(ABS($E269-$G269)=ABS(AE269-AG269),Auxiliar!$C$13,IF(AND(SIGN($E269-$G269)=SIGN(AE269-AG269),MIN($E269,$G269)=MIN(AE269,AG269)),Auxiliar!$C$14,IF(SIGN($E269-$G269)=SIGN(AE269-AG269),Auxiliar!$C$15,IF(AE269=AG269,Auxiliar!$C$16,0)))))))</f>
        <v/>
      </c>
    </row>
    <row r="270" spans="3:34" x14ac:dyDescent="0.25">
      <c r="C270" s="24">
        <f t="shared" si="3"/>
        <v>26</v>
      </c>
      <c r="D270" s="18"/>
      <c r="E270" s="13"/>
      <c r="F270" s="12" t="s">
        <v>23</v>
      </c>
      <c r="G270" s="13"/>
      <c r="H270" s="14"/>
      <c r="K270" s="9">
        <v>2</v>
      </c>
      <c r="L270" s="10" t="s">
        <v>23</v>
      </c>
      <c r="M270" s="11">
        <v>5</v>
      </c>
      <c r="N270" s="60" t="str">
        <f>IF(OR($E270="",$G270=""),"",IF(AND(K270=$E270,M270=$G270),Auxiliar!$C$11,IF(AND(SIGN($E270-$G270)=SIGN(K270-M270),MAX($E270,$G270)=MAX(K270,M270)),Auxiliar!$C$12,IF(ABS($E270-$G270)=ABS(K270-M270),Auxiliar!$C$13,IF(AND(SIGN($E270-$G270)=SIGN(K270-M270),MIN($E270,$G270)=MIN(K270,M270)),Auxiliar!$C$14,IF(SIGN($E270-$G270)=SIGN(K270-M270),Auxiliar!$C$15,IF(K270=M270,Auxiliar!$C$16,0)))))))</f>
        <v/>
      </c>
      <c r="P270" s="9">
        <v>2</v>
      </c>
      <c r="Q270" s="10" t="s">
        <v>23</v>
      </c>
      <c r="R270" s="11">
        <v>3</v>
      </c>
      <c r="S270" s="60" t="str">
        <f>IF(OR($E270="",$G270=""),"",IF(AND(P270=$E270,R270=$G270),Auxiliar!$C$11,IF(AND(SIGN($E270-$G270)=SIGN(P270-R270),MAX($E270,$G270)=MAX(P270,R270)),Auxiliar!$C$12,IF(ABS($E270-$G270)=ABS(P270-R270),Auxiliar!$C$13,IF(AND(SIGN($E270-$G270)=SIGN(P270-R270),MIN($E270,$G270)=MIN(P270,R270)),Auxiliar!$C$14,IF(SIGN($E270-$G270)=SIGN(P270-R270),Auxiliar!$C$15,IF(P270=R270,Auxiliar!$C$16,0)))))))</f>
        <v/>
      </c>
      <c r="U270" s="9">
        <v>0</v>
      </c>
      <c r="V270" s="10" t="s">
        <v>23</v>
      </c>
      <c r="W270" s="11">
        <v>2</v>
      </c>
      <c r="X270" s="60" t="str">
        <f>IF(OR($E270="",$G270=""),"",IF(AND(U270=$E270,W270=$G270),Auxiliar!$C$11,IF(AND(SIGN($E270-$G270)=SIGN(U270-W270),MAX($E270,$G270)=MAX(U270,W270)),Auxiliar!$C$12,IF(ABS($E270-$G270)=ABS(U270-W270),Auxiliar!$C$13,IF(AND(SIGN($E270-$G270)=SIGN(U270-W270),MIN($E270,$G270)=MIN(U270,W270)),Auxiliar!$C$14,IF(SIGN($E270-$G270)=SIGN(U270-W270),Auxiliar!$C$15,IF(U270=W270,Auxiliar!$C$16,0)))))))</f>
        <v/>
      </c>
      <c r="Z270" s="9">
        <v>5</v>
      </c>
      <c r="AA270" s="10" t="s">
        <v>23</v>
      </c>
      <c r="AB270" s="11">
        <v>2</v>
      </c>
      <c r="AC270" s="60" t="str">
        <f>IF(OR($E270="",$G270=""),"",IF(AND(Z270=$E270,AB270=$G270),Auxiliar!$C$11,IF(AND(SIGN($E270-$G270)=SIGN(Z270-AB270),MAX($E270,$G270)=MAX(Z270,AB270)),Auxiliar!$C$12,IF(ABS($E270-$G270)=ABS(Z270-AB270),Auxiliar!$C$13,IF(AND(SIGN($E270-$G270)=SIGN(Z270-AB270),MIN($E270,$G270)=MIN(Z270,AB270)),Auxiliar!$C$14,IF(SIGN($E270-$G270)=SIGN(Z270-AB270),Auxiliar!$C$15,IF(Z270=AB270,Auxiliar!$C$16,0)))))))</f>
        <v/>
      </c>
      <c r="AE270" s="9">
        <v>0</v>
      </c>
      <c r="AF270" s="10" t="s">
        <v>23</v>
      </c>
      <c r="AG270" s="11">
        <v>1</v>
      </c>
      <c r="AH270" s="60" t="str">
        <f>IF(OR($E270="",$G270=""),"",IF(AND(AE270=$E270,AG270=$G270),Auxiliar!$C$11,IF(AND(SIGN($E270-$G270)=SIGN(AE270-AG270),MAX($E270,$G270)=MAX(AE270,AG270)),Auxiliar!$C$12,IF(ABS($E270-$G270)=ABS(AE270-AG270),Auxiliar!$C$13,IF(AND(SIGN($E270-$G270)=SIGN(AE270-AG270),MIN($E270,$G270)=MIN(AE270,AG270)),Auxiliar!$C$14,IF(SIGN($E270-$G270)=SIGN(AE270-AG270),Auxiliar!$C$15,IF(AE270=AG270,Auxiliar!$C$16,0)))))))</f>
        <v/>
      </c>
    </row>
    <row r="271" spans="3:34" x14ac:dyDescent="0.25">
      <c r="C271" s="24">
        <f t="shared" si="3"/>
        <v>26</v>
      </c>
      <c r="D271" s="18"/>
      <c r="E271" s="13"/>
      <c r="F271" s="12" t="s">
        <v>23</v>
      </c>
      <c r="G271" s="13"/>
      <c r="H271" s="14"/>
      <c r="K271" s="9">
        <v>0</v>
      </c>
      <c r="L271" s="10" t="s">
        <v>23</v>
      </c>
      <c r="M271" s="11">
        <v>4</v>
      </c>
      <c r="N271" s="60" t="str">
        <f>IF(OR($E271="",$G271=""),"",IF(AND(K271=$E271,M271=$G271),Auxiliar!$C$11,IF(AND(SIGN($E271-$G271)=SIGN(K271-M271),MAX($E271,$G271)=MAX(K271,M271)),Auxiliar!$C$12,IF(ABS($E271-$G271)=ABS(K271-M271),Auxiliar!$C$13,IF(AND(SIGN($E271-$G271)=SIGN(K271-M271),MIN($E271,$G271)=MIN(K271,M271)),Auxiliar!$C$14,IF(SIGN($E271-$G271)=SIGN(K271-M271),Auxiliar!$C$15,IF(K271=M271,Auxiliar!$C$16,0)))))))</f>
        <v/>
      </c>
      <c r="P271" s="9">
        <v>0</v>
      </c>
      <c r="Q271" s="10" t="s">
        <v>23</v>
      </c>
      <c r="R271" s="11">
        <v>2</v>
      </c>
      <c r="S271" s="60" t="str">
        <f>IF(OR($E271="",$G271=""),"",IF(AND(P271=$E271,R271=$G271),Auxiliar!$C$11,IF(AND(SIGN($E271-$G271)=SIGN(P271-R271),MAX($E271,$G271)=MAX(P271,R271)),Auxiliar!$C$12,IF(ABS($E271-$G271)=ABS(P271-R271),Auxiliar!$C$13,IF(AND(SIGN($E271-$G271)=SIGN(P271-R271),MIN($E271,$G271)=MIN(P271,R271)),Auxiliar!$C$14,IF(SIGN($E271-$G271)=SIGN(P271-R271),Auxiliar!$C$15,IF(P271=R271,Auxiliar!$C$16,0)))))))</f>
        <v/>
      </c>
      <c r="U271" s="9">
        <v>3</v>
      </c>
      <c r="V271" s="10" t="s">
        <v>23</v>
      </c>
      <c r="W271" s="11">
        <v>3</v>
      </c>
      <c r="X271" s="60" t="str">
        <f>IF(OR($E271="",$G271=""),"",IF(AND(U271=$E271,W271=$G271),Auxiliar!$C$11,IF(AND(SIGN($E271-$G271)=SIGN(U271-W271),MAX($E271,$G271)=MAX(U271,W271)),Auxiliar!$C$12,IF(ABS($E271-$G271)=ABS(U271-W271),Auxiliar!$C$13,IF(AND(SIGN($E271-$G271)=SIGN(U271-W271),MIN($E271,$G271)=MIN(U271,W271)),Auxiliar!$C$14,IF(SIGN($E271-$G271)=SIGN(U271-W271),Auxiliar!$C$15,IF(U271=W271,Auxiliar!$C$16,0)))))))</f>
        <v/>
      </c>
      <c r="Z271" s="9">
        <v>3</v>
      </c>
      <c r="AA271" s="10" t="s">
        <v>23</v>
      </c>
      <c r="AB271" s="11">
        <v>1</v>
      </c>
      <c r="AC271" s="60" t="str">
        <f>IF(OR($E271="",$G271=""),"",IF(AND(Z271=$E271,AB271=$G271),Auxiliar!$C$11,IF(AND(SIGN($E271-$G271)=SIGN(Z271-AB271),MAX($E271,$G271)=MAX(Z271,AB271)),Auxiliar!$C$12,IF(ABS($E271-$G271)=ABS(Z271-AB271),Auxiliar!$C$13,IF(AND(SIGN($E271-$G271)=SIGN(Z271-AB271),MIN($E271,$G271)=MIN(Z271,AB271)),Auxiliar!$C$14,IF(SIGN($E271-$G271)=SIGN(Z271-AB271),Auxiliar!$C$15,IF(Z271=AB271,Auxiliar!$C$16,0)))))))</f>
        <v/>
      </c>
      <c r="AE271" s="9">
        <v>1</v>
      </c>
      <c r="AF271" s="10" t="s">
        <v>23</v>
      </c>
      <c r="AG271" s="11">
        <v>4</v>
      </c>
      <c r="AH271" s="60" t="str">
        <f>IF(OR($E271="",$G271=""),"",IF(AND(AE271=$E271,AG271=$G271),Auxiliar!$C$11,IF(AND(SIGN($E271-$G271)=SIGN(AE271-AG271),MAX($E271,$G271)=MAX(AE271,AG271)),Auxiliar!$C$12,IF(ABS($E271-$G271)=ABS(AE271-AG271),Auxiliar!$C$13,IF(AND(SIGN($E271-$G271)=SIGN(AE271-AG271),MIN($E271,$G271)=MIN(AE271,AG271)),Auxiliar!$C$14,IF(SIGN($E271-$G271)=SIGN(AE271-AG271),Auxiliar!$C$15,IF(AE271=AG271,Auxiliar!$C$16,0)))))))</f>
        <v/>
      </c>
    </row>
    <row r="272" spans="3:34" x14ac:dyDescent="0.25">
      <c r="C272" s="24">
        <f t="shared" si="3"/>
        <v>26</v>
      </c>
      <c r="D272" s="18"/>
      <c r="E272" s="13"/>
      <c r="F272" s="12" t="s">
        <v>23</v>
      </c>
      <c r="G272" s="13"/>
      <c r="H272" s="14"/>
      <c r="K272" s="9">
        <v>3</v>
      </c>
      <c r="L272" s="10" t="s">
        <v>23</v>
      </c>
      <c r="M272" s="11">
        <v>4</v>
      </c>
      <c r="N272" s="60" t="str">
        <f>IF(OR($E272="",$G272=""),"",IF(AND(K272=$E272,M272=$G272),Auxiliar!$C$11,IF(AND(SIGN($E272-$G272)=SIGN(K272-M272),MAX($E272,$G272)=MAX(K272,M272)),Auxiliar!$C$12,IF(ABS($E272-$G272)=ABS(K272-M272),Auxiliar!$C$13,IF(AND(SIGN($E272-$G272)=SIGN(K272-M272),MIN($E272,$G272)=MIN(K272,M272)),Auxiliar!$C$14,IF(SIGN($E272-$G272)=SIGN(K272-M272),Auxiliar!$C$15,IF(K272=M272,Auxiliar!$C$16,0)))))))</f>
        <v/>
      </c>
      <c r="P272" s="9">
        <v>2</v>
      </c>
      <c r="Q272" s="10" t="s">
        <v>23</v>
      </c>
      <c r="R272" s="11">
        <v>2</v>
      </c>
      <c r="S272" s="60" t="str">
        <f>IF(OR($E272="",$G272=""),"",IF(AND(P272=$E272,R272=$G272),Auxiliar!$C$11,IF(AND(SIGN($E272-$G272)=SIGN(P272-R272),MAX($E272,$G272)=MAX(P272,R272)),Auxiliar!$C$12,IF(ABS($E272-$G272)=ABS(P272-R272),Auxiliar!$C$13,IF(AND(SIGN($E272-$G272)=SIGN(P272-R272),MIN($E272,$G272)=MIN(P272,R272)),Auxiliar!$C$14,IF(SIGN($E272-$G272)=SIGN(P272-R272),Auxiliar!$C$15,IF(P272=R272,Auxiliar!$C$16,0)))))))</f>
        <v/>
      </c>
      <c r="U272" s="9">
        <v>1</v>
      </c>
      <c r="V272" s="10" t="s">
        <v>23</v>
      </c>
      <c r="W272" s="11">
        <v>3</v>
      </c>
      <c r="X272" s="60" t="str">
        <f>IF(OR($E272="",$G272=""),"",IF(AND(U272=$E272,W272=$G272),Auxiliar!$C$11,IF(AND(SIGN($E272-$G272)=SIGN(U272-W272),MAX($E272,$G272)=MAX(U272,W272)),Auxiliar!$C$12,IF(ABS($E272-$G272)=ABS(U272-W272),Auxiliar!$C$13,IF(AND(SIGN($E272-$G272)=SIGN(U272-W272),MIN($E272,$G272)=MIN(U272,W272)),Auxiliar!$C$14,IF(SIGN($E272-$G272)=SIGN(U272-W272),Auxiliar!$C$15,IF(U272=W272,Auxiliar!$C$16,0)))))))</f>
        <v/>
      </c>
      <c r="Z272" s="9">
        <v>3</v>
      </c>
      <c r="AA272" s="10" t="s">
        <v>23</v>
      </c>
      <c r="AB272" s="11">
        <v>3</v>
      </c>
      <c r="AC272" s="60" t="str">
        <f>IF(OR($E272="",$G272=""),"",IF(AND(Z272=$E272,AB272=$G272),Auxiliar!$C$11,IF(AND(SIGN($E272-$G272)=SIGN(Z272-AB272),MAX($E272,$G272)=MAX(Z272,AB272)),Auxiliar!$C$12,IF(ABS($E272-$G272)=ABS(Z272-AB272),Auxiliar!$C$13,IF(AND(SIGN($E272-$G272)=SIGN(Z272-AB272),MIN($E272,$G272)=MIN(Z272,AB272)),Auxiliar!$C$14,IF(SIGN($E272-$G272)=SIGN(Z272-AB272),Auxiliar!$C$15,IF(Z272=AB272,Auxiliar!$C$16,0)))))))</f>
        <v/>
      </c>
      <c r="AE272" s="9">
        <v>5</v>
      </c>
      <c r="AF272" s="10" t="s">
        <v>23</v>
      </c>
      <c r="AG272" s="11">
        <v>4</v>
      </c>
      <c r="AH272" s="60" t="str">
        <f>IF(OR($E272="",$G272=""),"",IF(AND(AE272=$E272,AG272=$G272),Auxiliar!$C$11,IF(AND(SIGN($E272-$G272)=SIGN(AE272-AG272),MAX($E272,$G272)=MAX(AE272,AG272)),Auxiliar!$C$12,IF(ABS($E272-$G272)=ABS(AE272-AG272),Auxiliar!$C$13,IF(AND(SIGN($E272-$G272)=SIGN(AE272-AG272),MIN($E272,$G272)=MIN(AE272,AG272)),Auxiliar!$C$14,IF(SIGN($E272-$G272)=SIGN(AE272-AG272),Auxiliar!$C$15,IF(AE272=AG272,Auxiliar!$C$16,0)))))))</f>
        <v/>
      </c>
    </row>
    <row r="273" spans="3:34" x14ac:dyDescent="0.25">
      <c r="C273" s="24">
        <f t="shared" si="3"/>
        <v>26</v>
      </c>
      <c r="D273" s="18"/>
      <c r="E273" s="13"/>
      <c r="F273" s="12" t="s">
        <v>23</v>
      </c>
      <c r="G273" s="13"/>
      <c r="H273" s="14"/>
      <c r="K273" s="9">
        <v>5</v>
      </c>
      <c r="L273" s="10" t="s">
        <v>23</v>
      </c>
      <c r="M273" s="11">
        <v>4</v>
      </c>
      <c r="N273" s="60" t="str">
        <f>IF(OR($E273="",$G273=""),"",IF(AND(K273=$E273,M273=$G273),Auxiliar!$C$11,IF(AND(SIGN($E273-$G273)=SIGN(K273-M273),MAX($E273,$G273)=MAX(K273,M273)),Auxiliar!$C$12,IF(ABS($E273-$G273)=ABS(K273-M273),Auxiliar!$C$13,IF(AND(SIGN($E273-$G273)=SIGN(K273-M273),MIN($E273,$G273)=MIN(K273,M273)),Auxiliar!$C$14,IF(SIGN($E273-$G273)=SIGN(K273-M273),Auxiliar!$C$15,IF(K273=M273,Auxiliar!$C$16,0)))))))</f>
        <v/>
      </c>
      <c r="P273" s="9">
        <v>4</v>
      </c>
      <c r="Q273" s="10" t="s">
        <v>23</v>
      </c>
      <c r="R273" s="11">
        <v>3</v>
      </c>
      <c r="S273" s="60" t="str">
        <f>IF(OR($E273="",$G273=""),"",IF(AND(P273=$E273,R273=$G273),Auxiliar!$C$11,IF(AND(SIGN($E273-$G273)=SIGN(P273-R273),MAX($E273,$G273)=MAX(P273,R273)),Auxiliar!$C$12,IF(ABS($E273-$G273)=ABS(P273-R273),Auxiliar!$C$13,IF(AND(SIGN($E273-$G273)=SIGN(P273-R273),MIN($E273,$G273)=MIN(P273,R273)),Auxiliar!$C$14,IF(SIGN($E273-$G273)=SIGN(P273-R273),Auxiliar!$C$15,IF(P273=R273,Auxiliar!$C$16,0)))))))</f>
        <v/>
      </c>
      <c r="U273" s="9">
        <v>1</v>
      </c>
      <c r="V273" s="10" t="s">
        <v>23</v>
      </c>
      <c r="W273" s="11">
        <v>3</v>
      </c>
      <c r="X273" s="60" t="str">
        <f>IF(OR($E273="",$G273=""),"",IF(AND(U273=$E273,W273=$G273),Auxiliar!$C$11,IF(AND(SIGN($E273-$G273)=SIGN(U273-W273),MAX($E273,$G273)=MAX(U273,W273)),Auxiliar!$C$12,IF(ABS($E273-$G273)=ABS(U273-W273),Auxiliar!$C$13,IF(AND(SIGN($E273-$G273)=SIGN(U273-W273),MIN($E273,$G273)=MIN(U273,W273)),Auxiliar!$C$14,IF(SIGN($E273-$G273)=SIGN(U273-W273),Auxiliar!$C$15,IF(U273=W273,Auxiliar!$C$16,0)))))))</f>
        <v/>
      </c>
      <c r="Z273" s="9">
        <v>5</v>
      </c>
      <c r="AA273" s="10" t="s">
        <v>23</v>
      </c>
      <c r="AB273" s="11">
        <v>5</v>
      </c>
      <c r="AC273" s="60" t="str">
        <f>IF(OR($E273="",$G273=""),"",IF(AND(Z273=$E273,AB273=$G273),Auxiliar!$C$11,IF(AND(SIGN($E273-$G273)=SIGN(Z273-AB273),MAX($E273,$G273)=MAX(Z273,AB273)),Auxiliar!$C$12,IF(ABS($E273-$G273)=ABS(Z273-AB273),Auxiliar!$C$13,IF(AND(SIGN($E273-$G273)=SIGN(Z273-AB273),MIN($E273,$G273)=MIN(Z273,AB273)),Auxiliar!$C$14,IF(SIGN($E273-$G273)=SIGN(Z273-AB273),Auxiliar!$C$15,IF(Z273=AB273,Auxiliar!$C$16,0)))))))</f>
        <v/>
      </c>
      <c r="AE273" s="9">
        <v>3</v>
      </c>
      <c r="AF273" s="10" t="s">
        <v>23</v>
      </c>
      <c r="AG273" s="11">
        <v>3</v>
      </c>
      <c r="AH273" s="60" t="str">
        <f>IF(OR($E273="",$G273=""),"",IF(AND(AE273=$E273,AG273=$G273),Auxiliar!$C$11,IF(AND(SIGN($E273-$G273)=SIGN(AE273-AG273),MAX($E273,$G273)=MAX(AE273,AG273)),Auxiliar!$C$12,IF(ABS($E273-$G273)=ABS(AE273-AG273),Auxiliar!$C$13,IF(AND(SIGN($E273-$G273)=SIGN(AE273-AG273),MIN($E273,$G273)=MIN(AE273,AG273)),Auxiliar!$C$14,IF(SIGN($E273-$G273)=SIGN(AE273-AG273),Auxiliar!$C$15,IF(AE273=AG273,Auxiliar!$C$16,0)))))))</f>
        <v/>
      </c>
    </row>
    <row r="274" spans="3:34" x14ac:dyDescent="0.25">
      <c r="C274" s="24">
        <f t="shared" si="3"/>
        <v>26</v>
      </c>
      <c r="D274" s="18"/>
      <c r="E274" s="13"/>
      <c r="F274" s="12" t="s">
        <v>23</v>
      </c>
      <c r="G274" s="13"/>
      <c r="H274" s="14"/>
      <c r="K274" s="9">
        <v>4</v>
      </c>
      <c r="L274" s="10" t="s">
        <v>23</v>
      </c>
      <c r="M274" s="11">
        <v>5</v>
      </c>
      <c r="N274" s="60" t="str">
        <f>IF(OR($E274="",$G274=""),"",IF(AND(K274=$E274,M274=$G274),Auxiliar!$C$11,IF(AND(SIGN($E274-$G274)=SIGN(K274-M274),MAX($E274,$G274)=MAX(K274,M274)),Auxiliar!$C$12,IF(ABS($E274-$G274)=ABS(K274-M274),Auxiliar!$C$13,IF(AND(SIGN($E274-$G274)=SIGN(K274-M274),MIN($E274,$G274)=MIN(K274,M274)),Auxiliar!$C$14,IF(SIGN($E274-$G274)=SIGN(K274-M274),Auxiliar!$C$15,IF(K274=M274,Auxiliar!$C$16,0)))))))</f>
        <v/>
      </c>
      <c r="P274" s="9">
        <v>4</v>
      </c>
      <c r="Q274" s="10" t="s">
        <v>23</v>
      </c>
      <c r="R274" s="11">
        <v>5</v>
      </c>
      <c r="S274" s="60" t="str">
        <f>IF(OR($E274="",$G274=""),"",IF(AND(P274=$E274,R274=$G274),Auxiliar!$C$11,IF(AND(SIGN($E274-$G274)=SIGN(P274-R274),MAX($E274,$G274)=MAX(P274,R274)),Auxiliar!$C$12,IF(ABS($E274-$G274)=ABS(P274-R274),Auxiliar!$C$13,IF(AND(SIGN($E274-$G274)=SIGN(P274-R274),MIN($E274,$G274)=MIN(P274,R274)),Auxiliar!$C$14,IF(SIGN($E274-$G274)=SIGN(P274-R274),Auxiliar!$C$15,IF(P274=R274,Auxiliar!$C$16,0)))))))</f>
        <v/>
      </c>
      <c r="U274" s="9">
        <v>3</v>
      </c>
      <c r="V274" s="10" t="s">
        <v>23</v>
      </c>
      <c r="W274" s="11">
        <v>3</v>
      </c>
      <c r="X274" s="60" t="str">
        <f>IF(OR($E274="",$G274=""),"",IF(AND(U274=$E274,W274=$G274),Auxiliar!$C$11,IF(AND(SIGN($E274-$G274)=SIGN(U274-W274),MAX($E274,$G274)=MAX(U274,W274)),Auxiliar!$C$12,IF(ABS($E274-$G274)=ABS(U274-W274),Auxiliar!$C$13,IF(AND(SIGN($E274-$G274)=SIGN(U274-W274),MIN($E274,$G274)=MIN(U274,W274)),Auxiliar!$C$14,IF(SIGN($E274-$G274)=SIGN(U274-W274),Auxiliar!$C$15,IF(U274=W274,Auxiliar!$C$16,0)))))))</f>
        <v/>
      </c>
      <c r="Z274" s="9">
        <v>4</v>
      </c>
      <c r="AA274" s="10" t="s">
        <v>23</v>
      </c>
      <c r="AB274" s="11">
        <v>0</v>
      </c>
      <c r="AC274" s="60" t="str">
        <f>IF(OR($E274="",$G274=""),"",IF(AND(Z274=$E274,AB274=$G274),Auxiliar!$C$11,IF(AND(SIGN($E274-$G274)=SIGN(Z274-AB274),MAX($E274,$G274)=MAX(Z274,AB274)),Auxiliar!$C$12,IF(ABS($E274-$G274)=ABS(Z274-AB274),Auxiliar!$C$13,IF(AND(SIGN($E274-$G274)=SIGN(Z274-AB274),MIN($E274,$G274)=MIN(Z274,AB274)),Auxiliar!$C$14,IF(SIGN($E274-$G274)=SIGN(Z274-AB274),Auxiliar!$C$15,IF(Z274=AB274,Auxiliar!$C$16,0)))))))</f>
        <v/>
      </c>
      <c r="AE274" s="9">
        <v>4</v>
      </c>
      <c r="AF274" s="10" t="s">
        <v>23</v>
      </c>
      <c r="AG274" s="11">
        <v>3</v>
      </c>
      <c r="AH274" s="60" t="str">
        <f>IF(OR($E274="",$G274=""),"",IF(AND(AE274=$E274,AG274=$G274),Auxiliar!$C$11,IF(AND(SIGN($E274-$G274)=SIGN(AE274-AG274),MAX($E274,$G274)=MAX(AE274,AG274)),Auxiliar!$C$12,IF(ABS($E274-$G274)=ABS(AE274-AG274),Auxiliar!$C$13,IF(AND(SIGN($E274-$G274)=SIGN(AE274-AG274),MIN($E274,$G274)=MIN(AE274,AG274)),Auxiliar!$C$14,IF(SIGN($E274-$G274)=SIGN(AE274-AG274),Auxiliar!$C$15,IF(AE274=AG274,Auxiliar!$C$16,0)))))))</f>
        <v/>
      </c>
    </row>
    <row r="275" spans="3:34" x14ac:dyDescent="0.25">
      <c r="C275" s="24">
        <f t="shared" si="3"/>
        <v>26</v>
      </c>
      <c r="D275" s="18"/>
      <c r="E275" s="13"/>
      <c r="F275" s="12" t="s">
        <v>23</v>
      </c>
      <c r="G275" s="13"/>
      <c r="H275" s="14"/>
      <c r="K275" s="9">
        <v>2</v>
      </c>
      <c r="L275" s="10" t="s">
        <v>23</v>
      </c>
      <c r="M275" s="11">
        <v>2</v>
      </c>
      <c r="N275" s="60" t="str">
        <f>IF(OR($E275="",$G275=""),"",IF(AND(K275=$E275,M275=$G275),Auxiliar!$C$11,IF(AND(SIGN($E275-$G275)=SIGN(K275-M275),MAX($E275,$G275)=MAX(K275,M275)),Auxiliar!$C$12,IF(ABS($E275-$G275)=ABS(K275-M275),Auxiliar!$C$13,IF(AND(SIGN($E275-$G275)=SIGN(K275-M275),MIN($E275,$G275)=MIN(K275,M275)),Auxiliar!$C$14,IF(SIGN($E275-$G275)=SIGN(K275-M275),Auxiliar!$C$15,IF(K275=M275,Auxiliar!$C$16,0)))))))</f>
        <v/>
      </c>
      <c r="P275" s="9">
        <v>5</v>
      </c>
      <c r="Q275" s="10" t="s">
        <v>23</v>
      </c>
      <c r="R275" s="11">
        <v>2</v>
      </c>
      <c r="S275" s="60" t="str">
        <f>IF(OR($E275="",$G275=""),"",IF(AND(P275=$E275,R275=$G275),Auxiliar!$C$11,IF(AND(SIGN($E275-$G275)=SIGN(P275-R275),MAX($E275,$G275)=MAX(P275,R275)),Auxiliar!$C$12,IF(ABS($E275-$G275)=ABS(P275-R275),Auxiliar!$C$13,IF(AND(SIGN($E275-$G275)=SIGN(P275-R275),MIN($E275,$G275)=MIN(P275,R275)),Auxiliar!$C$14,IF(SIGN($E275-$G275)=SIGN(P275-R275),Auxiliar!$C$15,IF(P275=R275,Auxiliar!$C$16,0)))))))</f>
        <v/>
      </c>
      <c r="U275" s="9">
        <v>1</v>
      </c>
      <c r="V275" s="10" t="s">
        <v>23</v>
      </c>
      <c r="W275" s="11">
        <v>0</v>
      </c>
      <c r="X275" s="60" t="str">
        <f>IF(OR($E275="",$G275=""),"",IF(AND(U275=$E275,W275=$G275),Auxiliar!$C$11,IF(AND(SIGN($E275-$G275)=SIGN(U275-W275),MAX($E275,$G275)=MAX(U275,W275)),Auxiliar!$C$12,IF(ABS($E275-$G275)=ABS(U275-W275),Auxiliar!$C$13,IF(AND(SIGN($E275-$G275)=SIGN(U275-W275),MIN($E275,$G275)=MIN(U275,W275)),Auxiliar!$C$14,IF(SIGN($E275-$G275)=SIGN(U275-W275),Auxiliar!$C$15,IF(U275=W275,Auxiliar!$C$16,0)))))))</f>
        <v/>
      </c>
      <c r="Z275" s="9">
        <v>5</v>
      </c>
      <c r="AA275" s="10" t="s">
        <v>23</v>
      </c>
      <c r="AB275" s="11">
        <v>3</v>
      </c>
      <c r="AC275" s="60" t="str">
        <f>IF(OR($E275="",$G275=""),"",IF(AND(Z275=$E275,AB275=$G275),Auxiliar!$C$11,IF(AND(SIGN($E275-$G275)=SIGN(Z275-AB275),MAX($E275,$G275)=MAX(Z275,AB275)),Auxiliar!$C$12,IF(ABS($E275-$G275)=ABS(Z275-AB275),Auxiliar!$C$13,IF(AND(SIGN($E275-$G275)=SIGN(Z275-AB275),MIN($E275,$G275)=MIN(Z275,AB275)),Auxiliar!$C$14,IF(SIGN($E275-$G275)=SIGN(Z275-AB275),Auxiliar!$C$15,IF(Z275=AB275,Auxiliar!$C$16,0)))))))</f>
        <v/>
      </c>
      <c r="AE275" s="9">
        <v>5</v>
      </c>
      <c r="AF275" s="10" t="s">
        <v>23</v>
      </c>
      <c r="AG275" s="11">
        <v>1</v>
      </c>
      <c r="AH275" s="60" t="str">
        <f>IF(OR($E275="",$G275=""),"",IF(AND(AE275=$E275,AG275=$G275),Auxiliar!$C$11,IF(AND(SIGN($E275-$G275)=SIGN(AE275-AG275),MAX($E275,$G275)=MAX(AE275,AG275)),Auxiliar!$C$12,IF(ABS($E275-$G275)=ABS(AE275-AG275),Auxiliar!$C$13,IF(AND(SIGN($E275-$G275)=SIGN(AE275-AG275),MIN($E275,$G275)=MIN(AE275,AG275)),Auxiliar!$C$14,IF(SIGN($E275-$G275)=SIGN(AE275-AG275),Auxiliar!$C$15,IF(AE275=AG275,Auxiliar!$C$16,0)))))))</f>
        <v/>
      </c>
    </row>
    <row r="276" spans="3:34" x14ac:dyDescent="0.25">
      <c r="C276" s="24">
        <f t="shared" si="3"/>
        <v>26</v>
      </c>
      <c r="D276" s="18"/>
      <c r="E276" s="13"/>
      <c r="F276" s="12" t="s">
        <v>23</v>
      </c>
      <c r="G276" s="13"/>
      <c r="H276" s="14"/>
      <c r="K276" s="9">
        <v>5</v>
      </c>
      <c r="L276" s="10" t="s">
        <v>23</v>
      </c>
      <c r="M276" s="11">
        <v>5</v>
      </c>
      <c r="N276" s="60" t="str">
        <f>IF(OR($E276="",$G276=""),"",IF(AND(K276=$E276,M276=$G276),Auxiliar!$C$11,IF(AND(SIGN($E276-$G276)=SIGN(K276-M276),MAX($E276,$G276)=MAX(K276,M276)),Auxiliar!$C$12,IF(ABS($E276-$G276)=ABS(K276-M276),Auxiliar!$C$13,IF(AND(SIGN($E276-$G276)=SIGN(K276-M276),MIN($E276,$G276)=MIN(K276,M276)),Auxiliar!$C$14,IF(SIGN($E276-$G276)=SIGN(K276-M276),Auxiliar!$C$15,IF(K276=M276,Auxiliar!$C$16,0)))))))</f>
        <v/>
      </c>
      <c r="P276" s="9">
        <v>1</v>
      </c>
      <c r="Q276" s="10" t="s">
        <v>23</v>
      </c>
      <c r="R276" s="11">
        <v>3</v>
      </c>
      <c r="S276" s="60" t="str">
        <f>IF(OR($E276="",$G276=""),"",IF(AND(P276=$E276,R276=$G276),Auxiliar!$C$11,IF(AND(SIGN($E276-$G276)=SIGN(P276-R276),MAX($E276,$G276)=MAX(P276,R276)),Auxiliar!$C$12,IF(ABS($E276-$G276)=ABS(P276-R276),Auxiliar!$C$13,IF(AND(SIGN($E276-$G276)=SIGN(P276-R276),MIN($E276,$G276)=MIN(P276,R276)),Auxiliar!$C$14,IF(SIGN($E276-$G276)=SIGN(P276-R276),Auxiliar!$C$15,IF(P276=R276,Auxiliar!$C$16,0)))))))</f>
        <v/>
      </c>
      <c r="U276" s="9">
        <v>2</v>
      </c>
      <c r="V276" s="10" t="s">
        <v>23</v>
      </c>
      <c r="W276" s="11">
        <v>3</v>
      </c>
      <c r="X276" s="60" t="str">
        <f>IF(OR($E276="",$G276=""),"",IF(AND(U276=$E276,W276=$G276),Auxiliar!$C$11,IF(AND(SIGN($E276-$G276)=SIGN(U276-W276),MAX($E276,$G276)=MAX(U276,W276)),Auxiliar!$C$12,IF(ABS($E276-$G276)=ABS(U276-W276),Auxiliar!$C$13,IF(AND(SIGN($E276-$G276)=SIGN(U276-W276),MIN($E276,$G276)=MIN(U276,W276)),Auxiliar!$C$14,IF(SIGN($E276-$G276)=SIGN(U276-W276),Auxiliar!$C$15,IF(U276=W276,Auxiliar!$C$16,0)))))))</f>
        <v/>
      </c>
      <c r="Z276" s="9">
        <v>2</v>
      </c>
      <c r="AA276" s="10" t="s">
        <v>23</v>
      </c>
      <c r="AB276" s="11">
        <v>3</v>
      </c>
      <c r="AC276" s="60" t="str">
        <f>IF(OR($E276="",$G276=""),"",IF(AND(Z276=$E276,AB276=$G276),Auxiliar!$C$11,IF(AND(SIGN($E276-$G276)=SIGN(Z276-AB276),MAX($E276,$G276)=MAX(Z276,AB276)),Auxiliar!$C$12,IF(ABS($E276-$G276)=ABS(Z276-AB276),Auxiliar!$C$13,IF(AND(SIGN($E276-$G276)=SIGN(Z276-AB276),MIN($E276,$G276)=MIN(Z276,AB276)),Auxiliar!$C$14,IF(SIGN($E276-$G276)=SIGN(Z276-AB276),Auxiliar!$C$15,IF(Z276=AB276,Auxiliar!$C$16,0)))))))</f>
        <v/>
      </c>
      <c r="AE276" s="9">
        <v>2</v>
      </c>
      <c r="AF276" s="10" t="s">
        <v>23</v>
      </c>
      <c r="AG276" s="11">
        <v>0</v>
      </c>
      <c r="AH276" s="60" t="str">
        <f>IF(OR($E276="",$G276=""),"",IF(AND(AE276=$E276,AG276=$G276),Auxiliar!$C$11,IF(AND(SIGN($E276-$G276)=SIGN(AE276-AG276),MAX($E276,$G276)=MAX(AE276,AG276)),Auxiliar!$C$12,IF(ABS($E276-$G276)=ABS(AE276-AG276),Auxiliar!$C$13,IF(AND(SIGN($E276-$G276)=SIGN(AE276-AG276),MIN($E276,$G276)=MIN(AE276,AG276)),Auxiliar!$C$14,IF(SIGN($E276-$G276)=SIGN(AE276-AG276),Auxiliar!$C$15,IF(AE276=AG276,Auxiliar!$C$16,0)))))))</f>
        <v/>
      </c>
    </row>
    <row r="277" spans="3:34" x14ac:dyDescent="0.25">
      <c r="C277" s="24">
        <f t="shared" si="3"/>
        <v>26</v>
      </c>
      <c r="D277" s="18"/>
      <c r="E277" s="13"/>
      <c r="F277" s="12" t="s">
        <v>23</v>
      </c>
      <c r="G277" s="13"/>
      <c r="H277" s="14"/>
      <c r="K277" s="9">
        <v>1</v>
      </c>
      <c r="L277" s="10" t="s">
        <v>23</v>
      </c>
      <c r="M277" s="11">
        <v>4</v>
      </c>
      <c r="N277" s="60" t="str">
        <f>IF(OR($E277="",$G277=""),"",IF(AND(K277=$E277,M277=$G277),Auxiliar!$C$11,IF(AND(SIGN($E277-$G277)=SIGN(K277-M277),MAX($E277,$G277)=MAX(K277,M277)),Auxiliar!$C$12,IF(ABS($E277-$G277)=ABS(K277-M277),Auxiliar!$C$13,IF(AND(SIGN($E277-$G277)=SIGN(K277-M277),MIN($E277,$G277)=MIN(K277,M277)),Auxiliar!$C$14,IF(SIGN($E277-$G277)=SIGN(K277-M277),Auxiliar!$C$15,IF(K277=M277,Auxiliar!$C$16,0)))))))</f>
        <v/>
      </c>
      <c r="P277" s="9">
        <v>4</v>
      </c>
      <c r="Q277" s="10" t="s">
        <v>23</v>
      </c>
      <c r="R277" s="11">
        <v>3</v>
      </c>
      <c r="S277" s="60" t="str">
        <f>IF(OR($E277="",$G277=""),"",IF(AND(P277=$E277,R277=$G277),Auxiliar!$C$11,IF(AND(SIGN($E277-$G277)=SIGN(P277-R277),MAX($E277,$G277)=MAX(P277,R277)),Auxiliar!$C$12,IF(ABS($E277-$G277)=ABS(P277-R277),Auxiliar!$C$13,IF(AND(SIGN($E277-$G277)=SIGN(P277-R277),MIN($E277,$G277)=MIN(P277,R277)),Auxiliar!$C$14,IF(SIGN($E277-$G277)=SIGN(P277-R277),Auxiliar!$C$15,IF(P277=R277,Auxiliar!$C$16,0)))))))</f>
        <v/>
      </c>
      <c r="U277" s="9">
        <v>3</v>
      </c>
      <c r="V277" s="10" t="s">
        <v>23</v>
      </c>
      <c r="W277" s="11">
        <v>5</v>
      </c>
      <c r="X277" s="60" t="str">
        <f>IF(OR($E277="",$G277=""),"",IF(AND(U277=$E277,W277=$G277),Auxiliar!$C$11,IF(AND(SIGN($E277-$G277)=SIGN(U277-W277),MAX($E277,$G277)=MAX(U277,W277)),Auxiliar!$C$12,IF(ABS($E277-$G277)=ABS(U277-W277),Auxiliar!$C$13,IF(AND(SIGN($E277-$G277)=SIGN(U277-W277),MIN($E277,$G277)=MIN(U277,W277)),Auxiliar!$C$14,IF(SIGN($E277-$G277)=SIGN(U277-W277),Auxiliar!$C$15,IF(U277=W277,Auxiliar!$C$16,0)))))))</f>
        <v/>
      </c>
      <c r="Z277" s="9">
        <v>5</v>
      </c>
      <c r="AA277" s="10" t="s">
        <v>23</v>
      </c>
      <c r="AB277" s="11">
        <v>3</v>
      </c>
      <c r="AC277" s="60" t="str">
        <f>IF(OR($E277="",$G277=""),"",IF(AND(Z277=$E277,AB277=$G277),Auxiliar!$C$11,IF(AND(SIGN($E277-$G277)=SIGN(Z277-AB277),MAX($E277,$G277)=MAX(Z277,AB277)),Auxiliar!$C$12,IF(ABS($E277-$G277)=ABS(Z277-AB277),Auxiliar!$C$13,IF(AND(SIGN($E277-$G277)=SIGN(Z277-AB277),MIN($E277,$G277)=MIN(Z277,AB277)),Auxiliar!$C$14,IF(SIGN($E277-$G277)=SIGN(Z277-AB277),Auxiliar!$C$15,IF(Z277=AB277,Auxiliar!$C$16,0)))))))</f>
        <v/>
      </c>
      <c r="AE277" s="9">
        <v>1</v>
      </c>
      <c r="AF277" s="10" t="s">
        <v>23</v>
      </c>
      <c r="AG277" s="11">
        <v>0</v>
      </c>
      <c r="AH277" s="60" t="str">
        <f>IF(OR($E277="",$G277=""),"",IF(AND(AE277=$E277,AG277=$G277),Auxiliar!$C$11,IF(AND(SIGN($E277-$G277)=SIGN(AE277-AG277),MAX($E277,$G277)=MAX(AE277,AG277)),Auxiliar!$C$12,IF(ABS($E277-$G277)=ABS(AE277-AG277),Auxiliar!$C$13,IF(AND(SIGN($E277-$G277)=SIGN(AE277-AG277),MIN($E277,$G277)=MIN(AE277,AG277)),Auxiliar!$C$14,IF(SIGN($E277-$G277)=SIGN(AE277-AG277),Auxiliar!$C$15,IF(AE277=AG277,Auxiliar!$C$16,0)))))))</f>
        <v/>
      </c>
    </row>
    <row r="278" spans="3:34" x14ac:dyDescent="0.25">
      <c r="C278" s="24">
        <f t="shared" si="3"/>
        <v>26</v>
      </c>
      <c r="D278" s="18"/>
      <c r="E278" s="13"/>
      <c r="F278" s="12" t="s">
        <v>23</v>
      </c>
      <c r="G278" s="13"/>
      <c r="H278" s="14"/>
      <c r="K278" s="9">
        <v>1</v>
      </c>
      <c r="L278" s="10" t="s">
        <v>23</v>
      </c>
      <c r="M278" s="11">
        <v>2</v>
      </c>
      <c r="N278" s="60" t="str">
        <f>IF(OR($E278="",$G278=""),"",IF(AND(K278=$E278,M278=$G278),Auxiliar!$C$11,IF(AND(SIGN($E278-$G278)=SIGN(K278-M278),MAX($E278,$G278)=MAX(K278,M278)),Auxiliar!$C$12,IF(ABS($E278-$G278)=ABS(K278-M278),Auxiliar!$C$13,IF(AND(SIGN($E278-$G278)=SIGN(K278-M278),MIN($E278,$G278)=MIN(K278,M278)),Auxiliar!$C$14,IF(SIGN($E278-$G278)=SIGN(K278-M278),Auxiliar!$C$15,IF(K278=M278,Auxiliar!$C$16,0)))))))</f>
        <v/>
      </c>
      <c r="P278" s="9">
        <v>1</v>
      </c>
      <c r="Q278" s="10" t="s">
        <v>23</v>
      </c>
      <c r="R278" s="11">
        <v>4</v>
      </c>
      <c r="S278" s="60" t="str">
        <f>IF(OR($E278="",$G278=""),"",IF(AND(P278=$E278,R278=$G278),Auxiliar!$C$11,IF(AND(SIGN($E278-$G278)=SIGN(P278-R278),MAX($E278,$G278)=MAX(P278,R278)),Auxiliar!$C$12,IF(ABS($E278-$G278)=ABS(P278-R278),Auxiliar!$C$13,IF(AND(SIGN($E278-$G278)=SIGN(P278-R278),MIN($E278,$G278)=MIN(P278,R278)),Auxiliar!$C$14,IF(SIGN($E278-$G278)=SIGN(P278-R278),Auxiliar!$C$15,IF(P278=R278,Auxiliar!$C$16,0)))))))</f>
        <v/>
      </c>
      <c r="U278" s="9">
        <v>4</v>
      </c>
      <c r="V278" s="10" t="s">
        <v>23</v>
      </c>
      <c r="W278" s="11">
        <v>2</v>
      </c>
      <c r="X278" s="60" t="str">
        <f>IF(OR($E278="",$G278=""),"",IF(AND(U278=$E278,W278=$G278),Auxiliar!$C$11,IF(AND(SIGN($E278-$G278)=SIGN(U278-W278),MAX($E278,$G278)=MAX(U278,W278)),Auxiliar!$C$12,IF(ABS($E278-$G278)=ABS(U278-W278),Auxiliar!$C$13,IF(AND(SIGN($E278-$G278)=SIGN(U278-W278),MIN($E278,$G278)=MIN(U278,W278)),Auxiliar!$C$14,IF(SIGN($E278-$G278)=SIGN(U278-W278),Auxiliar!$C$15,IF(U278=W278,Auxiliar!$C$16,0)))))))</f>
        <v/>
      </c>
      <c r="Z278" s="9">
        <v>1</v>
      </c>
      <c r="AA278" s="10" t="s">
        <v>23</v>
      </c>
      <c r="AB278" s="11">
        <v>5</v>
      </c>
      <c r="AC278" s="60" t="str">
        <f>IF(OR($E278="",$G278=""),"",IF(AND(Z278=$E278,AB278=$G278),Auxiliar!$C$11,IF(AND(SIGN($E278-$G278)=SIGN(Z278-AB278),MAX($E278,$G278)=MAX(Z278,AB278)),Auxiliar!$C$12,IF(ABS($E278-$G278)=ABS(Z278-AB278),Auxiliar!$C$13,IF(AND(SIGN($E278-$G278)=SIGN(Z278-AB278),MIN($E278,$G278)=MIN(Z278,AB278)),Auxiliar!$C$14,IF(SIGN($E278-$G278)=SIGN(Z278-AB278),Auxiliar!$C$15,IF(Z278=AB278,Auxiliar!$C$16,0)))))))</f>
        <v/>
      </c>
      <c r="AE278" s="9">
        <v>2</v>
      </c>
      <c r="AF278" s="10" t="s">
        <v>23</v>
      </c>
      <c r="AG278" s="11">
        <v>3</v>
      </c>
      <c r="AH278" s="60" t="str">
        <f>IF(OR($E278="",$G278=""),"",IF(AND(AE278=$E278,AG278=$G278),Auxiliar!$C$11,IF(AND(SIGN($E278-$G278)=SIGN(AE278-AG278),MAX($E278,$G278)=MAX(AE278,AG278)),Auxiliar!$C$12,IF(ABS($E278-$G278)=ABS(AE278-AG278),Auxiliar!$C$13,IF(AND(SIGN($E278-$G278)=SIGN(AE278-AG278),MIN($E278,$G278)=MIN(AE278,AG278)),Auxiliar!$C$14,IF(SIGN($E278-$G278)=SIGN(AE278-AG278),Auxiliar!$C$15,IF(AE278=AG278,Auxiliar!$C$16,0)))))))</f>
        <v/>
      </c>
    </row>
    <row r="279" spans="3:34" x14ac:dyDescent="0.25">
      <c r="C279" s="24">
        <f t="shared" si="3"/>
        <v>27</v>
      </c>
      <c r="D279" s="18"/>
      <c r="E279" s="13"/>
      <c r="F279" s="12" t="s">
        <v>23</v>
      </c>
      <c r="G279" s="13"/>
      <c r="H279" s="14"/>
      <c r="K279" s="9">
        <v>0</v>
      </c>
      <c r="L279" s="10" t="s">
        <v>23</v>
      </c>
      <c r="M279" s="11">
        <v>1</v>
      </c>
      <c r="N279" s="60" t="str">
        <f>IF(OR($E279="",$G279=""),"",IF(AND(K279=$E279,M279=$G279),Auxiliar!$C$11,IF(AND(SIGN($E279-$G279)=SIGN(K279-M279),MAX($E279,$G279)=MAX(K279,M279)),Auxiliar!$C$12,IF(ABS($E279-$G279)=ABS(K279-M279),Auxiliar!$C$13,IF(AND(SIGN($E279-$G279)=SIGN(K279-M279),MIN($E279,$G279)=MIN(K279,M279)),Auxiliar!$C$14,IF(SIGN($E279-$G279)=SIGN(K279-M279),Auxiliar!$C$15,IF(K279=M279,Auxiliar!$C$16,0)))))))</f>
        <v/>
      </c>
      <c r="P279" s="9">
        <v>3</v>
      </c>
      <c r="Q279" s="10" t="s">
        <v>23</v>
      </c>
      <c r="R279" s="11">
        <v>3</v>
      </c>
      <c r="S279" s="60" t="str">
        <f>IF(OR($E279="",$G279=""),"",IF(AND(P279=$E279,R279=$G279),Auxiliar!$C$11,IF(AND(SIGN($E279-$G279)=SIGN(P279-R279),MAX($E279,$G279)=MAX(P279,R279)),Auxiliar!$C$12,IF(ABS($E279-$G279)=ABS(P279-R279),Auxiliar!$C$13,IF(AND(SIGN($E279-$G279)=SIGN(P279-R279),MIN($E279,$G279)=MIN(P279,R279)),Auxiliar!$C$14,IF(SIGN($E279-$G279)=SIGN(P279-R279),Auxiliar!$C$15,IF(P279=R279,Auxiliar!$C$16,0)))))))</f>
        <v/>
      </c>
      <c r="U279" s="9">
        <v>4</v>
      </c>
      <c r="V279" s="10" t="s">
        <v>23</v>
      </c>
      <c r="W279" s="11">
        <v>3</v>
      </c>
      <c r="X279" s="60" t="str">
        <f>IF(OR($E279="",$G279=""),"",IF(AND(U279=$E279,W279=$G279),Auxiliar!$C$11,IF(AND(SIGN($E279-$G279)=SIGN(U279-W279),MAX($E279,$G279)=MAX(U279,W279)),Auxiliar!$C$12,IF(ABS($E279-$G279)=ABS(U279-W279),Auxiliar!$C$13,IF(AND(SIGN($E279-$G279)=SIGN(U279-W279),MIN($E279,$G279)=MIN(U279,W279)),Auxiliar!$C$14,IF(SIGN($E279-$G279)=SIGN(U279-W279),Auxiliar!$C$15,IF(U279=W279,Auxiliar!$C$16,0)))))))</f>
        <v/>
      </c>
      <c r="Z279" s="9">
        <v>4</v>
      </c>
      <c r="AA279" s="10" t="s">
        <v>23</v>
      </c>
      <c r="AB279" s="11">
        <v>5</v>
      </c>
      <c r="AC279" s="60" t="str">
        <f>IF(OR($E279="",$G279=""),"",IF(AND(Z279=$E279,AB279=$G279),Auxiliar!$C$11,IF(AND(SIGN($E279-$G279)=SIGN(Z279-AB279),MAX($E279,$G279)=MAX(Z279,AB279)),Auxiliar!$C$12,IF(ABS($E279-$G279)=ABS(Z279-AB279),Auxiliar!$C$13,IF(AND(SIGN($E279-$G279)=SIGN(Z279-AB279),MIN($E279,$G279)=MIN(Z279,AB279)),Auxiliar!$C$14,IF(SIGN($E279-$G279)=SIGN(Z279-AB279),Auxiliar!$C$15,IF(Z279=AB279,Auxiliar!$C$16,0)))))))</f>
        <v/>
      </c>
      <c r="AE279" s="9">
        <v>4</v>
      </c>
      <c r="AF279" s="10" t="s">
        <v>23</v>
      </c>
      <c r="AG279" s="11">
        <v>5</v>
      </c>
      <c r="AH279" s="60" t="str">
        <f>IF(OR($E279="",$G279=""),"",IF(AND(AE279=$E279,AG279=$G279),Auxiliar!$C$11,IF(AND(SIGN($E279-$G279)=SIGN(AE279-AG279),MAX($E279,$G279)=MAX(AE279,AG279)),Auxiliar!$C$12,IF(ABS($E279-$G279)=ABS(AE279-AG279),Auxiliar!$C$13,IF(AND(SIGN($E279-$G279)=SIGN(AE279-AG279),MIN($E279,$G279)=MIN(AE279,AG279)),Auxiliar!$C$14,IF(SIGN($E279-$G279)=SIGN(AE279-AG279),Auxiliar!$C$15,IF(AE279=AG279,Auxiliar!$C$16,0)))))))</f>
        <v/>
      </c>
    </row>
    <row r="280" spans="3:34" x14ac:dyDescent="0.25">
      <c r="C280" s="24">
        <f t="shared" si="3"/>
        <v>27</v>
      </c>
      <c r="D280" s="18"/>
      <c r="E280" s="13"/>
      <c r="F280" s="12" t="s">
        <v>23</v>
      </c>
      <c r="G280" s="13"/>
      <c r="H280" s="14"/>
      <c r="K280" s="9">
        <v>0</v>
      </c>
      <c r="L280" s="10" t="s">
        <v>23</v>
      </c>
      <c r="M280" s="11">
        <v>3</v>
      </c>
      <c r="N280" s="60" t="str">
        <f>IF(OR($E280="",$G280=""),"",IF(AND(K280=$E280,M280=$G280),Auxiliar!$C$11,IF(AND(SIGN($E280-$G280)=SIGN(K280-M280),MAX($E280,$G280)=MAX(K280,M280)),Auxiliar!$C$12,IF(ABS($E280-$G280)=ABS(K280-M280),Auxiliar!$C$13,IF(AND(SIGN($E280-$G280)=SIGN(K280-M280),MIN($E280,$G280)=MIN(K280,M280)),Auxiliar!$C$14,IF(SIGN($E280-$G280)=SIGN(K280-M280),Auxiliar!$C$15,IF(K280=M280,Auxiliar!$C$16,0)))))))</f>
        <v/>
      </c>
      <c r="P280" s="9">
        <v>5</v>
      </c>
      <c r="Q280" s="10" t="s">
        <v>23</v>
      </c>
      <c r="R280" s="11">
        <v>4</v>
      </c>
      <c r="S280" s="60" t="str">
        <f>IF(OR($E280="",$G280=""),"",IF(AND(P280=$E280,R280=$G280),Auxiliar!$C$11,IF(AND(SIGN($E280-$G280)=SIGN(P280-R280),MAX($E280,$G280)=MAX(P280,R280)),Auxiliar!$C$12,IF(ABS($E280-$G280)=ABS(P280-R280),Auxiliar!$C$13,IF(AND(SIGN($E280-$G280)=SIGN(P280-R280),MIN($E280,$G280)=MIN(P280,R280)),Auxiliar!$C$14,IF(SIGN($E280-$G280)=SIGN(P280-R280),Auxiliar!$C$15,IF(P280=R280,Auxiliar!$C$16,0)))))))</f>
        <v/>
      </c>
      <c r="U280" s="9">
        <v>4</v>
      </c>
      <c r="V280" s="10" t="s">
        <v>23</v>
      </c>
      <c r="W280" s="11">
        <v>4</v>
      </c>
      <c r="X280" s="60" t="str">
        <f>IF(OR($E280="",$G280=""),"",IF(AND(U280=$E280,W280=$G280),Auxiliar!$C$11,IF(AND(SIGN($E280-$G280)=SIGN(U280-W280),MAX($E280,$G280)=MAX(U280,W280)),Auxiliar!$C$12,IF(ABS($E280-$G280)=ABS(U280-W280),Auxiliar!$C$13,IF(AND(SIGN($E280-$G280)=SIGN(U280-W280),MIN($E280,$G280)=MIN(U280,W280)),Auxiliar!$C$14,IF(SIGN($E280-$G280)=SIGN(U280-W280),Auxiliar!$C$15,IF(U280=W280,Auxiliar!$C$16,0)))))))</f>
        <v/>
      </c>
      <c r="Z280" s="9">
        <v>4</v>
      </c>
      <c r="AA280" s="10" t="s">
        <v>23</v>
      </c>
      <c r="AB280" s="11">
        <v>2</v>
      </c>
      <c r="AC280" s="60" t="str">
        <f>IF(OR($E280="",$G280=""),"",IF(AND(Z280=$E280,AB280=$G280),Auxiliar!$C$11,IF(AND(SIGN($E280-$G280)=SIGN(Z280-AB280),MAX($E280,$G280)=MAX(Z280,AB280)),Auxiliar!$C$12,IF(ABS($E280-$G280)=ABS(Z280-AB280),Auxiliar!$C$13,IF(AND(SIGN($E280-$G280)=SIGN(Z280-AB280),MIN($E280,$G280)=MIN(Z280,AB280)),Auxiliar!$C$14,IF(SIGN($E280-$G280)=SIGN(Z280-AB280),Auxiliar!$C$15,IF(Z280=AB280,Auxiliar!$C$16,0)))))))</f>
        <v/>
      </c>
      <c r="AE280" s="9">
        <v>3</v>
      </c>
      <c r="AF280" s="10" t="s">
        <v>23</v>
      </c>
      <c r="AG280" s="11">
        <v>4</v>
      </c>
      <c r="AH280" s="60" t="str">
        <f>IF(OR($E280="",$G280=""),"",IF(AND(AE280=$E280,AG280=$G280),Auxiliar!$C$11,IF(AND(SIGN($E280-$G280)=SIGN(AE280-AG280),MAX($E280,$G280)=MAX(AE280,AG280)),Auxiliar!$C$12,IF(ABS($E280-$G280)=ABS(AE280-AG280),Auxiliar!$C$13,IF(AND(SIGN($E280-$G280)=SIGN(AE280-AG280),MIN($E280,$G280)=MIN(AE280,AG280)),Auxiliar!$C$14,IF(SIGN($E280-$G280)=SIGN(AE280-AG280),Auxiliar!$C$15,IF(AE280=AG280,Auxiliar!$C$16,0)))))))</f>
        <v/>
      </c>
    </row>
    <row r="281" spans="3:34" x14ac:dyDescent="0.25">
      <c r="C281" s="24">
        <f t="shared" si="3"/>
        <v>27</v>
      </c>
      <c r="D281" s="18"/>
      <c r="E281" s="13"/>
      <c r="F281" s="12" t="s">
        <v>23</v>
      </c>
      <c r="G281" s="13"/>
      <c r="H281" s="14"/>
      <c r="K281" s="9">
        <v>5</v>
      </c>
      <c r="L281" s="10" t="s">
        <v>23</v>
      </c>
      <c r="M281" s="11">
        <v>4</v>
      </c>
      <c r="N281" s="60" t="str">
        <f>IF(OR($E281="",$G281=""),"",IF(AND(K281=$E281,M281=$G281),Auxiliar!$C$11,IF(AND(SIGN($E281-$G281)=SIGN(K281-M281),MAX($E281,$G281)=MAX(K281,M281)),Auxiliar!$C$12,IF(ABS($E281-$G281)=ABS(K281-M281),Auxiliar!$C$13,IF(AND(SIGN($E281-$G281)=SIGN(K281-M281),MIN($E281,$G281)=MIN(K281,M281)),Auxiliar!$C$14,IF(SIGN($E281-$G281)=SIGN(K281-M281),Auxiliar!$C$15,IF(K281=M281,Auxiliar!$C$16,0)))))))</f>
        <v/>
      </c>
      <c r="P281" s="9">
        <v>1</v>
      </c>
      <c r="Q281" s="10" t="s">
        <v>23</v>
      </c>
      <c r="R281" s="11">
        <v>5</v>
      </c>
      <c r="S281" s="60" t="str">
        <f>IF(OR($E281="",$G281=""),"",IF(AND(P281=$E281,R281=$G281),Auxiliar!$C$11,IF(AND(SIGN($E281-$G281)=SIGN(P281-R281),MAX($E281,$G281)=MAX(P281,R281)),Auxiliar!$C$12,IF(ABS($E281-$G281)=ABS(P281-R281),Auxiliar!$C$13,IF(AND(SIGN($E281-$G281)=SIGN(P281-R281),MIN($E281,$G281)=MIN(P281,R281)),Auxiliar!$C$14,IF(SIGN($E281-$G281)=SIGN(P281-R281),Auxiliar!$C$15,IF(P281=R281,Auxiliar!$C$16,0)))))))</f>
        <v/>
      </c>
      <c r="U281" s="9">
        <v>3</v>
      </c>
      <c r="V281" s="10" t="s">
        <v>23</v>
      </c>
      <c r="W281" s="11">
        <v>4</v>
      </c>
      <c r="X281" s="60" t="str">
        <f>IF(OR($E281="",$G281=""),"",IF(AND(U281=$E281,W281=$G281),Auxiliar!$C$11,IF(AND(SIGN($E281-$G281)=SIGN(U281-W281),MAX($E281,$G281)=MAX(U281,W281)),Auxiliar!$C$12,IF(ABS($E281-$G281)=ABS(U281-W281),Auxiliar!$C$13,IF(AND(SIGN($E281-$G281)=SIGN(U281-W281),MIN($E281,$G281)=MIN(U281,W281)),Auxiliar!$C$14,IF(SIGN($E281-$G281)=SIGN(U281-W281),Auxiliar!$C$15,IF(U281=W281,Auxiliar!$C$16,0)))))))</f>
        <v/>
      </c>
      <c r="Z281" s="9">
        <v>3</v>
      </c>
      <c r="AA281" s="10" t="s">
        <v>23</v>
      </c>
      <c r="AB281" s="11">
        <v>2</v>
      </c>
      <c r="AC281" s="60" t="str">
        <f>IF(OR($E281="",$G281=""),"",IF(AND(Z281=$E281,AB281=$G281),Auxiliar!$C$11,IF(AND(SIGN($E281-$G281)=SIGN(Z281-AB281),MAX($E281,$G281)=MAX(Z281,AB281)),Auxiliar!$C$12,IF(ABS($E281-$G281)=ABS(Z281-AB281),Auxiliar!$C$13,IF(AND(SIGN($E281-$G281)=SIGN(Z281-AB281),MIN($E281,$G281)=MIN(Z281,AB281)),Auxiliar!$C$14,IF(SIGN($E281-$G281)=SIGN(Z281-AB281),Auxiliar!$C$15,IF(Z281=AB281,Auxiliar!$C$16,0)))))))</f>
        <v/>
      </c>
      <c r="AE281" s="9">
        <v>4</v>
      </c>
      <c r="AF281" s="10" t="s">
        <v>23</v>
      </c>
      <c r="AG281" s="11">
        <v>2</v>
      </c>
      <c r="AH281" s="60" t="str">
        <f>IF(OR($E281="",$G281=""),"",IF(AND(AE281=$E281,AG281=$G281),Auxiliar!$C$11,IF(AND(SIGN($E281-$G281)=SIGN(AE281-AG281),MAX($E281,$G281)=MAX(AE281,AG281)),Auxiliar!$C$12,IF(ABS($E281-$G281)=ABS(AE281-AG281),Auxiliar!$C$13,IF(AND(SIGN($E281-$G281)=SIGN(AE281-AG281),MIN($E281,$G281)=MIN(AE281,AG281)),Auxiliar!$C$14,IF(SIGN($E281-$G281)=SIGN(AE281-AG281),Auxiliar!$C$15,IF(AE281=AG281,Auxiliar!$C$16,0)))))))</f>
        <v/>
      </c>
    </row>
    <row r="282" spans="3:34" x14ac:dyDescent="0.25">
      <c r="C282" s="24">
        <f t="shared" si="3"/>
        <v>27</v>
      </c>
      <c r="D282" s="18"/>
      <c r="E282" s="13"/>
      <c r="F282" s="12" t="s">
        <v>23</v>
      </c>
      <c r="G282" s="13"/>
      <c r="H282" s="14"/>
      <c r="K282" s="9">
        <v>1</v>
      </c>
      <c r="L282" s="10" t="s">
        <v>23</v>
      </c>
      <c r="M282" s="11">
        <v>1</v>
      </c>
      <c r="N282" s="60" t="str">
        <f>IF(OR($E282="",$G282=""),"",IF(AND(K282=$E282,M282=$G282),Auxiliar!$C$11,IF(AND(SIGN($E282-$G282)=SIGN(K282-M282),MAX($E282,$G282)=MAX(K282,M282)),Auxiliar!$C$12,IF(ABS($E282-$G282)=ABS(K282-M282),Auxiliar!$C$13,IF(AND(SIGN($E282-$G282)=SIGN(K282-M282),MIN($E282,$G282)=MIN(K282,M282)),Auxiliar!$C$14,IF(SIGN($E282-$G282)=SIGN(K282-M282),Auxiliar!$C$15,IF(K282=M282,Auxiliar!$C$16,0)))))))</f>
        <v/>
      </c>
      <c r="P282" s="9">
        <v>3</v>
      </c>
      <c r="Q282" s="10" t="s">
        <v>23</v>
      </c>
      <c r="R282" s="11">
        <v>2</v>
      </c>
      <c r="S282" s="60" t="str">
        <f>IF(OR($E282="",$G282=""),"",IF(AND(P282=$E282,R282=$G282),Auxiliar!$C$11,IF(AND(SIGN($E282-$G282)=SIGN(P282-R282),MAX($E282,$G282)=MAX(P282,R282)),Auxiliar!$C$12,IF(ABS($E282-$G282)=ABS(P282-R282),Auxiliar!$C$13,IF(AND(SIGN($E282-$G282)=SIGN(P282-R282),MIN($E282,$G282)=MIN(P282,R282)),Auxiliar!$C$14,IF(SIGN($E282-$G282)=SIGN(P282-R282),Auxiliar!$C$15,IF(P282=R282,Auxiliar!$C$16,0)))))))</f>
        <v/>
      </c>
      <c r="U282" s="9">
        <v>3</v>
      </c>
      <c r="V282" s="10" t="s">
        <v>23</v>
      </c>
      <c r="W282" s="11">
        <v>5</v>
      </c>
      <c r="X282" s="60" t="str">
        <f>IF(OR($E282="",$G282=""),"",IF(AND(U282=$E282,W282=$G282),Auxiliar!$C$11,IF(AND(SIGN($E282-$G282)=SIGN(U282-W282),MAX($E282,$G282)=MAX(U282,W282)),Auxiliar!$C$12,IF(ABS($E282-$G282)=ABS(U282-W282),Auxiliar!$C$13,IF(AND(SIGN($E282-$G282)=SIGN(U282-W282),MIN($E282,$G282)=MIN(U282,W282)),Auxiliar!$C$14,IF(SIGN($E282-$G282)=SIGN(U282-W282),Auxiliar!$C$15,IF(U282=W282,Auxiliar!$C$16,0)))))))</f>
        <v/>
      </c>
      <c r="Z282" s="9">
        <v>5</v>
      </c>
      <c r="AA282" s="10" t="s">
        <v>23</v>
      </c>
      <c r="AB282" s="11">
        <v>3</v>
      </c>
      <c r="AC282" s="60" t="str">
        <f>IF(OR($E282="",$G282=""),"",IF(AND(Z282=$E282,AB282=$G282),Auxiliar!$C$11,IF(AND(SIGN($E282-$G282)=SIGN(Z282-AB282),MAX($E282,$G282)=MAX(Z282,AB282)),Auxiliar!$C$12,IF(ABS($E282-$G282)=ABS(Z282-AB282),Auxiliar!$C$13,IF(AND(SIGN($E282-$G282)=SIGN(Z282-AB282),MIN($E282,$G282)=MIN(Z282,AB282)),Auxiliar!$C$14,IF(SIGN($E282-$G282)=SIGN(Z282-AB282),Auxiliar!$C$15,IF(Z282=AB282,Auxiliar!$C$16,0)))))))</f>
        <v/>
      </c>
      <c r="AE282" s="9">
        <v>2</v>
      </c>
      <c r="AF282" s="10" t="s">
        <v>23</v>
      </c>
      <c r="AG282" s="11">
        <v>5</v>
      </c>
      <c r="AH282" s="60" t="str">
        <f>IF(OR($E282="",$G282=""),"",IF(AND(AE282=$E282,AG282=$G282),Auxiliar!$C$11,IF(AND(SIGN($E282-$G282)=SIGN(AE282-AG282),MAX($E282,$G282)=MAX(AE282,AG282)),Auxiliar!$C$12,IF(ABS($E282-$G282)=ABS(AE282-AG282),Auxiliar!$C$13,IF(AND(SIGN($E282-$G282)=SIGN(AE282-AG282),MIN($E282,$G282)=MIN(AE282,AG282)),Auxiliar!$C$14,IF(SIGN($E282-$G282)=SIGN(AE282-AG282),Auxiliar!$C$15,IF(AE282=AG282,Auxiliar!$C$16,0)))))))</f>
        <v/>
      </c>
    </row>
    <row r="283" spans="3:34" x14ac:dyDescent="0.25">
      <c r="C283" s="24">
        <f t="shared" si="3"/>
        <v>27</v>
      </c>
      <c r="D283" s="18"/>
      <c r="E283" s="13"/>
      <c r="F283" s="12" t="s">
        <v>23</v>
      </c>
      <c r="G283" s="13"/>
      <c r="H283" s="14"/>
      <c r="K283" s="9">
        <v>5</v>
      </c>
      <c r="L283" s="10" t="s">
        <v>23</v>
      </c>
      <c r="M283" s="11">
        <v>0</v>
      </c>
      <c r="N283" s="60" t="str">
        <f>IF(OR($E283="",$G283=""),"",IF(AND(K283=$E283,M283=$G283),Auxiliar!$C$11,IF(AND(SIGN($E283-$G283)=SIGN(K283-M283),MAX($E283,$G283)=MAX(K283,M283)),Auxiliar!$C$12,IF(ABS($E283-$G283)=ABS(K283-M283),Auxiliar!$C$13,IF(AND(SIGN($E283-$G283)=SIGN(K283-M283),MIN($E283,$G283)=MIN(K283,M283)),Auxiliar!$C$14,IF(SIGN($E283-$G283)=SIGN(K283-M283),Auxiliar!$C$15,IF(K283=M283,Auxiliar!$C$16,0)))))))</f>
        <v/>
      </c>
      <c r="P283" s="9">
        <v>3</v>
      </c>
      <c r="Q283" s="10" t="s">
        <v>23</v>
      </c>
      <c r="R283" s="11">
        <v>4</v>
      </c>
      <c r="S283" s="60" t="str">
        <f>IF(OR($E283="",$G283=""),"",IF(AND(P283=$E283,R283=$G283),Auxiliar!$C$11,IF(AND(SIGN($E283-$G283)=SIGN(P283-R283),MAX($E283,$G283)=MAX(P283,R283)),Auxiliar!$C$12,IF(ABS($E283-$G283)=ABS(P283-R283),Auxiliar!$C$13,IF(AND(SIGN($E283-$G283)=SIGN(P283-R283),MIN($E283,$G283)=MIN(P283,R283)),Auxiliar!$C$14,IF(SIGN($E283-$G283)=SIGN(P283-R283),Auxiliar!$C$15,IF(P283=R283,Auxiliar!$C$16,0)))))))</f>
        <v/>
      </c>
      <c r="U283" s="9">
        <v>3</v>
      </c>
      <c r="V283" s="10" t="s">
        <v>23</v>
      </c>
      <c r="W283" s="11">
        <v>2</v>
      </c>
      <c r="X283" s="60" t="str">
        <f>IF(OR($E283="",$G283=""),"",IF(AND(U283=$E283,W283=$G283),Auxiliar!$C$11,IF(AND(SIGN($E283-$G283)=SIGN(U283-W283),MAX($E283,$G283)=MAX(U283,W283)),Auxiliar!$C$12,IF(ABS($E283-$G283)=ABS(U283-W283),Auxiliar!$C$13,IF(AND(SIGN($E283-$G283)=SIGN(U283-W283),MIN($E283,$G283)=MIN(U283,W283)),Auxiliar!$C$14,IF(SIGN($E283-$G283)=SIGN(U283-W283),Auxiliar!$C$15,IF(U283=W283,Auxiliar!$C$16,0)))))))</f>
        <v/>
      </c>
      <c r="Z283" s="9">
        <v>0</v>
      </c>
      <c r="AA283" s="10" t="s">
        <v>23</v>
      </c>
      <c r="AB283" s="11">
        <v>2</v>
      </c>
      <c r="AC283" s="60" t="str">
        <f>IF(OR($E283="",$G283=""),"",IF(AND(Z283=$E283,AB283=$G283),Auxiliar!$C$11,IF(AND(SIGN($E283-$G283)=SIGN(Z283-AB283),MAX($E283,$G283)=MAX(Z283,AB283)),Auxiliar!$C$12,IF(ABS($E283-$G283)=ABS(Z283-AB283),Auxiliar!$C$13,IF(AND(SIGN($E283-$G283)=SIGN(Z283-AB283),MIN($E283,$G283)=MIN(Z283,AB283)),Auxiliar!$C$14,IF(SIGN($E283-$G283)=SIGN(Z283-AB283),Auxiliar!$C$15,IF(Z283=AB283,Auxiliar!$C$16,0)))))))</f>
        <v/>
      </c>
      <c r="AE283" s="9">
        <v>2</v>
      </c>
      <c r="AF283" s="10" t="s">
        <v>23</v>
      </c>
      <c r="AG283" s="11">
        <v>3</v>
      </c>
      <c r="AH283" s="60" t="str">
        <f>IF(OR($E283="",$G283=""),"",IF(AND(AE283=$E283,AG283=$G283),Auxiliar!$C$11,IF(AND(SIGN($E283-$G283)=SIGN(AE283-AG283),MAX($E283,$G283)=MAX(AE283,AG283)),Auxiliar!$C$12,IF(ABS($E283-$G283)=ABS(AE283-AG283),Auxiliar!$C$13,IF(AND(SIGN($E283-$G283)=SIGN(AE283-AG283),MIN($E283,$G283)=MIN(AE283,AG283)),Auxiliar!$C$14,IF(SIGN($E283-$G283)=SIGN(AE283-AG283),Auxiliar!$C$15,IF(AE283=AG283,Auxiliar!$C$16,0)))))))</f>
        <v/>
      </c>
    </row>
    <row r="284" spans="3:34" x14ac:dyDescent="0.25">
      <c r="C284" s="24">
        <f t="shared" si="3"/>
        <v>27</v>
      </c>
      <c r="D284" s="18"/>
      <c r="E284" s="13"/>
      <c r="F284" s="12" t="s">
        <v>23</v>
      </c>
      <c r="G284" s="13"/>
      <c r="H284" s="14"/>
      <c r="K284" s="9">
        <v>1</v>
      </c>
      <c r="L284" s="10" t="s">
        <v>23</v>
      </c>
      <c r="M284" s="11">
        <v>5</v>
      </c>
      <c r="N284" s="60" t="str">
        <f>IF(OR($E284="",$G284=""),"",IF(AND(K284=$E284,M284=$G284),Auxiliar!$C$11,IF(AND(SIGN($E284-$G284)=SIGN(K284-M284),MAX($E284,$G284)=MAX(K284,M284)),Auxiliar!$C$12,IF(ABS($E284-$G284)=ABS(K284-M284),Auxiliar!$C$13,IF(AND(SIGN($E284-$G284)=SIGN(K284-M284),MIN($E284,$G284)=MIN(K284,M284)),Auxiliar!$C$14,IF(SIGN($E284-$G284)=SIGN(K284-M284),Auxiliar!$C$15,IF(K284=M284,Auxiliar!$C$16,0)))))))</f>
        <v/>
      </c>
      <c r="P284" s="9">
        <v>5</v>
      </c>
      <c r="Q284" s="10" t="s">
        <v>23</v>
      </c>
      <c r="R284" s="11">
        <v>3</v>
      </c>
      <c r="S284" s="60" t="str">
        <f>IF(OR($E284="",$G284=""),"",IF(AND(P284=$E284,R284=$G284),Auxiliar!$C$11,IF(AND(SIGN($E284-$G284)=SIGN(P284-R284),MAX($E284,$G284)=MAX(P284,R284)),Auxiliar!$C$12,IF(ABS($E284-$G284)=ABS(P284-R284),Auxiliar!$C$13,IF(AND(SIGN($E284-$G284)=SIGN(P284-R284),MIN($E284,$G284)=MIN(P284,R284)),Auxiliar!$C$14,IF(SIGN($E284-$G284)=SIGN(P284-R284),Auxiliar!$C$15,IF(P284=R284,Auxiliar!$C$16,0)))))))</f>
        <v/>
      </c>
      <c r="U284" s="9">
        <v>0</v>
      </c>
      <c r="V284" s="10" t="s">
        <v>23</v>
      </c>
      <c r="W284" s="11">
        <v>5</v>
      </c>
      <c r="X284" s="60" t="str">
        <f>IF(OR($E284="",$G284=""),"",IF(AND(U284=$E284,W284=$G284),Auxiliar!$C$11,IF(AND(SIGN($E284-$G284)=SIGN(U284-W284),MAX($E284,$G284)=MAX(U284,W284)),Auxiliar!$C$12,IF(ABS($E284-$G284)=ABS(U284-W284),Auxiliar!$C$13,IF(AND(SIGN($E284-$G284)=SIGN(U284-W284),MIN($E284,$G284)=MIN(U284,W284)),Auxiliar!$C$14,IF(SIGN($E284-$G284)=SIGN(U284-W284),Auxiliar!$C$15,IF(U284=W284,Auxiliar!$C$16,0)))))))</f>
        <v/>
      </c>
      <c r="Z284" s="9">
        <v>5</v>
      </c>
      <c r="AA284" s="10" t="s">
        <v>23</v>
      </c>
      <c r="AB284" s="11">
        <v>0</v>
      </c>
      <c r="AC284" s="60" t="str">
        <f>IF(OR($E284="",$G284=""),"",IF(AND(Z284=$E284,AB284=$G284),Auxiliar!$C$11,IF(AND(SIGN($E284-$G284)=SIGN(Z284-AB284),MAX($E284,$G284)=MAX(Z284,AB284)),Auxiliar!$C$12,IF(ABS($E284-$G284)=ABS(Z284-AB284),Auxiliar!$C$13,IF(AND(SIGN($E284-$G284)=SIGN(Z284-AB284),MIN($E284,$G284)=MIN(Z284,AB284)),Auxiliar!$C$14,IF(SIGN($E284-$G284)=SIGN(Z284-AB284),Auxiliar!$C$15,IF(Z284=AB284,Auxiliar!$C$16,0)))))))</f>
        <v/>
      </c>
      <c r="AE284" s="9">
        <v>2</v>
      </c>
      <c r="AF284" s="10" t="s">
        <v>23</v>
      </c>
      <c r="AG284" s="11">
        <v>4</v>
      </c>
      <c r="AH284" s="60" t="str">
        <f>IF(OR($E284="",$G284=""),"",IF(AND(AE284=$E284,AG284=$G284),Auxiliar!$C$11,IF(AND(SIGN($E284-$G284)=SIGN(AE284-AG284),MAX($E284,$G284)=MAX(AE284,AG284)),Auxiliar!$C$12,IF(ABS($E284-$G284)=ABS(AE284-AG284),Auxiliar!$C$13,IF(AND(SIGN($E284-$G284)=SIGN(AE284-AG284),MIN($E284,$G284)=MIN(AE284,AG284)),Auxiliar!$C$14,IF(SIGN($E284-$G284)=SIGN(AE284-AG284),Auxiliar!$C$15,IF(AE284=AG284,Auxiliar!$C$16,0)))))))</f>
        <v/>
      </c>
    </row>
    <row r="285" spans="3:34" x14ac:dyDescent="0.25">
      <c r="C285" s="24">
        <f t="shared" si="3"/>
        <v>27</v>
      </c>
      <c r="D285" s="18"/>
      <c r="E285" s="13"/>
      <c r="F285" s="12" t="s">
        <v>23</v>
      </c>
      <c r="G285" s="13"/>
      <c r="H285" s="14"/>
      <c r="K285" s="9">
        <v>3</v>
      </c>
      <c r="L285" s="10" t="s">
        <v>23</v>
      </c>
      <c r="M285" s="11">
        <v>0</v>
      </c>
      <c r="N285" s="60" t="str">
        <f>IF(OR($E285="",$G285=""),"",IF(AND(K285=$E285,M285=$G285),Auxiliar!$C$11,IF(AND(SIGN($E285-$G285)=SIGN(K285-M285),MAX($E285,$G285)=MAX(K285,M285)),Auxiliar!$C$12,IF(ABS($E285-$G285)=ABS(K285-M285),Auxiliar!$C$13,IF(AND(SIGN($E285-$G285)=SIGN(K285-M285),MIN($E285,$G285)=MIN(K285,M285)),Auxiliar!$C$14,IF(SIGN($E285-$G285)=SIGN(K285-M285),Auxiliar!$C$15,IF(K285=M285,Auxiliar!$C$16,0)))))))</f>
        <v/>
      </c>
      <c r="P285" s="9">
        <v>0</v>
      </c>
      <c r="Q285" s="10" t="s">
        <v>23</v>
      </c>
      <c r="R285" s="11">
        <v>5</v>
      </c>
      <c r="S285" s="60" t="str">
        <f>IF(OR($E285="",$G285=""),"",IF(AND(P285=$E285,R285=$G285),Auxiliar!$C$11,IF(AND(SIGN($E285-$G285)=SIGN(P285-R285),MAX($E285,$G285)=MAX(P285,R285)),Auxiliar!$C$12,IF(ABS($E285-$G285)=ABS(P285-R285),Auxiliar!$C$13,IF(AND(SIGN($E285-$G285)=SIGN(P285-R285),MIN($E285,$G285)=MIN(P285,R285)),Auxiliar!$C$14,IF(SIGN($E285-$G285)=SIGN(P285-R285),Auxiliar!$C$15,IF(P285=R285,Auxiliar!$C$16,0)))))))</f>
        <v/>
      </c>
      <c r="U285" s="9">
        <v>5</v>
      </c>
      <c r="V285" s="10" t="s">
        <v>23</v>
      </c>
      <c r="W285" s="11">
        <v>2</v>
      </c>
      <c r="X285" s="60" t="str">
        <f>IF(OR($E285="",$G285=""),"",IF(AND(U285=$E285,W285=$G285),Auxiliar!$C$11,IF(AND(SIGN($E285-$G285)=SIGN(U285-W285),MAX($E285,$G285)=MAX(U285,W285)),Auxiliar!$C$12,IF(ABS($E285-$G285)=ABS(U285-W285),Auxiliar!$C$13,IF(AND(SIGN($E285-$G285)=SIGN(U285-W285),MIN($E285,$G285)=MIN(U285,W285)),Auxiliar!$C$14,IF(SIGN($E285-$G285)=SIGN(U285-W285),Auxiliar!$C$15,IF(U285=W285,Auxiliar!$C$16,0)))))))</f>
        <v/>
      </c>
      <c r="Z285" s="9">
        <v>2</v>
      </c>
      <c r="AA285" s="10" t="s">
        <v>23</v>
      </c>
      <c r="AB285" s="11">
        <v>3</v>
      </c>
      <c r="AC285" s="60" t="str">
        <f>IF(OR($E285="",$G285=""),"",IF(AND(Z285=$E285,AB285=$G285),Auxiliar!$C$11,IF(AND(SIGN($E285-$G285)=SIGN(Z285-AB285),MAX($E285,$G285)=MAX(Z285,AB285)),Auxiliar!$C$12,IF(ABS($E285-$G285)=ABS(Z285-AB285),Auxiliar!$C$13,IF(AND(SIGN($E285-$G285)=SIGN(Z285-AB285),MIN($E285,$G285)=MIN(Z285,AB285)),Auxiliar!$C$14,IF(SIGN($E285-$G285)=SIGN(Z285-AB285),Auxiliar!$C$15,IF(Z285=AB285,Auxiliar!$C$16,0)))))))</f>
        <v/>
      </c>
      <c r="AE285" s="9">
        <v>4</v>
      </c>
      <c r="AF285" s="10" t="s">
        <v>23</v>
      </c>
      <c r="AG285" s="11">
        <v>3</v>
      </c>
      <c r="AH285" s="60" t="str">
        <f>IF(OR($E285="",$G285=""),"",IF(AND(AE285=$E285,AG285=$G285),Auxiliar!$C$11,IF(AND(SIGN($E285-$G285)=SIGN(AE285-AG285),MAX($E285,$G285)=MAX(AE285,AG285)),Auxiliar!$C$12,IF(ABS($E285-$G285)=ABS(AE285-AG285),Auxiliar!$C$13,IF(AND(SIGN($E285-$G285)=SIGN(AE285-AG285),MIN($E285,$G285)=MIN(AE285,AG285)),Auxiliar!$C$14,IF(SIGN($E285-$G285)=SIGN(AE285-AG285),Auxiliar!$C$15,IF(AE285=AG285,Auxiliar!$C$16,0)))))))</f>
        <v/>
      </c>
    </row>
    <row r="286" spans="3:34" x14ac:dyDescent="0.25">
      <c r="C286" s="24">
        <f t="shared" ref="C286:C349" si="4">C276+1</f>
        <v>27</v>
      </c>
      <c r="D286" s="18"/>
      <c r="E286" s="13"/>
      <c r="F286" s="12" t="s">
        <v>23</v>
      </c>
      <c r="G286" s="13"/>
      <c r="H286" s="14"/>
      <c r="K286" s="9">
        <v>1</v>
      </c>
      <c r="L286" s="10" t="s">
        <v>23</v>
      </c>
      <c r="M286" s="11">
        <v>0</v>
      </c>
      <c r="N286" s="60" t="str">
        <f>IF(OR($E286="",$G286=""),"",IF(AND(K286=$E286,M286=$G286),Auxiliar!$C$11,IF(AND(SIGN($E286-$G286)=SIGN(K286-M286),MAX($E286,$G286)=MAX(K286,M286)),Auxiliar!$C$12,IF(ABS($E286-$G286)=ABS(K286-M286),Auxiliar!$C$13,IF(AND(SIGN($E286-$G286)=SIGN(K286-M286),MIN($E286,$G286)=MIN(K286,M286)),Auxiliar!$C$14,IF(SIGN($E286-$G286)=SIGN(K286-M286),Auxiliar!$C$15,IF(K286=M286,Auxiliar!$C$16,0)))))))</f>
        <v/>
      </c>
      <c r="P286" s="9">
        <v>3</v>
      </c>
      <c r="Q286" s="10" t="s">
        <v>23</v>
      </c>
      <c r="R286" s="11">
        <v>0</v>
      </c>
      <c r="S286" s="60" t="str">
        <f>IF(OR($E286="",$G286=""),"",IF(AND(P286=$E286,R286=$G286),Auxiliar!$C$11,IF(AND(SIGN($E286-$G286)=SIGN(P286-R286),MAX($E286,$G286)=MAX(P286,R286)),Auxiliar!$C$12,IF(ABS($E286-$G286)=ABS(P286-R286),Auxiliar!$C$13,IF(AND(SIGN($E286-$G286)=SIGN(P286-R286),MIN($E286,$G286)=MIN(P286,R286)),Auxiliar!$C$14,IF(SIGN($E286-$G286)=SIGN(P286-R286),Auxiliar!$C$15,IF(P286=R286,Auxiliar!$C$16,0)))))))</f>
        <v/>
      </c>
      <c r="U286" s="9">
        <v>5</v>
      </c>
      <c r="V286" s="10" t="s">
        <v>23</v>
      </c>
      <c r="W286" s="11">
        <v>4</v>
      </c>
      <c r="X286" s="60" t="str">
        <f>IF(OR($E286="",$G286=""),"",IF(AND(U286=$E286,W286=$G286),Auxiliar!$C$11,IF(AND(SIGN($E286-$G286)=SIGN(U286-W286),MAX($E286,$G286)=MAX(U286,W286)),Auxiliar!$C$12,IF(ABS($E286-$G286)=ABS(U286-W286),Auxiliar!$C$13,IF(AND(SIGN($E286-$G286)=SIGN(U286-W286),MIN($E286,$G286)=MIN(U286,W286)),Auxiliar!$C$14,IF(SIGN($E286-$G286)=SIGN(U286-W286),Auxiliar!$C$15,IF(U286=W286,Auxiliar!$C$16,0)))))))</f>
        <v/>
      </c>
      <c r="Z286" s="9">
        <v>3</v>
      </c>
      <c r="AA286" s="10" t="s">
        <v>23</v>
      </c>
      <c r="AB286" s="11">
        <v>5</v>
      </c>
      <c r="AC286" s="60" t="str">
        <f>IF(OR($E286="",$G286=""),"",IF(AND(Z286=$E286,AB286=$G286),Auxiliar!$C$11,IF(AND(SIGN($E286-$G286)=SIGN(Z286-AB286),MAX($E286,$G286)=MAX(Z286,AB286)),Auxiliar!$C$12,IF(ABS($E286-$G286)=ABS(Z286-AB286),Auxiliar!$C$13,IF(AND(SIGN($E286-$G286)=SIGN(Z286-AB286),MIN($E286,$G286)=MIN(Z286,AB286)),Auxiliar!$C$14,IF(SIGN($E286-$G286)=SIGN(Z286-AB286),Auxiliar!$C$15,IF(Z286=AB286,Auxiliar!$C$16,0)))))))</f>
        <v/>
      </c>
      <c r="AE286" s="9">
        <v>2</v>
      </c>
      <c r="AF286" s="10" t="s">
        <v>23</v>
      </c>
      <c r="AG286" s="11">
        <v>4</v>
      </c>
      <c r="AH286" s="60" t="str">
        <f>IF(OR($E286="",$G286=""),"",IF(AND(AE286=$E286,AG286=$G286),Auxiliar!$C$11,IF(AND(SIGN($E286-$G286)=SIGN(AE286-AG286),MAX($E286,$G286)=MAX(AE286,AG286)),Auxiliar!$C$12,IF(ABS($E286-$G286)=ABS(AE286-AG286),Auxiliar!$C$13,IF(AND(SIGN($E286-$G286)=SIGN(AE286-AG286),MIN($E286,$G286)=MIN(AE286,AG286)),Auxiliar!$C$14,IF(SIGN($E286-$G286)=SIGN(AE286-AG286),Auxiliar!$C$15,IF(AE286=AG286,Auxiliar!$C$16,0)))))))</f>
        <v/>
      </c>
    </row>
    <row r="287" spans="3:34" x14ac:dyDescent="0.25">
      <c r="C287" s="24">
        <f t="shared" si="4"/>
        <v>27</v>
      </c>
      <c r="D287" s="18"/>
      <c r="E287" s="13"/>
      <c r="F287" s="12" t="s">
        <v>23</v>
      </c>
      <c r="G287" s="13"/>
      <c r="H287" s="14"/>
      <c r="K287" s="9">
        <v>4</v>
      </c>
      <c r="L287" s="10" t="s">
        <v>23</v>
      </c>
      <c r="M287" s="11">
        <v>1</v>
      </c>
      <c r="N287" s="60" t="str">
        <f>IF(OR($E287="",$G287=""),"",IF(AND(K287=$E287,M287=$G287),Auxiliar!$C$11,IF(AND(SIGN($E287-$G287)=SIGN(K287-M287),MAX($E287,$G287)=MAX(K287,M287)),Auxiliar!$C$12,IF(ABS($E287-$G287)=ABS(K287-M287),Auxiliar!$C$13,IF(AND(SIGN($E287-$G287)=SIGN(K287-M287),MIN($E287,$G287)=MIN(K287,M287)),Auxiliar!$C$14,IF(SIGN($E287-$G287)=SIGN(K287-M287),Auxiliar!$C$15,IF(K287=M287,Auxiliar!$C$16,0)))))))</f>
        <v/>
      </c>
      <c r="P287" s="9">
        <v>1</v>
      </c>
      <c r="Q287" s="10" t="s">
        <v>23</v>
      </c>
      <c r="R287" s="11">
        <v>0</v>
      </c>
      <c r="S287" s="60" t="str">
        <f>IF(OR($E287="",$G287=""),"",IF(AND(P287=$E287,R287=$G287),Auxiliar!$C$11,IF(AND(SIGN($E287-$G287)=SIGN(P287-R287),MAX($E287,$G287)=MAX(P287,R287)),Auxiliar!$C$12,IF(ABS($E287-$G287)=ABS(P287-R287),Auxiliar!$C$13,IF(AND(SIGN($E287-$G287)=SIGN(P287-R287),MIN($E287,$G287)=MIN(P287,R287)),Auxiliar!$C$14,IF(SIGN($E287-$G287)=SIGN(P287-R287),Auxiliar!$C$15,IF(P287=R287,Auxiliar!$C$16,0)))))))</f>
        <v/>
      </c>
      <c r="U287" s="9">
        <v>2</v>
      </c>
      <c r="V287" s="10" t="s">
        <v>23</v>
      </c>
      <c r="W287" s="11">
        <v>3</v>
      </c>
      <c r="X287" s="60" t="str">
        <f>IF(OR($E287="",$G287=""),"",IF(AND(U287=$E287,W287=$G287),Auxiliar!$C$11,IF(AND(SIGN($E287-$G287)=SIGN(U287-W287),MAX($E287,$G287)=MAX(U287,W287)),Auxiliar!$C$12,IF(ABS($E287-$G287)=ABS(U287-W287),Auxiliar!$C$13,IF(AND(SIGN($E287-$G287)=SIGN(U287-W287),MIN($E287,$G287)=MIN(U287,W287)),Auxiliar!$C$14,IF(SIGN($E287-$G287)=SIGN(U287-W287),Auxiliar!$C$15,IF(U287=W287,Auxiliar!$C$16,0)))))))</f>
        <v/>
      </c>
      <c r="Z287" s="9">
        <v>2</v>
      </c>
      <c r="AA287" s="10" t="s">
        <v>23</v>
      </c>
      <c r="AB287" s="11">
        <v>0</v>
      </c>
      <c r="AC287" s="60" t="str">
        <f>IF(OR($E287="",$G287=""),"",IF(AND(Z287=$E287,AB287=$G287),Auxiliar!$C$11,IF(AND(SIGN($E287-$G287)=SIGN(Z287-AB287),MAX($E287,$G287)=MAX(Z287,AB287)),Auxiliar!$C$12,IF(ABS($E287-$G287)=ABS(Z287-AB287),Auxiliar!$C$13,IF(AND(SIGN($E287-$G287)=SIGN(Z287-AB287),MIN($E287,$G287)=MIN(Z287,AB287)),Auxiliar!$C$14,IF(SIGN($E287-$G287)=SIGN(Z287-AB287),Auxiliar!$C$15,IF(Z287=AB287,Auxiliar!$C$16,0)))))))</f>
        <v/>
      </c>
      <c r="AE287" s="9">
        <v>4</v>
      </c>
      <c r="AF287" s="10" t="s">
        <v>23</v>
      </c>
      <c r="AG287" s="11">
        <v>0</v>
      </c>
      <c r="AH287" s="60" t="str">
        <f>IF(OR($E287="",$G287=""),"",IF(AND(AE287=$E287,AG287=$G287),Auxiliar!$C$11,IF(AND(SIGN($E287-$G287)=SIGN(AE287-AG287),MAX($E287,$G287)=MAX(AE287,AG287)),Auxiliar!$C$12,IF(ABS($E287-$G287)=ABS(AE287-AG287),Auxiliar!$C$13,IF(AND(SIGN($E287-$G287)=SIGN(AE287-AG287),MIN($E287,$G287)=MIN(AE287,AG287)),Auxiliar!$C$14,IF(SIGN($E287-$G287)=SIGN(AE287-AG287),Auxiliar!$C$15,IF(AE287=AG287,Auxiliar!$C$16,0)))))))</f>
        <v/>
      </c>
    </row>
    <row r="288" spans="3:34" x14ac:dyDescent="0.25">
      <c r="C288" s="24">
        <f t="shared" si="4"/>
        <v>27</v>
      </c>
      <c r="D288" s="18"/>
      <c r="E288" s="13"/>
      <c r="F288" s="12" t="s">
        <v>23</v>
      </c>
      <c r="G288" s="13"/>
      <c r="H288" s="14"/>
      <c r="K288" s="9">
        <v>2</v>
      </c>
      <c r="L288" s="10" t="s">
        <v>23</v>
      </c>
      <c r="M288" s="11">
        <v>4</v>
      </c>
      <c r="N288" s="60" t="str">
        <f>IF(OR($E288="",$G288=""),"",IF(AND(K288=$E288,M288=$G288),Auxiliar!$C$11,IF(AND(SIGN($E288-$G288)=SIGN(K288-M288),MAX($E288,$G288)=MAX(K288,M288)),Auxiliar!$C$12,IF(ABS($E288-$G288)=ABS(K288-M288),Auxiliar!$C$13,IF(AND(SIGN($E288-$G288)=SIGN(K288-M288),MIN($E288,$G288)=MIN(K288,M288)),Auxiliar!$C$14,IF(SIGN($E288-$G288)=SIGN(K288-M288),Auxiliar!$C$15,IF(K288=M288,Auxiliar!$C$16,0)))))))</f>
        <v/>
      </c>
      <c r="P288" s="9">
        <v>3</v>
      </c>
      <c r="Q288" s="10" t="s">
        <v>23</v>
      </c>
      <c r="R288" s="11">
        <v>3</v>
      </c>
      <c r="S288" s="60" t="str">
        <f>IF(OR($E288="",$G288=""),"",IF(AND(P288=$E288,R288=$G288),Auxiliar!$C$11,IF(AND(SIGN($E288-$G288)=SIGN(P288-R288),MAX($E288,$G288)=MAX(P288,R288)),Auxiliar!$C$12,IF(ABS($E288-$G288)=ABS(P288-R288),Auxiliar!$C$13,IF(AND(SIGN($E288-$G288)=SIGN(P288-R288),MIN($E288,$G288)=MIN(P288,R288)),Auxiliar!$C$14,IF(SIGN($E288-$G288)=SIGN(P288-R288),Auxiliar!$C$15,IF(P288=R288,Auxiliar!$C$16,0)))))))</f>
        <v/>
      </c>
      <c r="U288" s="9">
        <v>4</v>
      </c>
      <c r="V288" s="10" t="s">
        <v>23</v>
      </c>
      <c r="W288" s="11">
        <v>0</v>
      </c>
      <c r="X288" s="60" t="str">
        <f>IF(OR($E288="",$G288=""),"",IF(AND(U288=$E288,W288=$G288),Auxiliar!$C$11,IF(AND(SIGN($E288-$G288)=SIGN(U288-W288),MAX($E288,$G288)=MAX(U288,W288)),Auxiliar!$C$12,IF(ABS($E288-$G288)=ABS(U288-W288),Auxiliar!$C$13,IF(AND(SIGN($E288-$G288)=SIGN(U288-W288),MIN($E288,$G288)=MIN(U288,W288)),Auxiliar!$C$14,IF(SIGN($E288-$G288)=SIGN(U288-W288),Auxiliar!$C$15,IF(U288=W288,Auxiliar!$C$16,0)))))))</f>
        <v/>
      </c>
      <c r="Z288" s="9">
        <v>4</v>
      </c>
      <c r="AA288" s="10" t="s">
        <v>23</v>
      </c>
      <c r="AB288" s="11">
        <v>0</v>
      </c>
      <c r="AC288" s="60" t="str">
        <f>IF(OR($E288="",$G288=""),"",IF(AND(Z288=$E288,AB288=$G288),Auxiliar!$C$11,IF(AND(SIGN($E288-$G288)=SIGN(Z288-AB288),MAX($E288,$G288)=MAX(Z288,AB288)),Auxiliar!$C$12,IF(ABS($E288-$G288)=ABS(Z288-AB288),Auxiliar!$C$13,IF(AND(SIGN($E288-$G288)=SIGN(Z288-AB288),MIN($E288,$G288)=MIN(Z288,AB288)),Auxiliar!$C$14,IF(SIGN($E288-$G288)=SIGN(Z288-AB288),Auxiliar!$C$15,IF(Z288=AB288,Auxiliar!$C$16,0)))))))</f>
        <v/>
      </c>
      <c r="AE288" s="9">
        <v>4</v>
      </c>
      <c r="AF288" s="10" t="s">
        <v>23</v>
      </c>
      <c r="AG288" s="11">
        <v>5</v>
      </c>
      <c r="AH288" s="60" t="str">
        <f>IF(OR($E288="",$G288=""),"",IF(AND(AE288=$E288,AG288=$G288),Auxiliar!$C$11,IF(AND(SIGN($E288-$G288)=SIGN(AE288-AG288),MAX($E288,$G288)=MAX(AE288,AG288)),Auxiliar!$C$12,IF(ABS($E288-$G288)=ABS(AE288-AG288),Auxiliar!$C$13,IF(AND(SIGN($E288-$G288)=SIGN(AE288-AG288),MIN($E288,$G288)=MIN(AE288,AG288)),Auxiliar!$C$14,IF(SIGN($E288-$G288)=SIGN(AE288-AG288),Auxiliar!$C$15,IF(AE288=AG288,Auxiliar!$C$16,0)))))))</f>
        <v/>
      </c>
    </row>
    <row r="289" spans="3:34" x14ac:dyDescent="0.25">
      <c r="C289" s="24">
        <f t="shared" si="4"/>
        <v>28</v>
      </c>
      <c r="D289" s="18"/>
      <c r="E289" s="13"/>
      <c r="F289" s="12" t="s">
        <v>23</v>
      </c>
      <c r="G289" s="13"/>
      <c r="H289" s="14"/>
      <c r="K289" s="9">
        <v>0</v>
      </c>
      <c r="L289" s="10" t="s">
        <v>23</v>
      </c>
      <c r="M289" s="11">
        <v>2</v>
      </c>
      <c r="N289" s="60" t="str">
        <f>IF(OR($E289="",$G289=""),"",IF(AND(K289=$E289,M289=$G289),Auxiliar!$C$11,IF(AND(SIGN($E289-$G289)=SIGN(K289-M289),MAX($E289,$G289)=MAX(K289,M289)),Auxiliar!$C$12,IF(ABS($E289-$G289)=ABS(K289-M289),Auxiliar!$C$13,IF(AND(SIGN($E289-$G289)=SIGN(K289-M289),MIN($E289,$G289)=MIN(K289,M289)),Auxiliar!$C$14,IF(SIGN($E289-$G289)=SIGN(K289-M289),Auxiliar!$C$15,IF(K289=M289,Auxiliar!$C$16,0)))))))</f>
        <v/>
      </c>
      <c r="P289" s="9">
        <v>1</v>
      </c>
      <c r="Q289" s="10" t="s">
        <v>23</v>
      </c>
      <c r="R289" s="11">
        <v>0</v>
      </c>
      <c r="S289" s="60" t="str">
        <f>IF(OR($E289="",$G289=""),"",IF(AND(P289=$E289,R289=$G289),Auxiliar!$C$11,IF(AND(SIGN($E289-$G289)=SIGN(P289-R289),MAX($E289,$G289)=MAX(P289,R289)),Auxiliar!$C$12,IF(ABS($E289-$G289)=ABS(P289-R289),Auxiliar!$C$13,IF(AND(SIGN($E289-$G289)=SIGN(P289-R289),MIN($E289,$G289)=MIN(P289,R289)),Auxiliar!$C$14,IF(SIGN($E289-$G289)=SIGN(P289-R289),Auxiliar!$C$15,IF(P289=R289,Auxiliar!$C$16,0)))))))</f>
        <v/>
      </c>
      <c r="U289" s="9">
        <v>4</v>
      </c>
      <c r="V289" s="10" t="s">
        <v>23</v>
      </c>
      <c r="W289" s="11">
        <v>3</v>
      </c>
      <c r="X289" s="60" t="str">
        <f>IF(OR($E289="",$G289=""),"",IF(AND(U289=$E289,W289=$G289),Auxiliar!$C$11,IF(AND(SIGN($E289-$G289)=SIGN(U289-W289),MAX($E289,$G289)=MAX(U289,W289)),Auxiliar!$C$12,IF(ABS($E289-$G289)=ABS(U289-W289),Auxiliar!$C$13,IF(AND(SIGN($E289-$G289)=SIGN(U289-W289),MIN($E289,$G289)=MIN(U289,W289)),Auxiliar!$C$14,IF(SIGN($E289-$G289)=SIGN(U289-W289),Auxiliar!$C$15,IF(U289=W289,Auxiliar!$C$16,0)))))))</f>
        <v/>
      </c>
      <c r="Z289" s="9">
        <v>2</v>
      </c>
      <c r="AA289" s="10" t="s">
        <v>23</v>
      </c>
      <c r="AB289" s="11">
        <v>0</v>
      </c>
      <c r="AC289" s="60" t="str">
        <f>IF(OR($E289="",$G289=""),"",IF(AND(Z289=$E289,AB289=$G289),Auxiliar!$C$11,IF(AND(SIGN($E289-$G289)=SIGN(Z289-AB289),MAX($E289,$G289)=MAX(Z289,AB289)),Auxiliar!$C$12,IF(ABS($E289-$G289)=ABS(Z289-AB289),Auxiliar!$C$13,IF(AND(SIGN($E289-$G289)=SIGN(Z289-AB289),MIN($E289,$G289)=MIN(Z289,AB289)),Auxiliar!$C$14,IF(SIGN($E289-$G289)=SIGN(Z289-AB289),Auxiliar!$C$15,IF(Z289=AB289,Auxiliar!$C$16,0)))))))</f>
        <v/>
      </c>
      <c r="AE289" s="9">
        <v>2</v>
      </c>
      <c r="AF289" s="10" t="s">
        <v>23</v>
      </c>
      <c r="AG289" s="11">
        <v>2</v>
      </c>
      <c r="AH289" s="60" t="str">
        <f>IF(OR($E289="",$G289=""),"",IF(AND(AE289=$E289,AG289=$G289),Auxiliar!$C$11,IF(AND(SIGN($E289-$G289)=SIGN(AE289-AG289),MAX($E289,$G289)=MAX(AE289,AG289)),Auxiliar!$C$12,IF(ABS($E289-$G289)=ABS(AE289-AG289),Auxiliar!$C$13,IF(AND(SIGN($E289-$G289)=SIGN(AE289-AG289),MIN($E289,$G289)=MIN(AE289,AG289)),Auxiliar!$C$14,IF(SIGN($E289-$G289)=SIGN(AE289-AG289),Auxiliar!$C$15,IF(AE289=AG289,Auxiliar!$C$16,0)))))))</f>
        <v/>
      </c>
    </row>
    <row r="290" spans="3:34" x14ac:dyDescent="0.25">
      <c r="C290" s="24">
        <f t="shared" si="4"/>
        <v>28</v>
      </c>
      <c r="D290" s="18"/>
      <c r="E290" s="13"/>
      <c r="F290" s="12" t="s">
        <v>23</v>
      </c>
      <c r="G290" s="13"/>
      <c r="H290" s="14"/>
      <c r="K290" s="9">
        <v>4</v>
      </c>
      <c r="L290" s="10" t="s">
        <v>23</v>
      </c>
      <c r="M290" s="11">
        <v>3</v>
      </c>
      <c r="N290" s="60" t="str">
        <f>IF(OR($E290="",$G290=""),"",IF(AND(K290=$E290,M290=$G290),Auxiliar!$C$11,IF(AND(SIGN($E290-$G290)=SIGN(K290-M290),MAX($E290,$G290)=MAX(K290,M290)),Auxiliar!$C$12,IF(ABS($E290-$G290)=ABS(K290-M290),Auxiliar!$C$13,IF(AND(SIGN($E290-$G290)=SIGN(K290-M290),MIN($E290,$G290)=MIN(K290,M290)),Auxiliar!$C$14,IF(SIGN($E290-$G290)=SIGN(K290-M290),Auxiliar!$C$15,IF(K290=M290,Auxiliar!$C$16,0)))))))</f>
        <v/>
      </c>
      <c r="P290" s="9">
        <v>0</v>
      </c>
      <c r="Q290" s="10" t="s">
        <v>23</v>
      </c>
      <c r="R290" s="11">
        <v>0</v>
      </c>
      <c r="S290" s="60" t="str">
        <f>IF(OR($E290="",$G290=""),"",IF(AND(P290=$E290,R290=$G290),Auxiliar!$C$11,IF(AND(SIGN($E290-$G290)=SIGN(P290-R290),MAX($E290,$G290)=MAX(P290,R290)),Auxiliar!$C$12,IF(ABS($E290-$G290)=ABS(P290-R290),Auxiliar!$C$13,IF(AND(SIGN($E290-$G290)=SIGN(P290-R290),MIN($E290,$G290)=MIN(P290,R290)),Auxiliar!$C$14,IF(SIGN($E290-$G290)=SIGN(P290-R290),Auxiliar!$C$15,IF(P290=R290,Auxiliar!$C$16,0)))))))</f>
        <v/>
      </c>
      <c r="U290" s="9">
        <v>2</v>
      </c>
      <c r="V290" s="10" t="s">
        <v>23</v>
      </c>
      <c r="W290" s="11">
        <v>0</v>
      </c>
      <c r="X290" s="60" t="str">
        <f>IF(OR($E290="",$G290=""),"",IF(AND(U290=$E290,W290=$G290),Auxiliar!$C$11,IF(AND(SIGN($E290-$G290)=SIGN(U290-W290),MAX($E290,$G290)=MAX(U290,W290)),Auxiliar!$C$12,IF(ABS($E290-$G290)=ABS(U290-W290),Auxiliar!$C$13,IF(AND(SIGN($E290-$G290)=SIGN(U290-W290),MIN($E290,$G290)=MIN(U290,W290)),Auxiliar!$C$14,IF(SIGN($E290-$G290)=SIGN(U290-W290),Auxiliar!$C$15,IF(U290=W290,Auxiliar!$C$16,0)))))))</f>
        <v/>
      </c>
      <c r="Z290" s="9">
        <v>1</v>
      </c>
      <c r="AA290" s="10" t="s">
        <v>23</v>
      </c>
      <c r="AB290" s="11">
        <v>0</v>
      </c>
      <c r="AC290" s="60" t="str">
        <f>IF(OR($E290="",$G290=""),"",IF(AND(Z290=$E290,AB290=$G290),Auxiliar!$C$11,IF(AND(SIGN($E290-$G290)=SIGN(Z290-AB290),MAX($E290,$G290)=MAX(Z290,AB290)),Auxiliar!$C$12,IF(ABS($E290-$G290)=ABS(Z290-AB290),Auxiliar!$C$13,IF(AND(SIGN($E290-$G290)=SIGN(Z290-AB290),MIN($E290,$G290)=MIN(Z290,AB290)),Auxiliar!$C$14,IF(SIGN($E290-$G290)=SIGN(Z290-AB290),Auxiliar!$C$15,IF(Z290=AB290,Auxiliar!$C$16,0)))))))</f>
        <v/>
      </c>
      <c r="AE290" s="9">
        <v>0</v>
      </c>
      <c r="AF290" s="10" t="s">
        <v>23</v>
      </c>
      <c r="AG290" s="11">
        <v>0</v>
      </c>
      <c r="AH290" s="60" t="str">
        <f>IF(OR($E290="",$G290=""),"",IF(AND(AE290=$E290,AG290=$G290),Auxiliar!$C$11,IF(AND(SIGN($E290-$G290)=SIGN(AE290-AG290),MAX($E290,$G290)=MAX(AE290,AG290)),Auxiliar!$C$12,IF(ABS($E290-$G290)=ABS(AE290-AG290),Auxiliar!$C$13,IF(AND(SIGN($E290-$G290)=SIGN(AE290-AG290),MIN($E290,$G290)=MIN(AE290,AG290)),Auxiliar!$C$14,IF(SIGN($E290-$G290)=SIGN(AE290-AG290),Auxiliar!$C$15,IF(AE290=AG290,Auxiliar!$C$16,0)))))))</f>
        <v/>
      </c>
    </row>
    <row r="291" spans="3:34" x14ac:dyDescent="0.25">
      <c r="C291" s="24">
        <f t="shared" si="4"/>
        <v>28</v>
      </c>
      <c r="D291" s="18"/>
      <c r="E291" s="13"/>
      <c r="F291" s="12" t="s">
        <v>23</v>
      </c>
      <c r="G291" s="13"/>
      <c r="H291" s="14"/>
      <c r="K291" s="9">
        <v>2</v>
      </c>
      <c r="L291" s="10" t="s">
        <v>23</v>
      </c>
      <c r="M291" s="11">
        <v>1</v>
      </c>
      <c r="N291" s="60" t="str">
        <f>IF(OR($E291="",$G291=""),"",IF(AND(K291=$E291,M291=$G291),Auxiliar!$C$11,IF(AND(SIGN($E291-$G291)=SIGN(K291-M291),MAX($E291,$G291)=MAX(K291,M291)),Auxiliar!$C$12,IF(ABS($E291-$G291)=ABS(K291-M291),Auxiliar!$C$13,IF(AND(SIGN($E291-$G291)=SIGN(K291-M291),MIN($E291,$G291)=MIN(K291,M291)),Auxiliar!$C$14,IF(SIGN($E291-$G291)=SIGN(K291-M291),Auxiliar!$C$15,IF(K291=M291,Auxiliar!$C$16,0)))))))</f>
        <v/>
      </c>
      <c r="P291" s="9">
        <v>5</v>
      </c>
      <c r="Q291" s="10" t="s">
        <v>23</v>
      </c>
      <c r="R291" s="11">
        <v>5</v>
      </c>
      <c r="S291" s="60" t="str">
        <f>IF(OR($E291="",$G291=""),"",IF(AND(P291=$E291,R291=$G291),Auxiliar!$C$11,IF(AND(SIGN($E291-$G291)=SIGN(P291-R291),MAX($E291,$G291)=MAX(P291,R291)),Auxiliar!$C$12,IF(ABS($E291-$G291)=ABS(P291-R291),Auxiliar!$C$13,IF(AND(SIGN($E291-$G291)=SIGN(P291-R291),MIN($E291,$G291)=MIN(P291,R291)),Auxiliar!$C$14,IF(SIGN($E291-$G291)=SIGN(P291-R291),Auxiliar!$C$15,IF(P291=R291,Auxiliar!$C$16,0)))))))</f>
        <v/>
      </c>
      <c r="U291" s="9">
        <v>0</v>
      </c>
      <c r="V291" s="10" t="s">
        <v>23</v>
      </c>
      <c r="W291" s="11">
        <v>5</v>
      </c>
      <c r="X291" s="60" t="str">
        <f>IF(OR($E291="",$G291=""),"",IF(AND(U291=$E291,W291=$G291),Auxiliar!$C$11,IF(AND(SIGN($E291-$G291)=SIGN(U291-W291),MAX($E291,$G291)=MAX(U291,W291)),Auxiliar!$C$12,IF(ABS($E291-$G291)=ABS(U291-W291),Auxiliar!$C$13,IF(AND(SIGN($E291-$G291)=SIGN(U291-W291),MIN($E291,$G291)=MIN(U291,W291)),Auxiliar!$C$14,IF(SIGN($E291-$G291)=SIGN(U291-W291),Auxiliar!$C$15,IF(U291=W291,Auxiliar!$C$16,0)))))))</f>
        <v/>
      </c>
      <c r="Z291" s="9">
        <v>2</v>
      </c>
      <c r="AA291" s="10" t="s">
        <v>23</v>
      </c>
      <c r="AB291" s="11">
        <v>1</v>
      </c>
      <c r="AC291" s="60" t="str">
        <f>IF(OR($E291="",$G291=""),"",IF(AND(Z291=$E291,AB291=$G291),Auxiliar!$C$11,IF(AND(SIGN($E291-$G291)=SIGN(Z291-AB291),MAX($E291,$G291)=MAX(Z291,AB291)),Auxiliar!$C$12,IF(ABS($E291-$G291)=ABS(Z291-AB291),Auxiliar!$C$13,IF(AND(SIGN($E291-$G291)=SIGN(Z291-AB291),MIN($E291,$G291)=MIN(Z291,AB291)),Auxiliar!$C$14,IF(SIGN($E291-$G291)=SIGN(Z291-AB291),Auxiliar!$C$15,IF(Z291=AB291,Auxiliar!$C$16,0)))))))</f>
        <v/>
      </c>
      <c r="AE291" s="9">
        <v>2</v>
      </c>
      <c r="AF291" s="10" t="s">
        <v>23</v>
      </c>
      <c r="AG291" s="11">
        <v>3</v>
      </c>
      <c r="AH291" s="60" t="str">
        <f>IF(OR($E291="",$G291=""),"",IF(AND(AE291=$E291,AG291=$G291),Auxiliar!$C$11,IF(AND(SIGN($E291-$G291)=SIGN(AE291-AG291),MAX($E291,$G291)=MAX(AE291,AG291)),Auxiliar!$C$12,IF(ABS($E291-$G291)=ABS(AE291-AG291),Auxiliar!$C$13,IF(AND(SIGN($E291-$G291)=SIGN(AE291-AG291),MIN($E291,$G291)=MIN(AE291,AG291)),Auxiliar!$C$14,IF(SIGN($E291-$G291)=SIGN(AE291-AG291),Auxiliar!$C$15,IF(AE291=AG291,Auxiliar!$C$16,0)))))))</f>
        <v/>
      </c>
    </row>
    <row r="292" spans="3:34" x14ac:dyDescent="0.25">
      <c r="C292" s="24">
        <f t="shared" si="4"/>
        <v>28</v>
      </c>
      <c r="D292" s="18"/>
      <c r="E292" s="13"/>
      <c r="F292" s="12" t="s">
        <v>23</v>
      </c>
      <c r="G292" s="13"/>
      <c r="H292" s="14"/>
      <c r="K292" s="9">
        <v>0</v>
      </c>
      <c r="L292" s="10" t="s">
        <v>23</v>
      </c>
      <c r="M292" s="11">
        <v>2</v>
      </c>
      <c r="N292" s="60" t="str">
        <f>IF(OR($E292="",$G292=""),"",IF(AND(K292=$E292,M292=$G292),Auxiliar!$C$11,IF(AND(SIGN($E292-$G292)=SIGN(K292-M292),MAX($E292,$G292)=MAX(K292,M292)),Auxiliar!$C$12,IF(ABS($E292-$G292)=ABS(K292-M292),Auxiliar!$C$13,IF(AND(SIGN($E292-$G292)=SIGN(K292-M292),MIN($E292,$G292)=MIN(K292,M292)),Auxiliar!$C$14,IF(SIGN($E292-$G292)=SIGN(K292-M292),Auxiliar!$C$15,IF(K292=M292,Auxiliar!$C$16,0)))))))</f>
        <v/>
      </c>
      <c r="P292" s="9">
        <v>5</v>
      </c>
      <c r="Q292" s="10" t="s">
        <v>23</v>
      </c>
      <c r="R292" s="11">
        <v>5</v>
      </c>
      <c r="S292" s="60" t="str">
        <f>IF(OR($E292="",$G292=""),"",IF(AND(P292=$E292,R292=$G292),Auxiliar!$C$11,IF(AND(SIGN($E292-$G292)=SIGN(P292-R292),MAX($E292,$G292)=MAX(P292,R292)),Auxiliar!$C$12,IF(ABS($E292-$G292)=ABS(P292-R292),Auxiliar!$C$13,IF(AND(SIGN($E292-$G292)=SIGN(P292-R292),MIN($E292,$G292)=MIN(P292,R292)),Auxiliar!$C$14,IF(SIGN($E292-$G292)=SIGN(P292-R292),Auxiliar!$C$15,IF(P292=R292,Auxiliar!$C$16,0)))))))</f>
        <v/>
      </c>
      <c r="U292" s="9">
        <v>4</v>
      </c>
      <c r="V292" s="10" t="s">
        <v>23</v>
      </c>
      <c r="W292" s="11">
        <v>3</v>
      </c>
      <c r="X292" s="60" t="str">
        <f>IF(OR($E292="",$G292=""),"",IF(AND(U292=$E292,W292=$G292),Auxiliar!$C$11,IF(AND(SIGN($E292-$G292)=SIGN(U292-W292),MAX($E292,$G292)=MAX(U292,W292)),Auxiliar!$C$12,IF(ABS($E292-$G292)=ABS(U292-W292),Auxiliar!$C$13,IF(AND(SIGN($E292-$G292)=SIGN(U292-W292),MIN($E292,$G292)=MIN(U292,W292)),Auxiliar!$C$14,IF(SIGN($E292-$G292)=SIGN(U292-W292),Auxiliar!$C$15,IF(U292=W292,Auxiliar!$C$16,0)))))))</f>
        <v/>
      </c>
      <c r="Z292" s="9">
        <v>3</v>
      </c>
      <c r="AA292" s="10" t="s">
        <v>23</v>
      </c>
      <c r="AB292" s="11">
        <v>2</v>
      </c>
      <c r="AC292" s="60" t="str">
        <f>IF(OR($E292="",$G292=""),"",IF(AND(Z292=$E292,AB292=$G292),Auxiliar!$C$11,IF(AND(SIGN($E292-$G292)=SIGN(Z292-AB292),MAX($E292,$G292)=MAX(Z292,AB292)),Auxiliar!$C$12,IF(ABS($E292-$G292)=ABS(Z292-AB292),Auxiliar!$C$13,IF(AND(SIGN($E292-$G292)=SIGN(Z292-AB292),MIN($E292,$G292)=MIN(Z292,AB292)),Auxiliar!$C$14,IF(SIGN($E292-$G292)=SIGN(Z292-AB292),Auxiliar!$C$15,IF(Z292=AB292,Auxiliar!$C$16,0)))))))</f>
        <v/>
      </c>
      <c r="AE292" s="9">
        <v>1</v>
      </c>
      <c r="AF292" s="10" t="s">
        <v>23</v>
      </c>
      <c r="AG292" s="11">
        <v>4</v>
      </c>
      <c r="AH292" s="60" t="str">
        <f>IF(OR($E292="",$G292=""),"",IF(AND(AE292=$E292,AG292=$G292),Auxiliar!$C$11,IF(AND(SIGN($E292-$G292)=SIGN(AE292-AG292),MAX($E292,$G292)=MAX(AE292,AG292)),Auxiliar!$C$12,IF(ABS($E292-$G292)=ABS(AE292-AG292),Auxiliar!$C$13,IF(AND(SIGN($E292-$G292)=SIGN(AE292-AG292),MIN($E292,$G292)=MIN(AE292,AG292)),Auxiliar!$C$14,IF(SIGN($E292-$G292)=SIGN(AE292-AG292),Auxiliar!$C$15,IF(AE292=AG292,Auxiliar!$C$16,0)))))))</f>
        <v/>
      </c>
    </row>
    <row r="293" spans="3:34" x14ac:dyDescent="0.25">
      <c r="C293" s="24">
        <f t="shared" si="4"/>
        <v>28</v>
      </c>
      <c r="D293" s="18"/>
      <c r="E293" s="13"/>
      <c r="F293" s="12" t="s">
        <v>23</v>
      </c>
      <c r="G293" s="13"/>
      <c r="H293" s="14"/>
      <c r="K293" s="9">
        <v>1</v>
      </c>
      <c r="L293" s="10" t="s">
        <v>23</v>
      </c>
      <c r="M293" s="11">
        <v>5</v>
      </c>
      <c r="N293" s="60" t="str">
        <f>IF(OR($E293="",$G293=""),"",IF(AND(K293=$E293,M293=$G293),Auxiliar!$C$11,IF(AND(SIGN($E293-$G293)=SIGN(K293-M293),MAX($E293,$G293)=MAX(K293,M293)),Auxiliar!$C$12,IF(ABS($E293-$G293)=ABS(K293-M293),Auxiliar!$C$13,IF(AND(SIGN($E293-$G293)=SIGN(K293-M293),MIN($E293,$G293)=MIN(K293,M293)),Auxiliar!$C$14,IF(SIGN($E293-$G293)=SIGN(K293-M293),Auxiliar!$C$15,IF(K293=M293,Auxiliar!$C$16,0)))))))</f>
        <v/>
      </c>
      <c r="P293" s="9">
        <v>0</v>
      </c>
      <c r="Q293" s="10" t="s">
        <v>23</v>
      </c>
      <c r="R293" s="11">
        <v>0</v>
      </c>
      <c r="S293" s="60" t="str">
        <f>IF(OR($E293="",$G293=""),"",IF(AND(P293=$E293,R293=$G293),Auxiliar!$C$11,IF(AND(SIGN($E293-$G293)=SIGN(P293-R293),MAX($E293,$G293)=MAX(P293,R293)),Auxiliar!$C$12,IF(ABS($E293-$G293)=ABS(P293-R293),Auxiliar!$C$13,IF(AND(SIGN($E293-$G293)=SIGN(P293-R293),MIN($E293,$G293)=MIN(P293,R293)),Auxiliar!$C$14,IF(SIGN($E293-$G293)=SIGN(P293-R293),Auxiliar!$C$15,IF(P293=R293,Auxiliar!$C$16,0)))))))</f>
        <v/>
      </c>
      <c r="U293" s="9">
        <v>0</v>
      </c>
      <c r="V293" s="10" t="s">
        <v>23</v>
      </c>
      <c r="W293" s="11">
        <v>4</v>
      </c>
      <c r="X293" s="60" t="str">
        <f>IF(OR($E293="",$G293=""),"",IF(AND(U293=$E293,W293=$G293),Auxiliar!$C$11,IF(AND(SIGN($E293-$G293)=SIGN(U293-W293),MAX($E293,$G293)=MAX(U293,W293)),Auxiliar!$C$12,IF(ABS($E293-$G293)=ABS(U293-W293),Auxiliar!$C$13,IF(AND(SIGN($E293-$G293)=SIGN(U293-W293),MIN($E293,$G293)=MIN(U293,W293)),Auxiliar!$C$14,IF(SIGN($E293-$G293)=SIGN(U293-W293),Auxiliar!$C$15,IF(U293=W293,Auxiliar!$C$16,0)))))))</f>
        <v/>
      </c>
      <c r="Z293" s="9">
        <v>5</v>
      </c>
      <c r="AA293" s="10" t="s">
        <v>23</v>
      </c>
      <c r="AB293" s="11">
        <v>2</v>
      </c>
      <c r="AC293" s="60" t="str">
        <f>IF(OR($E293="",$G293=""),"",IF(AND(Z293=$E293,AB293=$G293),Auxiliar!$C$11,IF(AND(SIGN($E293-$G293)=SIGN(Z293-AB293),MAX($E293,$G293)=MAX(Z293,AB293)),Auxiliar!$C$12,IF(ABS($E293-$G293)=ABS(Z293-AB293),Auxiliar!$C$13,IF(AND(SIGN($E293-$G293)=SIGN(Z293-AB293),MIN($E293,$G293)=MIN(Z293,AB293)),Auxiliar!$C$14,IF(SIGN($E293-$G293)=SIGN(Z293-AB293),Auxiliar!$C$15,IF(Z293=AB293,Auxiliar!$C$16,0)))))))</f>
        <v/>
      </c>
      <c r="AE293" s="9">
        <v>5</v>
      </c>
      <c r="AF293" s="10" t="s">
        <v>23</v>
      </c>
      <c r="AG293" s="11">
        <v>4</v>
      </c>
      <c r="AH293" s="60" t="str">
        <f>IF(OR($E293="",$G293=""),"",IF(AND(AE293=$E293,AG293=$G293),Auxiliar!$C$11,IF(AND(SIGN($E293-$G293)=SIGN(AE293-AG293),MAX($E293,$G293)=MAX(AE293,AG293)),Auxiliar!$C$12,IF(ABS($E293-$G293)=ABS(AE293-AG293),Auxiliar!$C$13,IF(AND(SIGN($E293-$G293)=SIGN(AE293-AG293),MIN($E293,$G293)=MIN(AE293,AG293)),Auxiliar!$C$14,IF(SIGN($E293-$G293)=SIGN(AE293-AG293),Auxiliar!$C$15,IF(AE293=AG293,Auxiliar!$C$16,0)))))))</f>
        <v/>
      </c>
    </row>
    <row r="294" spans="3:34" x14ac:dyDescent="0.25">
      <c r="C294" s="24">
        <f t="shared" si="4"/>
        <v>28</v>
      </c>
      <c r="D294" s="18"/>
      <c r="E294" s="13"/>
      <c r="F294" s="12" t="s">
        <v>23</v>
      </c>
      <c r="G294" s="13"/>
      <c r="H294" s="14"/>
      <c r="K294" s="9">
        <v>1</v>
      </c>
      <c r="L294" s="10" t="s">
        <v>23</v>
      </c>
      <c r="M294" s="11">
        <v>0</v>
      </c>
      <c r="N294" s="60" t="str">
        <f>IF(OR($E294="",$G294=""),"",IF(AND(K294=$E294,M294=$G294),Auxiliar!$C$11,IF(AND(SIGN($E294-$G294)=SIGN(K294-M294),MAX($E294,$G294)=MAX(K294,M294)),Auxiliar!$C$12,IF(ABS($E294-$G294)=ABS(K294-M294),Auxiliar!$C$13,IF(AND(SIGN($E294-$G294)=SIGN(K294-M294),MIN($E294,$G294)=MIN(K294,M294)),Auxiliar!$C$14,IF(SIGN($E294-$G294)=SIGN(K294-M294),Auxiliar!$C$15,IF(K294=M294,Auxiliar!$C$16,0)))))))</f>
        <v/>
      </c>
      <c r="P294" s="9">
        <v>5</v>
      </c>
      <c r="Q294" s="10" t="s">
        <v>23</v>
      </c>
      <c r="R294" s="11">
        <v>1</v>
      </c>
      <c r="S294" s="60" t="str">
        <f>IF(OR($E294="",$G294=""),"",IF(AND(P294=$E294,R294=$G294),Auxiliar!$C$11,IF(AND(SIGN($E294-$G294)=SIGN(P294-R294),MAX($E294,$G294)=MAX(P294,R294)),Auxiliar!$C$12,IF(ABS($E294-$G294)=ABS(P294-R294),Auxiliar!$C$13,IF(AND(SIGN($E294-$G294)=SIGN(P294-R294),MIN($E294,$G294)=MIN(P294,R294)),Auxiliar!$C$14,IF(SIGN($E294-$G294)=SIGN(P294-R294),Auxiliar!$C$15,IF(P294=R294,Auxiliar!$C$16,0)))))))</f>
        <v/>
      </c>
      <c r="U294" s="9">
        <v>2</v>
      </c>
      <c r="V294" s="10" t="s">
        <v>23</v>
      </c>
      <c r="W294" s="11">
        <v>4</v>
      </c>
      <c r="X294" s="60" t="str">
        <f>IF(OR($E294="",$G294=""),"",IF(AND(U294=$E294,W294=$G294),Auxiliar!$C$11,IF(AND(SIGN($E294-$G294)=SIGN(U294-W294),MAX($E294,$G294)=MAX(U294,W294)),Auxiliar!$C$12,IF(ABS($E294-$G294)=ABS(U294-W294),Auxiliar!$C$13,IF(AND(SIGN($E294-$G294)=SIGN(U294-W294),MIN($E294,$G294)=MIN(U294,W294)),Auxiliar!$C$14,IF(SIGN($E294-$G294)=SIGN(U294-W294),Auxiliar!$C$15,IF(U294=W294,Auxiliar!$C$16,0)))))))</f>
        <v/>
      </c>
      <c r="Z294" s="9">
        <v>2</v>
      </c>
      <c r="AA294" s="10" t="s">
        <v>23</v>
      </c>
      <c r="AB294" s="11">
        <v>1</v>
      </c>
      <c r="AC294" s="60" t="str">
        <f>IF(OR($E294="",$G294=""),"",IF(AND(Z294=$E294,AB294=$G294),Auxiliar!$C$11,IF(AND(SIGN($E294-$G294)=SIGN(Z294-AB294),MAX($E294,$G294)=MAX(Z294,AB294)),Auxiliar!$C$12,IF(ABS($E294-$G294)=ABS(Z294-AB294),Auxiliar!$C$13,IF(AND(SIGN($E294-$G294)=SIGN(Z294-AB294),MIN($E294,$G294)=MIN(Z294,AB294)),Auxiliar!$C$14,IF(SIGN($E294-$G294)=SIGN(Z294-AB294),Auxiliar!$C$15,IF(Z294=AB294,Auxiliar!$C$16,0)))))))</f>
        <v/>
      </c>
      <c r="AE294" s="9">
        <v>0</v>
      </c>
      <c r="AF294" s="10" t="s">
        <v>23</v>
      </c>
      <c r="AG294" s="11">
        <v>2</v>
      </c>
      <c r="AH294" s="60" t="str">
        <f>IF(OR($E294="",$G294=""),"",IF(AND(AE294=$E294,AG294=$G294),Auxiliar!$C$11,IF(AND(SIGN($E294-$G294)=SIGN(AE294-AG294),MAX($E294,$G294)=MAX(AE294,AG294)),Auxiliar!$C$12,IF(ABS($E294-$G294)=ABS(AE294-AG294),Auxiliar!$C$13,IF(AND(SIGN($E294-$G294)=SIGN(AE294-AG294),MIN($E294,$G294)=MIN(AE294,AG294)),Auxiliar!$C$14,IF(SIGN($E294-$G294)=SIGN(AE294-AG294),Auxiliar!$C$15,IF(AE294=AG294,Auxiliar!$C$16,0)))))))</f>
        <v/>
      </c>
    </row>
    <row r="295" spans="3:34" x14ac:dyDescent="0.25">
      <c r="C295" s="24">
        <f t="shared" si="4"/>
        <v>28</v>
      </c>
      <c r="D295" s="18"/>
      <c r="E295" s="13"/>
      <c r="F295" s="12" t="s">
        <v>23</v>
      </c>
      <c r="G295" s="13"/>
      <c r="H295" s="14"/>
      <c r="K295" s="9">
        <v>5</v>
      </c>
      <c r="L295" s="10" t="s">
        <v>23</v>
      </c>
      <c r="M295" s="11">
        <v>3</v>
      </c>
      <c r="N295" s="60" t="str">
        <f>IF(OR($E295="",$G295=""),"",IF(AND(K295=$E295,M295=$G295),Auxiliar!$C$11,IF(AND(SIGN($E295-$G295)=SIGN(K295-M295),MAX($E295,$G295)=MAX(K295,M295)),Auxiliar!$C$12,IF(ABS($E295-$G295)=ABS(K295-M295),Auxiliar!$C$13,IF(AND(SIGN($E295-$G295)=SIGN(K295-M295),MIN($E295,$G295)=MIN(K295,M295)),Auxiliar!$C$14,IF(SIGN($E295-$G295)=SIGN(K295-M295),Auxiliar!$C$15,IF(K295=M295,Auxiliar!$C$16,0)))))))</f>
        <v/>
      </c>
      <c r="P295" s="9">
        <v>3</v>
      </c>
      <c r="Q295" s="10" t="s">
        <v>23</v>
      </c>
      <c r="R295" s="11">
        <v>2</v>
      </c>
      <c r="S295" s="60" t="str">
        <f>IF(OR($E295="",$G295=""),"",IF(AND(P295=$E295,R295=$G295),Auxiliar!$C$11,IF(AND(SIGN($E295-$G295)=SIGN(P295-R295),MAX($E295,$G295)=MAX(P295,R295)),Auxiliar!$C$12,IF(ABS($E295-$G295)=ABS(P295-R295),Auxiliar!$C$13,IF(AND(SIGN($E295-$G295)=SIGN(P295-R295),MIN($E295,$G295)=MIN(P295,R295)),Auxiliar!$C$14,IF(SIGN($E295-$G295)=SIGN(P295-R295),Auxiliar!$C$15,IF(P295=R295,Auxiliar!$C$16,0)))))))</f>
        <v/>
      </c>
      <c r="U295" s="9">
        <v>4</v>
      </c>
      <c r="V295" s="10" t="s">
        <v>23</v>
      </c>
      <c r="W295" s="11">
        <v>2</v>
      </c>
      <c r="X295" s="60" t="str">
        <f>IF(OR($E295="",$G295=""),"",IF(AND(U295=$E295,W295=$G295),Auxiliar!$C$11,IF(AND(SIGN($E295-$G295)=SIGN(U295-W295),MAX($E295,$G295)=MAX(U295,W295)),Auxiliar!$C$12,IF(ABS($E295-$G295)=ABS(U295-W295),Auxiliar!$C$13,IF(AND(SIGN($E295-$G295)=SIGN(U295-W295),MIN($E295,$G295)=MIN(U295,W295)),Auxiliar!$C$14,IF(SIGN($E295-$G295)=SIGN(U295-W295),Auxiliar!$C$15,IF(U295=W295,Auxiliar!$C$16,0)))))))</f>
        <v/>
      </c>
      <c r="Z295" s="9">
        <v>5</v>
      </c>
      <c r="AA295" s="10" t="s">
        <v>23</v>
      </c>
      <c r="AB295" s="11">
        <v>1</v>
      </c>
      <c r="AC295" s="60" t="str">
        <f>IF(OR($E295="",$G295=""),"",IF(AND(Z295=$E295,AB295=$G295),Auxiliar!$C$11,IF(AND(SIGN($E295-$G295)=SIGN(Z295-AB295),MAX($E295,$G295)=MAX(Z295,AB295)),Auxiliar!$C$12,IF(ABS($E295-$G295)=ABS(Z295-AB295),Auxiliar!$C$13,IF(AND(SIGN($E295-$G295)=SIGN(Z295-AB295),MIN($E295,$G295)=MIN(Z295,AB295)),Auxiliar!$C$14,IF(SIGN($E295-$G295)=SIGN(Z295-AB295),Auxiliar!$C$15,IF(Z295=AB295,Auxiliar!$C$16,0)))))))</f>
        <v/>
      </c>
      <c r="AE295" s="9">
        <v>3</v>
      </c>
      <c r="AF295" s="10" t="s">
        <v>23</v>
      </c>
      <c r="AG295" s="11">
        <v>0</v>
      </c>
      <c r="AH295" s="60" t="str">
        <f>IF(OR($E295="",$G295=""),"",IF(AND(AE295=$E295,AG295=$G295),Auxiliar!$C$11,IF(AND(SIGN($E295-$G295)=SIGN(AE295-AG295),MAX($E295,$G295)=MAX(AE295,AG295)),Auxiliar!$C$12,IF(ABS($E295-$G295)=ABS(AE295-AG295),Auxiliar!$C$13,IF(AND(SIGN($E295-$G295)=SIGN(AE295-AG295),MIN($E295,$G295)=MIN(AE295,AG295)),Auxiliar!$C$14,IF(SIGN($E295-$G295)=SIGN(AE295-AG295),Auxiliar!$C$15,IF(AE295=AG295,Auxiliar!$C$16,0)))))))</f>
        <v/>
      </c>
    </row>
    <row r="296" spans="3:34" x14ac:dyDescent="0.25">
      <c r="C296" s="24">
        <f t="shared" si="4"/>
        <v>28</v>
      </c>
      <c r="D296" s="18"/>
      <c r="E296" s="13"/>
      <c r="F296" s="12" t="s">
        <v>23</v>
      </c>
      <c r="G296" s="13"/>
      <c r="H296" s="14"/>
      <c r="K296" s="9">
        <v>5</v>
      </c>
      <c r="L296" s="10" t="s">
        <v>23</v>
      </c>
      <c r="M296" s="11">
        <v>0</v>
      </c>
      <c r="N296" s="60" t="str">
        <f>IF(OR($E296="",$G296=""),"",IF(AND(K296=$E296,M296=$G296),Auxiliar!$C$11,IF(AND(SIGN($E296-$G296)=SIGN(K296-M296),MAX($E296,$G296)=MAX(K296,M296)),Auxiliar!$C$12,IF(ABS($E296-$G296)=ABS(K296-M296),Auxiliar!$C$13,IF(AND(SIGN($E296-$G296)=SIGN(K296-M296),MIN($E296,$G296)=MIN(K296,M296)),Auxiliar!$C$14,IF(SIGN($E296-$G296)=SIGN(K296-M296),Auxiliar!$C$15,IF(K296=M296,Auxiliar!$C$16,0)))))))</f>
        <v/>
      </c>
      <c r="P296" s="9">
        <v>2</v>
      </c>
      <c r="Q296" s="10" t="s">
        <v>23</v>
      </c>
      <c r="R296" s="11">
        <v>3</v>
      </c>
      <c r="S296" s="60" t="str">
        <f>IF(OR($E296="",$G296=""),"",IF(AND(P296=$E296,R296=$G296),Auxiliar!$C$11,IF(AND(SIGN($E296-$G296)=SIGN(P296-R296),MAX($E296,$G296)=MAX(P296,R296)),Auxiliar!$C$12,IF(ABS($E296-$G296)=ABS(P296-R296),Auxiliar!$C$13,IF(AND(SIGN($E296-$G296)=SIGN(P296-R296),MIN($E296,$G296)=MIN(P296,R296)),Auxiliar!$C$14,IF(SIGN($E296-$G296)=SIGN(P296-R296),Auxiliar!$C$15,IF(P296=R296,Auxiliar!$C$16,0)))))))</f>
        <v/>
      </c>
      <c r="U296" s="9">
        <v>2</v>
      </c>
      <c r="V296" s="10" t="s">
        <v>23</v>
      </c>
      <c r="W296" s="11">
        <v>4</v>
      </c>
      <c r="X296" s="60" t="str">
        <f>IF(OR($E296="",$G296=""),"",IF(AND(U296=$E296,W296=$G296),Auxiliar!$C$11,IF(AND(SIGN($E296-$G296)=SIGN(U296-W296),MAX($E296,$G296)=MAX(U296,W296)),Auxiliar!$C$12,IF(ABS($E296-$G296)=ABS(U296-W296),Auxiliar!$C$13,IF(AND(SIGN($E296-$G296)=SIGN(U296-W296),MIN($E296,$G296)=MIN(U296,W296)),Auxiliar!$C$14,IF(SIGN($E296-$G296)=SIGN(U296-W296),Auxiliar!$C$15,IF(U296=W296,Auxiliar!$C$16,0)))))))</f>
        <v/>
      </c>
      <c r="Z296" s="9">
        <v>2</v>
      </c>
      <c r="AA296" s="10" t="s">
        <v>23</v>
      </c>
      <c r="AB296" s="11">
        <v>2</v>
      </c>
      <c r="AC296" s="60" t="str">
        <f>IF(OR($E296="",$G296=""),"",IF(AND(Z296=$E296,AB296=$G296),Auxiliar!$C$11,IF(AND(SIGN($E296-$G296)=SIGN(Z296-AB296),MAX($E296,$G296)=MAX(Z296,AB296)),Auxiliar!$C$12,IF(ABS($E296-$G296)=ABS(Z296-AB296),Auxiliar!$C$13,IF(AND(SIGN($E296-$G296)=SIGN(Z296-AB296),MIN($E296,$G296)=MIN(Z296,AB296)),Auxiliar!$C$14,IF(SIGN($E296-$G296)=SIGN(Z296-AB296),Auxiliar!$C$15,IF(Z296=AB296,Auxiliar!$C$16,0)))))))</f>
        <v/>
      </c>
      <c r="AE296" s="9">
        <v>4</v>
      </c>
      <c r="AF296" s="10" t="s">
        <v>23</v>
      </c>
      <c r="AG296" s="11">
        <v>1</v>
      </c>
      <c r="AH296" s="60" t="str">
        <f>IF(OR($E296="",$G296=""),"",IF(AND(AE296=$E296,AG296=$G296),Auxiliar!$C$11,IF(AND(SIGN($E296-$G296)=SIGN(AE296-AG296),MAX($E296,$G296)=MAX(AE296,AG296)),Auxiliar!$C$12,IF(ABS($E296-$G296)=ABS(AE296-AG296),Auxiliar!$C$13,IF(AND(SIGN($E296-$G296)=SIGN(AE296-AG296),MIN($E296,$G296)=MIN(AE296,AG296)),Auxiliar!$C$14,IF(SIGN($E296-$G296)=SIGN(AE296-AG296),Auxiliar!$C$15,IF(AE296=AG296,Auxiliar!$C$16,0)))))))</f>
        <v/>
      </c>
    </row>
    <row r="297" spans="3:34" x14ac:dyDescent="0.25">
      <c r="C297" s="24">
        <f t="shared" si="4"/>
        <v>28</v>
      </c>
      <c r="D297" s="18"/>
      <c r="E297" s="13"/>
      <c r="F297" s="12" t="s">
        <v>23</v>
      </c>
      <c r="G297" s="13"/>
      <c r="H297" s="14"/>
      <c r="K297" s="9">
        <v>5</v>
      </c>
      <c r="L297" s="10" t="s">
        <v>23</v>
      </c>
      <c r="M297" s="11">
        <v>2</v>
      </c>
      <c r="N297" s="60" t="str">
        <f>IF(OR($E297="",$G297=""),"",IF(AND(K297=$E297,M297=$G297),Auxiliar!$C$11,IF(AND(SIGN($E297-$G297)=SIGN(K297-M297),MAX($E297,$G297)=MAX(K297,M297)),Auxiliar!$C$12,IF(ABS($E297-$G297)=ABS(K297-M297),Auxiliar!$C$13,IF(AND(SIGN($E297-$G297)=SIGN(K297-M297),MIN($E297,$G297)=MIN(K297,M297)),Auxiliar!$C$14,IF(SIGN($E297-$G297)=SIGN(K297-M297),Auxiliar!$C$15,IF(K297=M297,Auxiliar!$C$16,0)))))))</f>
        <v/>
      </c>
      <c r="P297" s="9">
        <v>2</v>
      </c>
      <c r="Q297" s="10" t="s">
        <v>23</v>
      </c>
      <c r="R297" s="11">
        <v>5</v>
      </c>
      <c r="S297" s="60" t="str">
        <f>IF(OR($E297="",$G297=""),"",IF(AND(P297=$E297,R297=$G297),Auxiliar!$C$11,IF(AND(SIGN($E297-$G297)=SIGN(P297-R297),MAX($E297,$G297)=MAX(P297,R297)),Auxiliar!$C$12,IF(ABS($E297-$G297)=ABS(P297-R297),Auxiliar!$C$13,IF(AND(SIGN($E297-$G297)=SIGN(P297-R297),MIN($E297,$G297)=MIN(P297,R297)),Auxiliar!$C$14,IF(SIGN($E297-$G297)=SIGN(P297-R297),Auxiliar!$C$15,IF(P297=R297,Auxiliar!$C$16,0)))))))</f>
        <v/>
      </c>
      <c r="U297" s="9">
        <v>0</v>
      </c>
      <c r="V297" s="10" t="s">
        <v>23</v>
      </c>
      <c r="W297" s="11">
        <v>1</v>
      </c>
      <c r="X297" s="60" t="str">
        <f>IF(OR($E297="",$G297=""),"",IF(AND(U297=$E297,W297=$G297),Auxiliar!$C$11,IF(AND(SIGN($E297-$G297)=SIGN(U297-W297),MAX($E297,$G297)=MAX(U297,W297)),Auxiliar!$C$12,IF(ABS($E297-$G297)=ABS(U297-W297),Auxiliar!$C$13,IF(AND(SIGN($E297-$G297)=SIGN(U297-W297),MIN($E297,$G297)=MIN(U297,W297)),Auxiliar!$C$14,IF(SIGN($E297-$G297)=SIGN(U297-W297),Auxiliar!$C$15,IF(U297=W297,Auxiliar!$C$16,0)))))))</f>
        <v/>
      </c>
      <c r="Z297" s="9">
        <v>2</v>
      </c>
      <c r="AA297" s="10" t="s">
        <v>23</v>
      </c>
      <c r="AB297" s="11">
        <v>1</v>
      </c>
      <c r="AC297" s="60" t="str">
        <f>IF(OR($E297="",$G297=""),"",IF(AND(Z297=$E297,AB297=$G297),Auxiliar!$C$11,IF(AND(SIGN($E297-$G297)=SIGN(Z297-AB297),MAX($E297,$G297)=MAX(Z297,AB297)),Auxiliar!$C$12,IF(ABS($E297-$G297)=ABS(Z297-AB297),Auxiliar!$C$13,IF(AND(SIGN($E297-$G297)=SIGN(Z297-AB297),MIN($E297,$G297)=MIN(Z297,AB297)),Auxiliar!$C$14,IF(SIGN($E297-$G297)=SIGN(Z297-AB297),Auxiliar!$C$15,IF(Z297=AB297,Auxiliar!$C$16,0)))))))</f>
        <v/>
      </c>
      <c r="AE297" s="9">
        <v>3</v>
      </c>
      <c r="AF297" s="10" t="s">
        <v>23</v>
      </c>
      <c r="AG297" s="11">
        <v>4</v>
      </c>
      <c r="AH297" s="60" t="str">
        <f>IF(OR($E297="",$G297=""),"",IF(AND(AE297=$E297,AG297=$G297),Auxiliar!$C$11,IF(AND(SIGN($E297-$G297)=SIGN(AE297-AG297),MAX($E297,$G297)=MAX(AE297,AG297)),Auxiliar!$C$12,IF(ABS($E297-$G297)=ABS(AE297-AG297),Auxiliar!$C$13,IF(AND(SIGN($E297-$G297)=SIGN(AE297-AG297),MIN($E297,$G297)=MIN(AE297,AG297)),Auxiliar!$C$14,IF(SIGN($E297-$G297)=SIGN(AE297-AG297),Auxiliar!$C$15,IF(AE297=AG297,Auxiliar!$C$16,0)))))))</f>
        <v/>
      </c>
    </row>
    <row r="298" spans="3:34" x14ac:dyDescent="0.25">
      <c r="C298" s="24">
        <f t="shared" si="4"/>
        <v>28</v>
      </c>
      <c r="D298" s="18"/>
      <c r="E298" s="13"/>
      <c r="F298" s="12" t="s">
        <v>23</v>
      </c>
      <c r="G298" s="13"/>
      <c r="H298" s="14"/>
      <c r="K298" s="9">
        <v>3</v>
      </c>
      <c r="L298" s="10" t="s">
        <v>23</v>
      </c>
      <c r="M298" s="11">
        <v>1</v>
      </c>
      <c r="N298" s="60" t="str">
        <f>IF(OR($E298="",$G298=""),"",IF(AND(K298=$E298,M298=$G298),Auxiliar!$C$11,IF(AND(SIGN($E298-$G298)=SIGN(K298-M298),MAX($E298,$G298)=MAX(K298,M298)),Auxiliar!$C$12,IF(ABS($E298-$G298)=ABS(K298-M298),Auxiliar!$C$13,IF(AND(SIGN($E298-$G298)=SIGN(K298-M298),MIN($E298,$G298)=MIN(K298,M298)),Auxiliar!$C$14,IF(SIGN($E298-$G298)=SIGN(K298-M298),Auxiliar!$C$15,IF(K298=M298,Auxiliar!$C$16,0)))))))</f>
        <v/>
      </c>
      <c r="P298" s="9">
        <v>0</v>
      </c>
      <c r="Q298" s="10" t="s">
        <v>23</v>
      </c>
      <c r="R298" s="11">
        <v>4</v>
      </c>
      <c r="S298" s="60" t="str">
        <f>IF(OR($E298="",$G298=""),"",IF(AND(P298=$E298,R298=$G298),Auxiliar!$C$11,IF(AND(SIGN($E298-$G298)=SIGN(P298-R298),MAX($E298,$G298)=MAX(P298,R298)),Auxiliar!$C$12,IF(ABS($E298-$G298)=ABS(P298-R298),Auxiliar!$C$13,IF(AND(SIGN($E298-$G298)=SIGN(P298-R298),MIN($E298,$G298)=MIN(P298,R298)),Auxiliar!$C$14,IF(SIGN($E298-$G298)=SIGN(P298-R298),Auxiliar!$C$15,IF(P298=R298,Auxiliar!$C$16,0)))))))</f>
        <v/>
      </c>
      <c r="U298" s="9">
        <v>1</v>
      </c>
      <c r="V298" s="10" t="s">
        <v>23</v>
      </c>
      <c r="W298" s="11">
        <v>0</v>
      </c>
      <c r="X298" s="60" t="str">
        <f>IF(OR($E298="",$G298=""),"",IF(AND(U298=$E298,W298=$G298),Auxiliar!$C$11,IF(AND(SIGN($E298-$G298)=SIGN(U298-W298),MAX($E298,$G298)=MAX(U298,W298)),Auxiliar!$C$12,IF(ABS($E298-$G298)=ABS(U298-W298),Auxiliar!$C$13,IF(AND(SIGN($E298-$G298)=SIGN(U298-W298),MIN($E298,$G298)=MIN(U298,W298)),Auxiliar!$C$14,IF(SIGN($E298-$G298)=SIGN(U298-W298),Auxiliar!$C$15,IF(U298=W298,Auxiliar!$C$16,0)))))))</f>
        <v/>
      </c>
      <c r="Z298" s="9">
        <v>3</v>
      </c>
      <c r="AA298" s="10" t="s">
        <v>23</v>
      </c>
      <c r="AB298" s="11">
        <v>3</v>
      </c>
      <c r="AC298" s="60" t="str">
        <f>IF(OR($E298="",$G298=""),"",IF(AND(Z298=$E298,AB298=$G298),Auxiliar!$C$11,IF(AND(SIGN($E298-$G298)=SIGN(Z298-AB298),MAX($E298,$G298)=MAX(Z298,AB298)),Auxiliar!$C$12,IF(ABS($E298-$G298)=ABS(Z298-AB298),Auxiliar!$C$13,IF(AND(SIGN($E298-$G298)=SIGN(Z298-AB298),MIN($E298,$G298)=MIN(Z298,AB298)),Auxiliar!$C$14,IF(SIGN($E298-$G298)=SIGN(Z298-AB298),Auxiliar!$C$15,IF(Z298=AB298,Auxiliar!$C$16,0)))))))</f>
        <v/>
      </c>
      <c r="AE298" s="9">
        <v>5</v>
      </c>
      <c r="AF298" s="10" t="s">
        <v>23</v>
      </c>
      <c r="AG298" s="11">
        <v>4</v>
      </c>
      <c r="AH298" s="60" t="str">
        <f>IF(OR($E298="",$G298=""),"",IF(AND(AE298=$E298,AG298=$G298),Auxiliar!$C$11,IF(AND(SIGN($E298-$G298)=SIGN(AE298-AG298),MAX($E298,$G298)=MAX(AE298,AG298)),Auxiliar!$C$12,IF(ABS($E298-$G298)=ABS(AE298-AG298),Auxiliar!$C$13,IF(AND(SIGN($E298-$G298)=SIGN(AE298-AG298),MIN($E298,$G298)=MIN(AE298,AG298)),Auxiliar!$C$14,IF(SIGN($E298-$G298)=SIGN(AE298-AG298),Auxiliar!$C$15,IF(AE298=AG298,Auxiliar!$C$16,0)))))))</f>
        <v/>
      </c>
    </row>
    <row r="299" spans="3:34" x14ac:dyDescent="0.25">
      <c r="C299" s="24">
        <f t="shared" si="4"/>
        <v>29</v>
      </c>
      <c r="D299" s="18"/>
      <c r="E299" s="13"/>
      <c r="F299" s="12" t="s">
        <v>23</v>
      </c>
      <c r="G299" s="13"/>
      <c r="H299" s="14"/>
      <c r="K299" s="9">
        <v>2</v>
      </c>
      <c r="L299" s="10" t="s">
        <v>23</v>
      </c>
      <c r="M299" s="11">
        <v>1</v>
      </c>
      <c r="N299" s="60" t="str">
        <f>IF(OR($E299="",$G299=""),"",IF(AND(K299=$E299,M299=$G299),Auxiliar!$C$11,IF(AND(SIGN($E299-$G299)=SIGN(K299-M299),MAX($E299,$G299)=MAX(K299,M299)),Auxiliar!$C$12,IF(ABS($E299-$G299)=ABS(K299-M299),Auxiliar!$C$13,IF(AND(SIGN($E299-$G299)=SIGN(K299-M299),MIN($E299,$G299)=MIN(K299,M299)),Auxiliar!$C$14,IF(SIGN($E299-$G299)=SIGN(K299-M299),Auxiliar!$C$15,IF(K299=M299,Auxiliar!$C$16,0)))))))</f>
        <v/>
      </c>
      <c r="P299" s="9">
        <v>4</v>
      </c>
      <c r="Q299" s="10" t="s">
        <v>23</v>
      </c>
      <c r="R299" s="11">
        <v>2</v>
      </c>
      <c r="S299" s="60" t="str">
        <f>IF(OR($E299="",$G299=""),"",IF(AND(P299=$E299,R299=$G299),Auxiliar!$C$11,IF(AND(SIGN($E299-$G299)=SIGN(P299-R299),MAX($E299,$G299)=MAX(P299,R299)),Auxiliar!$C$12,IF(ABS($E299-$G299)=ABS(P299-R299),Auxiliar!$C$13,IF(AND(SIGN($E299-$G299)=SIGN(P299-R299),MIN($E299,$G299)=MIN(P299,R299)),Auxiliar!$C$14,IF(SIGN($E299-$G299)=SIGN(P299-R299),Auxiliar!$C$15,IF(P299=R299,Auxiliar!$C$16,0)))))))</f>
        <v/>
      </c>
      <c r="U299" s="9">
        <v>0</v>
      </c>
      <c r="V299" s="10" t="s">
        <v>23</v>
      </c>
      <c r="W299" s="11">
        <v>4</v>
      </c>
      <c r="X299" s="60" t="str">
        <f>IF(OR($E299="",$G299=""),"",IF(AND(U299=$E299,W299=$G299),Auxiliar!$C$11,IF(AND(SIGN($E299-$G299)=SIGN(U299-W299),MAX($E299,$G299)=MAX(U299,W299)),Auxiliar!$C$12,IF(ABS($E299-$G299)=ABS(U299-W299),Auxiliar!$C$13,IF(AND(SIGN($E299-$G299)=SIGN(U299-W299),MIN($E299,$G299)=MIN(U299,W299)),Auxiliar!$C$14,IF(SIGN($E299-$G299)=SIGN(U299-W299),Auxiliar!$C$15,IF(U299=W299,Auxiliar!$C$16,0)))))))</f>
        <v/>
      </c>
      <c r="Z299" s="9">
        <v>5</v>
      </c>
      <c r="AA299" s="10" t="s">
        <v>23</v>
      </c>
      <c r="AB299" s="11">
        <v>2</v>
      </c>
      <c r="AC299" s="60" t="str">
        <f>IF(OR($E299="",$G299=""),"",IF(AND(Z299=$E299,AB299=$G299),Auxiliar!$C$11,IF(AND(SIGN($E299-$G299)=SIGN(Z299-AB299),MAX($E299,$G299)=MAX(Z299,AB299)),Auxiliar!$C$12,IF(ABS($E299-$G299)=ABS(Z299-AB299),Auxiliar!$C$13,IF(AND(SIGN($E299-$G299)=SIGN(Z299-AB299),MIN($E299,$G299)=MIN(Z299,AB299)),Auxiliar!$C$14,IF(SIGN($E299-$G299)=SIGN(Z299-AB299),Auxiliar!$C$15,IF(Z299=AB299,Auxiliar!$C$16,0)))))))</f>
        <v/>
      </c>
      <c r="AE299" s="9">
        <v>3</v>
      </c>
      <c r="AF299" s="10" t="s">
        <v>23</v>
      </c>
      <c r="AG299" s="11">
        <v>5</v>
      </c>
      <c r="AH299" s="60" t="str">
        <f>IF(OR($E299="",$G299=""),"",IF(AND(AE299=$E299,AG299=$G299),Auxiliar!$C$11,IF(AND(SIGN($E299-$G299)=SIGN(AE299-AG299),MAX($E299,$G299)=MAX(AE299,AG299)),Auxiliar!$C$12,IF(ABS($E299-$G299)=ABS(AE299-AG299),Auxiliar!$C$13,IF(AND(SIGN($E299-$G299)=SIGN(AE299-AG299),MIN($E299,$G299)=MIN(AE299,AG299)),Auxiliar!$C$14,IF(SIGN($E299-$G299)=SIGN(AE299-AG299),Auxiliar!$C$15,IF(AE299=AG299,Auxiliar!$C$16,0)))))))</f>
        <v/>
      </c>
    </row>
    <row r="300" spans="3:34" x14ac:dyDescent="0.25">
      <c r="C300" s="24">
        <f t="shared" si="4"/>
        <v>29</v>
      </c>
      <c r="D300" s="18"/>
      <c r="E300" s="13"/>
      <c r="F300" s="12" t="s">
        <v>23</v>
      </c>
      <c r="G300" s="13"/>
      <c r="H300" s="14"/>
      <c r="K300" s="9">
        <v>2</v>
      </c>
      <c r="L300" s="10" t="s">
        <v>23</v>
      </c>
      <c r="M300" s="11">
        <v>5</v>
      </c>
      <c r="N300" s="60" t="str">
        <f>IF(OR($E300="",$G300=""),"",IF(AND(K300=$E300,M300=$G300),Auxiliar!$C$11,IF(AND(SIGN($E300-$G300)=SIGN(K300-M300),MAX($E300,$G300)=MAX(K300,M300)),Auxiliar!$C$12,IF(ABS($E300-$G300)=ABS(K300-M300),Auxiliar!$C$13,IF(AND(SIGN($E300-$G300)=SIGN(K300-M300),MIN($E300,$G300)=MIN(K300,M300)),Auxiliar!$C$14,IF(SIGN($E300-$G300)=SIGN(K300-M300),Auxiliar!$C$15,IF(K300=M300,Auxiliar!$C$16,0)))))))</f>
        <v/>
      </c>
      <c r="P300" s="9">
        <v>0</v>
      </c>
      <c r="Q300" s="10" t="s">
        <v>23</v>
      </c>
      <c r="R300" s="11">
        <v>3</v>
      </c>
      <c r="S300" s="60" t="str">
        <f>IF(OR($E300="",$G300=""),"",IF(AND(P300=$E300,R300=$G300),Auxiliar!$C$11,IF(AND(SIGN($E300-$G300)=SIGN(P300-R300),MAX($E300,$G300)=MAX(P300,R300)),Auxiliar!$C$12,IF(ABS($E300-$G300)=ABS(P300-R300),Auxiliar!$C$13,IF(AND(SIGN($E300-$G300)=SIGN(P300-R300),MIN($E300,$G300)=MIN(P300,R300)),Auxiliar!$C$14,IF(SIGN($E300-$G300)=SIGN(P300-R300),Auxiliar!$C$15,IF(P300=R300,Auxiliar!$C$16,0)))))))</f>
        <v/>
      </c>
      <c r="U300" s="9">
        <v>0</v>
      </c>
      <c r="V300" s="10" t="s">
        <v>23</v>
      </c>
      <c r="W300" s="11">
        <v>3</v>
      </c>
      <c r="X300" s="60" t="str">
        <f>IF(OR($E300="",$G300=""),"",IF(AND(U300=$E300,W300=$G300),Auxiliar!$C$11,IF(AND(SIGN($E300-$G300)=SIGN(U300-W300),MAX($E300,$G300)=MAX(U300,W300)),Auxiliar!$C$12,IF(ABS($E300-$G300)=ABS(U300-W300),Auxiliar!$C$13,IF(AND(SIGN($E300-$G300)=SIGN(U300-W300),MIN($E300,$G300)=MIN(U300,W300)),Auxiliar!$C$14,IF(SIGN($E300-$G300)=SIGN(U300-W300),Auxiliar!$C$15,IF(U300=W300,Auxiliar!$C$16,0)))))))</f>
        <v/>
      </c>
      <c r="Z300" s="9">
        <v>0</v>
      </c>
      <c r="AA300" s="10" t="s">
        <v>23</v>
      </c>
      <c r="AB300" s="11">
        <v>1</v>
      </c>
      <c r="AC300" s="60" t="str">
        <f>IF(OR($E300="",$G300=""),"",IF(AND(Z300=$E300,AB300=$G300),Auxiliar!$C$11,IF(AND(SIGN($E300-$G300)=SIGN(Z300-AB300),MAX($E300,$G300)=MAX(Z300,AB300)),Auxiliar!$C$12,IF(ABS($E300-$G300)=ABS(Z300-AB300),Auxiliar!$C$13,IF(AND(SIGN($E300-$G300)=SIGN(Z300-AB300),MIN($E300,$G300)=MIN(Z300,AB300)),Auxiliar!$C$14,IF(SIGN($E300-$G300)=SIGN(Z300-AB300),Auxiliar!$C$15,IF(Z300=AB300,Auxiliar!$C$16,0)))))))</f>
        <v/>
      </c>
      <c r="AE300" s="9">
        <v>1</v>
      </c>
      <c r="AF300" s="10" t="s">
        <v>23</v>
      </c>
      <c r="AG300" s="11">
        <v>2</v>
      </c>
      <c r="AH300" s="60" t="str">
        <f>IF(OR($E300="",$G300=""),"",IF(AND(AE300=$E300,AG300=$G300),Auxiliar!$C$11,IF(AND(SIGN($E300-$G300)=SIGN(AE300-AG300),MAX($E300,$G300)=MAX(AE300,AG300)),Auxiliar!$C$12,IF(ABS($E300-$G300)=ABS(AE300-AG300),Auxiliar!$C$13,IF(AND(SIGN($E300-$G300)=SIGN(AE300-AG300),MIN($E300,$G300)=MIN(AE300,AG300)),Auxiliar!$C$14,IF(SIGN($E300-$G300)=SIGN(AE300-AG300),Auxiliar!$C$15,IF(AE300=AG300,Auxiliar!$C$16,0)))))))</f>
        <v/>
      </c>
    </row>
    <row r="301" spans="3:34" x14ac:dyDescent="0.25">
      <c r="C301" s="24">
        <f t="shared" si="4"/>
        <v>29</v>
      </c>
      <c r="D301" s="18"/>
      <c r="E301" s="13"/>
      <c r="F301" s="12" t="s">
        <v>23</v>
      </c>
      <c r="G301" s="13"/>
      <c r="H301" s="14"/>
      <c r="K301" s="9">
        <v>0</v>
      </c>
      <c r="L301" s="10" t="s">
        <v>23</v>
      </c>
      <c r="M301" s="11">
        <v>1</v>
      </c>
      <c r="N301" s="60" t="str">
        <f>IF(OR($E301="",$G301=""),"",IF(AND(K301=$E301,M301=$G301),Auxiliar!$C$11,IF(AND(SIGN($E301-$G301)=SIGN(K301-M301),MAX($E301,$G301)=MAX(K301,M301)),Auxiliar!$C$12,IF(ABS($E301-$G301)=ABS(K301-M301),Auxiliar!$C$13,IF(AND(SIGN($E301-$G301)=SIGN(K301-M301),MIN($E301,$G301)=MIN(K301,M301)),Auxiliar!$C$14,IF(SIGN($E301-$G301)=SIGN(K301-M301),Auxiliar!$C$15,IF(K301=M301,Auxiliar!$C$16,0)))))))</f>
        <v/>
      </c>
      <c r="P301" s="9">
        <v>4</v>
      </c>
      <c r="Q301" s="10" t="s">
        <v>23</v>
      </c>
      <c r="R301" s="11">
        <v>3</v>
      </c>
      <c r="S301" s="60" t="str">
        <f>IF(OR($E301="",$G301=""),"",IF(AND(P301=$E301,R301=$G301),Auxiliar!$C$11,IF(AND(SIGN($E301-$G301)=SIGN(P301-R301),MAX($E301,$G301)=MAX(P301,R301)),Auxiliar!$C$12,IF(ABS($E301-$G301)=ABS(P301-R301),Auxiliar!$C$13,IF(AND(SIGN($E301-$G301)=SIGN(P301-R301),MIN($E301,$G301)=MIN(P301,R301)),Auxiliar!$C$14,IF(SIGN($E301-$G301)=SIGN(P301-R301),Auxiliar!$C$15,IF(P301=R301,Auxiliar!$C$16,0)))))))</f>
        <v/>
      </c>
      <c r="U301" s="9">
        <v>4</v>
      </c>
      <c r="V301" s="10" t="s">
        <v>23</v>
      </c>
      <c r="W301" s="11">
        <v>0</v>
      </c>
      <c r="X301" s="60" t="str">
        <f>IF(OR($E301="",$G301=""),"",IF(AND(U301=$E301,W301=$G301),Auxiliar!$C$11,IF(AND(SIGN($E301-$G301)=SIGN(U301-W301),MAX($E301,$G301)=MAX(U301,W301)),Auxiliar!$C$12,IF(ABS($E301-$G301)=ABS(U301-W301),Auxiliar!$C$13,IF(AND(SIGN($E301-$G301)=SIGN(U301-W301),MIN($E301,$G301)=MIN(U301,W301)),Auxiliar!$C$14,IF(SIGN($E301-$G301)=SIGN(U301-W301),Auxiliar!$C$15,IF(U301=W301,Auxiliar!$C$16,0)))))))</f>
        <v/>
      </c>
      <c r="Z301" s="9">
        <v>2</v>
      </c>
      <c r="AA301" s="10" t="s">
        <v>23</v>
      </c>
      <c r="AB301" s="11">
        <v>0</v>
      </c>
      <c r="AC301" s="60" t="str">
        <f>IF(OR($E301="",$G301=""),"",IF(AND(Z301=$E301,AB301=$G301),Auxiliar!$C$11,IF(AND(SIGN($E301-$G301)=SIGN(Z301-AB301),MAX($E301,$G301)=MAX(Z301,AB301)),Auxiliar!$C$12,IF(ABS($E301-$G301)=ABS(Z301-AB301),Auxiliar!$C$13,IF(AND(SIGN($E301-$G301)=SIGN(Z301-AB301),MIN($E301,$G301)=MIN(Z301,AB301)),Auxiliar!$C$14,IF(SIGN($E301-$G301)=SIGN(Z301-AB301),Auxiliar!$C$15,IF(Z301=AB301,Auxiliar!$C$16,0)))))))</f>
        <v/>
      </c>
      <c r="AE301" s="9">
        <v>1</v>
      </c>
      <c r="AF301" s="10" t="s">
        <v>23</v>
      </c>
      <c r="AG301" s="11">
        <v>5</v>
      </c>
      <c r="AH301" s="60" t="str">
        <f>IF(OR($E301="",$G301=""),"",IF(AND(AE301=$E301,AG301=$G301),Auxiliar!$C$11,IF(AND(SIGN($E301-$G301)=SIGN(AE301-AG301),MAX($E301,$G301)=MAX(AE301,AG301)),Auxiliar!$C$12,IF(ABS($E301-$G301)=ABS(AE301-AG301),Auxiliar!$C$13,IF(AND(SIGN($E301-$G301)=SIGN(AE301-AG301),MIN($E301,$G301)=MIN(AE301,AG301)),Auxiliar!$C$14,IF(SIGN($E301-$G301)=SIGN(AE301-AG301),Auxiliar!$C$15,IF(AE301=AG301,Auxiliar!$C$16,0)))))))</f>
        <v/>
      </c>
    </row>
    <row r="302" spans="3:34" x14ac:dyDescent="0.25">
      <c r="C302" s="24">
        <f t="shared" si="4"/>
        <v>29</v>
      </c>
      <c r="D302" s="18"/>
      <c r="E302" s="13"/>
      <c r="F302" s="12" t="s">
        <v>23</v>
      </c>
      <c r="G302" s="13"/>
      <c r="H302" s="14"/>
      <c r="K302" s="9">
        <v>1</v>
      </c>
      <c r="L302" s="10" t="s">
        <v>23</v>
      </c>
      <c r="M302" s="11">
        <v>0</v>
      </c>
      <c r="N302" s="60" t="str">
        <f>IF(OR($E302="",$G302=""),"",IF(AND(K302=$E302,M302=$G302),Auxiliar!$C$11,IF(AND(SIGN($E302-$G302)=SIGN(K302-M302),MAX($E302,$G302)=MAX(K302,M302)),Auxiliar!$C$12,IF(ABS($E302-$G302)=ABS(K302-M302),Auxiliar!$C$13,IF(AND(SIGN($E302-$G302)=SIGN(K302-M302),MIN($E302,$G302)=MIN(K302,M302)),Auxiliar!$C$14,IF(SIGN($E302-$G302)=SIGN(K302-M302),Auxiliar!$C$15,IF(K302=M302,Auxiliar!$C$16,0)))))))</f>
        <v/>
      </c>
      <c r="P302" s="9">
        <v>4</v>
      </c>
      <c r="Q302" s="10" t="s">
        <v>23</v>
      </c>
      <c r="R302" s="11">
        <v>5</v>
      </c>
      <c r="S302" s="60" t="str">
        <f>IF(OR($E302="",$G302=""),"",IF(AND(P302=$E302,R302=$G302),Auxiliar!$C$11,IF(AND(SIGN($E302-$G302)=SIGN(P302-R302),MAX($E302,$G302)=MAX(P302,R302)),Auxiliar!$C$12,IF(ABS($E302-$G302)=ABS(P302-R302),Auxiliar!$C$13,IF(AND(SIGN($E302-$G302)=SIGN(P302-R302),MIN($E302,$G302)=MIN(P302,R302)),Auxiliar!$C$14,IF(SIGN($E302-$G302)=SIGN(P302-R302),Auxiliar!$C$15,IF(P302=R302,Auxiliar!$C$16,0)))))))</f>
        <v/>
      </c>
      <c r="U302" s="9">
        <v>0</v>
      </c>
      <c r="V302" s="10" t="s">
        <v>23</v>
      </c>
      <c r="W302" s="11">
        <v>0</v>
      </c>
      <c r="X302" s="60" t="str">
        <f>IF(OR($E302="",$G302=""),"",IF(AND(U302=$E302,W302=$G302),Auxiliar!$C$11,IF(AND(SIGN($E302-$G302)=SIGN(U302-W302),MAX($E302,$G302)=MAX(U302,W302)),Auxiliar!$C$12,IF(ABS($E302-$G302)=ABS(U302-W302),Auxiliar!$C$13,IF(AND(SIGN($E302-$G302)=SIGN(U302-W302),MIN($E302,$G302)=MIN(U302,W302)),Auxiliar!$C$14,IF(SIGN($E302-$G302)=SIGN(U302-W302),Auxiliar!$C$15,IF(U302=W302,Auxiliar!$C$16,0)))))))</f>
        <v/>
      </c>
      <c r="Z302" s="9">
        <v>5</v>
      </c>
      <c r="AA302" s="10" t="s">
        <v>23</v>
      </c>
      <c r="AB302" s="11">
        <v>1</v>
      </c>
      <c r="AC302" s="60" t="str">
        <f>IF(OR($E302="",$G302=""),"",IF(AND(Z302=$E302,AB302=$G302),Auxiliar!$C$11,IF(AND(SIGN($E302-$G302)=SIGN(Z302-AB302),MAX($E302,$G302)=MAX(Z302,AB302)),Auxiliar!$C$12,IF(ABS($E302-$G302)=ABS(Z302-AB302),Auxiliar!$C$13,IF(AND(SIGN($E302-$G302)=SIGN(Z302-AB302),MIN($E302,$G302)=MIN(Z302,AB302)),Auxiliar!$C$14,IF(SIGN($E302-$G302)=SIGN(Z302-AB302),Auxiliar!$C$15,IF(Z302=AB302,Auxiliar!$C$16,0)))))))</f>
        <v/>
      </c>
      <c r="AE302" s="9">
        <v>5</v>
      </c>
      <c r="AF302" s="10" t="s">
        <v>23</v>
      </c>
      <c r="AG302" s="11">
        <v>2</v>
      </c>
      <c r="AH302" s="60" t="str">
        <f>IF(OR($E302="",$G302=""),"",IF(AND(AE302=$E302,AG302=$G302),Auxiliar!$C$11,IF(AND(SIGN($E302-$G302)=SIGN(AE302-AG302),MAX($E302,$G302)=MAX(AE302,AG302)),Auxiliar!$C$12,IF(ABS($E302-$G302)=ABS(AE302-AG302),Auxiliar!$C$13,IF(AND(SIGN($E302-$G302)=SIGN(AE302-AG302),MIN($E302,$G302)=MIN(AE302,AG302)),Auxiliar!$C$14,IF(SIGN($E302-$G302)=SIGN(AE302-AG302),Auxiliar!$C$15,IF(AE302=AG302,Auxiliar!$C$16,0)))))))</f>
        <v/>
      </c>
    </row>
    <row r="303" spans="3:34" x14ac:dyDescent="0.25">
      <c r="C303" s="24">
        <f t="shared" si="4"/>
        <v>29</v>
      </c>
      <c r="D303" s="18"/>
      <c r="E303" s="13"/>
      <c r="F303" s="12" t="s">
        <v>23</v>
      </c>
      <c r="G303" s="13"/>
      <c r="H303" s="14"/>
      <c r="K303" s="9">
        <v>5</v>
      </c>
      <c r="L303" s="10" t="s">
        <v>23</v>
      </c>
      <c r="M303" s="11">
        <v>4</v>
      </c>
      <c r="N303" s="60" t="str">
        <f>IF(OR($E303="",$G303=""),"",IF(AND(K303=$E303,M303=$G303),Auxiliar!$C$11,IF(AND(SIGN($E303-$G303)=SIGN(K303-M303),MAX($E303,$G303)=MAX(K303,M303)),Auxiliar!$C$12,IF(ABS($E303-$G303)=ABS(K303-M303),Auxiliar!$C$13,IF(AND(SIGN($E303-$G303)=SIGN(K303-M303),MIN($E303,$G303)=MIN(K303,M303)),Auxiliar!$C$14,IF(SIGN($E303-$G303)=SIGN(K303-M303),Auxiliar!$C$15,IF(K303=M303,Auxiliar!$C$16,0)))))))</f>
        <v/>
      </c>
      <c r="P303" s="9">
        <v>4</v>
      </c>
      <c r="Q303" s="10" t="s">
        <v>23</v>
      </c>
      <c r="R303" s="11">
        <v>2</v>
      </c>
      <c r="S303" s="60" t="str">
        <f>IF(OR($E303="",$G303=""),"",IF(AND(P303=$E303,R303=$G303),Auxiliar!$C$11,IF(AND(SIGN($E303-$G303)=SIGN(P303-R303),MAX($E303,$G303)=MAX(P303,R303)),Auxiliar!$C$12,IF(ABS($E303-$G303)=ABS(P303-R303),Auxiliar!$C$13,IF(AND(SIGN($E303-$G303)=SIGN(P303-R303),MIN($E303,$G303)=MIN(P303,R303)),Auxiliar!$C$14,IF(SIGN($E303-$G303)=SIGN(P303-R303),Auxiliar!$C$15,IF(P303=R303,Auxiliar!$C$16,0)))))))</f>
        <v/>
      </c>
      <c r="U303" s="9">
        <v>5</v>
      </c>
      <c r="V303" s="10" t="s">
        <v>23</v>
      </c>
      <c r="W303" s="11">
        <v>5</v>
      </c>
      <c r="X303" s="60" t="str">
        <f>IF(OR($E303="",$G303=""),"",IF(AND(U303=$E303,W303=$G303),Auxiliar!$C$11,IF(AND(SIGN($E303-$G303)=SIGN(U303-W303),MAX($E303,$G303)=MAX(U303,W303)),Auxiliar!$C$12,IF(ABS($E303-$G303)=ABS(U303-W303),Auxiliar!$C$13,IF(AND(SIGN($E303-$G303)=SIGN(U303-W303),MIN($E303,$G303)=MIN(U303,W303)),Auxiliar!$C$14,IF(SIGN($E303-$G303)=SIGN(U303-W303),Auxiliar!$C$15,IF(U303=W303,Auxiliar!$C$16,0)))))))</f>
        <v/>
      </c>
      <c r="Z303" s="9">
        <v>1</v>
      </c>
      <c r="AA303" s="10" t="s">
        <v>23</v>
      </c>
      <c r="AB303" s="11">
        <v>3</v>
      </c>
      <c r="AC303" s="60" t="str">
        <f>IF(OR($E303="",$G303=""),"",IF(AND(Z303=$E303,AB303=$G303),Auxiliar!$C$11,IF(AND(SIGN($E303-$G303)=SIGN(Z303-AB303),MAX($E303,$G303)=MAX(Z303,AB303)),Auxiliar!$C$12,IF(ABS($E303-$G303)=ABS(Z303-AB303),Auxiliar!$C$13,IF(AND(SIGN($E303-$G303)=SIGN(Z303-AB303),MIN($E303,$G303)=MIN(Z303,AB303)),Auxiliar!$C$14,IF(SIGN($E303-$G303)=SIGN(Z303-AB303),Auxiliar!$C$15,IF(Z303=AB303,Auxiliar!$C$16,0)))))))</f>
        <v/>
      </c>
      <c r="AE303" s="9">
        <v>3</v>
      </c>
      <c r="AF303" s="10" t="s">
        <v>23</v>
      </c>
      <c r="AG303" s="11">
        <v>4</v>
      </c>
      <c r="AH303" s="60" t="str">
        <f>IF(OR($E303="",$G303=""),"",IF(AND(AE303=$E303,AG303=$G303),Auxiliar!$C$11,IF(AND(SIGN($E303-$G303)=SIGN(AE303-AG303),MAX($E303,$G303)=MAX(AE303,AG303)),Auxiliar!$C$12,IF(ABS($E303-$G303)=ABS(AE303-AG303),Auxiliar!$C$13,IF(AND(SIGN($E303-$G303)=SIGN(AE303-AG303),MIN($E303,$G303)=MIN(AE303,AG303)),Auxiliar!$C$14,IF(SIGN($E303-$G303)=SIGN(AE303-AG303),Auxiliar!$C$15,IF(AE303=AG303,Auxiliar!$C$16,0)))))))</f>
        <v/>
      </c>
    </row>
    <row r="304" spans="3:34" x14ac:dyDescent="0.25">
      <c r="C304" s="24">
        <f t="shared" si="4"/>
        <v>29</v>
      </c>
      <c r="D304" s="18"/>
      <c r="E304" s="13"/>
      <c r="F304" s="12" t="s">
        <v>23</v>
      </c>
      <c r="G304" s="13"/>
      <c r="H304" s="14"/>
      <c r="K304" s="9">
        <v>1</v>
      </c>
      <c r="L304" s="10" t="s">
        <v>23</v>
      </c>
      <c r="M304" s="11">
        <v>5</v>
      </c>
      <c r="N304" s="60" t="str">
        <f>IF(OR($E304="",$G304=""),"",IF(AND(K304=$E304,M304=$G304),Auxiliar!$C$11,IF(AND(SIGN($E304-$G304)=SIGN(K304-M304),MAX($E304,$G304)=MAX(K304,M304)),Auxiliar!$C$12,IF(ABS($E304-$G304)=ABS(K304-M304),Auxiliar!$C$13,IF(AND(SIGN($E304-$G304)=SIGN(K304-M304),MIN($E304,$G304)=MIN(K304,M304)),Auxiliar!$C$14,IF(SIGN($E304-$G304)=SIGN(K304-M304),Auxiliar!$C$15,IF(K304=M304,Auxiliar!$C$16,0)))))))</f>
        <v/>
      </c>
      <c r="P304" s="9">
        <v>3</v>
      </c>
      <c r="Q304" s="10" t="s">
        <v>23</v>
      </c>
      <c r="R304" s="11">
        <v>2</v>
      </c>
      <c r="S304" s="60" t="str">
        <f>IF(OR($E304="",$G304=""),"",IF(AND(P304=$E304,R304=$G304),Auxiliar!$C$11,IF(AND(SIGN($E304-$G304)=SIGN(P304-R304),MAX($E304,$G304)=MAX(P304,R304)),Auxiliar!$C$12,IF(ABS($E304-$G304)=ABS(P304-R304),Auxiliar!$C$13,IF(AND(SIGN($E304-$G304)=SIGN(P304-R304),MIN($E304,$G304)=MIN(P304,R304)),Auxiliar!$C$14,IF(SIGN($E304-$G304)=SIGN(P304-R304),Auxiliar!$C$15,IF(P304=R304,Auxiliar!$C$16,0)))))))</f>
        <v/>
      </c>
      <c r="U304" s="9">
        <v>0</v>
      </c>
      <c r="V304" s="10" t="s">
        <v>23</v>
      </c>
      <c r="W304" s="11">
        <v>2</v>
      </c>
      <c r="X304" s="60" t="str">
        <f>IF(OR($E304="",$G304=""),"",IF(AND(U304=$E304,W304=$G304),Auxiliar!$C$11,IF(AND(SIGN($E304-$G304)=SIGN(U304-W304),MAX($E304,$G304)=MAX(U304,W304)),Auxiliar!$C$12,IF(ABS($E304-$G304)=ABS(U304-W304),Auxiliar!$C$13,IF(AND(SIGN($E304-$G304)=SIGN(U304-W304),MIN($E304,$G304)=MIN(U304,W304)),Auxiliar!$C$14,IF(SIGN($E304-$G304)=SIGN(U304-W304),Auxiliar!$C$15,IF(U304=W304,Auxiliar!$C$16,0)))))))</f>
        <v/>
      </c>
      <c r="Z304" s="9">
        <v>4</v>
      </c>
      <c r="AA304" s="10" t="s">
        <v>23</v>
      </c>
      <c r="AB304" s="11">
        <v>0</v>
      </c>
      <c r="AC304" s="60" t="str">
        <f>IF(OR($E304="",$G304=""),"",IF(AND(Z304=$E304,AB304=$G304),Auxiliar!$C$11,IF(AND(SIGN($E304-$G304)=SIGN(Z304-AB304),MAX($E304,$G304)=MAX(Z304,AB304)),Auxiliar!$C$12,IF(ABS($E304-$G304)=ABS(Z304-AB304),Auxiliar!$C$13,IF(AND(SIGN($E304-$G304)=SIGN(Z304-AB304),MIN($E304,$G304)=MIN(Z304,AB304)),Auxiliar!$C$14,IF(SIGN($E304-$G304)=SIGN(Z304-AB304),Auxiliar!$C$15,IF(Z304=AB304,Auxiliar!$C$16,0)))))))</f>
        <v/>
      </c>
      <c r="AE304" s="9">
        <v>2</v>
      </c>
      <c r="AF304" s="10" t="s">
        <v>23</v>
      </c>
      <c r="AG304" s="11">
        <v>3</v>
      </c>
      <c r="AH304" s="60" t="str">
        <f>IF(OR($E304="",$G304=""),"",IF(AND(AE304=$E304,AG304=$G304),Auxiliar!$C$11,IF(AND(SIGN($E304-$G304)=SIGN(AE304-AG304),MAX($E304,$G304)=MAX(AE304,AG304)),Auxiliar!$C$12,IF(ABS($E304-$G304)=ABS(AE304-AG304),Auxiliar!$C$13,IF(AND(SIGN($E304-$G304)=SIGN(AE304-AG304),MIN($E304,$G304)=MIN(AE304,AG304)),Auxiliar!$C$14,IF(SIGN($E304-$G304)=SIGN(AE304-AG304),Auxiliar!$C$15,IF(AE304=AG304,Auxiliar!$C$16,0)))))))</f>
        <v/>
      </c>
    </row>
    <row r="305" spans="3:34" x14ac:dyDescent="0.25">
      <c r="C305" s="24">
        <f t="shared" si="4"/>
        <v>29</v>
      </c>
      <c r="D305" s="18"/>
      <c r="E305" s="13"/>
      <c r="F305" s="12" t="s">
        <v>23</v>
      </c>
      <c r="G305" s="13"/>
      <c r="H305" s="14"/>
      <c r="K305" s="9">
        <v>3</v>
      </c>
      <c r="L305" s="10" t="s">
        <v>23</v>
      </c>
      <c r="M305" s="11">
        <v>2</v>
      </c>
      <c r="N305" s="60" t="str">
        <f>IF(OR($E305="",$G305=""),"",IF(AND(K305=$E305,M305=$G305),Auxiliar!$C$11,IF(AND(SIGN($E305-$G305)=SIGN(K305-M305),MAX($E305,$G305)=MAX(K305,M305)),Auxiliar!$C$12,IF(ABS($E305-$G305)=ABS(K305-M305),Auxiliar!$C$13,IF(AND(SIGN($E305-$G305)=SIGN(K305-M305),MIN($E305,$G305)=MIN(K305,M305)),Auxiliar!$C$14,IF(SIGN($E305-$G305)=SIGN(K305-M305),Auxiliar!$C$15,IF(K305=M305,Auxiliar!$C$16,0)))))))</f>
        <v/>
      </c>
      <c r="P305" s="9">
        <v>1</v>
      </c>
      <c r="Q305" s="10" t="s">
        <v>23</v>
      </c>
      <c r="R305" s="11">
        <v>0</v>
      </c>
      <c r="S305" s="60" t="str">
        <f>IF(OR($E305="",$G305=""),"",IF(AND(P305=$E305,R305=$G305),Auxiliar!$C$11,IF(AND(SIGN($E305-$G305)=SIGN(P305-R305),MAX($E305,$G305)=MAX(P305,R305)),Auxiliar!$C$12,IF(ABS($E305-$G305)=ABS(P305-R305),Auxiliar!$C$13,IF(AND(SIGN($E305-$G305)=SIGN(P305-R305),MIN($E305,$G305)=MIN(P305,R305)),Auxiliar!$C$14,IF(SIGN($E305-$G305)=SIGN(P305-R305),Auxiliar!$C$15,IF(P305=R305,Auxiliar!$C$16,0)))))))</f>
        <v/>
      </c>
      <c r="U305" s="9">
        <v>5</v>
      </c>
      <c r="V305" s="10" t="s">
        <v>23</v>
      </c>
      <c r="W305" s="11">
        <v>1</v>
      </c>
      <c r="X305" s="60" t="str">
        <f>IF(OR($E305="",$G305=""),"",IF(AND(U305=$E305,W305=$G305),Auxiliar!$C$11,IF(AND(SIGN($E305-$G305)=SIGN(U305-W305),MAX($E305,$G305)=MAX(U305,W305)),Auxiliar!$C$12,IF(ABS($E305-$G305)=ABS(U305-W305),Auxiliar!$C$13,IF(AND(SIGN($E305-$G305)=SIGN(U305-W305),MIN($E305,$G305)=MIN(U305,W305)),Auxiliar!$C$14,IF(SIGN($E305-$G305)=SIGN(U305-W305),Auxiliar!$C$15,IF(U305=W305,Auxiliar!$C$16,0)))))))</f>
        <v/>
      </c>
      <c r="Z305" s="9">
        <v>1</v>
      </c>
      <c r="AA305" s="10" t="s">
        <v>23</v>
      </c>
      <c r="AB305" s="11">
        <v>3</v>
      </c>
      <c r="AC305" s="60" t="str">
        <f>IF(OR($E305="",$G305=""),"",IF(AND(Z305=$E305,AB305=$G305),Auxiliar!$C$11,IF(AND(SIGN($E305-$G305)=SIGN(Z305-AB305),MAX($E305,$G305)=MAX(Z305,AB305)),Auxiliar!$C$12,IF(ABS($E305-$G305)=ABS(Z305-AB305),Auxiliar!$C$13,IF(AND(SIGN($E305-$G305)=SIGN(Z305-AB305),MIN($E305,$G305)=MIN(Z305,AB305)),Auxiliar!$C$14,IF(SIGN($E305-$G305)=SIGN(Z305-AB305),Auxiliar!$C$15,IF(Z305=AB305,Auxiliar!$C$16,0)))))))</f>
        <v/>
      </c>
      <c r="AE305" s="9">
        <v>2</v>
      </c>
      <c r="AF305" s="10" t="s">
        <v>23</v>
      </c>
      <c r="AG305" s="11">
        <v>4</v>
      </c>
      <c r="AH305" s="60" t="str">
        <f>IF(OR($E305="",$G305=""),"",IF(AND(AE305=$E305,AG305=$G305),Auxiliar!$C$11,IF(AND(SIGN($E305-$G305)=SIGN(AE305-AG305),MAX($E305,$G305)=MAX(AE305,AG305)),Auxiliar!$C$12,IF(ABS($E305-$G305)=ABS(AE305-AG305),Auxiliar!$C$13,IF(AND(SIGN($E305-$G305)=SIGN(AE305-AG305),MIN($E305,$G305)=MIN(AE305,AG305)),Auxiliar!$C$14,IF(SIGN($E305-$G305)=SIGN(AE305-AG305),Auxiliar!$C$15,IF(AE305=AG305,Auxiliar!$C$16,0)))))))</f>
        <v/>
      </c>
    </row>
    <row r="306" spans="3:34" x14ac:dyDescent="0.25">
      <c r="C306" s="24">
        <f t="shared" si="4"/>
        <v>29</v>
      </c>
      <c r="D306" s="18"/>
      <c r="E306" s="13"/>
      <c r="F306" s="12" t="s">
        <v>23</v>
      </c>
      <c r="G306" s="13"/>
      <c r="H306" s="14"/>
      <c r="K306" s="9">
        <v>4</v>
      </c>
      <c r="L306" s="10" t="s">
        <v>23</v>
      </c>
      <c r="M306" s="11">
        <v>5</v>
      </c>
      <c r="N306" s="60" t="str">
        <f>IF(OR($E306="",$G306=""),"",IF(AND(K306=$E306,M306=$G306),Auxiliar!$C$11,IF(AND(SIGN($E306-$G306)=SIGN(K306-M306),MAX($E306,$G306)=MAX(K306,M306)),Auxiliar!$C$12,IF(ABS($E306-$G306)=ABS(K306-M306),Auxiliar!$C$13,IF(AND(SIGN($E306-$G306)=SIGN(K306-M306),MIN($E306,$G306)=MIN(K306,M306)),Auxiliar!$C$14,IF(SIGN($E306-$G306)=SIGN(K306-M306),Auxiliar!$C$15,IF(K306=M306,Auxiliar!$C$16,0)))))))</f>
        <v/>
      </c>
      <c r="P306" s="9">
        <v>2</v>
      </c>
      <c r="Q306" s="10" t="s">
        <v>23</v>
      </c>
      <c r="R306" s="11">
        <v>2</v>
      </c>
      <c r="S306" s="60" t="str">
        <f>IF(OR($E306="",$G306=""),"",IF(AND(P306=$E306,R306=$G306),Auxiliar!$C$11,IF(AND(SIGN($E306-$G306)=SIGN(P306-R306),MAX($E306,$G306)=MAX(P306,R306)),Auxiliar!$C$12,IF(ABS($E306-$G306)=ABS(P306-R306),Auxiliar!$C$13,IF(AND(SIGN($E306-$G306)=SIGN(P306-R306),MIN($E306,$G306)=MIN(P306,R306)),Auxiliar!$C$14,IF(SIGN($E306-$G306)=SIGN(P306-R306),Auxiliar!$C$15,IF(P306=R306,Auxiliar!$C$16,0)))))))</f>
        <v/>
      </c>
      <c r="U306" s="9">
        <v>1</v>
      </c>
      <c r="V306" s="10" t="s">
        <v>23</v>
      </c>
      <c r="W306" s="11">
        <v>1</v>
      </c>
      <c r="X306" s="60" t="str">
        <f>IF(OR($E306="",$G306=""),"",IF(AND(U306=$E306,W306=$G306),Auxiliar!$C$11,IF(AND(SIGN($E306-$G306)=SIGN(U306-W306),MAX($E306,$G306)=MAX(U306,W306)),Auxiliar!$C$12,IF(ABS($E306-$G306)=ABS(U306-W306),Auxiliar!$C$13,IF(AND(SIGN($E306-$G306)=SIGN(U306-W306),MIN($E306,$G306)=MIN(U306,W306)),Auxiliar!$C$14,IF(SIGN($E306-$G306)=SIGN(U306-W306),Auxiliar!$C$15,IF(U306=W306,Auxiliar!$C$16,0)))))))</f>
        <v/>
      </c>
      <c r="Z306" s="9">
        <v>3</v>
      </c>
      <c r="AA306" s="10" t="s">
        <v>23</v>
      </c>
      <c r="AB306" s="11">
        <v>1</v>
      </c>
      <c r="AC306" s="60" t="str">
        <f>IF(OR($E306="",$G306=""),"",IF(AND(Z306=$E306,AB306=$G306),Auxiliar!$C$11,IF(AND(SIGN($E306-$G306)=SIGN(Z306-AB306),MAX($E306,$G306)=MAX(Z306,AB306)),Auxiliar!$C$12,IF(ABS($E306-$G306)=ABS(Z306-AB306),Auxiliar!$C$13,IF(AND(SIGN($E306-$G306)=SIGN(Z306-AB306),MIN($E306,$G306)=MIN(Z306,AB306)),Auxiliar!$C$14,IF(SIGN($E306-$G306)=SIGN(Z306-AB306),Auxiliar!$C$15,IF(Z306=AB306,Auxiliar!$C$16,0)))))))</f>
        <v/>
      </c>
      <c r="AE306" s="9">
        <v>4</v>
      </c>
      <c r="AF306" s="10" t="s">
        <v>23</v>
      </c>
      <c r="AG306" s="11">
        <v>4</v>
      </c>
      <c r="AH306" s="60" t="str">
        <f>IF(OR($E306="",$G306=""),"",IF(AND(AE306=$E306,AG306=$G306),Auxiliar!$C$11,IF(AND(SIGN($E306-$G306)=SIGN(AE306-AG306),MAX($E306,$G306)=MAX(AE306,AG306)),Auxiliar!$C$12,IF(ABS($E306-$G306)=ABS(AE306-AG306),Auxiliar!$C$13,IF(AND(SIGN($E306-$G306)=SIGN(AE306-AG306),MIN($E306,$G306)=MIN(AE306,AG306)),Auxiliar!$C$14,IF(SIGN($E306-$G306)=SIGN(AE306-AG306),Auxiliar!$C$15,IF(AE306=AG306,Auxiliar!$C$16,0)))))))</f>
        <v/>
      </c>
    </row>
    <row r="307" spans="3:34" x14ac:dyDescent="0.25">
      <c r="C307" s="24">
        <f t="shared" si="4"/>
        <v>29</v>
      </c>
      <c r="D307" s="18"/>
      <c r="E307" s="13"/>
      <c r="F307" s="12" t="s">
        <v>23</v>
      </c>
      <c r="G307" s="13"/>
      <c r="H307" s="14"/>
      <c r="K307" s="9">
        <v>2</v>
      </c>
      <c r="L307" s="10" t="s">
        <v>23</v>
      </c>
      <c r="M307" s="11">
        <v>2</v>
      </c>
      <c r="N307" s="60" t="str">
        <f>IF(OR($E307="",$G307=""),"",IF(AND(K307=$E307,M307=$G307),Auxiliar!$C$11,IF(AND(SIGN($E307-$G307)=SIGN(K307-M307),MAX($E307,$G307)=MAX(K307,M307)),Auxiliar!$C$12,IF(ABS($E307-$G307)=ABS(K307-M307),Auxiliar!$C$13,IF(AND(SIGN($E307-$G307)=SIGN(K307-M307),MIN($E307,$G307)=MIN(K307,M307)),Auxiliar!$C$14,IF(SIGN($E307-$G307)=SIGN(K307-M307),Auxiliar!$C$15,IF(K307=M307,Auxiliar!$C$16,0)))))))</f>
        <v/>
      </c>
      <c r="P307" s="9">
        <v>0</v>
      </c>
      <c r="Q307" s="10" t="s">
        <v>23</v>
      </c>
      <c r="R307" s="11">
        <v>1</v>
      </c>
      <c r="S307" s="60" t="str">
        <f>IF(OR($E307="",$G307=""),"",IF(AND(P307=$E307,R307=$G307),Auxiliar!$C$11,IF(AND(SIGN($E307-$G307)=SIGN(P307-R307),MAX($E307,$G307)=MAX(P307,R307)),Auxiliar!$C$12,IF(ABS($E307-$G307)=ABS(P307-R307),Auxiliar!$C$13,IF(AND(SIGN($E307-$G307)=SIGN(P307-R307),MIN($E307,$G307)=MIN(P307,R307)),Auxiliar!$C$14,IF(SIGN($E307-$G307)=SIGN(P307-R307),Auxiliar!$C$15,IF(P307=R307,Auxiliar!$C$16,0)))))))</f>
        <v/>
      </c>
      <c r="U307" s="9">
        <v>1</v>
      </c>
      <c r="V307" s="10" t="s">
        <v>23</v>
      </c>
      <c r="W307" s="11">
        <v>3</v>
      </c>
      <c r="X307" s="60" t="str">
        <f>IF(OR($E307="",$G307=""),"",IF(AND(U307=$E307,W307=$G307),Auxiliar!$C$11,IF(AND(SIGN($E307-$G307)=SIGN(U307-W307),MAX($E307,$G307)=MAX(U307,W307)),Auxiliar!$C$12,IF(ABS($E307-$G307)=ABS(U307-W307),Auxiliar!$C$13,IF(AND(SIGN($E307-$G307)=SIGN(U307-W307),MIN($E307,$G307)=MIN(U307,W307)),Auxiliar!$C$14,IF(SIGN($E307-$G307)=SIGN(U307-W307),Auxiliar!$C$15,IF(U307=W307,Auxiliar!$C$16,0)))))))</f>
        <v/>
      </c>
      <c r="Z307" s="9">
        <v>4</v>
      </c>
      <c r="AA307" s="10" t="s">
        <v>23</v>
      </c>
      <c r="AB307" s="11">
        <v>5</v>
      </c>
      <c r="AC307" s="60" t="str">
        <f>IF(OR($E307="",$G307=""),"",IF(AND(Z307=$E307,AB307=$G307),Auxiliar!$C$11,IF(AND(SIGN($E307-$G307)=SIGN(Z307-AB307),MAX($E307,$G307)=MAX(Z307,AB307)),Auxiliar!$C$12,IF(ABS($E307-$G307)=ABS(Z307-AB307),Auxiliar!$C$13,IF(AND(SIGN($E307-$G307)=SIGN(Z307-AB307),MIN($E307,$G307)=MIN(Z307,AB307)),Auxiliar!$C$14,IF(SIGN($E307-$G307)=SIGN(Z307-AB307),Auxiliar!$C$15,IF(Z307=AB307,Auxiliar!$C$16,0)))))))</f>
        <v/>
      </c>
      <c r="AE307" s="9">
        <v>3</v>
      </c>
      <c r="AF307" s="10" t="s">
        <v>23</v>
      </c>
      <c r="AG307" s="11">
        <v>5</v>
      </c>
      <c r="AH307" s="60" t="str">
        <f>IF(OR($E307="",$G307=""),"",IF(AND(AE307=$E307,AG307=$G307),Auxiliar!$C$11,IF(AND(SIGN($E307-$G307)=SIGN(AE307-AG307),MAX($E307,$G307)=MAX(AE307,AG307)),Auxiliar!$C$12,IF(ABS($E307-$G307)=ABS(AE307-AG307),Auxiliar!$C$13,IF(AND(SIGN($E307-$G307)=SIGN(AE307-AG307),MIN($E307,$G307)=MIN(AE307,AG307)),Auxiliar!$C$14,IF(SIGN($E307-$G307)=SIGN(AE307-AG307),Auxiliar!$C$15,IF(AE307=AG307,Auxiliar!$C$16,0)))))))</f>
        <v/>
      </c>
    </row>
    <row r="308" spans="3:34" x14ac:dyDescent="0.25">
      <c r="C308" s="24">
        <f t="shared" si="4"/>
        <v>29</v>
      </c>
      <c r="D308" s="18"/>
      <c r="E308" s="13"/>
      <c r="F308" s="12" t="s">
        <v>23</v>
      </c>
      <c r="G308" s="13"/>
      <c r="H308" s="14"/>
      <c r="K308" s="9">
        <v>0</v>
      </c>
      <c r="L308" s="10" t="s">
        <v>23</v>
      </c>
      <c r="M308" s="11">
        <v>0</v>
      </c>
      <c r="N308" s="60" t="str">
        <f>IF(OR($E308="",$G308=""),"",IF(AND(K308=$E308,M308=$G308),Auxiliar!$C$11,IF(AND(SIGN($E308-$G308)=SIGN(K308-M308),MAX($E308,$G308)=MAX(K308,M308)),Auxiliar!$C$12,IF(ABS($E308-$G308)=ABS(K308-M308),Auxiliar!$C$13,IF(AND(SIGN($E308-$G308)=SIGN(K308-M308),MIN($E308,$G308)=MIN(K308,M308)),Auxiliar!$C$14,IF(SIGN($E308-$G308)=SIGN(K308-M308),Auxiliar!$C$15,IF(K308=M308,Auxiliar!$C$16,0)))))))</f>
        <v/>
      </c>
      <c r="P308" s="9">
        <v>0</v>
      </c>
      <c r="Q308" s="10" t="s">
        <v>23</v>
      </c>
      <c r="R308" s="11">
        <v>1</v>
      </c>
      <c r="S308" s="60" t="str">
        <f>IF(OR($E308="",$G308=""),"",IF(AND(P308=$E308,R308=$G308),Auxiliar!$C$11,IF(AND(SIGN($E308-$G308)=SIGN(P308-R308),MAX($E308,$G308)=MAX(P308,R308)),Auxiliar!$C$12,IF(ABS($E308-$G308)=ABS(P308-R308),Auxiliar!$C$13,IF(AND(SIGN($E308-$G308)=SIGN(P308-R308),MIN($E308,$G308)=MIN(P308,R308)),Auxiliar!$C$14,IF(SIGN($E308-$G308)=SIGN(P308-R308),Auxiliar!$C$15,IF(P308=R308,Auxiliar!$C$16,0)))))))</f>
        <v/>
      </c>
      <c r="U308" s="9">
        <v>1</v>
      </c>
      <c r="V308" s="10" t="s">
        <v>23</v>
      </c>
      <c r="W308" s="11">
        <v>1</v>
      </c>
      <c r="X308" s="60" t="str">
        <f>IF(OR($E308="",$G308=""),"",IF(AND(U308=$E308,W308=$G308),Auxiliar!$C$11,IF(AND(SIGN($E308-$G308)=SIGN(U308-W308),MAX($E308,$G308)=MAX(U308,W308)),Auxiliar!$C$12,IF(ABS($E308-$G308)=ABS(U308-W308),Auxiliar!$C$13,IF(AND(SIGN($E308-$G308)=SIGN(U308-W308),MIN($E308,$G308)=MIN(U308,W308)),Auxiliar!$C$14,IF(SIGN($E308-$G308)=SIGN(U308-W308),Auxiliar!$C$15,IF(U308=W308,Auxiliar!$C$16,0)))))))</f>
        <v/>
      </c>
      <c r="Z308" s="9">
        <v>3</v>
      </c>
      <c r="AA308" s="10" t="s">
        <v>23</v>
      </c>
      <c r="AB308" s="11">
        <v>4</v>
      </c>
      <c r="AC308" s="60" t="str">
        <f>IF(OR($E308="",$G308=""),"",IF(AND(Z308=$E308,AB308=$G308),Auxiliar!$C$11,IF(AND(SIGN($E308-$G308)=SIGN(Z308-AB308),MAX($E308,$G308)=MAX(Z308,AB308)),Auxiliar!$C$12,IF(ABS($E308-$G308)=ABS(Z308-AB308),Auxiliar!$C$13,IF(AND(SIGN($E308-$G308)=SIGN(Z308-AB308),MIN($E308,$G308)=MIN(Z308,AB308)),Auxiliar!$C$14,IF(SIGN($E308-$G308)=SIGN(Z308-AB308),Auxiliar!$C$15,IF(Z308=AB308,Auxiliar!$C$16,0)))))))</f>
        <v/>
      </c>
      <c r="AE308" s="9">
        <v>1</v>
      </c>
      <c r="AF308" s="10" t="s">
        <v>23</v>
      </c>
      <c r="AG308" s="11">
        <v>5</v>
      </c>
      <c r="AH308" s="60" t="str">
        <f>IF(OR($E308="",$G308=""),"",IF(AND(AE308=$E308,AG308=$G308),Auxiliar!$C$11,IF(AND(SIGN($E308-$G308)=SIGN(AE308-AG308),MAX($E308,$G308)=MAX(AE308,AG308)),Auxiliar!$C$12,IF(ABS($E308-$G308)=ABS(AE308-AG308),Auxiliar!$C$13,IF(AND(SIGN($E308-$G308)=SIGN(AE308-AG308),MIN($E308,$G308)=MIN(AE308,AG308)),Auxiliar!$C$14,IF(SIGN($E308-$G308)=SIGN(AE308-AG308),Auxiliar!$C$15,IF(AE308=AG308,Auxiliar!$C$16,0)))))))</f>
        <v/>
      </c>
    </row>
    <row r="309" spans="3:34" x14ac:dyDescent="0.25">
      <c r="C309" s="24">
        <f t="shared" si="4"/>
        <v>30</v>
      </c>
      <c r="D309" s="18"/>
      <c r="E309" s="13"/>
      <c r="F309" s="12" t="s">
        <v>23</v>
      </c>
      <c r="G309" s="13"/>
      <c r="H309" s="14"/>
      <c r="K309" s="9">
        <v>1</v>
      </c>
      <c r="L309" s="10" t="s">
        <v>23</v>
      </c>
      <c r="M309" s="11">
        <v>2</v>
      </c>
      <c r="N309" s="60" t="str">
        <f>IF(OR($E309="",$G309=""),"",IF(AND(K309=$E309,M309=$G309),Auxiliar!$C$11,IF(AND(SIGN($E309-$G309)=SIGN(K309-M309),MAX($E309,$G309)=MAX(K309,M309)),Auxiliar!$C$12,IF(ABS($E309-$G309)=ABS(K309-M309),Auxiliar!$C$13,IF(AND(SIGN($E309-$G309)=SIGN(K309-M309),MIN($E309,$G309)=MIN(K309,M309)),Auxiliar!$C$14,IF(SIGN($E309-$G309)=SIGN(K309-M309),Auxiliar!$C$15,IF(K309=M309,Auxiliar!$C$16,0)))))))</f>
        <v/>
      </c>
      <c r="P309" s="9">
        <v>1</v>
      </c>
      <c r="Q309" s="10" t="s">
        <v>23</v>
      </c>
      <c r="R309" s="11">
        <v>5</v>
      </c>
      <c r="S309" s="60" t="str">
        <f>IF(OR($E309="",$G309=""),"",IF(AND(P309=$E309,R309=$G309),Auxiliar!$C$11,IF(AND(SIGN($E309-$G309)=SIGN(P309-R309),MAX($E309,$G309)=MAX(P309,R309)),Auxiliar!$C$12,IF(ABS($E309-$G309)=ABS(P309-R309),Auxiliar!$C$13,IF(AND(SIGN($E309-$G309)=SIGN(P309-R309),MIN($E309,$G309)=MIN(P309,R309)),Auxiliar!$C$14,IF(SIGN($E309-$G309)=SIGN(P309-R309),Auxiliar!$C$15,IF(P309=R309,Auxiliar!$C$16,0)))))))</f>
        <v/>
      </c>
      <c r="U309" s="9">
        <v>4</v>
      </c>
      <c r="V309" s="10" t="s">
        <v>23</v>
      </c>
      <c r="W309" s="11">
        <v>3</v>
      </c>
      <c r="X309" s="60" t="str">
        <f>IF(OR($E309="",$G309=""),"",IF(AND(U309=$E309,W309=$G309),Auxiliar!$C$11,IF(AND(SIGN($E309-$G309)=SIGN(U309-W309),MAX($E309,$G309)=MAX(U309,W309)),Auxiliar!$C$12,IF(ABS($E309-$G309)=ABS(U309-W309),Auxiliar!$C$13,IF(AND(SIGN($E309-$G309)=SIGN(U309-W309),MIN($E309,$G309)=MIN(U309,W309)),Auxiliar!$C$14,IF(SIGN($E309-$G309)=SIGN(U309-W309),Auxiliar!$C$15,IF(U309=W309,Auxiliar!$C$16,0)))))))</f>
        <v/>
      </c>
      <c r="Z309" s="9">
        <v>3</v>
      </c>
      <c r="AA309" s="10" t="s">
        <v>23</v>
      </c>
      <c r="AB309" s="11">
        <v>2</v>
      </c>
      <c r="AC309" s="60" t="str">
        <f>IF(OR($E309="",$G309=""),"",IF(AND(Z309=$E309,AB309=$G309),Auxiliar!$C$11,IF(AND(SIGN($E309-$G309)=SIGN(Z309-AB309),MAX($E309,$G309)=MAX(Z309,AB309)),Auxiliar!$C$12,IF(ABS($E309-$G309)=ABS(Z309-AB309),Auxiliar!$C$13,IF(AND(SIGN($E309-$G309)=SIGN(Z309-AB309),MIN($E309,$G309)=MIN(Z309,AB309)),Auxiliar!$C$14,IF(SIGN($E309-$G309)=SIGN(Z309-AB309),Auxiliar!$C$15,IF(Z309=AB309,Auxiliar!$C$16,0)))))))</f>
        <v/>
      </c>
      <c r="AE309" s="9">
        <v>5</v>
      </c>
      <c r="AF309" s="10" t="s">
        <v>23</v>
      </c>
      <c r="AG309" s="11">
        <v>4</v>
      </c>
      <c r="AH309" s="60" t="str">
        <f>IF(OR($E309="",$G309=""),"",IF(AND(AE309=$E309,AG309=$G309),Auxiliar!$C$11,IF(AND(SIGN($E309-$G309)=SIGN(AE309-AG309),MAX($E309,$G309)=MAX(AE309,AG309)),Auxiliar!$C$12,IF(ABS($E309-$G309)=ABS(AE309-AG309),Auxiliar!$C$13,IF(AND(SIGN($E309-$G309)=SIGN(AE309-AG309),MIN($E309,$G309)=MIN(AE309,AG309)),Auxiliar!$C$14,IF(SIGN($E309-$G309)=SIGN(AE309-AG309),Auxiliar!$C$15,IF(AE309=AG309,Auxiliar!$C$16,0)))))))</f>
        <v/>
      </c>
    </row>
    <row r="310" spans="3:34" x14ac:dyDescent="0.25">
      <c r="C310" s="24">
        <f t="shared" si="4"/>
        <v>30</v>
      </c>
      <c r="D310" s="18"/>
      <c r="E310" s="13"/>
      <c r="F310" s="12" t="s">
        <v>23</v>
      </c>
      <c r="G310" s="13"/>
      <c r="H310" s="14"/>
      <c r="K310" s="9">
        <v>3</v>
      </c>
      <c r="L310" s="10" t="s">
        <v>23</v>
      </c>
      <c r="M310" s="11">
        <v>0</v>
      </c>
      <c r="N310" s="60" t="str">
        <f>IF(OR($E310="",$G310=""),"",IF(AND(K310=$E310,M310=$G310),Auxiliar!$C$11,IF(AND(SIGN($E310-$G310)=SIGN(K310-M310),MAX($E310,$G310)=MAX(K310,M310)),Auxiliar!$C$12,IF(ABS($E310-$G310)=ABS(K310-M310),Auxiliar!$C$13,IF(AND(SIGN($E310-$G310)=SIGN(K310-M310),MIN($E310,$G310)=MIN(K310,M310)),Auxiliar!$C$14,IF(SIGN($E310-$G310)=SIGN(K310-M310),Auxiliar!$C$15,IF(K310=M310,Auxiliar!$C$16,0)))))))</f>
        <v/>
      </c>
      <c r="P310" s="9">
        <v>3</v>
      </c>
      <c r="Q310" s="10" t="s">
        <v>23</v>
      </c>
      <c r="R310" s="11">
        <v>1</v>
      </c>
      <c r="S310" s="60" t="str">
        <f>IF(OR($E310="",$G310=""),"",IF(AND(P310=$E310,R310=$G310),Auxiliar!$C$11,IF(AND(SIGN($E310-$G310)=SIGN(P310-R310),MAX($E310,$G310)=MAX(P310,R310)),Auxiliar!$C$12,IF(ABS($E310-$G310)=ABS(P310-R310),Auxiliar!$C$13,IF(AND(SIGN($E310-$G310)=SIGN(P310-R310),MIN($E310,$G310)=MIN(P310,R310)),Auxiliar!$C$14,IF(SIGN($E310-$G310)=SIGN(P310-R310),Auxiliar!$C$15,IF(P310=R310,Auxiliar!$C$16,0)))))))</f>
        <v/>
      </c>
      <c r="U310" s="9">
        <v>4</v>
      </c>
      <c r="V310" s="10" t="s">
        <v>23</v>
      </c>
      <c r="W310" s="11">
        <v>5</v>
      </c>
      <c r="X310" s="60" t="str">
        <f>IF(OR($E310="",$G310=""),"",IF(AND(U310=$E310,W310=$G310),Auxiliar!$C$11,IF(AND(SIGN($E310-$G310)=SIGN(U310-W310),MAX($E310,$G310)=MAX(U310,W310)),Auxiliar!$C$12,IF(ABS($E310-$G310)=ABS(U310-W310),Auxiliar!$C$13,IF(AND(SIGN($E310-$G310)=SIGN(U310-W310),MIN($E310,$G310)=MIN(U310,W310)),Auxiliar!$C$14,IF(SIGN($E310-$G310)=SIGN(U310-W310),Auxiliar!$C$15,IF(U310=W310,Auxiliar!$C$16,0)))))))</f>
        <v/>
      </c>
      <c r="Z310" s="9">
        <v>5</v>
      </c>
      <c r="AA310" s="10" t="s">
        <v>23</v>
      </c>
      <c r="AB310" s="11">
        <v>1</v>
      </c>
      <c r="AC310" s="60" t="str">
        <f>IF(OR($E310="",$G310=""),"",IF(AND(Z310=$E310,AB310=$G310),Auxiliar!$C$11,IF(AND(SIGN($E310-$G310)=SIGN(Z310-AB310),MAX($E310,$G310)=MAX(Z310,AB310)),Auxiliar!$C$12,IF(ABS($E310-$G310)=ABS(Z310-AB310),Auxiliar!$C$13,IF(AND(SIGN($E310-$G310)=SIGN(Z310-AB310),MIN($E310,$G310)=MIN(Z310,AB310)),Auxiliar!$C$14,IF(SIGN($E310-$G310)=SIGN(Z310-AB310),Auxiliar!$C$15,IF(Z310=AB310,Auxiliar!$C$16,0)))))))</f>
        <v/>
      </c>
      <c r="AE310" s="9">
        <v>5</v>
      </c>
      <c r="AF310" s="10" t="s">
        <v>23</v>
      </c>
      <c r="AG310" s="11">
        <v>4</v>
      </c>
      <c r="AH310" s="60" t="str">
        <f>IF(OR($E310="",$G310=""),"",IF(AND(AE310=$E310,AG310=$G310),Auxiliar!$C$11,IF(AND(SIGN($E310-$G310)=SIGN(AE310-AG310),MAX($E310,$G310)=MAX(AE310,AG310)),Auxiliar!$C$12,IF(ABS($E310-$G310)=ABS(AE310-AG310),Auxiliar!$C$13,IF(AND(SIGN($E310-$G310)=SIGN(AE310-AG310),MIN($E310,$G310)=MIN(AE310,AG310)),Auxiliar!$C$14,IF(SIGN($E310-$G310)=SIGN(AE310-AG310),Auxiliar!$C$15,IF(AE310=AG310,Auxiliar!$C$16,0)))))))</f>
        <v/>
      </c>
    </row>
    <row r="311" spans="3:34" x14ac:dyDescent="0.25">
      <c r="C311" s="24">
        <f t="shared" si="4"/>
        <v>30</v>
      </c>
      <c r="D311" s="18"/>
      <c r="E311" s="13"/>
      <c r="F311" s="12" t="s">
        <v>23</v>
      </c>
      <c r="G311" s="13"/>
      <c r="H311" s="14"/>
      <c r="K311" s="9">
        <v>5</v>
      </c>
      <c r="L311" s="10" t="s">
        <v>23</v>
      </c>
      <c r="M311" s="11">
        <v>0</v>
      </c>
      <c r="N311" s="60" t="str">
        <f>IF(OR($E311="",$G311=""),"",IF(AND(K311=$E311,M311=$G311),Auxiliar!$C$11,IF(AND(SIGN($E311-$G311)=SIGN(K311-M311),MAX($E311,$G311)=MAX(K311,M311)),Auxiliar!$C$12,IF(ABS($E311-$G311)=ABS(K311-M311),Auxiliar!$C$13,IF(AND(SIGN($E311-$G311)=SIGN(K311-M311),MIN($E311,$G311)=MIN(K311,M311)),Auxiliar!$C$14,IF(SIGN($E311-$G311)=SIGN(K311-M311),Auxiliar!$C$15,IF(K311=M311,Auxiliar!$C$16,0)))))))</f>
        <v/>
      </c>
      <c r="P311" s="9">
        <v>3</v>
      </c>
      <c r="Q311" s="10" t="s">
        <v>23</v>
      </c>
      <c r="R311" s="11">
        <v>1</v>
      </c>
      <c r="S311" s="60" t="str">
        <f>IF(OR($E311="",$G311=""),"",IF(AND(P311=$E311,R311=$G311),Auxiliar!$C$11,IF(AND(SIGN($E311-$G311)=SIGN(P311-R311),MAX($E311,$G311)=MAX(P311,R311)),Auxiliar!$C$12,IF(ABS($E311-$G311)=ABS(P311-R311),Auxiliar!$C$13,IF(AND(SIGN($E311-$G311)=SIGN(P311-R311),MIN($E311,$G311)=MIN(P311,R311)),Auxiliar!$C$14,IF(SIGN($E311-$G311)=SIGN(P311-R311),Auxiliar!$C$15,IF(P311=R311,Auxiliar!$C$16,0)))))))</f>
        <v/>
      </c>
      <c r="U311" s="9">
        <v>5</v>
      </c>
      <c r="V311" s="10" t="s">
        <v>23</v>
      </c>
      <c r="W311" s="11">
        <v>0</v>
      </c>
      <c r="X311" s="60" t="str">
        <f>IF(OR($E311="",$G311=""),"",IF(AND(U311=$E311,W311=$G311),Auxiliar!$C$11,IF(AND(SIGN($E311-$G311)=SIGN(U311-W311),MAX($E311,$G311)=MAX(U311,W311)),Auxiliar!$C$12,IF(ABS($E311-$G311)=ABS(U311-W311),Auxiliar!$C$13,IF(AND(SIGN($E311-$G311)=SIGN(U311-W311),MIN($E311,$G311)=MIN(U311,W311)),Auxiliar!$C$14,IF(SIGN($E311-$G311)=SIGN(U311-W311),Auxiliar!$C$15,IF(U311=W311,Auxiliar!$C$16,0)))))))</f>
        <v/>
      </c>
      <c r="Z311" s="9">
        <v>1</v>
      </c>
      <c r="AA311" s="10" t="s">
        <v>23</v>
      </c>
      <c r="AB311" s="11">
        <v>0</v>
      </c>
      <c r="AC311" s="60" t="str">
        <f>IF(OR($E311="",$G311=""),"",IF(AND(Z311=$E311,AB311=$G311),Auxiliar!$C$11,IF(AND(SIGN($E311-$G311)=SIGN(Z311-AB311),MAX($E311,$G311)=MAX(Z311,AB311)),Auxiliar!$C$12,IF(ABS($E311-$G311)=ABS(Z311-AB311),Auxiliar!$C$13,IF(AND(SIGN($E311-$G311)=SIGN(Z311-AB311),MIN($E311,$G311)=MIN(Z311,AB311)),Auxiliar!$C$14,IF(SIGN($E311-$G311)=SIGN(Z311-AB311),Auxiliar!$C$15,IF(Z311=AB311,Auxiliar!$C$16,0)))))))</f>
        <v/>
      </c>
      <c r="AE311" s="9">
        <v>1</v>
      </c>
      <c r="AF311" s="10" t="s">
        <v>23</v>
      </c>
      <c r="AG311" s="11">
        <v>4</v>
      </c>
      <c r="AH311" s="60" t="str">
        <f>IF(OR($E311="",$G311=""),"",IF(AND(AE311=$E311,AG311=$G311),Auxiliar!$C$11,IF(AND(SIGN($E311-$G311)=SIGN(AE311-AG311),MAX($E311,$G311)=MAX(AE311,AG311)),Auxiliar!$C$12,IF(ABS($E311-$G311)=ABS(AE311-AG311),Auxiliar!$C$13,IF(AND(SIGN($E311-$G311)=SIGN(AE311-AG311),MIN($E311,$G311)=MIN(AE311,AG311)),Auxiliar!$C$14,IF(SIGN($E311-$G311)=SIGN(AE311-AG311),Auxiliar!$C$15,IF(AE311=AG311,Auxiliar!$C$16,0)))))))</f>
        <v/>
      </c>
    </row>
    <row r="312" spans="3:34" x14ac:dyDescent="0.25">
      <c r="C312" s="24">
        <f t="shared" si="4"/>
        <v>30</v>
      </c>
      <c r="D312" s="18"/>
      <c r="E312" s="13"/>
      <c r="F312" s="12" t="s">
        <v>23</v>
      </c>
      <c r="G312" s="13"/>
      <c r="H312" s="14"/>
      <c r="K312" s="9">
        <v>5</v>
      </c>
      <c r="L312" s="10" t="s">
        <v>23</v>
      </c>
      <c r="M312" s="11">
        <v>0</v>
      </c>
      <c r="N312" s="60" t="str">
        <f>IF(OR($E312="",$G312=""),"",IF(AND(K312=$E312,M312=$G312),Auxiliar!$C$11,IF(AND(SIGN($E312-$G312)=SIGN(K312-M312),MAX($E312,$G312)=MAX(K312,M312)),Auxiliar!$C$12,IF(ABS($E312-$G312)=ABS(K312-M312),Auxiliar!$C$13,IF(AND(SIGN($E312-$G312)=SIGN(K312-M312),MIN($E312,$G312)=MIN(K312,M312)),Auxiliar!$C$14,IF(SIGN($E312-$G312)=SIGN(K312-M312),Auxiliar!$C$15,IF(K312=M312,Auxiliar!$C$16,0)))))))</f>
        <v/>
      </c>
      <c r="P312" s="9">
        <v>3</v>
      </c>
      <c r="Q312" s="10" t="s">
        <v>23</v>
      </c>
      <c r="R312" s="11">
        <v>1</v>
      </c>
      <c r="S312" s="60" t="str">
        <f>IF(OR($E312="",$G312=""),"",IF(AND(P312=$E312,R312=$G312),Auxiliar!$C$11,IF(AND(SIGN($E312-$G312)=SIGN(P312-R312),MAX($E312,$G312)=MAX(P312,R312)),Auxiliar!$C$12,IF(ABS($E312-$G312)=ABS(P312-R312),Auxiliar!$C$13,IF(AND(SIGN($E312-$G312)=SIGN(P312-R312),MIN($E312,$G312)=MIN(P312,R312)),Auxiliar!$C$14,IF(SIGN($E312-$G312)=SIGN(P312-R312),Auxiliar!$C$15,IF(P312=R312,Auxiliar!$C$16,0)))))))</f>
        <v/>
      </c>
      <c r="U312" s="9">
        <v>3</v>
      </c>
      <c r="V312" s="10" t="s">
        <v>23</v>
      </c>
      <c r="W312" s="11">
        <v>3</v>
      </c>
      <c r="X312" s="60" t="str">
        <f>IF(OR($E312="",$G312=""),"",IF(AND(U312=$E312,W312=$G312),Auxiliar!$C$11,IF(AND(SIGN($E312-$G312)=SIGN(U312-W312),MAX($E312,$G312)=MAX(U312,W312)),Auxiliar!$C$12,IF(ABS($E312-$G312)=ABS(U312-W312),Auxiliar!$C$13,IF(AND(SIGN($E312-$G312)=SIGN(U312-W312),MIN($E312,$G312)=MIN(U312,W312)),Auxiliar!$C$14,IF(SIGN($E312-$G312)=SIGN(U312-W312),Auxiliar!$C$15,IF(U312=W312,Auxiliar!$C$16,0)))))))</f>
        <v/>
      </c>
      <c r="Z312" s="9">
        <v>4</v>
      </c>
      <c r="AA312" s="10" t="s">
        <v>23</v>
      </c>
      <c r="AB312" s="11">
        <v>0</v>
      </c>
      <c r="AC312" s="60" t="str">
        <f>IF(OR($E312="",$G312=""),"",IF(AND(Z312=$E312,AB312=$G312),Auxiliar!$C$11,IF(AND(SIGN($E312-$G312)=SIGN(Z312-AB312),MAX($E312,$G312)=MAX(Z312,AB312)),Auxiliar!$C$12,IF(ABS($E312-$G312)=ABS(Z312-AB312),Auxiliar!$C$13,IF(AND(SIGN($E312-$G312)=SIGN(Z312-AB312),MIN($E312,$G312)=MIN(Z312,AB312)),Auxiliar!$C$14,IF(SIGN($E312-$G312)=SIGN(Z312-AB312),Auxiliar!$C$15,IF(Z312=AB312,Auxiliar!$C$16,0)))))))</f>
        <v/>
      </c>
      <c r="AE312" s="9">
        <v>4</v>
      </c>
      <c r="AF312" s="10" t="s">
        <v>23</v>
      </c>
      <c r="AG312" s="11">
        <v>0</v>
      </c>
      <c r="AH312" s="60" t="str">
        <f>IF(OR($E312="",$G312=""),"",IF(AND(AE312=$E312,AG312=$G312),Auxiliar!$C$11,IF(AND(SIGN($E312-$G312)=SIGN(AE312-AG312),MAX($E312,$G312)=MAX(AE312,AG312)),Auxiliar!$C$12,IF(ABS($E312-$G312)=ABS(AE312-AG312),Auxiliar!$C$13,IF(AND(SIGN($E312-$G312)=SIGN(AE312-AG312),MIN($E312,$G312)=MIN(AE312,AG312)),Auxiliar!$C$14,IF(SIGN($E312-$G312)=SIGN(AE312-AG312),Auxiliar!$C$15,IF(AE312=AG312,Auxiliar!$C$16,0)))))))</f>
        <v/>
      </c>
    </row>
    <row r="313" spans="3:34" x14ac:dyDescent="0.25">
      <c r="C313" s="24">
        <f t="shared" si="4"/>
        <v>30</v>
      </c>
      <c r="D313" s="18"/>
      <c r="E313" s="13"/>
      <c r="F313" s="12" t="s">
        <v>23</v>
      </c>
      <c r="G313" s="13"/>
      <c r="H313" s="14"/>
      <c r="K313" s="9">
        <v>5</v>
      </c>
      <c r="L313" s="10" t="s">
        <v>23</v>
      </c>
      <c r="M313" s="11">
        <v>1</v>
      </c>
      <c r="N313" s="60" t="str">
        <f>IF(OR($E313="",$G313=""),"",IF(AND(K313=$E313,M313=$G313),Auxiliar!$C$11,IF(AND(SIGN($E313-$G313)=SIGN(K313-M313),MAX($E313,$G313)=MAX(K313,M313)),Auxiliar!$C$12,IF(ABS($E313-$G313)=ABS(K313-M313),Auxiliar!$C$13,IF(AND(SIGN($E313-$G313)=SIGN(K313-M313),MIN($E313,$G313)=MIN(K313,M313)),Auxiliar!$C$14,IF(SIGN($E313-$G313)=SIGN(K313-M313),Auxiliar!$C$15,IF(K313=M313,Auxiliar!$C$16,0)))))))</f>
        <v/>
      </c>
      <c r="P313" s="9">
        <v>1</v>
      </c>
      <c r="Q313" s="10" t="s">
        <v>23</v>
      </c>
      <c r="R313" s="11">
        <v>2</v>
      </c>
      <c r="S313" s="60" t="str">
        <f>IF(OR($E313="",$G313=""),"",IF(AND(P313=$E313,R313=$G313),Auxiliar!$C$11,IF(AND(SIGN($E313-$G313)=SIGN(P313-R313),MAX($E313,$G313)=MAX(P313,R313)),Auxiliar!$C$12,IF(ABS($E313-$G313)=ABS(P313-R313),Auxiliar!$C$13,IF(AND(SIGN($E313-$G313)=SIGN(P313-R313),MIN($E313,$G313)=MIN(P313,R313)),Auxiliar!$C$14,IF(SIGN($E313-$G313)=SIGN(P313-R313),Auxiliar!$C$15,IF(P313=R313,Auxiliar!$C$16,0)))))))</f>
        <v/>
      </c>
      <c r="U313" s="9">
        <v>0</v>
      </c>
      <c r="V313" s="10" t="s">
        <v>23</v>
      </c>
      <c r="W313" s="11">
        <v>5</v>
      </c>
      <c r="X313" s="60" t="str">
        <f>IF(OR($E313="",$G313=""),"",IF(AND(U313=$E313,W313=$G313),Auxiliar!$C$11,IF(AND(SIGN($E313-$G313)=SIGN(U313-W313),MAX($E313,$G313)=MAX(U313,W313)),Auxiliar!$C$12,IF(ABS($E313-$G313)=ABS(U313-W313),Auxiliar!$C$13,IF(AND(SIGN($E313-$G313)=SIGN(U313-W313),MIN($E313,$G313)=MIN(U313,W313)),Auxiliar!$C$14,IF(SIGN($E313-$G313)=SIGN(U313-W313),Auxiliar!$C$15,IF(U313=W313,Auxiliar!$C$16,0)))))))</f>
        <v/>
      </c>
      <c r="Z313" s="9">
        <v>3</v>
      </c>
      <c r="AA313" s="10" t="s">
        <v>23</v>
      </c>
      <c r="AB313" s="11">
        <v>3</v>
      </c>
      <c r="AC313" s="60" t="str">
        <f>IF(OR($E313="",$G313=""),"",IF(AND(Z313=$E313,AB313=$G313),Auxiliar!$C$11,IF(AND(SIGN($E313-$G313)=SIGN(Z313-AB313),MAX($E313,$G313)=MAX(Z313,AB313)),Auxiliar!$C$12,IF(ABS($E313-$G313)=ABS(Z313-AB313),Auxiliar!$C$13,IF(AND(SIGN($E313-$G313)=SIGN(Z313-AB313),MIN($E313,$G313)=MIN(Z313,AB313)),Auxiliar!$C$14,IF(SIGN($E313-$G313)=SIGN(Z313-AB313),Auxiliar!$C$15,IF(Z313=AB313,Auxiliar!$C$16,0)))))))</f>
        <v/>
      </c>
      <c r="AE313" s="9">
        <v>3</v>
      </c>
      <c r="AF313" s="10" t="s">
        <v>23</v>
      </c>
      <c r="AG313" s="11">
        <v>0</v>
      </c>
      <c r="AH313" s="60" t="str">
        <f>IF(OR($E313="",$G313=""),"",IF(AND(AE313=$E313,AG313=$G313),Auxiliar!$C$11,IF(AND(SIGN($E313-$G313)=SIGN(AE313-AG313),MAX($E313,$G313)=MAX(AE313,AG313)),Auxiliar!$C$12,IF(ABS($E313-$G313)=ABS(AE313-AG313),Auxiliar!$C$13,IF(AND(SIGN($E313-$G313)=SIGN(AE313-AG313),MIN($E313,$G313)=MIN(AE313,AG313)),Auxiliar!$C$14,IF(SIGN($E313-$G313)=SIGN(AE313-AG313),Auxiliar!$C$15,IF(AE313=AG313,Auxiliar!$C$16,0)))))))</f>
        <v/>
      </c>
    </row>
    <row r="314" spans="3:34" x14ac:dyDescent="0.25">
      <c r="C314" s="24">
        <f t="shared" si="4"/>
        <v>30</v>
      </c>
      <c r="D314" s="18"/>
      <c r="E314" s="13"/>
      <c r="F314" s="12" t="s">
        <v>23</v>
      </c>
      <c r="G314" s="13"/>
      <c r="H314" s="14"/>
      <c r="K314" s="9">
        <v>0</v>
      </c>
      <c r="L314" s="10" t="s">
        <v>23</v>
      </c>
      <c r="M314" s="11">
        <v>4</v>
      </c>
      <c r="N314" s="60" t="str">
        <f>IF(OR($E314="",$G314=""),"",IF(AND(K314=$E314,M314=$G314),Auxiliar!$C$11,IF(AND(SIGN($E314-$G314)=SIGN(K314-M314),MAX($E314,$G314)=MAX(K314,M314)),Auxiliar!$C$12,IF(ABS($E314-$G314)=ABS(K314-M314),Auxiliar!$C$13,IF(AND(SIGN($E314-$G314)=SIGN(K314-M314),MIN($E314,$G314)=MIN(K314,M314)),Auxiliar!$C$14,IF(SIGN($E314-$G314)=SIGN(K314-M314),Auxiliar!$C$15,IF(K314=M314,Auxiliar!$C$16,0)))))))</f>
        <v/>
      </c>
      <c r="P314" s="9">
        <v>5</v>
      </c>
      <c r="Q314" s="10" t="s">
        <v>23</v>
      </c>
      <c r="R314" s="11">
        <v>2</v>
      </c>
      <c r="S314" s="60" t="str">
        <f>IF(OR($E314="",$G314=""),"",IF(AND(P314=$E314,R314=$G314),Auxiliar!$C$11,IF(AND(SIGN($E314-$G314)=SIGN(P314-R314),MAX($E314,$G314)=MAX(P314,R314)),Auxiliar!$C$12,IF(ABS($E314-$G314)=ABS(P314-R314),Auxiliar!$C$13,IF(AND(SIGN($E314-$G314)=SIGN(P314-R314),MIN($E314,$G314)=MIN(P314,R314)),Auxiliar!$C$14,IF(SIGN($E314-$G314)=SIGN(P314-R314),Auxiliar!$C$15,IF(P314=R314,Auxiliar!$C$16,0)))))))</f>
        <v/>
      </c>
      <c r="U314" s="9">
        <v>4</v>
      </c>
      <c r="V314" s="10" t="s">
        <v>23</v>
      </c>
      <c r="W314" s="11">
        <v>4</v>
      </c>
      <c r="X314" s="60" t="str">
        <f>IF(OR($E314="",$G314=""),"",IF(AND(U314=$E314,W314=$G314),Auxiliar!$C$11,IF(AND(SIGN($E314-$G314)=SIGN(U314-W314),MAX($E314,$G314)=MAX(U314,W314)),Auxiliar!$C$12,IF(ABS($E314-$G314)=ABS(U314-W314),Auxiliar!$C$13,IF(AND(SIGN($E314-$G314)=SIGN(U314-W314),MIN($E314,$G314)=MIN(U314,W314)),Auxiliar!$C$14,IF(SIGN($E314-$G314)=SIGN(U314-W314),Auxiliar!$C$15,IF(U314=W314,Auxiliar!$C$16,0)))))))</f>
        <v/>
      </c>
      <c r="Z314" s="9">
        <v>1</v>
      </c>
      <c r="AA314" s="10" t="s">
        <v>23</v>
      </c>
      <c r="AB314" s="11">
        <v>3</v>
      </c>
      <c r="AC314" s="60" t="str">
        <f>IF(OR($E314="",$G314=""),"",IF(AND(Z314=$E314,AB314=$G314),Auxiliar!$C$11,IF(AND(SIGN($E314-$G314)=SIGN(Z314-AB314),MAX($E314,$G314)=MAX(Z314,AB314)),Auxiliar!$C$12,IF(ABS($E314-$G314)=ABS(Z314-AB314),Auxiliar!$C$13,IF(AND(SIGN($E314-$G314)=SIGN(Z314-AB314),MIN($E314,$G314)=MIN(Z314,AB314)),Auxiliar!$C$14,IF(SIGN($E314-$G314)=SIGN(Z314-AB314),Auxiliar!$C$15,IF(Z314=AB314,Auxiliar!$C$16,0)))))))</f>
        <v/>
      </c>
      <c r="AE314" s="9">
        <v>3</v>
      </c>
      <c r="AF314" s="10" t="s">
        <v>23</v>
      </c>
      <c r="AG314" s="11">
        <v>1</v>
      </c>
      <c r="AH314" s="60" t="str">
        <f>IF(OR($E314="",$G314=""),"",IF(AND(AE314=$E314,AG314=$G314),Auxiliar!$C$11,IF(AND(SIGN($E314-$G314)=SIGN(AE314-AG314),MAX($E314,$G314)=MAX(AE314,AG314)),Auxiliar!$C$12,IF(ABS($E314-$G314)=ABS(AE314-AG314),Auxiliar!$C$13,IF(AND(SIGN($E314-$G314)=SIGN(AE314-AG314),MIN($E314,$G314)=MIN(AE314,AG314)),Auxiliar!$C$14,IF(SIGN($E314-$G314)=SIGN(AE314-AG314),Auxiliar!$C$15,IF(AE314=AG314,Auxiliar!$C$16,0)))))))</f>
        <v/>
      </c>
    </row>
    <row r="315" spans="3:34" x14ac:dyDescent="0.25">
      <c r="C315" s="24">
        <f t="shared" si="4"/>
        <v>30</v>
      </c>
      <c r="D315" s="18"/>
      <c r="E315" s="13"/>
      <c r="F315" s="12" t="s">
        <v>23</v>
      </c>
      <c r="G315" s="13"/>
      <c r="H315" s="14"/>
      <c r="K315" s="9">
        <v>1</v>
      </c>
      <c r="L315" s="10" t="s">
        <v>23</v>
      </c>
      <c r="M315" s="11">
        <v>0</v>
      </c>
      <c r="N315" s="60" t="str">
        <f>IF(OR($E315="",$G315=""),"",IF(AND(K315=$E315,M315=$G315),Auxiliar!$C$11,IF(AND(SIGN($E315-$G315)=SIGN(K315-M315),MAX($E315,$G315)=MAX(K315,M315)),Auxiliar!$C$12,IF(ABS($E315-$G315)=ABS(K315-M315),Auxiliar!$C$13,IF(AND(SIGN($E315-$G315)=SIGN(K315-M315),MIN($E315,$G315)=MIN(K315,M315)),Auxiliar!$C$14,IF(SIGN($E315-$G315)=SIGN(K315-M315),Auxiliar!$C$15,IF(K315=M315,Auxiliar!$C$16,0)))))))</f>
        <v/>
      </c>
      <c r="P315" s="9">
        <v>1</v>
      </c>
      <c r="Q315" s="10" t="s">
        <v>23</v>
      </c>
      <c r="R315" s="11">
        <v>5</v>
      </c>
      <c r="S315" s="60" t="str">
        <f>IF(OR($E315="",$G315=""),"",IF(AND(P315=$E315,R315=$G315),Auxiliar!$C$11,IF(AND(SIGN($E315-$G315)=SIGN(P315-R315),MAX($E315,$G315)=MAX(P315,R315)),Auxiliar!$C$12,IF(ABS($E315-$G315)=ABS(P315-R315),Auxiliar!$C$13,IF(AND(SIGN($E315-$G315)=SIGN(P315-R315),MIN($E315,$G315)=MIN(P315,R315)),Auxiliar!$C$14,IF(SIGN($E315-$G315)=SIGN(P315-R315),Auxiliar!$C$15,IF(P315=R315,Auxiliar!$C$16,0)))))))</f>
        <v/>
      </c>
      <c r="U315" s="9">
        <v>1</v>
      </c>
      <c r="V315" s="10" t="s">
        <v>23</v>
      </c>
      <c r="W315" s="11">
        <v>5</v>
      </c>
      <c r="X315" s="60" t="str">
        <f>IF(OR($E315="",$G315=""),"",IF(AND(U315=$E315,W315=$G315),Auxiliar!$C$11,IF(AND(SIGN($E315-$G315)=SIGN(U315-W315),MAX($E315,$G315)=MAX(U315,W315)),Auxiliar!$C$12,IF(ABS($E315-$G315)=ABS(U315-W315),Auxiliar!$C$13,IF(AND(SIGN($E315-$G315)=SIGN(U315-W315),MIN($E315,$G315)=MIN(U315,W315)),Auxiliar!$C$14,IF(SIGN($E315-$G315)=SIGN(U315-W315),Auxiliar!$C$15,IF(U315=W315,Auxiliar!$C$16,0)))))))</f>
        <v/>
      </c>
      <c r="Z315" s="9">
        <v>3</v>
      </c>
      <c r="AA315" s="10" t="s">
        <v>23</v>
      </c>
      <c r="AB315" s="11">
        <v>3</v>
      </c>
      <c r="AC315" s="60" t="str">
        <f>IF(OR($E315="",$G315=""),"",IF(AND(Z315=$E315,AB315=$G315),Auxiliar!$C$11,IF(AND(SIGN($E315-$G315)=SIGN(Z315-AB315),MAX($E315,$G315)=MAX(Z315,AB315)),Auxiliar!$C$12,IF(ABS($E315-$G315)=ABS(Z315-AB315),Auxiliar!$C$13,IF(AND(SIGN($E315-$G315)=SIGN(Z315-AB315),MIN($E315,$G315)=MIN(Z315,AB315)),Auxiliar!$C$14,IF(SIGN($E315-$G315)=SIGN(Z315-AB315),Auxiliar!$C$15,IF(Z315=AB315,Auxiliar!$C$16,0)))))))</f>
        <v/>
      </c>
      <c r="AE315" s="9">
        <v>4</v>
      </c>
      <c r="AF315" s="10" t="s">
        <v>23</v>
      </c>
      <c r="AG315" s="11">
        <v>0</v>
      </c>
      <c r="AH315" s="60" t="str">
        <f>IF(OR($E315="",$G315=""),"",IF(AND(AE315=$E315,AG315=$G315),Auxiliar!$C$11,IF(AND(SIGN($E315-$G315)=SIGN(AE315-AG315),MAX($E315,$G315)=MAX(AE315,AG315)),Auxiliar!$C$12,IF(ABS($E315-$G315)=ABS(AE315-AG315),Auxiliar!$C$13,IF(AND(SIGN($E315-$G315)=SIGN(AE315-AG315),MIN($E315,$G315)=MIN(AE315,AG315)),Auxiliar!$C$14,IF(SIGN($E315-$G315)=SIGN(AE315-AG315),Auxiliar!$C$15,IF(AE315=AG315,Auxiliar!$C$16,0)))))))</f>
        <v/>
      </c>
    </row>
    <row r="316" spans="3:34" x14ac:dyDescent="0.25">
      <c r="C316" s="24">
        <f t="shared" si="4"/>
        <v>30</v>
      </c>
      <c r="D316" s="18"/>
      <c r="E316" s="13"/>
      <c r="F316" s="12" t="s">
        <v>23</v>
      </c>
      <c r="G316" s="13"/>
      <c r="H316" s="14"/>
      <c r="K316" s="9">
        <v>3</v>
      </c>
      <c r="L316" s="10" t="s">
        <v>23</v>
      </c>
      <c r="M316" s="11">
        <v>5</v>
      </c>
      <c r="N316" s="60" t="str">
        <f>IF(OR($E316="",$G316=""),"",IF(AND(K316=$E316,M316=$G316),Auxiliar!$C$11,IF(AND(SIGN($E316-$G316)=SIGN(K316-M316),MAX($E316,$G316)=MAX(K316,M316)),Auxiliar!$C$12,IF(ABS($E316-$G316)=ABS(K316-M316),Auxiliar!$C$13,IF(AND(SIGN($E316-$G316)=SIGN(K316-M316),MIN($E316,$G316)=MIN(K316,M316)),Auxiliar!$C$14,IF(SIGN($E316-$G316)=SIGN(K316-M316),Auxiliar!$C$15,IF(K316=M316,Auxiliar!$C$16,0)))))))</f>
        <v/>
      </c>
      <c r="P316" s="9">
        <v>0</v>
      </c>
      <c r="Q316" s="10" t="s">
        <v>23</v>
      </c>
      <c r="R316" s="11">
        <v>1</v>
      </c>
      <c r="S316" s="60" t="str">
        <f>IF(OR($E316="",$G316=""),"",IF(AND(P316=$E316,R316=$G316),Auxiliar!$C$11,IF(AND(SIGN($E316-$G316)=SIGN(P316-R316),MAX($E316,$G316)=MAX(P316,R316)),Auxiliar!$C$12,IF(ABS($E316-$G316)=ABS(P316-R316),Auxiliar!$C$13,IF(AND(SIGN($E316-$G316)=SIGN(P316-R316),MIN($E316,$G316)=MIN(P316,R316)),Auxiliar!$C$14,IF(SIGN($E316-$G316)=SIGN(P316-R316),Auxiliar!$C$15,IF(P316=R316,Auxiliar!$C$16,0)))))))</f>
        <v/>
      </c>
      <c r="U316" s="9">
        <v>5</v>
      </c>
      <c r="V316" s="10" t="s">
        <v>23</v>
      </c>
      <c r="W316" s="11">
        <v>1</v>
      </c>
      <c r="X316" s="60" t="str">
        <f>IF(OR($E316="",$G316=""),"",IF(AND(U316=$E316,W316=$G316),Auxiliar!$C$11,IF(AND(SIGN($E316-$G316)=SIGN(U316-W316),MAX($E316,$G316)=MAX(U316,W316)),Auxiliar!$C$12,IF(ABS($E316-$G316)=ABS(U316-W316),Auxiliar!$C$13,IF(AND(SIGN($E316-$G316)=SIGN(U316-W316),MIN($E316,$G316)=MIN(U316,W316)),Auxiliar!$C$14,IF(SIGN($E316-$G316)=SIGN(U316-W316),Auxiliar!$C$15,IF(U316=W316,Auxiliar!$C$16,0)))))))</f>
        <v/>
      </c>
      <c r="Z316" s="9">
        <v>3</v>
      </c>
      <c r="AA316" s="10" t="s">
        <v>23</v>
      </c>
      <c r="AB316" s="11">
        <v>0</v>
      </c>
      <c r="AC316" s="60" t="str">
        <f>IF(OR($E316="",$G316=""),"",IF(AND(Z316=$E316,AB316=$G316),Auxiliar!$C$11,IF(AND(SIGN($E316-$G316)=SIGN(Z316-AB316),MAX($E316,$G316)=MAX(Z316,AB316)),Auxiliar!$C$12,IF(ABS($E316-$G316)=ABS(Z316-AB316),Auxiliar!$C$13,IF(AND(SIGN($E316-$G316)=SIGN(Z316-AB316),MIN($E316,$G316)=MIN(Z316,AB316)),Auxiliar!$C$14,IF(SIGN($E316-$G316)=SIGN(Z316-AB316),Auxiliar!$C$15,IF(Z316=AB316,Auxiliar!$C$16,0)))))))</f>
        <v/>
      </c>
      <c r="AE316" s="9">
        <v>0</v>
      </c>
      <c r="AF316" s="10" t="s">
        <v>23</v>
      </c>
      <c r="AG316" s="11">
        <v>0</v>
      </c>
      <c r="AH316" s="60" t="str">
        <f>IF(OR($E316="",$G316=""),"",IF(AND(AE316=$E316,AG316=$G316),Auxiliar!$C$11,IF(AND(SIGN($E316-$G316)=SIGN(AE316-AG316),MAX($E316,$G316)=MAX(AE316,AG316)),Auxiliar!$C$12,IF(ABS($E316-$G316)=ABS(AE316-AG316),Auxiliar!$C$13,IF(AND(SIGN($E316-$G316)=SIGN(AE316-AG316),MIN($E316,$G316)=MIN(AE316,AG316)),Auxiliar!$C$14,IF(SIGN($E316-$G316)=SIGN(AE316-AG316),Auxiliar!$C$15,IF(AE316=AG316,Auxiliar!$C$16,0)))))))</f>
        <v/>
      </c>
    </row>
    <row r="317" spans="3:34" x14ac:dyDescent="0.25">
      <c r="C317" s="24">
        <f t="shared" si="4"/>
        <v>30</v>
      </c>
      <c r="D317" s="18"/>
      <c r="E317" s="13"/>
      <c r="F317" s="12" t="s">
        <v>23</v>
      </c>
      <c r="G317" s="13"/>
      <c r="H317" s="14"/>
      <c r="K317" s="9">
        <v>0</v>
      </c>
      <c r="L317" s="10" t="s">
        <v>23</v>
      </c>
      <c r="M317" s="11">
        <v>5</v>
      </c>
      <c r="N317" s="60" t="str">
        <f>IF(OR($E317="",$G317=""),"",IF(AND(K317=$E317,M317=$G317),Auxiliar!$C$11,IF(AND(SIGN($E317-$G317)=SIGN(K317-M317),MAX($E317,$G317)=MAX(K317,M317)),Auxiliar!$C$12,IF(ABS($E317-$G317)=ABS(K317-M317),Auxiliar!$C$13,IF(AND(SIGN($E317-$G317)=SIGN(K317-M317),MIN($E317,$G317)=MIN(K317,M317)),Auxiliar!$C$14,IF(SIGN($E317-$G317)=SIGN(K317-M317),Auxiliar!$C$15,IF(K317=M317,Auxiliar!$C$16,0)))))))</f>
        <v/>
      </c>
      <c r="P317" s="9">
        <v>4</v>
      </c>
      <c r="Q317" s="10" t="s">
        <v>23</v>
      </c>
      <c r="R317" s="11">
        <v>4</v>
      </c>
      <c r="S317" s="60" t="str">
        <f>IF(OR($E317="",$G317=""),"",IF(AND(P317=$E317,R317=$G317),Auxiliar!$C$11,IF(AND(SIGN($E317-$G317)=SIGN(P317-R317),MAX($E317,$G317)=MAX(P317,R317)),Auxiliar!$C$12,IF(ABS($E317-$G317)=ABS(P317-R317),Auxiliar!$C$13,IF(AND(SIGN($E317-$G317)=SIGN(P317-R317),MIN($E317,$G317)=MIN(P317,R317)),Auxiliar!$C$14,IF(SIGN($E317-$G317)=SIGN(P317-R317),Auxiliar!$C$15,IF(P317=R317,Auxiliar!$C$16,0)))))))</f>
        <v/>
      </c>
      <c r="U317" s="9">
        <v>5</v>
      </c>
      <c r="V317" s="10" t="s">
        <v>23</v>
      </c>
      <c r="W317" s="11">
        <v>5</v>
      </c>
      <c r="X317" s="60" t="str">
        <f>IF(OR($E317="",$G317=""),"",IF(AND(U317=$E317,W317=$G317),Auxiliar!$C$11,IF(AND(SIGN($E317-$G317)=SIGN(U317-W317),MAX($E317,$G317)=MAX(U317,W317)),Auxiliar!$C$12,IF(ABS($E317-$G317)=ABS(U317-W317),Auxiliar!$C$13,IF(AND(SIGN($E317-$G317)=SIGN(U317-W317),MIN($E317,$G317)=MIN(U317,W317)),Auxiliar!$C$14,IF(SIGN($E317-$G317)=SIGN(U317-W317),Auxiliar!$C$15,IF(U317=W317,Auxiliar!$C$16,0)))))))</f>
        <v/>
      </c>
      <c r="Z317" s="9">
        <v>4</v>
      </c>
      <c r="AA317" s="10" t="s">
        <v>23</v>
      </c>
      <c r="AB317" s="11">
        <v>0</v>
      </c>
      <c r="AC317" s="60" t="str">
        <f>IF(OR($E317="",$G317=""),"",IF(AND(Z317=$E317,AB317=$G317),Auxiliar!$C$11,IF(AND(SIGN($E317-$G317)=SIGN(Z317-AB317),MAX($E317,$G317)=MAX(Z317,AB317)),Auxiliar!$C$12,IF(ABS($E317-$G317)=ABS(Z317-AB317),Auxiliar!$C$13,IF(AND(SIGN($E317-$G317)=SIGN(Z317-AB317),MIN($E317,$G317)=MIN(Z317,AB317)),Auxiliar!$C$14,IF(SIGN($E317-$G317)=SIGN(Z317-AB317),Auxiliar!$C$15,IF(Z317=AB317,Auxiliar!$C$16,0)))))))</f>
        <v/>
      </c>
      <c r="AE317" s="9">
        <v>3</v>
      </c>
      <c r="AF317" s="10" t="s">
        <v>23</v>
      </c>
      <c r="AG317" s="11">
        <v>1</v>
      </c>
      <c r="AH317" s="60" t="str">
        <f>IF(OR($E317="",$G317=""),"",IF(AND(AE317=$E317,AG317=$G317),Auxiliar!$C$11,IF(AND(SIGN($E317-$G317)=SIGN(AE317-AG317),MAX($E317,$G317)=MAX(AE317,AG317)),Auxiliar!$C$12,IF(ABS($E317-$G317)=ABS(AE317-AG317),Auxiliar!$C$13,IF(AND(SIGN($E317-$G317)=SIGN(AE317-AG317),MIN($E317,$G317)=MIN(AE317,AG317)),Auxiliar!$C$14,IF(SIGN($E317-$G317)=SIGN(AE317-AG317),Auxiliar!$C$15,IF(AE317=AG317,Auxiliar!$C$16,0)))))))</f>
        <v/>
      </c>
    </row>
    <row r="318" spans="3:34" x14ac:dyDescent="0.25">
      <c r="C318" s="24">
        <f t="shared" si="4"/>
        <v>30</v>
      </c>
      <c r="D318" s="18"/>
      <c r="E318" s="13"/>
      <c r="F318" s="12" t="s">
        <v>23</v>
      </c>
      <c r="G318" s="13"/>
      <c r="H318" s="14"/>
      <c r="K318" s="9">
        <v>4</v>
      </c>
      <c r="L318" s="10" t="s">
        <v>23</v>
      </c>
      <c r="M318" s="11">
        <v>0</v>
      </c>
      <c r="N318" s="60" t="str">
        <f>IF(OR($E318="",$G318=""),"",IF(AND(K318=$E318,M318=$G318),Auxiliar!$C$11,IF(AND(SIGN($E318-$G318)=SIGN(K318-M318),MAX($E318,$G318)=MAX(K318,M318)),Auxiliar!$C$12,IF(ABS($E318-$G318)=ABS(K318-M318),Auxiliar!$C$13,IF(AND(SIGN($E318-$G318)=SIGN(K318-M318),MIN($E318,$G318)=MIN(K318,M318)),Auxiliar!$C$14,IF(SIGN($E318-$G318)=SIGN(K318-M318),Auxiliar!$C$15,IF(K318=M318,Auxiliar!$C$16,0)))))))</f>
        <v/>
      </c>
      <c r="P318" s="9">
        <v>2</v>
      </c>
      <c r="Q318" s="10" t="s">
        <v>23</v>
      </c>
      <c r="R318" s="11">
        <v>4</v>
      </c>
      <c r="S318" s="60" t="str">
        <f>IF(OR($E318="",$G318=""),"",IF(AND(P318=$E318,R318=$G318),Auxiliar!$C$11,IF(AND(SIGN($E318-$G318)=SIGN(P318-R318),MAX($E318,$G318)=MAX(P318,R318)),Auxiliar!$C$12,IF(ABS($E318-$G318)=ABS(P318-R318),Auxiliar!$C$13,IF(AND(SIGN($E318-$G318)=SIGN(P318-R318),MIN($E318,$G318)=MIN(P318,R318)),Auxiliar!$C$14,IF(SIGN($E318-$G318)=SIGN(P318-R318),Auxiliar!$C$15,IF(P318=R318,Auxiliar!$C$16,0)))))))</f>
        <v/>
      </c>
      <c r="U318" s="9">
        <v>3</v>
      </c>
      <c r="V318" s="10" t="s">
        <v>23</v>
      </c>
      <c r="W318" s="11">
        <v>4</v>
      </c>
      <c r="X318" s="60" t="str">
        <f>IF(OR($E318="",$G318=""),"",IF(AND(U318=$E318,W318=$G318),Auxiliar!$C$11,IF(AND(SIGN($E318-$G318)=SIGN(U318-W318),MAX($E318,$G318)=MAX(U318,W318)),Auxiliar!$C$12,IF(ABS($E318-$G318)=ABS(U318-W318),Auxiliar!$C$13,IF(AND(SIGN($E318-$G318)=SIGN(U318-W318),MIN($E318,$G318)=MIN(U318,W318)),Auxiliar!$C$14,IF(SIGN($E318-$G318)=SIGN(U318-W318),Auxiliar!$C$15,IF(U318=W318,Auxiliar!$C$16,0)))))))</f>
        <v/>
      </c>
      <c r="Z318" s="9">
        <v>1</v>
      </c>
      <c r="AA318" s="10" t="s">
        <v>23</v>
      </c>
      <c r="AB318" s="11">
        <v>4</v>
      </c>
      <c r="AC318" s="60" t="str">
        <f>IF(OR($E318="",$G318=""),"",IF(AND(Z318=$E318,AB318=$G318),Auxiliar!$C$11,IF(AND(SIGN($E318-$G318)=SIGN(Z318-AB318),MAX($E318,$G318)=MAX(Z318,AB318)),Auxiliar!$C$12,IF(ABS($E318-$G318)=ABS(Z318-AB318),Auxiliar!$C$13,IF(AND(SIGN($E318-$G318)=SIGN(Z318-AB318),MIN($E318,$G318)=MIN(Z318,AB318)),Auxiliar!$C$14,IF(SIGN($E318-$G318)=SIGN(Z318-AB318),Auxiliar!$C$15,IF(Z318=AB318,Auxiliar!$C$16,0)))))))</f>
        <v/>
      </c>
      <c r="AE318" s="9">
        <v>5</v>
      </c>
      <c r="AF318" s="10" t="s">
        <v>23</v>
      </c>
      <c r="AG318" s="11">
        <v>0</v>
      </c>
      <c r="AH318" s="60" t="str">
        <f>IF(OR($E318="",$G318=""),"",IF(AND(AE318=$E318,AG318=$G318),Auxiliar!$C$11,IF(AND(SIGN($E318-$G318)=SIGN(AE318-AG318),MAX($E318,$G318)=MAX(AE318,AG318)),Auxiliar!$C$12,IF(ABS($E318-$G318)=ABS(AE318-AG318),Auxiliar!$C$13,IF(AND(SIGN($E318-$G318)=SIGN(AE318-AG318),MIN($E318,$G318)=MIN(AE318,AG318)),Auxiliar!$C$14,IF(SIGN($E318-$G318)=SIGN(AE318-AG318),Auxiliar!$C$15,IF(AE318=AG318,Auxiliar!$C$16,0)))))))</f>
        <v/>
      </c>
    </row>
    <row r="319" spans="3:34" x14ac:dyDescent="0.25">
      <c r="C319" s="24">
        <f t="shared" si="4"/>
        <v>31</v>
      </c>
      <c r="D319" s="18"/>
      <c r="E319" s="13"/>
      <c r="F319" s="12" t="s">
        <v>23</v>
      </c>
      <c r="G319" s="13"/>
      <c r="H319" s="14"/>
      <c r="K319" s="9">
        <v>0</v>
      </c>
      <c r="L319" s="10" t="s">
        <v>23</v>
      </c>
      <c r="M319" s="11">
        <v>5</v>
      </c>
      <c r="N319" s="60" t="str">
        <f>IF(OR($E319="",$G319=""),"",IF(AND(K319=$E319,M319=$G319),Auxiliar!$C$11,IF(AND(SIGN($E319-$G319)=SIGN(K319-M319),MAX($E319,$G319)=MAX(K319,M319)),Auxiliar!$C$12,IF(ABS($E319-$G319)=ABS(K319-M319),Auxiliar!$C$13,IF(AND(SIGN($E319-$G319)=SIGN(K319-M319),MIN($E319,$G319)=MIN(K319,M319)),Auxiliar!$C$14,IF(SIGN($E319-$G319)=SIGN(K319-M319),Auxiliar!$C$15,IF(K319=M319,Auxiliar!$C$16,0)))))))</f>
        <v/>
      </c>
      <c r="P319" s="9">
        <v>2</v>
      </c>
      <c r="Q319" s="10" t="s">
        <v>23</v>
      </c>
      <c r="R319" s="11">
        <v>3</v>
      </c>
      <c r="S319" s="60" t="str">
        <f>IF(OR($E319="",$G319=""),"",IF(AND(P319=$E319,R319=$G319),Auxiliar!$C$11,IF(AND(SIGN($E319-$G319)=SIGN(P319-R319),MAX($E319,$G319)=MAX(P319,R319)),Auxiliar!$C$12,IF(ABS($E319-$G319)=ABS(P319-R319),Auxiliar!$C$13,IF(AND(SIGN($E319-$G319)=SIGN(P319-R319),MIN($E319,$G319)=MIN(P319,R319)),Auxiliar!$C$14,IF(SIGN($E319-$G319)=SIGN(P319-R319),Auxiliar!$C$15,IF(P319=R319,Auxiliar!$C$16,0)))))))</f>
        <v/>
      </c>
      <c r="U319" s="9">
        <v>3</v>
      </c>
      <c r="V319" s="10" t="s">
        <v>23</v>
      </c>
      <c r="W319" s="11">
        <v>1</v>
      </c>
      <c r="X319" s="60" t="str">
        <f>IF(OR($E319="",$G319=""),"",IF(AND(U319=$E319,W319=$G319),Auxiliar!$C$11,IF(AND(SIGN($E319-$G319)=SIGN(U319-W319),MAX($E319,$G319)=MAX(U319,W319)),Auxiliar!$C$12,IF(ABS($E319-$G319)=ABS(U319-W319),Auxiliar!$C$13,IF(AND(SIGN($E319-$G319)=SIGN(U319-W319),MIN($E319,$G319)=MIN(U319,W319)),Auxiliar!$C$14,IF(SIGN($E319-$G319)=SIGN(U319-W319),Auxiliar!$C$15,IF(U319=W319,Auxiliar!$C$16,0)))))))</f>
        <v/>
      </c>
      <c r="Z319" s="9">
        <v>0</v>
      </c>
      <c r="AA319" s="10" t="s">
        <v>23</v>
      </c>
      <c r="AB319" s="11">
        <v>2</v>
      </c>
      <c r="AC319" s="60" t="str">
        <f>IF(OR($E319="",$G319=""),"",IF(AND(Z319=$E319,AB319=$G319),Auxiliar!$C$11,IF(AND(SIGN($E319-$G319)=SIGN(Z319-AB319),MAX($E319,$G319)=MAX(Z319,AB319)),Auxiliar!$C$12,IF(ABS($E319-$G319)=ABS(Z319-AB319),Auxiliar!$C$13,IF(AND(SIGN($E319-$G319)=SIGN(Z319-AB319),MIN($E319,$G319)=MIN(Z319,AB319)),Auxiliar!$C$14,IF(SIGN($E319-$G319)=SIGN(Z319-AB319),Auxiliar!$C$15,IF(Z319=AB319,Auxiliar!$C$16,0)))))))</f>
        <v/>
      </c>
      <c r="AE319" s="9">
        <v>5</v>
      </c>
      <c r="AF319" s="10" t="s">
        <v>23</v>
      </c>
      <c r="AG319" s="11">
        <v>2</v>
      </c>
      <c r="AH319" s="60" t="str">
        <f>IF(OR($E319="",$G319=""),"",IF(AND(AE319=$E319,AG319=$G319),Auxiliar!$C$11,IF(AND(SIGN($E319-$G319)=SIGN(AE319-AG319),MAX($E319,$G319)=MAX(AE319,AG319)),Auxiliar!$C$12,IF(ABS($E319-$G319)=ABS(AE319-AG319),Auxiliar!$C$13,IF(AND(SIGN($E319-$G319)=SIGN(AE319-AG319),MIN($E319,$G319)=MIN(AE319,AG319)),Auxiliar!$C$14,IF(SIGN($E319-$G319)=SIGN(AE319-AG319),Auxiliar!$C$15,IF(AE319=AG319,Auxiliar!$C$16,0)))))))</f>
        <v/>
      </c>
    </row>
    <row r="320" spans="3:34" x14ac:dyDescent="0.25">
      <c r="C320" s="24">
        <f t="shared" si="4"/>
        <v>31</v>
      </c>
      <c r="D320" s="18"/>
      <c r="E320" s="13"/>
      <c r="F320" s="12" t="s">
        <v>23</v>
      </c>
      <c r="G320" s="13"/>
      <c r="H320" s="14"/>
      <c r="K320" s="9">
        <v>1</v>
      </c>
      <c r="L320" s="10" t="s">
        <v>23</v>
      </c>
      <c r="M320" s="11">
        <v>2</v>
      </c>
      <c r="N320" s="60" t="str">
        <f>IF(OR($E320="",$G320=""),"",IF(AND(K320=$E320,M320=$G320),Auxiliar!$C$11,IF(AND(SIGN($E320-$G320)=SIGN(K320-M320),MAX($E320,$G320)=MAX(K320,M320)),Auxiliar!$C$12,IF(ABS($E320-$G320)=ABS(K320-M320),Auxiliar!$C$13,IF(AND(SIGN($E320-$G320)=SIGN(K320-M320),MIN($E320,$G320)=MIN(K320,M320)),Auxiliar!$C$14,IF(SIGN($E320-$G320)=SIGN(K320-M320),Auxiliar!$C$15,IF(K320=M320,Auxiliar!$C$16,0)))))))</f>
        <v/>
      </c>
      <c r="P320" s="9">
        <v>5</v>
      </c>
      <c r="Q320" s="10" t="s">
        <v>23</v>
      </c>
      <c r="R320" s="11">
        <v>2</v>
      </c>
      <c r="S320" s="60" t="str">
        <f>IF(OR($E320="",$G320=""),"",IF(AND(P320=$E320,R320=$G320),Auxiliar!$C$11,IF(AND(SIGN($E320-$G320)=SIGN(P320-R320),MAX($E320,$G320)=MAX(P320,R320)),Auxiliar!$C$12,IF(ABS($E320-$G320)=ABS(P320-R320),Auxiliar!$C$13,IF(AND(SIGN($E320-$G320)=SIGN(P320-R320),MIN($E320,$G320)=MIN(P320,R320)),Auxiliar!$C$14,IF(SIGN($E320-$G320)=SIGN(P320-R320),Auxiliar!$C$15,IF(P320=R320,Auxiliar!$C$16,0)))))))</f>
        <v/>
      </c>
      <c r="U320" s="9">
        <v>2</v>
      </c>
      <c r="V320" s="10" t="s">
        <v>23</v>
      </c>
      <c r="W320" s="11">
        <v>1</v>
      </c>
      <c r="X320" s="60" t="str">
        <f>IF(OR($E320="",$G320=""),"",IF(AND(U320=$E320,W320=$G320),Auxiliar!$C$11,IF(AND(SIGN($E320-$G320)=SIGN(U320-W320),MAX($E320,$G320)=MAX(U320,W320)),Auxiliar!$C$12,IF(ABS($E320-$G320)=ABS(U320-W320),Auxiliar!$C$13,IF(AND(SIGN($E320-$G320)=SIGN(U320-W320),MIN($E320,$G320)=MIN(U320,W320)),Auxiliar!$C$14,IF(SIGN($E320-$G320)=SIGN(U320-W320),Auxiliar!$C$15,IF(U320=W320,Auxiliar!$C$16,0)))))))</f>
        <v/>
      </c>
      <c r="Z320" s="9">
        <v>0</v>
      </c>
      <c r="AA320" s="10" t="s">
        <v>23</v>
      </c>
      <c r="AB320" s="11">
        <v>2</v>
      </c>
      <c r="AC320" s="60" t="str">
        <f>IF(OR($E320="",$G320=""),"",IF(AND(Z320=$E320,AB320=$G320),Auxiliar!$C$11,IF(AND(SIGN($E320-$G320)=SIGN(Z320-AB320),MAX($E320,$G320)=MAX(Z320,AB320)),Auxiliar!$C$12,IF(ABS($E320-$G320)=ABS(Z320-AB320),Auxiliar!$C$13,IF(AND(SIGN($E320-$G320)=SIGN(Z320-AB320),MIN($E320,$G320)=MIN(Z320,AB320)),Auxiliar!$C$14,IF(SIGN($E320-$G320)=SIGN(Z320-AB320),Auxiliar!$C$15,IF(Z320=AB320,Auxiliar!$C$16,0)))))))</f>
        <v/>
      </c>
      <c r="AE320" s="9">
        <v>2</v>
      </c>
      <c r="AF320" s="10" t="s">
        <v>23</v>
      </c>
      <c r="AG320" s="11">
        <v>2</v>
      </c>
      <c r="AH320" s="60" t="str">
        <f>IF(OR($E320="",$G320=""),"",IF(AND(AE320=$E320,AG320=$G320),Auxiliar!$C$11,IF(AND(SIGN($E320-$G320)=SIGN(AE320-AG320),MAX($E320,$G320)=MAX(AE320,AG320)),Auxiliar!$C$12,IF(ABS($E320-$G320)=ABS(AE320-AG320),Auxiliar!$C$13,IF(AND(SIGN($E320-$G320)=SIGN(AE320-AG320),MIN($E320,$G320)=MIN(AE320,AG320)),Auxiliar!$C$14,IF(SIGN($E320-$G320)=SIGN(AE320-AG320),Auxiliar!$C$15,IF(AE320=AG320,Auxiliar!$C$16,0)))))))</f>
        <v/>
      </c>
    </row>
    <row r="321" spans="3:34" x14ac:dyDescent="0.25">
      <c r="C321" s="24">
        <f t="shared" si="4"/>
        <v>31</v>
      </c>
      <c r="D321" s="18"/>
      <c r="E321" s="13"/>
      <c r="F321" s="12" t="s">
        <v>23</v>
      </c>
      <c r="G321" s="13"/>
      <c r="H321" s="14"/>
      <c r="K321" s="9">
        <v>3</v>
      </c>
      <c r="L321" s="10" t="s">
        <v>23</v>
      </c>
      <c r="M321" s="11">
        <v>5</v>
      </c>
      <c r="N321" s="60" t="str">
        <f>IF(OR($E321="",$G321=""),"",IF(AND(K321=$E321,M321=$G321),Auxiliar!$C$11,IF(AND(SIGN($E321-$G321)=SIGN(K321-M321),MAX($E321,$G321)=MAX(K321,M321)),Auxiliar!$C$12,IF(ABS($E321-$G321)=ABS(K321-M321),Auxiliar!$C$13,IF(AND(SIGN($E321-$G321)=SIGN(K321-M321),MIN($E321,$G321)=MIN(K321,M321)),Auxiliar!$C$14,IF(SIGN($E321-$G321)=SIGN(K321-M321),Auxiliar!$C$15,IF(K321=M321,Auxiliar!$C$16,0)))))))</f>
        <v/>
      </c>
      <c r="P321" s="9">
        <v>0</v>
      </c>
      <c r="Q321" s="10" t="s">
        <v>23</v>
      </c>
      <c r="R321" s="11">
        <v>5</v>
      </c>
      <c r="S321" s="60" t="str">
        <f>IF(OR($E321="",$G321=""),"",IF(AND(P321=$E321,R321=$G321),Auxiliar!$C$11,IF(AND(SIGN($E321-$G321)=SIGN(P321-R321),MAX($E321,$G321)=MAX(P321,R321)),Auxiliar!$C$12,IF(ABS($E321-$G321)=ABS(P321-R321),Auxiliar!$C$13,IF(AND(SIGN($E321-$G321)=SIGN(P321-R321),MIN($E321,$G321)=MIN(P321,R321)),Auxiliar!$C$14,IF(SIGN($E321-$G321)=SIGN(P321-R321),Auxiliar!$C$15,IF(P321=R321,Auxiliar!$C$16,0)))))))</f>
        <v/>
      </c>
      <c r="U321" s="9">
        <v>2</v>
      </c>
      <c r="V321" s="10" t="s">
        <v>23</v>
      </c>
      <c r="W321" s="11">
        <v>5</v>
      </c>
      <c r="X321" s="60" t="str">
        <f>IF(OR($E321="",$G321=""),"",IF(AND(U321=$E321,W321=$G321),Auxiliar!$C$11,IF(AND(SIGN($E321-$G321)=SIGN(U321-W321),MAX($E321,$G321)=MAX(U321,W321)),Auxiliar!$C$12,IF(ABS($E321-$G321)=ABS(U321-W321),Auxiliar!$C$13,IF(AND(SIGN($E321-$G321)=SIGN(U321-W321),MIN($E321,$G321)=MIN(U321,W321)),Auxiliar!$C$14,IF(SIGN($E321-$G321)=SIGN(U321-W321),Auxiliar!$C$15,IF(U321=W321,Auxiliar!$C$16,0)))))))</f>
        <v/>
      </c>
      <c r="Z321" s="9">
        <v>0</v>
      </c>
      <c r="AA321" s="10" t="s">
        <v>23</v>
      </c>
      <c r="AB321" s="11">
        <v>0</v>
      </c>
      <c r="AC321" s="60" t="str">
        <f>IF(OR($E321="",$G321=""),"",IF(AND(Z321=$E321,AB321=$G321),Auxiliar!$C$11,IF(AND(SIGN($E321-$G321)=SIGN(Z321-AB321),MAX($E321,$G321)=MAX(Z321,AB321)),Auxiliar!$C$12,IF(ABS($E321-$G321)=ABS(Z321-AB321),Auxiliar!$C$13,IF(AND(SIGN($E321-$G321)=SIGN(Z321-AB321),MIN($E321,$G321)=MIN(Z321,AB321)),Auxiliar!$C$14,IF(SIGN($E321-$G321)=SIGN(Z321-AB321),Auxiliar!$C$15,IF(Z321=AB321,Auxiliar!$C$16,0)))))))</f>
        <v/>
      </c>
      <c r="AE321" s="9">
        <v>5</v>
      </c>
      <c r="AF321" s="10" t="s">
        <v>23</v>
      </c>
      <c r="AG321" s="11">
        <v>5</v>
      </c>
      <c r="AH321" s="60" t="str">
        <f>IF(OR($E321="",$G321=""),"",IF(AND(AE321=$E321,AG321=$G321),Auxiliar!$C$11,IF(AND(SIGN($E321-$G321)=SIGN(AE321-AG321),MAX($E321,$G321)=MAX(AE321,AG321)),Auxiliar!$C$12,IF(ABS($E321-$G321)=ABS(AE321-AG321),Auxiliar!$C$13,IF(AND(SIGN($E321-$G321)=SIGN(AE321-AG321),MIN($E321,$G321)=MIN(AE321,AG321)),Auxiliar!$C$14,IF(SIGN($E321-$G321)=SIGN(AE321-AG321),Auxiliar!$C$15,IF(AE321=AG321,Auxiliar!$C$16,0)))))))</f>
        <v/>
      </c>
    </row>
    <row r="322" spans="3:34" x14ac:dyDescent="0.25">
      <c r="C322" s="24">
        <f t="shared" si="4"/>
        <v>31</v>
      </c>
      <c r="D322" s="18"/>
      <c r="E322" s="13"/>
      <c r="F322" s="12" t="s">
        <v>23</v>
      </c>
      <c r="G322" s="13"/>
      <c r="H322" s="14"/>
      <c r="K322" s="9">
        <v>2</v>
      </c>
      <c r="L322" s="10" t="s">
        <v>23</v>
      </c>
      <c r="M322" s="11">
        <v>3</v>
      </c>
      <c r="N322" s="60" t="str">
        <f>IF(OR($E322="",$G322=""),"",IF(AND(K322=$E322,M322=$G322),Auxiliar!$C$11,IF(AND(SIGN($E322-$G322)=SIGN(K322-M322),MAX($E322,$G322)=MAX(K322,M322)),Auxiliar!$C$12,IF(ABS($E322-$G322)=ABS(K322-M322),Auxiliar!$C$13,IF(AND(SIGN($E322-$G322)=SIGN(K322-M322),MIN($E322,$G322)=MIN(K322,M322)),Auxiliar!$C$14,IF(SIGN($E322-$G322)=SIGN(K322-M322),Auxiliar!$C$15,IF(K322=M322,Auxiliar!$C$16,0)))))))</f>
        <v/>
      </c>
      <c r="P322" s="9">
        <v>2</v>
      </c>
      <c r="Q322" s="10" t="s">
        <v>23</v>
      </c>
      <c r="R322" s="11">
        <v>4</v>
      </c>
      <c r="S322" s="60" t="str">
        <f>IF(OR($E322="",$G322=""),"",IF(AND(P322=$E322,R322=$G322),Auxiliar!$C$11,IF(AND(SIGN($E322-$G322)=SIGN(P322-R322),MAX($E322,$G322)=MAX(P322,R322)),Auxiliar!$C$12,IF(ABS($E322-$G322)=ABS(P322-R322),Auxiliar!$C$13,IF(AND(SIGN($E322-$G322)=SIGN(P322-R322),MIN($E322,$G322)=MIN(P322,R322)),Auxiliar!$C$14,IF(SIGN($E322-$G322)=SIGN(P322-R322),Auxiliar!$C$15,IF(P322=R322,Auxiliar!$C$16,0)))))))</f>
        <v/>
      </c>
      <c r="U322" s="9">
        <v>2</v>
      </c>
      <c r="V322" s="10" t="s">
        <v>23</v>
      </c>
      <c r="W322" s="11">
        <v>2</v>
      </c>
      <c r="X322" s="60" t="str">
        <f>IF(OR($E322="",$G322=""),"",IF(AND(U322=$E322,W322=$G322),Auxiliar!$C$11,IF(AND(SIGN($E322-$G322)=SIGN(U322-W322),MAX($E322,$G322)=MAX(U322,W322)),Auxiliar!$C$12,IF(ABS($E322-$G322)=ABS(U322-W322),Auxiliar!$C$13,IF(AND(SIGN($E322-$G322)=SIGN(U322-W322),MIN($E322,$G322)=MIN(U322,W322)),Auxiliar!$C$14,IF(SIGN($E322-$G322)=SIGN(U322-W322),Auxiliar!$C$15,IF(U322=W322,Auxiliar!$C$16,0)))))))</f>
        <v/>
      </c>
      <c r="Z322" s="9">
        <v>1</v>
      </c>
      <c r="AA322" s="10" t="s">
        <v>23</v>
      </c>
      <c r="AB322" s="11">
        <v>3</v>
      </c>
      <c r="AC322" s="60" t="str">
        <f>IF(OR($E322="",$G322=""),"",IF(AND(Z322=$E322,AB322=$G322),Auxiliar!$C$11,IF(AND(SIGN($E322-$G322)=SIGN(Z322-AB322),MAX($E322,$G322)=MAX(Z322,AB322)),Auxiliar!$C$12,IF(ABS($E322-$G322)=ABS(Z322-AB322),Auxiliar!$C$13,IF(AND(SIGN($E322-$G322)=SIGN(Z322-AB322),MIN($E322,$G322)=MIN(Z322,AB322)),Auxiliar!$C$14,IF(SIGN($E322-$G322)=SIGN(Z322-AB322),Auxiliar!$C$15,IF(Z322=AB322,Auxiliar!$C$16,0)))))))</f>
        <v/>
      </c>
      <c r="AE322" s="9">
        <v>3</v>
      </c>
      <c r="AF322" s="10" t="s">
        <v>23</v>
      </c>
      <c r="AG322" s="11">
        <v>5</v>
      </c>
      <c r="AH322" s="60" t="str">
        <f>IF(OR($E322="",$G322=""),"",IF(AND(AE322=$E322,AG322=$G322),Auxiliar!$C$11,IF(AND(SIGN($E322-$G322)=SIGN(AE322-AG322),MAX($E322,$G322)=MAX(AE322,AG322)),Auxiliar!$C$12,IF(ABS($E322-$G322)=ABS(AE322-AG322),Auxiliar!$C$13,IF(AND(SIGN($E322-$G322)=SIGN(AE322-AG322),MIN($E322,$G322)=MIN(AE322,AG322)),Auxiliar!$C$14,IF(SIGN($E322-$G322)=SIGN(AE322-AG322),Auxiliar!$C$15,IF(AE322=AG322,Auxiliar!$C$16,0)))))))</f>
        <v/>
      </c>
    </row>
    <row r="323" spans="3:34" x14ac:dyDescent="0.25">
      <c r="C323" s="24">
        <f t="shared" si="4"/>
        <v>31</v>
      </c>
      <c r="D323" s="18"/>
      <c r="E323" s="13"/>
      <c r="F323" s="12" t="s">
        <v>23</v>
      </c>
      <c r="G323" s="13"/>
      <c r="H323" s="14"/>
      <c r="K323" s="9">
        <v>4</v>
      </c>
      <c r="L323" s="10" t="s">
        <v>23</v>
      </c>
      <c r="M323" s="11">
        <v>0</v>
      </c>
      <c r="N323" s="60" t="str">
        <f>IF(OR($E323="",$G323=""),"",IF(AND(K323=$E323,M323=$G323),Auxiliar!$C$11,IF(AND(SIGN($E323-$G323)=SIGN(K323-M323),MAX($E323,$G323)=MAX(K323,M323)),Auxiliar!$C$12,IF(ABS($E323-$G323)=ABS(K323-M323),Auxiliar!$C$13,IF(AND(SIGN($E323-$G323)=SIGN(K323-M323),MIN($E323,$G323)=MIN(K323,M323)),Auxiliar!$C$14,IF(SIGN($E323-$G323)=SIGN(K323-M323),Auxiliar!$C$15,IF(K323=M323,Auxiliar!$C$16,0)))))))</f>
        <v/>
      </c>
      <c r="P323" s="9">
        <v>2</v>
      </c>
      <c r="Q323" s="10" t="s">
        <v>23</v>
      </c>
      <c r="R323" s="11">
        <v>2</v>
      </c>
      <c r="S323" s="60" t="str">
        <f>IF(OR($E323="",$G323=""),"",IF(AND(P323=$E323,R323=$G323),Auxiliar!$C$11,IF(AND(SIGN($E323-$G323)=SIGN(P323-R323),MAX($E323,$G323)=MAX(P323,R323)),Auxiliar!$C$12,IF(ABS($E323-$G323)=ABS(P323-R323),Auxiliar!$C$13,IF(AND(SIGN($E323-$G323)=SIGN(P323-R323),MIN($E323,$G323)=MIN(P323,R323)),Auxiliar!$C$14,IF(SIGN($E323-$G323)=SIGN(P323-R323),Auxiliar!$C$15,IF(P323=R323,Auxiliar!$C$16,0)))))))</f>
        <v/>
      </c>
      <c r="U323" s="9">
        <v>4</v>
      </c>
      <c r="V323" s="10" t="s">
        <v>23</v>
      </c>
      <c r="W323" s="11">
        <v>2</v>
      </c>
      <c r="X323" s="60" t="str">
        <f>IF(OR($E323="",$G323=""),"",IF(AND(U323=$E323,W323=$G323),Auxiliar!$C$11,IF(AND(SIGN($E323-$G323)=SIGN(U323-W323),MAX($E323,$G323)=MAX(U323,W323)),Auxiliar!$C$12,IF(ABS($E323-$G323)=ABS(U323-W323),Auxiliar!$C$13,IF(AND(SIGN($E323-$G323)=SIGN(U323-W323),MIN($E323,$G323)=MIN(U323,W323)),Auxiliar!$C$14,IF(SIGN($E323-$G323)=SIGN(U323-W323),Auxiliar!$C$15,IF(U323=W323,Auxiliar!$C$16,0)))))))</f>
        <v/>
      </c>
      <c r="Z323" s="9">
        <v>3</v>
      </c>
      <c r="AA323" s="10" t="s">
        <v>23</v>
      </c>
      <c r="AB323" s="11">
        <v>5</v>
      </c>
      <c r="AC323" s="60" t="str">
        <f>IF(OR($E323="",$G323=""),"",IF(AND(Z323=$E323,AB323=$G323),Auxiliar!$C$11,IF(AND(SIGN($E323-$G323)=SIGN(Z323-AB323),MAX($E323,$G323)=MAX(Z323,AB323)),Auxiliar!$C$12,IF(ABS($E323-$G323)=ABS(Z323-AB323),Auxiliar!$C$13,IF(AND(SIGN($E323-$G323)=SIGN(Z323-AB323),MIN($E323,$G323)=MIN(Z323,AB323)),Auxiliar!$C$14,IF(SIGN($E323-$G323)=SIGN(Z323-AB323),Auxiliar!$C$15,IF(Z323=AB323,Auxiliar!$C$16,0)))))))</f>
        <v/>
      </c>
      <c r="AE323" s="9">
        <v>3</v>
      </c>
      <c r="AF323" s="10" t="s">
        <v>23</v>
      </c>
      <c r="AG323" s="11">
        <v>3</v>
      </c>
      <c r="AH323" s="60" t="str">
        <f>IF(OR($E323="",$G323=""),"",IF(AND(AE323=$E323,AG323=$G323),Auxiliar!$C$11,IF(AND(SIGN($E323-$G323)=SIGN(AE323-AG323),MAX($E323,$G323)=MAX(AE323,AG323)),Auxiliar!$C$12,IF(ABS($E323-$G323)=ABS(AE323-AG323),Auxiliar!$C$13,IF(AND(SIGN($E323-$G323)=SIGN(AE323-AG323),MIN($E323,$G323)=MIN(AE323,AG323)),Auxiliar!$C$14,IF(SIGN($E323-$G323)=SIGN(AE323-AG323),Auxiliar!$C$15,IF(AE323=AG323,Auxiliar!$C$16,0)))))))</f>
        <v/>
      </c>
    </row>
    <row r="324" spans="3:34" x14ac:dyDescent="0.25">
      <c r="C324" s="24">
        <f t="shared" si="4"/>
        <v>31</v>
      </c>
      <c r="D324" s="18"/>
      <c r="E324" s="13"/>
      <c r="F324" s="12" t="s">
        <v>23</v>
      </c>
      <c r="G324" s="13"/>
      <c r="H324" s="14"/>
      <c r="K324" s="9">
        <v>5</v>
      </c>
      <c r="L324" s="10" t="s">
        <v>23</v>
      </c>
      <c r="M324" s="11">
        <v>1</v>
      </c>
      <c r="N324" s="60" t="str">
        <f>IF(OR($E324="",$G324=""),"",IF(AND(K324=$E324,M324=$G324),Auxiliar!$C$11,IF(AND(SIGN($E324-$G324)=SIGN(K324-M324),MAX($E324,$G324)=MAX(K324,M324)),Auxiliar!$C$12,IF(ABS($E324-$G324)=ABS(K324-M324),Auxiliar!$C$13,IF(AND(SIGN($E324-$G324)=SIGN(K324-M324),MIN($E324,$G324)=MIN(K324,M324)),Auxiliar!$C$14,IF(SIGN($E324-$G324)=SIGN(K324-M324),Auxiliar!$C$15,IF(K324=M324,Auxiliar!$C$16,0)))))))</f>
        <v/>
      </c>
      <c r="P324" s="9">
        <v>5</v>
      </c>
      <c r="Q324" s="10" t="s">
        <v>23</v>
      </c>
      <c r="R324" s="11">
        <v>3</v>
      </c>
      <c r="S324" s="60" t="str">
        <f>IF(OR($E324="",$G324=""),"",IF(AND(P324=$E324,R324=$G324),Auxiliar!$C$11,IF(AND(SIGN($E324-$G324)=SIGN(P324-R324),MAX($E324,$G324)=MAX(P324,R324)),Auxiliar!$C$12,IF(ABS($E324-$G324)=ABS(P324-R324),Auxiliar!$C$13,IF(AND(SIGN($E324-$G324)=SIGN(P324-R324),MIN($E324,$G324)=MIN(P324,R324)),Auxiliar!$C$14,IF(SIGN($E324-$G324)=SIGN(P324-R324),Auxiliar!$C$15,IF(P324=R324,Auxiliar!$C$16,0)))))))</f>
        <v/>
      </c>
      <c r="U324" s="9">
        <v>1</v>
      </c>
      <c r="V324" s="10" t="s">
        <v>23</v>
      </c>
      <c r="W324" s="11">
        <v>1</v>
      </c>
      <c r="X324" s="60" t="str">
        <f>IF(OR($E324="",$G324=""),"",IF(AND(U324=$E324,W324=$G324),Auxiliar!$C$11,IF(AND(SIGN($E324-$G324)=SIGN(U324-W324),MAX($E324,$G324)=MAX(U324,W324)),Auxiliar!$C$12,IF(ABS($E324-$G324)=ABS(U324-W324),Auxiliar!$C$13,IF(AND(SIGN($E324-$G324)=SIGN(U324-W324),MIN($E324,$G324)=MIN(U324,W324)),Auxiliar!$C$14,IF(SIGN($E324-$G324)=SIGN(U324-W324),Auxiliar!$C$15,IF(U324=W324,Auxiliar!$C$16,0)))))))</f>
        <v/>
      </c>
      <c r="Z324" s="9">
        <v>4</v>
      </c>
      <c r="AA324" s="10" t="s">
        <v>23</v>
      </c>
      <c r="AB324" s="11">
        <v>5</v>
      </c>
      <c r="AC324" s="60" t="str">
        <f>IF(OR($E324="",$G324=""),"",IF(AND(Z324=$E324,AB324=$G324),Auxiliar!$C$11,IF(AND(SIGN($E324-$G324)=SIGN(Z324-AB324),MAX($E324,$G324)=MAX(Z324,AB324)),Auxiliar!$C$12,IF(ABS($E324-$G324)=ABS(Z324-AB324),Auxiliar!$C$13,IF(AND(SIGN($E324-$G324)=SIGN(Z324-AB324),MIN($E324,$G324)=MIN(Z324,AB324)),Auxiliar!$C$14,IF(SIGN($E324-$G324)=SIGN(Z324-AB324),Auxiliar!$C$15,IF(Z324=AB324,Auxiliar!$C$16,0)))))))</f>
        <v/>
      </c>
      <c r="AE324" s="9">
        <v>0</v>
      </c>
      <c r="AF324" s="10" t="s">
        <v>23</v>
      </c>
      <c r="AG324" s="11">
        <v>1</v>
      </c>
      <c r="AH324" s="60" t="str">
        <f>IF(OR($E324="",$G324=""),"",IF(AND(AE324=$E324,AG324=$G324),Auxiliar!$C$11,IF(AND(SIGN($E324-$G324)=SIGN(AE324-AG324),MAX($E324,$G324)=MAX(AE324,AG324)),Auxiliar!$C$12,IF(ABS($E324-$G324)=ABS(AE324-AG324),Auxiliar!$C$13,IF(AND(SIGN($E324-$G324)=SIGN(AE324-AG324),MIN($E324,$G324)=MIN(AE324,AG324)),Auxiliar!$C$14,IF(SIGN($E324-$G324)=SIGN(AE324-AG324),Auxiliar!$C$15,IF(AE324=AG324,Auxiliar!$C$16,0)))))))</f>
        <v/>
      </c>
    </row>
    <row r="325" spans="3:34" x14ac:dyDescent="0.25">
      <c r="C325" s="24">
        <f t="shared" si="4"/>
        <v>31</v>
      </c>
      <c r="D325" s="18"/>
      <c r="E325" s="13"/>
      <c r="F325" s="12" t="s">
        <v>23</v>
      </c>
      <c r="G325" s="13"/>
      <c r="H325" s="14"/>
      <c r="K325" s="9">
        <v>5</v>
      </c>
      <c r="L325" s="10" t="s">
        <v>23</v>
      </c>
      <c r="M325" s="11">
        <v>0</v>
      </c>
      <c r="N325" s="60" t="str">
        <f>IF(OR($E325="",$G325=""),"",IF(AND(K325=$E325,M325=$G325),Auxiliar!$C$11,IF(AND(SIGN($E325-$G325)=SIGN(K325-M325),MAX($E325,$G325)=MAX(K325,M325)),Auxiliar!$C$12,IF(ABS($E325-$G325)=ABS(K325-M325),Auxiliar!$C$13,IF(AND(SIGN($E325-$G325)=SIGN(K325-M325),MIN($E325,$G325)=MIN(K325,M325)),Auxiliar!$C$14,IF(SIGN($E325-$G325)=SIGN(K325-M325),Auxiliar!$C$15,IF(K325=M325,Auxiliar!$C$16,0)))))))</f>
        <v/>
      </c>
      <c r="P325" s="9">
        <v>3</v>
      </c>
      <c r="Q325" s="10" t="s">
        <v>23</v>
      </c>
      <c r="R325" s="11">
        <v>4</v>
      </c>
      <c r="S325" s="60" t="str">
        <f>IF(OR($E325="",$G325=""),"",IF(AND(P325=$E325,R325=$G325),Auxiliar!$C$11,IF(AND(SIGN($E325-$G325)=SIGN(P325-R325),MAX($E325,$G325)=MAX(P325,R325)),Auxiliar!$C$12,IF(ABS($E325-$G325)=ABS(P325-R325),Auxiliar!$C$13,IF(AND(SIGN($E325-$G325)=SIGN(P325-R325),MIN($E325,$G325)=MIN(P325,R325)),Auxiliar!$C$14,IF(SIGN($E325-$G325)=SIGN(P325-R325),Auxiliar!$C$15,IF(P325=R325,Auxiliar!$C$16,0)))))))</f>
        <v/>
      </c>
      <c r="U325" s="9">
        <v>4</v>
      </c>
      <c r="V325" s="10" t="s">
        <v>23</v>
      </c>
      <c r="W325" s="11">
        <v>5</v>
      </c>
      <c r="X325" s="60" t="str">
        <f>IF(OR($E325="",$G325=""),"",IF(AND(U325=$E325,W325=$G325),Auxiliar!$C$11,IF(AND(SIGN($E325-$G325)=SIGN(U325-W325),MAX($E325,$G325)=MAX(U325,W325)),Auxiliar!$C$12,IF(ABS($E325-$G325)=ABS(U325-W325),Auxiliar!$C$13,IF(AND(SIGN($E325-$G325)=SIGN(U325-W325),MIN($E325,$G325)=MIN(U325,W325)),Auxiliar!$C$14,IF(SIGN($E325-$G325)=SIGN(U325-W325),Auxiliar!$C$15,IF(U325=W325,Auxiliar!$C$16,0)))))))</f>
        <v/>
      </c>
      <c r="Z325" s="9">
        <v>1</v>
      </c>
      <c r="AA325" s="10" t="s">
        <v>23</v>
      </c>
      <c r="AB325" s="11">
        <v>4</v>
      </c>
      <c r="AC325" s="60" t="str">
        <f>IF(OR($E325="",$G325=""),"",IF(AND(Z325=$E325,AB325=$G325),Auxiliar!$C$11,IF(AND(SIGN($E325-$G325)=SIGN(Z325-AB325),MAX($E325,$G325)=MAX(Z325,AB325)),Auxiliar!$C$12,IF(ABS($E325-$G325)=ABS(Z325-AB325),Auxiliar!$C$13,IF(AND(SIGN($E325-$G325)=SIGN(Z325-AB325),MIN($E325,$G325)=MIN(Z325,AB325)),Auxiliar!$C$14,IF(SIGN($E325-$G325)=SIGN(Z325-AB325),Auxiliar!$C$15,IF(Z325=AB325,Auxiliar!$C$16,0)))))))</f>
        <v/>
      </c>
      <c r="AE325" s="9">
        <v>3</v>
      </c>
      <c r="AF325" s="10" t="s">
        <v>23</v>
      </c>
      <c r="AG325" s="11">
        <v>2</v>
      </c>
      <c r="AH325" s="60" t="str">
        <f>IF(OR($E325="",$G325=""),"",IF(AND(AE325=$E325,AG325=$G325),Auxiliar!$C$11,IF(AND(SIGN($E325-$G325)=SIGN(AE325-AG325),MAX($E325,$G325)=MAX(AE325,AG325)),Auxiliar!$C$12,IF(ABS($E325-$G325)=ABS(AE325-AG325),Auxiliar!$C$13,IF(AND(SIGN($E325-$G325)=SIGN(AE325-AG325),MIN($E325,$G325)=MIN(AE325,AG325)),Auxiliar!$C$14,IF(SIGN($E325-$G325)=SIGN(AE325-AG325),Auxiliar!$C$15,IF(AE325=AG325,Auxiliar!$C$16,0)))))))</f>
        <v/>
      </c>
    </row>
    <row r="326" spans="3:34" x14ac:dyDescent="0.25">
      <c r="C326" s="24">
        <f t="shared" si="4"/>
        <v>31</v>
      </c>
      <c r="D326" s="18"/>
      <c r="E326" s="13"/>
      <c r="F326" s="12" t="s">
        <v>23</v>
      </c>
      <c r="G326" s="13"/>
      <c r="H326" s="14"/>
      <c r="K326" s="9">
        <v>5</v>
      </c>
      <c r="L326" s="10" t="s">
        <v>23</v>
      </c>
      <c r="M326" s="11">
        <v>1</v>
      </c>
      <c r="N326" s="60" t="str">
        <f>IF(OR($E326="",$G326=""),"",IF(AND(K326=$E326,M326=$G326),Auxiliar!$C$11,IF(AND(SIGN($E326-$G326)=SIGN(K326-M326),MAX($E326,$G326)=MAX(K326,M326)),Auxiliar!$C$12,IF(ABS($E326-$G326)=ABS(K326-M326),Auxiliar!$C$13,IF(AND(SIGN($E326-$G326)=SIGN(K326-M326),MIN($E326,$G326)=MIN(K326,M326)),Auxiliar!$C$14,IF(SIGN($E326-$G326)=SIGN(K326-M326),Auxiliar!$C$15,IF(K326=M326,Auxiliar!$C$16,0)))))))</f>
        <v/>
      </c>
      <c r="P326" s="9">
        <v>4</v>
      </c>
      <c r="Q326" s="10" t="s">
        <v>23</v>
      </c>
      <c r="R326" s="11">
        <v>3</v>
      </c>
      <c r="S326" s="60" t="str">
        <f>IF(OR($E326="",$G326=""),"",IF(AND(P326=$E326,R326=$G326),Auxiliar!$C$11,IF(AND(SIGN($E326-$G326)=SIGN(P326-R326),MAX($E326,$G326)=MAX(P326,R326)),Auxiliar!$C$12,IF(ABS($E326-$G326)=ABS(P326-R326),Auxiliar!$C$13,IF(AND(SIGN($E326-$G326)=SIGN(P326-R326),MIN($E326,$G326)=MIN(P326,R326)),Auxiliar!$C$14,IF(SIGN($E326-$G326)=SIGN(P326-R326),Auxiliar!$C$15,IF(P326=R326,Auxiliar!$C$16,0)))))))</f>
        <v/>
      </c>
      <c r="U326" s="9">
        <v>5</v>
      </c>
      <c r="V326" s="10" t="s">
        <v>23</v>
      </c>
      <c r="W326" s="11">
        <v>4</v>
      </c>
      <c r="X326" s="60" t="str">
        <f>IF(OR($E326="",$G326=""),"",IF(AND(U326=$E326,W326=$G326),Auxiliar!$C$11,IF(AND(SIGN($E326-$G326)=SIGN(U326-W326),MAX($E326,$G326)=MAX(U326,W326)),Auxiliar!$C$12,IF(ABS($E326-$G326)=ABS(U326-W326),Auxiliar!$C$13,IF(AND(SIGN($E326-$G326)=SIGN(U326-W326),MIN($E326,$G326)=MIN(U326,W326)),Auxiliar!$C$14,IF(SIGN($E326-$G326)=SIGN(U326-W326),Auxiliar!$C$15,IF(U326=W326,Auxiliar!$C$16,0)))))))</f>
        <v/>
      </c>
      <c r="Z326" s="9">
        <v>3</v>
      </c>
      <c r="AA326" s="10" t="s">
        <v>23</v>
      </c>
      <c r="AB326" s="11">
        <v>3</v>
      </c>
      <c r="AC326" s="60" t="str">
        <f>IF(OR($E326="",$G326=""),"",IF(AND(Z326=$E326,AB326=$G326),Auxiliar!$C$11,IF(AND(SIGN($E326-$G326)=SIGN(Z326-AB326),MAX($E326,$G326)=MAX(Z326,AB326)),Auxiliar!$C$12,IF(ABS($E326-$G326)=ABS(Z326-AB326),Auxiliar!$C$13,IF(AND(SIGN($E326-$G326)=SIGN(Z326-AB326),MIN($E326,$G326)=MIN(Z326,AB326)),Auxiliar!$C$14,IF(SIGN($E326-$G326)=SIGN(Z326-AB326),Auxiliar!$C$15,IF(Z326=AB326,Auxiliar!$C$16,0)))))))</f>
        <v/>
      </c>
      <c r="AE326" s="9">
        <v>3</v>
      </c>
      <c r="AF326" s="10" t="s">
        <v>23</v>
      </c>
      <c r="AG326" s="11">
        <v>1</v>
      </c>
      <c r="AH326" s="60" t="str">
        <f>IF(OR($E326="",$G326=""),"",IF(AND(AE326=$E326,AG326=$G326),Auxiliar!$C$11,IF(AND(SIGN($E326-$G326)=SIGN(AE326-AG326),MAX($E326,$G326)=MAX(AE326,AG326)),Auxiliar!$C$12,IF(ABS($E326-$G326)=ABS(AE326-AG326),Auxiliar!$C$13,IF(AND(SIGN($E326-$G326)=SIGN(AE326-AG326),MIN($E326,$G326)=MIN(AE326,AG326)),Auxiliar!$C$14,IF(SIGN($E326-$G326)=SIGN(AE326-AG326),Auxiliar!$C$15,IF(AE326=AG326,Auxiliar!$C$16,0)))))))</f>
        <v/>
      </c>
    </row>
    <row r="327" spans="3:34" x14ac:dyDescent="0.25">
      <c r="C327" s="24">
        <f t="shared" si="4"/>
        <v>31</v>
      </c>
      <c r="D327" s="18"/>
      <c r="E327" s="13"/>
      <c r="F327" s="12" t="s">
        <v>23</v>
      </c>
      <c r="G327" s="13"/>
      <c r="H327" s="14"/>
      <c r="K327" s="9">
        <v>4</v>
      </c>
      <c r="L327" s="10" t="s">
        <v>23</v>
      </c>
      <c r="M327" s="11">
        <v>3</v>
      </c>
      <c r="N327" s="60" t="str">
        <f>IF(OR($E327="",$G327=""),"",IF(AND(K327=$E327,M327=$G327),Auxiliar!$C$11,IF(AND(SIGN($E327-$G327)=SIGN(K327-M327),MAX($E327,$G327)=MAX(K327,M327)),Auxiliar!$C$12,IF(ABS($E327-$G327)=ABS(K327-M327),Auxiliar!$C$13,IF(AND(SIGN($E327-$G327)=SIGN(K327-M327),MIN($E327,$G327)=MIN(K327,M327)),Auxiliar!$C$14,IF(SIGN($E327-$G327)=SIGN(K327-M327),Auxiliar!$C$15,IF(K327=M327,Auxiliar!$C$16,0)))))))</f>
        <v/>
      </c>
      <c r="P327" s="9">
        <v>5</v>
      </c>
      <c r="Q327" s="10" t="s">
        <v>23</v>
      </c>
      <c r="R327" s="11">
        <v>3</v>
      </c>
      <c r="S327" s="60" t="str">
        <f>IF(OR($E327="",$G327=""),"",IF(AND(P327=$E327,R327=$G327),Auxiliar!$C$11,IF(AND(SIGN($E327-$G327)=SIGN(P327-R327),MAX($E327,$G327)=MAX(P327,R327)),Auxiliar!$C$12,IF(ABS($E327-$G327)=ABS(P327-R327),Auxiliar!$C$13,IF(AND(SIGN($E327-$G327)=SIGN(P327-R327),MIN($E327,$G327)=MIN(P327,R327)),Auxiliar!$C$14,IF(SIGN($E327-$G327)=SIGN(P327-R327),Auxiliar!$C$15,IF(P327=R327,Auxiliar!$C$16,0)))))))</f>
        <v/>
      </c>
      <c r="U327" s="9">
        <v>1</v>
      </c>
      <c r="V327" s="10" t="s">
        <v>23</v>
      </c>
      <c r="W327" s="11">
        <v>5</v>
      </c>
      <c r="X327" s="60" t="str">
        <f>IF(OR($E327="",$G327=""),"",IF(AND(U327=$E327,W327=$G327),Auxiliar!$C$11,IF(AND(SIGN($E327-$G327)=SIGN(U327-W327),MAX($E327,$G327)=MAX(U327,W327)),Auxiliar!$C$12,IF(ABS($E327-$G327)=ABS(U327-W327),Auxiliar!$C$13,IF(AND(SIGN($E327-$G327)=SIGN(U327-W327),MIN($E327,$G327)=MIN(U327,W327)),Auxiliar!$C$14,IF(SIGN($E327-$G327)=SIGN(U327-W327),Auxiliar!$C$15,IF(U327=W327,Auxiliar!$C$16,0)))))))</f>
        <v/>
      </c>
      <c r="Z327" s="9">
        <v>3</v>
      </c>
      <c r="AA327" s="10" t="s">
        <v>23</v>
      </c>
      <c r="AB327" s="11">
        <v>4</v>
      </c>
      <c r="AC327" s="60" t="str">
        <f>IF(OR($E327="",$G327=""),"",IF(AND(Z327=$E327,AB327=$G327),Auxiliar!$C$11,IF(AND(SIGN($E327-$G327)=SIGN(Z327-AB327),MAX($E327,$G327)=MAX(Z327,AB327)),Auxiliar!$C$12,IF(ABS($E327-$G327)=ABS(Z327-AB327),Auxiliar!$C$13,IF(AND(SIGN($E327-$G327)=SIGN(Z327-AB327),MIN($E327,$G327)=MIN(Z327,AB327)),Auxiliar!$C$14,IF(SIGN($E327-$G327)=SIGN(Z327-AB327),Auxiliar!$C$15,IF(Z327=AB327,Auxiliar!$C$16,0)))))))</f>
        <v/>
      </c>
      <c r="AE327" s="9">
        <v>5</v>
      </c>
      <c r="AF327" s="10" t="s">
        <v>23</v>
      </c>
      <c r="AG327" s="11">
        <v>1</v>
      </c>
      <c r="AH327" s="60" t="str">
        <f>IF(OR($E327="",$G327=""),"",IF(AND(AE327=$E327,AG327=$G327),Auxiliar!$C$11,IF(AND(SIGN($E327-$G327)=SIGN(AE327-AG327),MAX($E327,$G327)=MAX(AE327,AG327)),Auxiliar!$C$12,IF(ABS($E327-$G327)=ABS(AE327-AG327),Auxiliar!$C$13,IF(AND(SIGN($E327-$G327)=SIGN(AE327-AG327),MIN($E327,$G327)=MIN(AE327,AG327)),Auxiliar!$C$14,IF(SIGN($E327-$G327)=SIGN(AE327-AG327),Auxiliar!$C$15,IF(AE327=AG327,Auxiliar!$C$16,0)))))))</f>
        <v/>
      </c>
    </row>
    <row r="328" spans="3:34" x14ac:dyDescent="0.25">
      <c r="C328" s="24">
        <f t="shared" si="4"/>
        <v>31</v>
      </c>
      <c r="D328" s="18"/>
      <c r="E328" s="13"/>
      <c r="F328" s="12" t="s">
        <v>23</v>
      </c>
      <c r="G328" s="13"/>
      <c r="H328" s="14"/>
      <c r="K328" s="9">
        <v>3</v>
      </c>
      <c r="L328" s="10" t="s">
        <v>23</v>
      </c>
      <c r="M328" s="11">
        <v>5</v>
      </c>
      <c r="N328" s="60" t="str">
        <f>IF(OR($E328="",$G328=""),"",IF(AND(K328=$E328,M328=$G328),Auxiliar!$C$11,IF(AND(SIGN($E328-$G328)=SIGN(K328-M328),MAX($E328,$G328)=MAX(K328,M328)),Auxiliar!$C$12,IF(ABS($E328-$G328)=ABS(K328-M328),Auxiliar!$C$13,IF(AND(SIGN($E328-$G328)=SIGN(K328-M328),MIN($E328,$G328)=MIN(K328,M328)),Auxiliar!$C$14,IF(SIGN($E328-$G328)=SIGN(K328-M328),Auxiliar!$C$15,IF(K328=M328,Auxiliar!$C$16,0)))))))</f>
        <v/>
      </c>
      <c r="P328" s="9">
        <v>0</v>
      </c>
      <c r="Q328" s="10" t="s">
        <v>23</v>
      </c>
      <c r="R328" s="11">
        <v>3</v>
      </c>
      <c r="S328" s="60" t="str">
        <f>IF(OR($E328="",$G328=""),"",IF(AND(P328=$E328,R328=$G328),Auxiliar!$C$11,IF(AND(SIGN($E328-$G328)=SIGN(P328-R328),MAX($E328,$G328)=MAX(P328,R328)),Auxiliar!$C$12,IF(ABS($E328-$G328)=ABS(P328-R328),Auxiliar!$C$13,IF(AND(SIGN($E328-$G328)=SIGN(P328-R328),MIN($E328,$G328)=MIN(P328,R328)),Auxiliar!$C$14,IF(SIGN($E328-$G328)=SIGN(P328-R328),Auxiliar!$C$15,IF(P328=R328,Auxiliar!$C$16,0)))))))</f>
        <v/>
      </c>
      <c r="U328" s="9">
        <v>2</v>
      </c>
      <c r="V328" s="10" t="s">
        <v>23</v>
      </c>
      <c r="W328" s="11">
        <v>2</v>
      </c>
      <c r="X328" s="60" t="str">
        <f>IF(OR($E328="",$G328=""),"",IF(AND(U328=$E328,W328=$G328),Auxiliar!$C$11,IF(AND(SIGN($E328-$G328)=SIGN(U328-W328),MAX($E328,$G328)=MAX(U328,W328)),Auxiliar!$C$12,IF(ABS($E328-$G328)=ABS(U328-W328),Auxiliar!$C$13,IF(AND(SIGN($E328-$G328)=SIGN(U328-W328),MIN($E328,$G328)=MIN(U328,W328)),Auxiliar!$C$14,IF(SIGN($E328-$G328)=SIGN(U328-W328),Auxiliar!$C$15,IF(U328=W328,Auxiliar!$C$16,0)))))))</f>
        <v/>
      </c>
      <c r="Z328" s="9">
        <v>3</v>
      </c>
      <c r="AA328" s="10" t="s">
        <v>23</v>
      </c>
      <c r="AB328" s="11">
        <v>0</v>
      </c>
      <c r="AC328" s="60" t="str">
        <f>IF(OR($E328="",$G328=""),"",IF(AND(Z328=$E328,AB328=$G328),Auxiliar!$C$11,IF(AND(SIGN($E328-$G328)=SIGN(Z328-AB328),MAX($E328,$G328)=MAX(Z328,AB328)),Auxiliar!$C$12,IF(ABS($E328-$G328)=ABS(Z328-AB328),Auxiliar!$C$13,IF(AND(SIGN($E328-$G328)=SIGN(Z328-AB328),MIN($E328,$G328)=MIN(Z328,AB328)),Auxiliar!$C$14,IF(SIGN($E328-$G328)=SIGN(Z328-AB328),Auxiliar!$C$15,IF(Z328=AB328,Auxiliar!$C$16,0)))))))</f>
        <v/>
      </c>
      <c r="AE328" s="9">
        <v>3</v>
      </c>
      <c r="AF328" s="10" t="s">
        <v>23</v>
      </c>
      <c r="AG328" s="11">
        <v>0</v>
      </c>
      <c r="AH328" s="60" t="str">
        <f>IF(OR($E328="",$G328=""),"",IF(AND(AE328=$E328,AG328=$G328),Auxiliar!$C$11,IF(AND(SIGN($E328-$G328)=SIGN(AE328-AG328),MAX($E328,$G328)=MAX(AE328,AG328)),Auxiliar!$C$12,IF(ABS($E328-$G328)=ABS(AE328-AG328),Auxiliar!$C$13,IF(AND(SIGN($E328-$G328)=SIGN(AE328-AG328),MIN($E328,$G328)=MIN(AE328,AG328)),Auxiliar!$C$14,IF(SIGN($E328-$G328)=SIGN(AE328-AG328),Auxiliar!$C$15,IF(AE328=AG328,Auxiliar!$C$16,0)))))))</f>
        <v/>
      </c>
    </row>
    <row r="329" spans="3:34" x14ac:dyDescent="0.25">
      <c r="C329" s="24">
        <f t="shared" si="4"/>
        <v>32</v>
      </c>
      <c r="D329" s="18"/>
      <c r="E329" s="13"/>
      <c r="F329" s="12" t="s">
        <v>23</v>
      </c>
      <c r="G329" s="13"/>
      <c r="H329" s="14"/>
      <c r="K329" s="9">
        <v>3</v>
      </c>
      <c r="L329" s="10" t="s">
        <v>23</v>
      </c>
      <c r="M329" s="11">
        <v>4</v>
      </c>
      <c r="N329" s="60" t="str">
        <f>IF(OR($E329="",$G329=""),"",IF(AND(K329=$E329,M329=$G329),Auxiliar!$C$11,IF(AND(SIGN($E329-$G329)=SIGN(K329-M329),MAX($E329,$G329)=MAX(K329,M329)),Auxiliar!$C$12,IF(ABS($E329-$G329)=ABS(K329-M329),Auxiliar!$C$13,IF(AND(SIGN($E329-$G329)=SIGN(K329-M329),MIN($E329,$G329)=MIN(K329,M329)),Auxiliar!$C$14,IF(SIGN($E329-$G329)=SIGN(K329-M329),Auxiliar!$C$15,IF(K329=M329,Auxiliar!$C$16,0)))))))</f>
        <v/>
      </c>
      <c r="P329" s="9">
        <v>0</v>
      </c>
      <c r="Q329" s="10" t="s">
        <v>23</v>
      </c>
      <c r="R329" s="11">
        <v>3</v>
      </c>
      <c r="S329" s="60" t="str">
        <f>IF(OR($E329="",$G329=""),"",IF(AND(P329=$E329,R329=$G329),Auxiliar!$C$11,IF(AND(SIGN($E329-$G329)=SIGN(P329-R329),MAX($E329,$G329)=MAX(P329,R329)),Auxiliar!$C$12,IF(ABS($E329-$G329)=ABS(P329-R329),Auxiliar!$C$13,IF(AND(SIGN($E329-$G329)=SIGN(P329-R329),MIN($E329,$G329)=MIN(P329,R329)),Auxiliar!$C$14,IF(SIGN($E329-$G329)=SIGN(P329-R329),Auxiliar!$C$15,IF(P329=R329,Auxiliar!$C$16,0)))))))</f>
        <v/>
      </c>
      <c r="U329" s="9">
        <v>0</v>
      </c>
      <c r="V329" s="10" t="s">
        <v>23</v>
      </c>
      <c r="W329" s="11">
        <v>2</v>
      </c>
      <c r="X329" s="60" t="str">
        <f>IF(OR($E329="",$G329=""),"",IF(AND(U329=$E329,W329=$G329),Auxiliar!$C$11,IF(AND(SIGN($E329-$G329)=SIGN(U329-W329),MAX($E329,$G329)=MAX(U329,W329)),Auxiliar!$C$12,IF(ABS($E329-$G329)=ABS(U329-W329),Auxiliar!$C$13,IF(AND(SIGN($E329-$G329)=SIGN(U329-W329),MIN($E329,$G329)=MIN(U329,W329)),Auxiliar!$C$14,IF(SIGN($E329-$G329)=SIGN(U329-W329),Auxiliar!$C$15,IF(U329=W329,Auxiliar!$C$16,0)))))))</f>
        <v/>
      </c>
      <c r="Z329" s="9">
        <v>3</v>
      </c>
      <c r="AA329" s="10" t="s">
        <v>23</v>
      </c>
      <c r="AB329" s="11">
        <v>2</v>
      </c>
      <c r="AC329" s="60" t="str">
        <f>IF(OR($E329="",$G329=""),"",IF(AND(Z329=$E329,AB329=$G329),Auxiliar!$C$11,IF(AND(SIGN($E329-$G329)=SIGN(Z329-AB329),MAX($E329,$G329)=MAX(Z329,AB329)),Auxiliar!$C$12,IF(ABS($E329-$G329)=ABS(Z329-AB329),Auxiliar!$C$13,IF(AND(SIGN($E329-$G329)=SIGN(Z329-AB329),MIN($E329,$G329)=MIN(Z329,AB329)),Auxiliar!$C$14,IF(SIGN($E329-$G329)=SIGN(Z329-AB329),Auxiliar!$C$15,IF(Z329=AB329,Auxiliar!$C$16,0)))))))</f>
        <v/>
      </c>
      <c r="AE329" s="9">
        <v>1</v>
      </c>
      <c r="AF329" s="10" t="s">
        <v>23</v>
      </c>
      <c r="AG329" s="11">
        <v>1</v>
      </c>
      <c r="AH329" s="60" t="str">
        <f>IF(OR($E329="",$G329=""),"",IF(AND(AE329=$E329,AG329=$G329),Auxiliar!$C$11,IF(AND(SIGN($E329-$G329)=SIGN(AE329-AG329),MAX($E329,$G329)=MAX(AE329,AG329)),Auxiliar!$C$12,IF(ABS($E329-$G329)=ABS(AE329-AG329),Auxiliar!$C$13,IF(AND(SIGN($E329-$G329)=SIGN(AE329-AG329),MIN($E329,$G329)=MIN(AE329,AG329)),Auxiliar!$C$14,IF(SIGN($E329-$G329)=SIGN(AE329-AG329),Auxiliar!$C$15,IF(AE329=AG329,Auxiliar!$C$16,0)))))))</f>
        <v/>
      </c>
    </row>
    <row r="330" spans="3:34" x14ac:dyDescent="0.25">
      <c r="C330" s="24">
        <f t="shared" si="4"/>
        <v>32</v>
      </c>
      <c r="D330" s="18"/>
      <c r="E330" s="13"/>
      <c r="F330" s="12" t="s">
        <v>23</v>
      </c>
      <c r="G330" s="13"/>
      <c r="H330" s="14"/>
      <c r="K330" s="9">
        <v>2</v>
      </c>
      <c r="L330" s="10" t="s">
        <v>23</v>
      </c>
      <c r="M330" s="11">
        <v>1</v>
      </c>
      <c r="N330" s="60" t="str">
        <f>IF(OR($E330="",$G330=""),"",IF(AND(K330=$E330,M330=$G330),Auxiliar!$C$11,IF(AND(SIGN($E330-$G330)=SIGN(K330-M330),MAX($E330,$G330)=MAX(K330,M330)),Auxiliar!$C$12,IF(ABS($E330-$G330)=ABS(K330-M330),Auxiliar!$C$13,IF(AND(SIGN($E330-$G330)=SIGN(K330-M330),MIN($E330,$G330)=MIN(K330,M330)),Auxiliar!$C$14,IF(SIGN($E330-$G330)=SIGN(K330-M330),Auxiliar!$C$15,IF(K330=M330,Auxiliar!$C$16,0)))))))</f>
        <v/>
      </c>
      <c r="P330" s="9">
        <v>5</v>
      </c>
      <c r="Q330" s="10" t="s">
        <v>23</v>
      </c>
      <c r="R330" s="11">
        <v>1</v>
      </c>
      <c r="S330" s="60" t="str">
        <f>IF(OR($E330="",$G330=""),"",IF(AND(P330=$E330,R330=$G330),Auxiliar!$C$11,IF(AND(SIGN($E330-$G330)=SIGN(P330-R330),MAX($E330,$G330)=MAX(P330,R330)),Auxiliar!$C$12,IF(ABS($E330-$G330)=ABS(P330-R330),Auxiliar!$C$13,IF(AND(SIGN($E330-$G330)=SIGN(P330-R330),MIN($E330,$G330)=MIN(P330,R330)),Auxiliar!$C$14,IF(SIGN($E330-$G330)=SIGN(P330-R330),Auxiliar!$C$15,IF(P330=R330,Auxiliar!$C$16,0)))))))</f>
        <v/>
      </c>
      <c r="U330" s="9">
        <v>4</v>
      </c>
      <c r="V330" s="10" t="s">
        <v>23</v>
      </c>
      <c r="W330" s="11">
        <v>1</v>
      </c>
      <c r="X330" s="60" t="str">
        <f>IF(OR($E330="",$G330=""),"",IF(AND(U330=$E330,W330=$G330),Auxiliar!$C$11,IF(AND(SIGN($E330-$G330)=SIGN(U330-W330),MAX($E330,$G330)=MAX(U330,W330)),Auxiliar!$C$12,IF(ABS($E330-$G330)=ABS(U330-W330),Auxiliar!$C$13,IF(AND(SIGN($E330-$G330)=SIGN(U330-W330),MIN($E330,$G330)=MIN(U330,W330)),Auxiliar!$C$14,IF(SIGN($E330-$G330)=SIGN(U330-W330),Auxiliar!$C$15,IF(U330=W330,Auxiliar!$C$16,0)))))))</f>
        <v/>
      </c>
      <c r="Z330" s="9">
        <v>1</v>
      </c>
      <c r="AA330" s="10" t="s">
        <v>23</v>
      </c>
      <c r="AB330" s="11">
        <v>2</v>
      </c>
      <c r="AC330" s="60" t="str">
        <f>IF(OR($E330="",$G330=""),"",IF(AND(Z330=$E330,AB330=$G330),Auxiliar!$C$11,IF(AND(SIGN($E330-$G330)=SIGN(Z330-AB330),MAX($E330,$G330)=MAX(Z330,AB330)),Auxiliar!$C$12,IF(ABS($E330-$G330)=ABS(Z330-AB330),Auxiliar!$C$13,IF(AND(SIGN($E330-$G330)=SIGN(Z330-AB330),MIN($E330,$G330)=MIN(Z330,AB330)),Auxiliar!$C$14,IF(SIGN($E330-$G330)=SIGN(Z330-AB330),Auxiliar!$C$15,IF(Z330=AB330,Auxiliar!$C$16,0)))))))</f>
        <v/>
      </c>
      <c r="AE330" s="9">
        <v>0</v>
      </c>
      <c r="AF330" s="10" t="s">
        <v>23</v>
      </c>
      <c r="AG330" s="11">
        <v>3</v>
      </c>
      <c r="AH330" s="60" t="str">
        <f>IF(OR($E330="",$G330=""),"",IF(AND(AE330=$E330,AG330=$G330),Auxiliar!$C$11,IF(AND(SIGN($E330-$G330)=SIGN(AE330-AG330),MAX($E330,$G330)=MAX(AE330,AG330)),Auxiliar!$C$12,IF(ABS($E330-$G330)=ABS(AE330-AG330),Auxiliar!$C$13,IF(AND(SIGN($E330-$G330)=SIGN(AE330-AG330),MIN($E330,$G330)=MIN(AE330,AG330)),Auxiliar!$C$14,IF(SIGN($E330-$G330)=SIGN(AE330-AG330),Auxiliar!$C$15,IF(AE330=AG330,Auxiliar!$C$16,0)))))))</f>
        <v/>
      </c>
    </row>
    <row r="331" spans="3:34" x14ac:dyDescent="0.25">
      <c r="C331" s="24">
        <f t="shared" si="4"/>
        <v>32</v>
      </c>
      <c r="D331" s="18"/>
      <c r="E331" s="13"/>
      <c r="F331" s="12" t="s">
        <v>23</v>
      </c>
      <c r="G331" s="13"/>
      <c r="H331" s="14"/>
      <c r="K331" s="9">
        <v>2</v>
      </c>
      <c r="L331" s="10" t="s">
        <v>23</v>
      </c>
      <c r="M331" s="11">
        <v>5</v>
      </c>
      <c r="N331" s="60" t="str">
        <f>IF(OR($E331="",$G331=""),"",IF(AND(K331=$E331,M331=$G331),Auxiliar!$C$11,IF(AND(SIGN($E331-$G331)=SIGN(K331-M331),MAX($E331,$G331)=MAX(K331,M331)),Auxiliar!$C$12,IF(ABS($E331-$G331)=ABS(K331-M331),Auxiliar!$C$13,IF(AND(SIGN($E331-$G331)=SIGN(K331-M331),MIN($E331,$G331)=MIN(K331,M331)),Auxiliar!$C$14,IF(SIGN($E331-$G331)=SIGN(K331-M331),Auxiliar!$C$15,IF(K331=M331,Auxiliar!$C$16,0)))))))</f>
        <v/>
      </c>
      <c r="P331" s="9">
        <v>5</v>
      </c>
      <c r="Q331" s="10" t="s">
        <v>23</v>
      </c>
      <c r="R331" s="11">
        <v>1</v>
      </c>
      <c r="S331" s="60" t="str">
        <f>IF(OR($E331="",$G331=""),"",IF(AND(P331=$E331,R331=$G331),Auxiliar!$C$11,IF(AND(SIGN($E331-$G331)=SIGN(P331-R331),MAX($E331,$G331)=MAX(P331,R331)),Auxiliar!$C$12,IF(ABS($E331-$G331)=ABS(P331-R331),Auxiliar!$C$13,IF(AND(SIGN($E331-$G331)=SIGN(P331-R331),MIN($E331,$G331)=MIN(P331,R331)),Auxiliar!$C$14,IF(SIGN($E331-$G331)=SIGN(P331-R331),Auxiliar!$C$15,IF(P331=R331,Auxiliar!$C$16,0)))))))</f>
        <v/>
      </c>
      <c r="U331" s="9">
        <v>3</v>
      </c>
      <c r="V331" s="10" t="s">
        <v>23</v>
      </c>
      <c r="W331" s="11">
        <v>4</v>
      </c>
      <c r="X331" s="60" t="str">
        <f>IF(OR($E331="",$G331=""),"",IF(AND(U331=$E331,W331=$G331),Auxiliar!$C$11,IF(AND(SIGN($E331-$G331)=SIGN(U331-W331),MAX($E331,$G331)=MAX(U331,W331)),Auxiliar!$C$12,IF(ABS($E331-$G331)=ABS(U331-W331),Auxiliar!$C$13,IF(AND(SIGN($E331-$G331)=SIGN(U331-W331),MIN($E331,$G331)=MIN(U331,W331)),Auxiliar!$C$14,IF(SIGN($E331-$G331)=SIGN(U331-W331),Auxiliar!$C$15,IF(U331=W331,Auxiliar!$C$16,0)))))))</f>
        <v/>
      </c>
      <c r="Z331" s="9">
        <v>3</v>
      </c>
      <c r="AA331" s="10" t="s">
        <v>23</v>
      </c>
      <c r="AB331" s="11">
        <v>5</v>
      </c>
      <c r="AC331" s="60" t="str">
        <f>IF(OR($E331="",$G331=""),"",IF(AND(Z331=$E331,AB331=$G331),Auxiliar!$C$11,IF(AND(SIGN($E331-$G331)=SIGN(Z331-AB331),MAX($E331,$G331)=MAX(Z331,AB331)),Auxiliar!$C$12,IF(ABS($E331-$G331)=ABS(Z331-AB331),Auxiliar!$C$13,IF(AND(SIGN($E331-$G331)=SIGN(Z331-AB331),MIN($E331,$G331)=MIN(Z331,AB331)),Auxiliar!$C$14,IF(SIGN($E331-$G331)=SIGN(Z331-AB331),Auxiliar!$C$15,IF(Z331=AB331,Auxiliar!$C$16,0)))))))</f>
        <v/>
      </c>
      <c r="AE331" s="9">
        <v>3</v>
      </c>
      <c r="AF331" s="10" t="s">
        <v>23</v>
      </c>
      <c r="AG331" s="11">
        <v>3</v>
      </c>
      <c r="AH331" s="60" t="str">
        <f>IF(OR($E331="",$G331=""),"",IF(AND(AE331=$E331,AG331=$G331),Auxiliar!$C$11,IF(AND(SIGN($E331-$G331)=SIGN(AE331-AG331),MAX($E331,$G331)=MAX(AE331,AG331)),Auxiliar!$C$12,IF(ABS($E331-$G331)=ABS(AE331-AG331),Auxiliar!$C$13,IF(AND(SIGN($E331-$G331)=SIGN(AE331-AG331),MIN($E331,$G331)=MIN(AE331,AG331)),Auxiliar!$C$14,IF(SIGN($E331-$G331)=SIGN(AE331-AG331),Auxiliar!$C$15,IF(AE331=AG331,Auxiliar!$C$16,0)))))))</f>
        <v/>
      </c>
    </row>
    <row r="332" spans="3:34" x14ac:dyDescent="0.25">
      <c r="C332" s="24">
        <f t="shared" si="4"/>
        <v>32</v>
      </c>
      <c r="D332" s="18"/>
      <c r="E332" s="13"/>
      <c r="F332" s="12" t="s">
        <v>23</v>
      </c>
      <c r="G332" s="13"/>
      <c r="H332" s="14"/>
      <c r="K332" s="9">
        <v>2</v>
      </c>
      <c r="L332" s="10" t="s">
        <v>23</v>
      </c>
      <c r="M332" s="11">
        <v>4</v>
      </c>
      <c r="N332" s="60" t="str">
        <f>IF(OR($E332="",$G332=""),"",IF(AND(K332=$E332,M332=$G332),Auxiliar!$C$11,IF(AND(SIGN($E332-$G332)=SIGN(K332-M332),MAX($E332,$G332)=MAX(K332,M332)),Auxiliar!$C$12,IF(ABS($E332-$G332)=ABS(K332-M332),Auxiliar!$C$13,IF(AND(SIGN($E332-$G332)=SIGN(K332-M332),MIN($E332,$G332)=MIN(K332,M332)),Auxiliar!$C$14,IF(SIGN($E332-$G332)=SIGN(K332-M332),Auxiliar!$C$15,IF(K332=M332,Auxiliar!$C$16,0)))))))</f>
        <v/>
      </c>
      <c r="P332" s="9">
        <v>3</v>
      </c>
      <c r="Q332" s="10" t="s">
        <v>23</v>
      </c>
      <c r="R332" s="11">
        <v>5</v>
      </c>
      <c r="S332" s="60" t="str">
        <f>IF(OR($E332="",$G332=""),"",IF(AND(P332=$E332,R332=$G332),Auxiliar!$C$11,IF(AND(SIGN($E332-$G332)=SIGN(P332-R332),MAX($E332,$G332)=MAX(P332,R332)),Auxiliar!$C$12,IF(ABS($E332-$G332)=ABS(P332-R332),Auxiliar!$C$13,IF(AND(SIGN($E332-$G332)=SIGN(P332-R332),MIN($E332,$G332)=MIN(P332,R332)),Auxiliar!$C$14,IF(SIGN($E332-$G332)=SIGN(P332-R332),Auxiliar!$C$15,IF(P332=R332,Auxiliar!$C$16,0)))))))</f>
        <v/>
      </c>
      <c r="U332" s="9">
        <v>0</v>
      </c>
      <c r="V332" s="10" t="s">
        <v>23</v>
      </c>
      <c r="W332" s="11">
        <v>3</v>
      </c>
      <c r="X332" s="60" t="str">
        <f>IF(OR($E332="",$G332=""),"",IF(AND(U332=$E332,W332=$G332),Auxiliar!$C$11,IF(AND(SIGN($E332-$G332)=SIGN(U332-W332),MAX($E332,$G332)=MAX(U332,W332)),Auxiliar!$C$12,IF(ABS($E332-$G332)=ABS(U332-W332),Auxiliar!$C$13,IF(AND(SIGN($E332-$G332)=SIGN(U332-W332),MIN($E332,$G332)=MIN(U332,W332)),Auxiliar!$C$14,IF(SIGN($E332-$G332)=SIGN(U332-W332),Auxiliar!$C$15,IF(U332=W332,Auxiliar!$C$16,0)))))))</f>
        <v/>
      </c>
      <c r="Z332" s="9">
        <v>5</v>
      </c>
      <c r="AA332" s="10" t="s">
        <v>23</v>
      </c>
      <c r="AB332" s="11">
        <v>4</v>
      </c>
      <c r="AC332" s="60" t="str">
        <f>IF(OR($E332="",$G332=""),"",IF(AND(Z332=$E332,AB332=$G332),Auxiliar!$C$11,IF(AND(SIGN($E332-$G332)=SIGN(Z332-AB332),MAX($E332,$G332)=MAX(Z332,AB332)),Auxiliar!$C$12,IF(ABS($E332-$G332)=ABS(Z332-AB332),Auxiliar!$C$13,IF(AND(SIGN($E332-$G332)=SIGN(Z332-AB332),MIN($E332,$G332)=MIN(Z332,AB332)),Auxiliar!$C$14,IF(SIGN($E332-$G332)=SIGN(Z332-AB332),Auxiliar!$C$15,IF(Z332=AB332,Auxiliar!$C$16,0)))))))</f>
        <v/>
      </c>
      <c r="AE332" s="9">
        <v>2</v>
      </c>
      <c r="AF332" s="10" t="s">
        <v>23</v>
      </c>
      <c r="AG332" s="11">
        <v>5</v>
      </c>
      <c r="AH332" s="60" t="str">
        <f>IF(OR($E332="",$G332=""),"",IF(AND(AE332=$E332,AG332=$G332),Auxiliar!$C$11,IF(AND(SIGN($E332-$G332)=SIGN(AE332-AG332),MAX($E332,$G332)=MAX(AE332,AG332)),Auxiliar!$C$12,IF(ABS($E332-$G332)=ABS(AE332-AG332),Auxiliar!$C$13,IF(AND(SIGN($E332-$G332)=SIGN(AE332-AG332),MIN($E332,$G332)=MIN(AE332,AG332)),Auxiliar!$C$14,IF(SIGN($E332-$G332)=SIGN(AE332-AG332),Auxiliar!$C$15,IF(AE332=AG332,Auxiliar!$C$16,0)))))))</f>
        <v/>
      </c>
    </row>
    <row r="333" spans="3:34" x14ac:dyDescent="0.25">
      <c r="C333" s="24">
        <f t="shared" si="4"/>
        <v>32</v>
      </c>
      <c r="D333" s="18"/>
      <c r="E333" s="13"/>
      <c r="F333" s="12" t="s">
        <v>23</v>
      </c>
      <c r="G333" s="13"/>
      <c r="H333" s="14"/>
      <c r="K333" s="9">
        <v>4</v>
      </c>
      <c r="L333" s="10" t="s">
        <v>23</v>
      </c>
      <c r="M333" s="11">
        <v>3</v>
      </c>
      <c r="N333" s="60" t="str">
        <f>IF(OR($E333="",$G333=""),"",IF(AND(K333=$E333,M333=$G333),Auxiliar!$C$11,IF(AND(SIGN($E333-$G333)=SIGN(K333-M333),MAX($E333,$G333)=MAX(K333,M333)),Auxiliar!$C$12,IF(ABS($E333-$G333)=ABS(K333-M333),Auxiliar!$C$13,IF(AND(SIGN($E333-$G333)=SIGN(K333-M333),MIN($E333,$G333)=MIN(K333,M333)),Auxiliar!$C$14,IF(SIGN($E333-$G333)=SIGN(K333-M333),Auxiliar!$C$15,IF(K333=M333,Auxiliar!$C$16,0)))))))</f>
        <v/>
      </c>
      <c r="P333" s="9">
        <v>1</v>
      </c>
      <c r="Q333" s="10" t="s">
        <v>23</v>
      </c>
      <c r="R333" s="11">
        <v>4</v>
      </c>
      <c r="S333" s="60" t="str">
        <f>IF(OR($E333="",$G333=""),"",IF(AND(P333=$E333,R333=$G333),Auxiliar!$C$11,IF(AND(SIGN($E333-$G333)=SIGN(P333-R333),MAX($E333,$G333)=MAX(P333,R333)),Auxiliar!$C$12,IF(ABS($E333-$G333)=ABS(P333-R333),Auxiliar!$C$13,IF(AND(SIGN($E333-$G333)=SIGN(P333-R333),MIN($E333,$G333)=MIN(P333,R333)),Auxiliar!$C$14,IF(SIGN($E333-$G333)=SIGN(P333-R333),Auxiliar!$C$15,IF(P333=R333,Auxiliar!$C$16,0)))))))</f>
        <v/>
      </c>
      <c r="U333" s="9">
        <v>0</v>
      </c>
      <c r="V333" s="10" t="s">
        <v>23</v>
      </c>
      <c r="W333" s="11">
        <v>5</v>
      </c>
      <c r="X333" s="60" t="str">
        <f>IF(OR($E333="",$G333=""),"",IF(AND(U333=$E333,W333=$G333),Auxiliar!$C$11,IF(AND(SIGN($E333-$G333)=SIGN(U333-W333),MAX($E333,$G333)=MAX(U333,W333)),Auxiliar!$C$12,IF(ABS($E333-$G333)=ABS(U333-W333),Auxiliar!$C$13,IF(AND(SIGN($E333-$G333)=SIGN(U333-W333),MIN($E333,$G333)=MIN(U333,W333)),Auxiliar!$C$14,IF(SIGN($E333-$G333)=SIGN(U333-W333),Auxiliar!$C$15,IF(U333=W333,Auxiliar!$C$16,0)))))))</f>
        <v/>
      </c>
      <c r="Z333" s="9">
        <v>4</v>
      </c>
      <c r="AA333" s="10" t="s">
        <v>23</v>
      </c>
      <c r="AB333" s="11">
        <v>1</v>
      </c>
      <c r="AC333" s="60" t="str">
        <f>IF(OR($E333="",$G333=""),"",IF(AND(Z333=$E333,AB333=$G333),Auxiliar!$C$11,IF(AND(SIGN($E333-$G333)=SIGN(Z333-AB333),MAX($E333,$G333)=MAX(Z333,AB333)),Auxiliar!$C$12,IF(ABS($E333-$G333)=ABS(Z333-AB333),Auxiliar!$C$13,IF(AND(SIGN($E333-$G333)=SIGN(Z333-AB333),MIN($E333,$G333)=MIN(Z333,AB333)),Auxiliar!$C$14,IF(SIGN($E333-$G333)=SIGN(Z333-AB333),Auxiliar!$C$15,IF(Z333=AB333,Auxiliar!$C$16,0)))))))</f>
        <v/>
      </c>
      <c r="AE333" s="9">
        <v>3</v>
      </c>
      <c r="AF333" s="10" t="s">
        <v>23</v>
      </c>
      <c r="AG333" s="11">
        <v>5</v>
      </c>
      <c r="AH333" s="60" t="str">
        <f>IF(OR($E333="",$G333=""),"",IF(AND(AE333=$E333,AG333=$G333),Auxiliar!$C$11,IF(AND(SIGN($E333-$G333)=SIGN(AE333-AG333),MAX($E333,$G333)=MAX(AE333,AG333)),Auxiliar!$C$12,IF(ABS($E333-$G333)=ABS(AE333-AG333),Auxiliar!$C$13,IF(AND(SIGN($E333-$G333)=SIGN(AE333-AG333),MIN($E333,$G333)=MIN(AE333,AG333)),Auxiliar!$C$14,IF(SIGN($E333-$G333)=SIGN(AE333-AG333),Auxiliar!$C$15,IF(AE333=AG333,Auxiliar!$C$16,0)))))))</f>
        <v/>
      </c>
    </row>
    <row r="334" spans="3:34" x14ac:dyDescent="0.25">
      <c r="C334" s="24">
        <f t="shared" si="4"/>
        <v>32</v>
      </c>
      <c r="D334" s="18"/>
      <c r="E334" s="13"/>
      <c r="F334" s="12" t="s">
        <v>23</v>
      </c>
      <c r="G334" s="13"/>
      <c r="H334" s="14"/>
      <c r="K334" s="9">
        <v>1</v>
      </c>
      <c r="L334" s="10" t="s">
        <v>23</v>
      </c>
      <c r="M334" s="11">
        <v>2</v>
      </c>
      <c r="N334" s="60" t="str">
        <f>IF(OR($E334="",$G334=""),"",IF(AND(K334=$E334,M334=$G334),Auxiliar!$C$11,IF(AND(SIGN($E334-$G334)=SIGN(K334-M334),MAX($E334,$G334)=MAX(K334,M334)),Auxiliar!$C$12,IF(ABS($E334-$G334)=ABS(K334-M334),Auxiliar!$C$13,IF(AND(SIGN($E334-$G334)=SIGN(K334-M334),MIN($E334,$G334)=MIN(K334,M334)),Auxiliar!$C$14,IF(SIGN($E334-$G334)=SIGN(K334-M334),Auxiliar!$C$15,IF(K334=M334,Auxiliar!$C$16,0)))))))</f>
        <v/>
      </c>
      <c r="P334" s="9">
        <v>1</v>
      </c>
      <c r="Q334" s="10" t="s">
        <v>23</v>
      </c>
      <c r="R334" s="11">
        <v>0</v>
      </c>
      <c r="S334" s="60" t="str">
        <f>IF(OR($E334="",$G334=""),"",IF(AND(P334=$E334,R334=$G334),Auxiliar!$C$11,IF(AND(SIGN($E334-$G334)=SIGN(P334-R334),MAX($E334,$G334)=MAX(P334,R334)),Auxiliar!$C$12,IF(ABS($E334-$G334)=ABS(P334-R334),Auxiliar!$C$13,IF(AND(SIGN($E334-$G334)=SIGN(P334-R334),MIN($E334,$G334)=MIN(P334,R334)),Auxiliar!$C$14,IF(SIGN($E334-$G334)=SIGN(P334-R334),Auxiliar!$C$15,IF(P334=R334,Auxiliar!$C$16,0)))))))</f>
        <v/>
      </c>
      <c r="U334" s="9">
        <v>0</v>
      </c>
      <c r="V334" s="10" t="s">
        <v>23</v>
      </c>
      <c r="W334" s="11">
        <v>2</v>
      </c>
      <c r="X334" s="60" t="str">
        <f>IF(OR($E334="",$G334=""),"",IF(AND(U334=$E334,W334=$G334),Auxiliar!$C$11,IF(AND(SIGN($E334-$G334)=SIGN(U334-W334),MAX($E334,$G334)=MAX(U334,W334)),Auxiliar!$C$12,IF(ABS($E334-$G334)=ABS(U334-W334),Auxiliar!$C$13,IF(AND(SIGN($E334-$G334)=SIGN(U334-W334),MIN($E334,$G334)=MIN(U334,W334)),Auxiliar!$C$14,IF(SIGN($E334-$G334)=SIGN(U334-W334),Auxiliar!$C$15,IF(U334=W334,Auxiliar!$C$16,0)))))))</f>
        <v/>
      </c>
      <c r="Z334" s="9">
        <v>4</v>
      </c>
      <c r="AA334" s="10" t="s">
        <v>23</v>
      </c>
      <c r="AB334" s="11">
        <v>0</v>
      </c>
      <c r="AC334" s="60" t="str">
        <f>IF(OR($E334="",$G334=""),"",IF(AND(Z334=$E334,AB334=$G334),Auxiliar!$C$11,IF(AND(SIGN($E334-$G334)=SIGN(Z334-AB334),MAX($E334,$G334)=MAX(Z334,AB334)),Auxiliar!$C$12,IF(ABS($E334-$G334)=ABS(Z334-AB334),Auxiliar!$C$13,IF(AND(SIGN($E334-$G334)=SIGN(Z334-AB334),MIN($E334,$G334)=MIN(Z334,AB334)),Auxiliar!$C$14,IF(SIGN($E334-$G334)=SIGN(Z334-AB334),Auxiliar!$C$15,IF(Z334=AB334,Auxiliar!$C$16,0)))))))</f>
        <v/>
      </c>
      <c r="AE334" s="9">
        <v>0</v>
      </c>
      <c r="AF334" s="10" t="s">
        <v>23</v>
      </c>
      <c r="AG334" s="11">
        <v>3</v>
      </c>
      <c r="AH334" s="60" t="str">
        <f>IF(OR($E334="",$G334=""),"",IF(AND(AE334=$E334,AG334=$G334),Auxiliar!$C$11,IF(AND(SIGN($E334-$G334)=SIGN(AE334-AG334),MAX($E334,$G334)=MAX(AE334,AG334)),Auxiliar!$C$12,IF(ABS($E334-$G334)=ABS(AE334-AG334),Auxiliar!$C$13,IF(AND(SIGN($E334-$G334)=SIGN(AE334-AG334),MIN($E334,$G334)=MIN(AE334,AG334)),Auxiliar!$C$14,IF(SIGN($E334-$G334)=SIGN(AE334-AG334),Auxiliar!$C$15,IF(AE334=AG334,Auxiliar!$C$16,0)))))))</f>
        <v/>
      </c>
    </row>
    <row r="335" spans="3:34" x14ac:dyDescent="0.25">
      <c r="C335" s="24">
        <f t="shared" si="4"/>
        <v>32</v>
      </c>
      <c r="D335" s="18"/>
      <c r="E335" s="13"/>
      <c r="F335" s="12" t="s">
        <v>23</v>
      </c>
      <c r="G335" s="13"/>
      <c r="H335" s="14"/>
      <c r="K335" s="9">
        <v>3</v>
      </c>
      <c r="L335" s="10" t="s">
        <v>23</v>
      </c>
      <c r="M335" s="11">
        <v>3</v>
      </c>
      <c r="N335" s="60" t="str">
        <f>IF(OR($E335="",$G335=""),"",IF(AND(K335=$E335,M335=$G335),Auxiliar!$C$11,IF(AND(SIGN($E335-$G335)=SIGN(K335-M335),MAX($E335,$G335)=MAX(K335,M335)),Auxiliar!$C$12,IF(ABS($E335-$G335)=ABS(K335-M335),Auxiliar!$C$13,IF(AND(SIGN($E335-$G335)=SIGN(K335-M335),MIN($E335,$G335)=MIN(K335,M335)),Auxiliar!$C$14,IF(SIGN($E335-$G335)=SIGN(K335-M335),Auxiliar!$C$15,IF(K335=M335,Auxiliar!$C$16,0)))))))</f>
        <v/>
      </c>
      <c r="P335" s="9">
        <v>0</v>
      </c>
      <c r="Q335" s="10" t="s">
        <v>23</v>
      </c>
      <c r="R335" s="11">
        <v>5</v>
      </c>
      <c r="S335" s="60" t="str">
        <f>IF(OR($E335="",$G335=""),"",IF(AND(P335=$E335,R335=$G335),Auxiliar!$C$11,IF(AND(SIGN($E335-$G335)=SIGN(P335-R335),MAX($E335,$G335)=MAX(P335,R335)),Auxiliar!$C$12,IF(ABS($E335-$G335)=ABS(P335-R335),Auxiliar!$C$13,IF(AND(SIGN($E335-$G335)=SIGN(P335-R335),MIN($E335,$G335)=MIN(P335,R335)),Auxiliar!$C$14,IF(SIGN($E335-$G335)=SIGN(P335-R335),Auxiliar!$C$15,IF(P335=R335,Auxiliar!$C$16,0)))))))</f>
        <v/>
      </c>
      <c r="U335" s="9">
        <v>3</v>
      </c>
      <c r="V335" s="10" t="s">
        <v>23</v>
      </c>
      <c r="W335" s="11">
        <v>5</v>
      </c>
      <c r="X335" s="60" t="str">
        <f>IF(OR($E335="",$G335=""),"",IF(AND(U335=$E335,W335=$G335),Auxiliar!$C$11,IF(AND(SIGN($E335-$G335)=SIGN(U335-W335),MAX($E335,$G335)=MAX(U335,W335)),Auxiliar!$C$12,IF(ABS($E335-$G335)=ABS(U335-W335),Auxiliar!$C$13,IF(AND(SIGN($E335-$G335)=SIGN(U335-W335),MIN($E335,$G335)=MIN(U335,W335)),Auxiliar!$C$14,IF(SIGN($E335-$G335)=SIGN(U335-W335),Auxiliar!$C$15,IF(U335=W335,Auxiliar!$C$16,0)))))))</f>
        <v/>
      </c>
      <c r="Z335" s="9">
        <v>2</v>
      </c>
      <c r="AA335" s="10" t="s">
        <v>23</v>
      </c>
      <c r="AB335" s="11">
        <v>0</v>
      </c>
      <c r="AC335" s="60" t="str">
        <f>IF(OR($E335="",$G335=""),"",IF(AND(Z335=$E335,AB335=$G335),Auxiliar!$C$11,IF(AND(SIGN($E335-$G335)=SIGN(Z335-AB335),MAX($E335,$G335)=MAX(Z335,AB335)),Auxiliar!$C$12,IF(ABS($E335-$G335)=ABS(Z335-AB335),Auxiliar!$C$13,IF(AND(SIGN($E335-$G335)=SIGN(Z335-AB335),MIN($E335,$G335)=MIN(Z335,AB335)),Auxiliar!$C$14,IF(SIGN($E335-$G335)=SIGN(Z335-AB335),Auxiliar!$C$15,IF(Z335=AB335,Auxiliar!$C$16,0)))))))</f>
        <v/>
      </c>
      <c r="AE335" s="9">
        <v>2</v>
      </c>
      <c r="AF335" s="10" t="s">
        <v>23</v>
      </c>
      <c r="AG335" s="11">
        <v>3</v>
      </c>
      <c r="AH335" s="60" t="str">
        <f>IF(OR($E335="",$G335=""),"",IF(AND(AE335=$E335,AG335=$G335),Auxiliar!$C$11,IF(AND(SIGN($E335-$G335)=SIGN(AE335-AG335),MAX($E335,$G335)=MAX(AE335,AG335)),Auxiliar!$C$12,IF(ABS($E335-$G335)=ABS(AE335-AG335),Auxiliar!$C$13,IF(AND(SIGN($E335-$G335)=SIGN(AE335-AG335),MIN($E335,$G335)=MIN(AE335,AG335)),Auxiliar!$C$14,IF(SIGN($E335-$G335)=SIGN(AE335-AG335),Auxiliar!$C$15,IF(AE335=AG335,Auxiliar!$C$16,0)))))))</f>
        <v/>
      </c>
    </row>
    <row r="336" spans="3:34" x14ac:dyDescent="0.25">
      <c r="C336" s="24">
        <f t="shared" si="4"/>
        <v>32</v>
      </c>
      <c r="D336" s="18"/>
      <c r="E336" s="13"/>
      <c r="F336" s="12" t="s">
        <v>23</v>
      </c>
      <c r="G336" s="13"/>
      <c r="H336" s="14"/>
      <c r="K336" s="9">
        <v>1</v>
      </c>
      <c r="L336" s="10" t="s">
        <v>23</v>
      </c>
      <c r="M336" s="11">
        <v>2</v>
      </c>
      <c r="N336" s="60" t="str">
        <f>IF(OR($E336="",$G336=""),"",IF(AND(K336=$E336,M336=$G336),Auxiliar!$C$11,IF(AND(SIGN($E336-$G336)=SIGN(K336-M336),MAX($E336,$G336)=MAX(K336,M336)),Auxiliar!$C$12,IF(ABS($E336-$G336)=ABS(K336-M336),Auxiliar!$C$13,IF(AND(SIGN($E336-$G336)=SIGN(K336-M336),MIN($E336,$G336)=MIN(K336,M336)),Auxiliar!$C$14,IF(SIGN($E336-$G336)=SIGN(K336-M336),Auxiliar!$C$15,IF(K336=M336,Auxiliar!$C$16,0)))))))</f>
        <v/>
      </c>
      <c r="P336" s="9">
        <v>0</v>
      </c>
      <c r="Q336" s="10" t="s">
        <v>23</v>
      </c>
      <c r="R336" s="11">
        <v>2</v>
      </c>
      <c r="S336" s="60" t="str">
        <f>IF(OR($E336="",$G336=""),"",IF(AND(P336=$E336,R336=$G336),Auxiliar!$C$11,IF(AND(SIGN($E336-$G336)=SIGN(P336-R336),MAX($E336,$G336)=MAX(P336,R336)),Auxiliar!$C$12,IF(ABS($E336-$G336)=ABS(P336-R336),Auxiliar!$C$13,IF(AND(SIGN($E336-$G336)=SIGN(P336-R336),MIN($E336,$G336)=MIN(P336,R336)),Auxiliar!$C$14,IF(SIGN($E336-$G336)=SIGN(P336-R336),Auxiliar!$C$15,IF(P336=R336,Auxiliar!$C$16,0)))))))</f>
        <v/>
      </c>
      <c r="U336" s="9">
        <v>2</v>
      </c>
      <c r="V336" s="10" t="s">
        <v>23</v>
      </c>
      <c r="W336" s="11">
        <v>5</v>
      </c>
      <c r="X336" s="60" t="str">
        <f>IF(OR($E336="",$G336=""),"",IF(AND(U336=$E336,W336=$G336),Auxiliar!$C$11,IF(AND(SIGN($E336-$G336)=SIGN(U336-W336),MAX($E336,$G336)=MAX(U336,W336)),Auxiliar!$C$12,IF(ABS($E336-$G336)=ABS(U336-W336),Auxiliar!$C$13,IF(AND(SIGN($E336-$G336)=SIGN(U336-W336),MIN($E336,$G336)=MIN(U336,W336)),Auxiliar!$C$14,IF(SIGN($E336-$G336)=SIGN(U336-W336),Auxiliar!$C$15,IF(U336=W336,Auxiliar!$C$16,0)))))))</f>
        <v/>
      </c>
      <c r="Z336" s="9">
        <v>2</v>
      </c>
      <c r="AA336" s="10" t="s">
        <v>23</v>
      </c>
      <c r="AB336" s="11">
        <v>4</v>
      </c>
      <c r="AC336" s="60" t="str">
        <f>IF(OR($E336="",$G336=""),"",IF(AND(Z336=$E336,AB336=$G336),Auxiliar!$C$11,IF(AND(SIGN($E336-$G336)=SIGN(Z336-AB336),MAX($E336,$G336)=MAX(Z336,AB336)),Auxiliar!$C$12,IF(ABS($E336-$G336)=ABS(Z336-AB336),Auxiliar!$C$13,IF(AND(SIGN($E336-$G336)=SIGN(Z336-AB336),MIN($E336,$G336)=MIN(Z336,AB336)),Auxiliar!$C$14,IF(SIGN($E336-$G336)=SIGN(Z336-AB336),Auxiliar!$C$15,IF(Z336=AB336,Auxiliar!$C$16,0)))))))</f>
        <v/>
      </c>
      <c r="AE336" s="9">
        <v>0</v>
      </c>
      <c r="AF336" s="10" t="s">
        <v>23</v>
      </c>
      <c r="AG336" s="11">
        <v>2</v>
      </c>
      <c r="AH336" s="60" t="str">
        <f>IF(OR($E336="",$G336=""),"",IF(AND(AE336=$E336,AG336=$G336),Auxiliar!$C$11,IF(AND(SIGN($E336-$G336)=SIGN(AE336-AG336),MAX($E336,$G336)=MAX(AE336,AG336)),Auxiliar!$C$12,IF(ABS($E336-$G336)=ABS(AE336-AG336),Auxiliar!$C$13,IF(AND(SIGN($E336-$G336)=SIGN(AE336-AG336),MIN($E336,$G336)=MIN(AE336,AG336)),Auxiliar!$C$14,IF(SIGN($E336-$G336)=SIGN(AE336-AG336),Auxiliar!$C$15,IF(AE336=AG336,Auxiliar!$C$16,0)))))))</f>
        <v/>
      </c>
    </row>
    <row r="337" spans="3:34" x14ac:dyDescent="0.25">
      <c r="C337" s="24">
        <f t="shared" si="4"/>
        <v>32</v>
      </c>
      <c r="D337" s="18"/>
      <c r="E337" s="13"/>
      <c r="F337" s="12" t="s">
        <v>23</v>
      </c>
      <c r="G337" s="13"/>
      <c r="H337" s="14"/>
      <c r="K337" s="9">
        <v>0</v>
      </c>
      <c r="L337" s="10" t="s">
        <v>23</v>
      </c>
      <c r="M337" s="11">
        <v>4</v>
      </c>
      <c r="N337" s="60" t="str">
        <f>IF(OR($E337="",$G337=""),"",IF(AND(K337=$E337,M337=$G337),Auxiliar!$C$11,IF(AND(SIGN($E337-$G337)=SIGN(K337-M337),MAX($E337,$G337)=MAX(K337,M337)),Auxiliar!$C$12,IF(ABS($E337-$G337)=ABS(K337-M337),Auxiliar!$C$13,IF(AND(SIGN($E337-$G337)=SIGN(K337-M337),MIN($E337,$G337)=MIN(K337,M337)),Auxiliar!$C$14,IF(SIGN($E337-$G337)=SIGN(K337-M337),Auxiliar!$C$15,IF(K337=M337,Auxiliar!$C$16,0)))))))</f>
        <v/>
      </c>
      <c r="P337" s="9">
        <v>4</v>
      </c>
      <c r="Q337" s="10" t="s">
        <v>23</v>
      </c>
      <c r="R337" s="11">
        <v>3</v>
      </c>
      <c r="S337" s="60" t="str">
        <f>IF(OR($E337="",$G337=""),"",IF(AND(P337=$E337,R337=$G337),Auxiliar!$C$11,IF(AND(SIGN($E337-$G337)=SIGN(P337-R337),MAX($E337,$G337)=MAX(P337,R337)),Auxiliar!$C$12,IF(ABS($E337-$G337)=ABS(P337-R337),Auxiliar!$C$13,IF(AND(SIGN($E337-$G337)=SIGN(P337-R337),MIN($E337,$G337)=MIN(P337,R337)),Auxiliar!$C$14,IF(SIGN($E337-$G337)=SIGN(P337-R337),Auxiliar!$C$15,IF(P337=R337,Auxiliar!$C$16,0)))))))</f>
        <v/>
      </c>
      <c r="U337" s="9">
        <v>1</v>
      </c>
      <c r="V337" s="10" t="s">
        <v>23</v>
      </c>
      <c r="W337" s="11">
        <v>1</v>
      </c>
      <c r="X337" s="60" t="str">
        <f>IF(OR($E337="",$G337=""),"",IF(AND(U337=$E337,W337=$G337),Auxiliar!$C$11,IF(AND(SIGN($E337-$G337)=SIGN(U337-W337),MAX($E337,$G337)=MAX(U337,W337)),Auxiliar!$C$12,IF(ABS($E337-$G337)=ABS(U337-W337),Auxiliar!$C$13,IF(AND(SIGN($E337-$G337)=SIGN(U337-W337),MIN($E337,$G337)=MIN(U337,W337)),Auxiliar!$C$14,IF(SIGN($E337-$G337)=SIGN(U337-W337),Auxiliar!$C$15,IF(U337=W337,Auxiliar!$C$16,0)))))))</f>
        <v/>
      </c>
      <c r="Z337" s="9">
        <v>0</v>
      </c>
      <c r="AA337" s="10" t="s">
        <v>23</v>
      </c>
      <c r="AB337" s="11">
        <v>4</v>
      </c>
      <c r="AC337" s="60" t="str">
        <f>IF(OR($E337="",$G337=""),"",IF(AND(Z337=$E337,AB337=$G337),Auxiliar!$C$11,IF(AND(SIGN($E337-$G337)=SIGN(Z337-AB337),MAX($E337,$G337)=MAX(Z337,AB337)),Auxiliar!$C$12,IF(ABS($E337-$G337)=ABS(Z337-AB337),Auxiliar!$C$13,IF(AND(SIGN($E337-$G337)=SIGN(Z337-AB337),MIN($E337,$G337)=MIN(Z337,AB337)),Auxiliar!$C$14,IF(SIGN($E337-$G337)=SIGN(Z337-AB337),Auxiliar!$C$15,IF(Z337=AB337,Auxiliar!$C$16,0)))))))</f>
        <v/>
      </c>
      <c r="AE337" s="9">
        <v>4</v>
      </c>
      <c r="AF337" s="10" t="s">
        <v>23</v>
      </c>
      <c r="AG337" s="11">
        <v>1</v>
      </c>
      <c r="AH337" s="60" t="str">
        <f>IF(OR($E337="",$G337=""),"",IF(AND(AE337=$E337,AG337=$G337),Auxiliar!$C$11,IF(AND(SIGN($E337-$G337)=SIGN(AE337-AG337),MAX($E337,$G337)=MAX(AE337,AG337)),Auxiliar!$C$12,IF(ABS($E337-$G337)=ABS(AE337-AG337),Auxiliar!$C$13,IF(AND(SIGN($E337-$G337)=SIGN(AE337-AG337),MIN($E337,$G337)=MIN(AE337,AG337)),Auxiliar!$C$14,IF(SIGN($E337-$G337)=SIGN(AE337-AG337),Auxiliar!$C$15,IF(AE337=AG337,Auxiliar!$C$16,0)))))))</f>
        <v/>
      </c>
    </row>
    <row r="338" spans="3:34" x14ac:dyDescent="0.25">
      <c r="C338" s="24">
        <f t="shared" si="4"/>
        <v>32</v>
      </c>
      <c r="D338" s="18"/>
      <c r="E338" s="13"/>
      <c r="F338" s="12" t="s">
        <v>23</v>
      </c>
      <c r="G338" s="13"/>
      <c r="H338" s="14"/>
      <c r="K338" s="9">
        <v>2</v>
      </c>
      <c r="L338" s="10" t="s">
        <v>23</v>
      </c>
      <c r="M338" s="11">
        <v>3</v>
      </c>
      <c r="N338" s="60" t="str">
        <f>IF(OR($E338="",$G338=""),"",IF(AND(K338=$E338,M338=$G338),Auxiliar!$C$11,IF(AND(SIGN($E338-$G338)=SIGN(K338-M338),MAX($E338,$G338)=MAX(K338,M338)),Auxiliar!$C$12,IF(ABS($E338-$G338)=ABS(K338-M338),Auxiliar!$C$13,IF(AND(SIGN($E338-$G338)=SIGN(K338-M338),MIN($E338,$G338)=MIN(K338,M338)),Auxiliar!$C$14,IF(SIGN($E338-$G338)=SIGN(K338-M338),Auxiliar!$C$15,IF(K338=M338,Auxiliar!$C$16,0)))))))</f>
        <v/>
      </c>
      <c r="P338" s="9">
        <v>0</v>
      </c>
      <c r="Q338" s="10" t="s">
        <v>23</v>
      </c>
      <c r="R338" s="11">
        <v>0</v>
      </c>
      <c r="S338" s="60" t="str">
        <f>IF(OR($E338="",$G338=""),"",IF(AND(P338=$E338,R338=$G338),Auxiliar!$C$11,IF(AND(SIGN($E338-$G338)=SIGN(P338-R338),MAX($E338,$G338)=MAX(P338,R338)),Auxiliar!$C$12,IF(ABS($E338-$G338)=ABS(P338-R338),Auxiliar!$C$13,IF(AND(SIGN($E338-$G338)=SIGN(P338-R338),MIN($E338,$G338)=MIN(P338,R338)),Auxiliar!$C$14,IF(SIGN($E338-$G338)=SIGN(P338-R338),Auxiliar!$C$15,IF(P338=R338,Auxiliar!$C$16,0)))))))</f>
        <v/>
      </c>
      <c r="U338" s="9">
        <v>3</v>
      </c>
      <c r="V338" s="10" t="s">
        <v>23</v>
      </c>
      <c r="W338" s="11">
        <v>3</v>
      </c>
      <c r="X338" s="60" t="str">
        <f>IF(OR($E338="",$G338=""),"",IF(AND(U338=$E338,W338=$G338),Auxiliar!$C$11,IF(AND(SIGN($E338-$G338)=SIGN(U338-W338),MAX($E338,$G338)=MAX(U338,W338)),Auxiliar!$C$12,IF(ABS($E338-$G338)=ABS(U338-W338),Auxiliar!$C$13,IF(AND(SIGN($E338-$G338)=SIGN(U338-W338),MIN($E338,$G338)=MIN(U338,W338)),Auxiliar!$C$14,IF(SIGN($E338-$G338)=SIGN(U338-W338),Auxiliar!$C$15,IF(U338=W338,Auxiliar!$C$16,0)))))))</f>
        <v/>
      </c>
      <c r="Z338" s="9">
        <v>1</v>
      </c>
      <c r="AA338" s="10" t="s">
        <v>23</v>
      </c>
      <c r="AB338" s="11">
        <v>4</v>
      </c>
      <c r="AC338" s="60" t="str">
        <f>IF(OR($E338="",$G338=""),"",IF(AND(Z338=$E338,AB338=$G338),Auxiliar!$C$11,IF(AND(SIGN($E338-$G338)=SIGN(Z338-AB338),MAX($E338,$G338)=MAX(Z338,AB338)),Auxiliar!$C$12,IF(ABS($E338-$G338)=ABS(Z338-AB338),Auxiliar!$C$13,IF(AND(SIGN($E338-$G338)=SIGN(Z338-AB338),MIN($E338,$G338)=MIN(Z338,AB338)),Auxiliar!$C$14,IF(SIGN($E338-$G338)=SIGN(Z338-AB338),Auxiliar!$C$15,IF(Z338=AB338,Auxiliar!$C$16,0)))))))</f>
        <v/>
      </c>
      <c r="AE338" s="9">
        <v>4</v>
      </c>
      <c r="AF338" s="10" t="s">
        <v>23</v>
      </c>
      <c r="AG338" s="11">
        <v>1</v>
      </c>
      <c r="AH338" s="60" t="str">
        <f>IF(OR($E338="",$G338=""),"",IF(AND(AE338=$E338,AG338=$G338),Auxiliar!$C$11,IF(AND(SIGN($E338-$G338)=SIGN(AE338-AG338),MAX($E338,$G338)=MAX(AE338,AG338)),Auxiliar!$C$12,IF(ABS($E338-$G338)=ABS(AE338-AG338),Auxiliar!$C$13,IF(AND(SIGN($E338-$G338)=SIGN(AE338-AG338),MIN($E338,$G338)=MIN(AE338,AG338)),Auxiliar!$C$14,IF(SIGN($E338-$G338)=SIGN(AE338-AG338),Auxiliar!$C$15,IF(AE338=AG338,Auxiliar!$C$16,0)))))))</f>
        <v/>
      </c>
    </row>
    <row r="339" spans="3:34" x14ac:dyDescent="0.25">
      <c r="C339" s="24">
        <f t="shared" si="4"/>
        <v>33</v>
      </c>
      <c r="D339" s="18"/>
      <c r="E339" s="13"/>
      <c r="F339" s="12" t="s">
        <v>23</v>
      </c>
      <c r="G339" s="13"/>
      <c r="H339" s="14"/>
      <c r="K339" s="9">
        <v>2</v>
      </c>
      <c r="L339" s="10" t="s">
        <v>23</v>
      </c>
      <c r="M339" s="11">
        <v>1</v>
      </c>
      <c r="N339" s="60" t="str">
        <f>IF(OR($E339="",$G339=""),"",IF(AND(K339=$E339,M339=$G339),Auxiliar!$C$11,IF(AND(SIGN($E339-$G339)=SIGN(K339-M339),MAX($E339,$G339)=MAX(K339,M339)),Auxiliar!$C$12,IF(ABS($E339-$G339)=ABS(K339-M339),Auxiliar!$C$13,IF(AND(SIGN($E339-$G339)=SIGN(K339-M339),MIN($E339,$G339)=MIN(K339,M339)),Auxiliar!$C$14,IF(SIGN($E339-$G339)=SIGN(K339-M339),Auxiliar!$C$15,IF(K339=M339,Auxiliar!$C$16,0)))))))</f>
        <v/>
      </c>
      <c r="P339" s="9">
        <v>2</v>
      </c>
      <c r="Q339" s="10" t="s">
        <v>23</v>
      </c>
      <c r="R339" s="11">
        <v>2</v>
      </c>
      <c r="S339" s="60" t="str">
        <f>IF(OR($E339="",$G339=""),"",IF(AND(P339=$E339,R339=$G339),Auxiliar!$C$11,IF(AND(SIGN($E339-$G339)=SIGN(P339-R339),MAX($E339,$G339)=MAX(P339,R339)),Auxiliar!$C$12,IF(ABS($E339-$G339)=ABS(P339-R339),Auxiliar!$C$13,IF(AND(SIGN($E339-$G339)=SIGN(P339-R339),MIN($E339,$G339)=MIN(P339,R339)),Auxiliar!$C$14,IF(SIGN($E339-$G339)=SIGN(P339-R339),Auxiliar!$C$15,IF(P339=R339,Auxiliar!$C$16,0)))))))</f>
        <v/>
      </c>
      <c r="U339" s="9">
        <v>3</v>
      </c>
      <c r="V339" s="10" t="s">
        <v>23</v>
      </c>
      <c r="W339" s="11">
        <v>0</v>
      </c>
      <c r="X339" s="60" t="str">
        <f>IF(OR($E339="",$G339=""),"",IF(AND(U339=$E339,W339=$G339),Auxiliar!$C$11,IF(AND(SIGN($E339-$G339)=SIGN(U339-W339),MAX($E339,$G339)=MAX(U339,W339)),Auxiliar!$C$12,IF(ABS($E339-$G339)=ABS(U339-W339),Auxiliar!$C$13,IF(AND(SIGN($E339-$G339)=SIGN(U339-W339),MIN($E339,$G339)=MIN(U339,W339)),Auxiliar!$C$14,IF(SIGN($E339-$G339)=SIGN(U339-W339),Auxiliar!$C$15,IF(U339=W339,Auxiliar!$C$16,0)))))))</f>
        <v/>
      </c>
      <c r="Z339" s="9">
        <v>2</v>
      </c>
      <c r="AA339" s="10" t="s">
        <v>23</v>
      </c>
      <c r="AB339" s="11">
        <v>5</v>
      </c>
      <c r="AC339" s="60" t="str">
        <f>IF(OR($E339="",$G339=""),"",IF(AND(Z339=$E339,AB339=$G339),Auxiliar!$C$11,IF(AND(SIGN($E339-$G339)=SIGN(Z339-AB339),MAX($E339,$G339)=MAX(Z339,AB339)),Auxiliar!$C$12,IF(ABS($E339-$G339)=ABS(Z339-AB339),Auxiliar!$C$13,IF(AND(SIGN($E339-$G339)=SIGN(Z339-AB339),MIN($E339,$G339)=MIN(Z339,AB339)),Auxiliar!$C$14,IF(SIGN($E339-$G339)=SIGN(Z339-AB339),Auxiliar!$C$15,IF(Z339=AB339,Auxiliar!$C$16,0)))))))</f>
        <v/>
      </c>
      <c r="AE339" s="9">
        <v>4</v>
      </c>
      <c r="AF339" s="10" t="s">
        <v>23</v>
      </c>
      <c r="AG339" s="11">
        <v>2</v>
      </c>
      <c r="AH339" s="60" t="str">
        <f>IF(OR($E339="",$G339=""),"",IF(AND(AE339=$E339,AG339=$G339),Auxiliar!$C$11,IF(AND(SIGN($E339-$G339)=SIGN(AE339-AG339),MAX($E339,$G339)=MAX(AE339,AG339)),Auxiliar!$C$12,IF(ABS($E339-$G339)=ABS(AE339-AG339),Auxiliar!$C$13,IF(AND(SIGN($E339-$G339)=SIGN(AE339-AG339),MIN($E339,$G339)=MIN(AE339,AG339)),Auxiliar!$C$14,IF(SIGN($E339-$G339)=SIGN(AE339-AG339),Auxiliar!$C$15,IF(AE339=AG339,Auxiliar!$C$16,0)))))))</f>
        <v/>
      </c>
    </row>
    <row r="340" spans="3:34" x14ac:dyDescent="0.25">
      <c r="C340" s="24">
        <f t="shared" si="4"/>
        <v>33</v>
      </c>
      <c r="D340" s="18"/>
      <c r="E340" s="13"/>
      <c r="F340" s="12" t="s">
        <v>23</v>
      </c>
      <c r="G340" s="13"/>
      <c r="H340" s="14"/>
      <c r="K340" s="9">
        <v>4</v>
      </c>
      <c r="L340" s="10" t="s">
        <v>23</v>
      </c>
      <c r="M340" s="11">
        <v>3</v>
      </c>
      <c r="N340" s="60" t="str">
        <f>IF(OR($E340="",$G340=""),"",IF(AND(K340=$E340,M340=$G340),Auxiliar!$C$11,IF(AND(SIGN($E340-$G340)=SIGN(K340-M340),MAX($E340,$G340)=MAX(K340,M340)),Auxiliar!$C$12,IF(ABS($E340-$G340)=ABS(K340-M340),Auxiliar!$C$13,IF(AND(SIGN($E340-$G340)=SIGN(K340-M340),MIN($E340,$G340)=MIN(K340,M340)),Auxiliar!$C$14,IF(SIGN($E340-$G340)=SIGN(K340-M340),Auxiliar!$C$15,IF(K340=M340,Auxiliar!$C$16,0)))))))</f>
        <v/>
      </c>
      <c r="P340" s="9">
        <v>3</v>
      </c>
      <c r="Q340" s="10" t="s">
        <v>23</v>
      </c>
      <c r="R340" s="11">
        <v>5</v>
      </c>
      <c r="S340" s="60" t="str">
        <f>IF(OR($E340="",$G340=""),"",IF(AND(P340=$E340,R340=$G340),Auxiliar!$C$11,IF(AND(SIGN($E340-$G340)=SIGN(P340-R340),MAX($E340,$G340)=MAX(P340,R340)),Auxiliar!$C$12,IF(ABS($E340-$G340)=ABS(P340-R340),Auxiliar!$C$13,IF(AND(SIGN($E340-$G340)=SIGN(P340-R340),MIN($E340,$G340)=MIN(P340,R340)),Auxiliar!$C$14,IF(SIGN($E340-$G340)=SIGN(P340-R340),Auxiliar!$C$15,IF(P340=R340,Auxiliar!$C$16,0)))))))</f>
        <v/>
      </c>
      <c r="U340" s="9">
        <v>3</v>
      </c>
      <c r="V340" s="10" t="s">
        <v>23</v>
      </c>
      <c r="W340" s="11">
        <v>1</v>
      </c>
      <c r="X340" s="60" t="str">
        <f>IF(OR($E340="",$G340=""),"",IF(AND(U340=$E340,W340=$G340),Auxiliar!$C$11,IF(AND(SIGN($E340-$G340)=SIGN(U340-W340),MAX($E340,$G340)=MAX(U340,W340)),Auxiliar!$C$12,IF(ABS($E340-$G340)=ABS(U340-W340),Auxiliar!$C$13,IF(AND(SIGN($E340-$G340)=SIGN(U340-W340),MIN($E340,$G340)=MIN(U340,W340)),Auxiliar!$C$14,IF(SIGN($E340-$G340)=SIGN(U340-W340),Auxiliar!$C$15,IF(U340=W340,Auxiliar!$C$16,0)))))))</f>
        <v/>
      </c>
      <c r="Z340" s="9">
        <v>0</v>
      </c>
      <c r="AA340" s="10" t="s">
        <v>23</v>
      </c>
      <c r="AB340" s="11">
        <v>5</v>
      </c>
      <c r="AC340" s="60" t="str">
        <f>IF(OR($E340="",$G340=""),"",IF(AND(Z340=$E340,AB340=$G340),Auxiliar!$C$11,IF(AND(SIGN($E340-$G340)=SIGN(Z340-AB340),MAX($E340,$G340)=MAX(Z340,AB340)),Auxiliar!$C$12,IF(ABS($E340-$G340)=ABS(Z340-AB340),Auxiliar!$C$13,IF(AND(SIGN($E340-$G340)=SIGN(Z340-AB340),MIN($E340,$G340)=MIN(Z340,AB340)),Auxiliar!$C$14,IF(SIGN($E340-$G340)=SIGN(Z340-AB340),Auxiliar!$C$15,IF(Z340=AB340,Auxiliar!$C$16,0)))))))</f>
        <v/>
      </c>
      <c r="AE340" s="9">
        <v>5</v>
      </c>
      <c r="AF340" s="10" t="s">
        <v>23</v>
      </c>
      <c r="AG340" s="11">
        <v>2</v>
      </c>
      <c r="AH340" s="60" t="str">
        <f>IF(OR($E340="",$G340=""),"",IF(AND(AE340=$E340,AG340=$G340),Auxiliar!$C$11,IF(AND(SIGN($E340-$G340)=SIGN(AE340-AG340),MAX($E340,$G340)=MAX(AE340,AG340)),Auxiliar!$C$12,IF(ABS($E340-$G340)=ABS(AE340-AG340),Auxiliar!$C$13,IF(AND(SIGN($E340-$G340)=SIGN(AE340-AG340),MIN($E340,$G340)=MIN(AE340,AG340)),Auxiliar!$C$14,IF(SIGN($E340-$G340)=SIGN(AE340-AG340),Auxiliar!$C$15,IF(AE340=AG340,Auxiliar!$C$16,0)))))))</f>
        <v/>
      </c>
    </row>
    <row r="341" spans="3:34" x14ac:dyDescent="0.25">
      <c r="C341" s="24">
        <f t="shared" si="4"/>
        <v>33</v>
      </c>
      <c r="D341" s="18"/>
      <c r="E341" s="13"/>
      <c r="F341" s="12" t="s">
        <v>23</v>
      </c>
      <c r="G341" s="13"/>
      <c r="H341" s="14"/>
      <c r="K341" s="9">
        <v>1</v>
      </c>
      <c r="L341" s="10" t="s">
        <v>23</v>
      </c>
      <c r="M341" s="11">
        <v>5</v>
      </c>
      <c r="N341" s="60" t="str">
        <f>IF(OR($E341="",$G341=""),"",IF(AND(K341=$E341,M341=$G341),Auxiliar!$C$11,IF(AND(SIGN($E341-$G341)=SIGN(K341-M341),MAX($E341,$G341)=MAX(K341,M341)),Auxiliar!$C$12,IF(ABS($E341-$G341)=ABS(K341-M341),Auxiliar!$C$13,IF(AND(SIGN($E341-$G341)=SIGN(K341-M341),MIN($E341,$G341)=MIN(K341,M341)),Auxiliar!$C$14,IF(SIGN($E341-$G341)=SIGN(K341-M341),Auxiliar!$C$15,IF(K341=M341,Auxiliar!$C$16,0)))))))</f>
        <v/>
      </c>
      <c r="P341" s="9">
        <v>0</v>
      </c>
      <c r="Q341" s="10" t="s">
        <v>23</v>
      </c>
      <c r="R341" s="11">
        <v>0</v>
      </c>
      <c r="S341" s="60" t="str">
        <f>IF(OR($E341="",$G341=""),"",IF(AND(P341=$E341,R341=$G341),Auxiliar!$C$11,IF(AND(SIGN($E341-$G341)=SIGN(P341-R341),MAX($E341,$G341)=MAX(P341,R341)),Auxiliar!$C$12,IF(ABS($E341-$G341)=ABS(P341-R341),Auxiliar!$C$13,IF(AND(SIGN($E341-$G341)=SIGN(P341-R341),MIN($E341,$G341)=MIN(P341,R341)),Auxiliar!$C$14,IF(SIGN($E341-$G341)=SIGN(P341-R341),Auxiliar!$C$15,IF(P341=R341,Auxiliar!$C$16,0)))))))</f>
        <v/>
      </c>
      <c r="U341" s="9">
        <v>4</v>
      </c>
      <c r="V341" s="10" t="s">
        <v>23</v>
      </c>
      <c r="W341" s="11">
        <v>5</v>
      </c>
      <c r="X341" s="60" t="str">
        <f>IF(OR($E341="",$G341=""),"",IF(AND(U341=$E341,W341=$G341),Auxiliar!$C$11,IF(AND(SIGN($E341-$G341)=SIGN(U341-W341),MAX($E341,$G341)=MAX(U341,W341)),Auxiliar!$C$12,IF(ABS($E341-$G341)=ABS(U341-W341),Auxiliar!$C$13,IF(AND(SIGN($E341-$G341)=SIGN(U341-W341),MIN($E341,$G341)=MIN(U341,W341)),Auxiliar!$C$14,IF(SIGN($E341-$G341)=SIGN(U341-W341),Auxiliar!$C$15,IF(U341=W341,Auxiliar!$C$16,0)))))))</f>
        <v/>
      </c>
      <c r="Z341" s="9">
        <v>2</v>
      </c>
      <c r="AA341" s="10" t="s">
        <v>23</v>
      </c>
      <c r="AB341" s="11">
        <v>4</v>
      </c>
      <c r="AC341" s="60" t="str">
        <f>IF(OR($E341="",$G341=""),"",IF(AND(Z341=$E341,AB341=$G341),Auxiliar!$C$11,IF(AND(SIGN($E341-$G341)=SIGN(Z341-AB341),MAX($E341,$G341)=MAX(Z341,AB341)),Auxiliar!$C$12,IF(ABS($E341-$G341)=ABS(Z341-AB341),Auxiliar!$C$13,IF(AND(SIGN($E341-$G341)=SIGN(Z341-AB341),MIN($E341,$G341)=MIN(Z341,AB341)),Auxiliar!$C$14,IF(SIGN($E341-$G341)=SIGN(Z341-AB341),Auxiliar!$C$15,IF(Z341=AB341,Auxiliar!$C$16,0)))))))</f>
        <v/>
      </c>
      <c r="AE341" s="9">
        <v>4</v>
      </c>
      <c r="AF341" s="10" t="s">
        <v>23</v>
      </c>
      <c r="AG341" s="11">
        <v>2</v>
      </c>
      <c r="AH341" s="60" t="str">
        <f>IF(OR($E341="",$G341=""),"",IF(AND(AE341=$E341,AG341=$G341),Auxiliar!$C$11,IF(AND(SIGN($E341-$G341)=SIGN(AE341-AG341),MAX($E341,$G341)=MAX(AE341,AG341)),Auxiliar!$C$12,IF(ABS($E341-$G341)=ABS(AE341-AG341),Auxiliar!$C$13,IF(AND(SIGN($E341-$G341)=SIGN(AE341-AG341),MIN($E341,$G341)=MIN(AE341,AG341)),Auxiliar!$C$14,IF(SIGN($E341-$G341)=SIGN(AE341-AG341),Auxiliar!$C$15,IF(AE341=AG341,Auxiliar!$C$16,0)))))))</f>
        <v/>
      </c>
    </row>
    <row r="342" spans="3:34" x14ac:dyDescent="0.25">
      <c r="C342" s="24">
        <f t="shared" si="4"/>
        <v>33</v>
      </c>
      <c r="D342" s="18"/>
      <c r="E342" s="13"/>
      <c r="F342" s="12" t="s">
        <v>23</v>
      </c>
      <c r="G342" s="13"/>
      <c r="H342" s="14"/>
      <c r="K342" s="9">
        <v>0</v>
      </c>
      <c r="L342" s="10" t="s">
        <v>23</v>
      </c>
      <c r="M342" s="11">
        <v>5</v>
      </c>
      <c r="N342" s="60" t="str">
        <f>IF(OR($E342="",$G342=""),"",IF(AND(K342=$E342,M342=$G342),Auxiliar!$C$11,IF(AND(SIGN($E342-$G342)=SIGN(K342-M342),MAX($E342,$G342)=MAX(K342,M342)),Auxiliar!$C$12,IF(ABS($E342-$G342)=ABS(K342-M342),Auxiliar!$C$13,IF(AND(SIGN($E342-$G342)=SIGN(K342-M342),MIN($E342,$G342)=MIN(K342,M342)),Auxiliar!$C$14,IF(SIGN($E342-$G342)=SIGN(K342-M342),Auxiliar!$C$15,IF(K342=M342,Auxiliar!$C$16,0)))))))</f>
        <v/>
      </c>
      <c r="P342" s="9">
        <v>2</v>
      </c>
      <c r="Q342" s="10" t="s">
        <v>23</v>
      </c>
      <c r="R342" s="11">
        <v>4</v>
      </c>
      <c r="S342" s="60" t="str">
        <f>IF(OR($E342="",$G342=""),"",IF(AND(P342=$E342,R342=$G342),Auxiliar!$C$11,IF(AND(SIGN($E342-$G342)=SIGN(P342-R342),MAX($E342,$G342)=MAX(P342,R342)),Auxiliar!$C$12,IF(ABS($E342-$G342)=ABS(P342-R342),Auxiliar!$C$13,IF(AND(SIGN($E342-$G342)=SIGN(P342-R342),MIN($E342,$G342)=MIN(P342,R342)),Auxiliar!$C$14,IF(SIGN($E342-$G342)=SIGN(P342-R342),Auxiliar!$C$15,IF(P342=R342,Auxiliar!$C$16,0)))))))</f>
        <v/>
      </c>
      <c r="U342" s="9">
        <v>1</v>
      </c>
      <c r="V342" s="10" t="s">
        <v>23</v>
      </c>
      <c r="W342" s="11">
        <v>4</v>
      </c>
      <c r="X342" s="60" t="str">
        <f>IF(OR($E342="",$G342=""),"",IF(AND(U342=$E342,W342=$G342),Auxiliar!$C$11,IF(AND(SIGN($E342-$G342)=SIGN(U342-W342),MAX($E342,$G342)=MAX(U342,W342)),Auxiliar!$C$12,IF(ABS($E342-$G342)=ABS(U342-W342),Auxiliar!$C$13,IF(AND(SIGN($E342-$G342)=SIGN(U342-W342),MIN($E342,$G342)=MIN(U342,W342)),Auxiliar!$C$14,IF(SIGN($E342-$G342)=SIGN(U342-W342),Auxiliar!$C$15,IF(U342=W342,Auxiliar!$C$16,0)))))))</f>
        <v/>
      </c>
      <c r="Z342" s="9">
        <v>1</v>
      </c>
      <c r="AA342" s="10" t="s">
        <v>23</v>
      </c>
      <c r="AB342" s="11">
        <v>4</v>
      </c>
      <c r="AC342" s="60" t="str">
        <f>IF(OR($E342="",$G342=""),"",IF(AND(Z342=$E342,AB342=$G342),Auxiliar!$C$11,IF(AND(SIGN($E342-$G342)=SIGN(Z342-AB342),MAX($E342,$G342)=MAX(Z342,AB342)),Auxiliar!$C$12,IF(ABS($E342-$G342)=ABS(Z342-AB342),Auxiliar!$C$13,IF(AND(SIGN($E342-$G342)=SIGN(Z342-AB342),MIN($E342,$G342)=MIN(Z342,AB342)),Auxiliar!$C$14,IF(SIGN($E342-$G342)=SIGN(Z342-AB342),Auxiliar!$C$15,IF(Z342=AB342,Auxiliar!$C$16,0)))))))</f>
        <v/>
      </c>
      <c r="AE342" s="9">
        <v>0</v>
      </c>
      <c r="AF342" s="10" t="s">
        <v>23</v>
      </c>
      <c r="AG342" s="11">
        <v>5</v>
      </c>
      <c r="AH342" s="60" t="str">
        <f>IF(OR($E342="",$G342=""),"",IF(AND(AE342=$E342,AG342=$G342),Auxiliar!$C$11,IF(AND(SIGN($E342-$G342)=SIGN(AE342-AG342),MAX($E342,$G342)=MAX(AE342,AG342)),Auxiliar!$C$12,IF(ABS($E342-$G342)=ABS(AE342-AG342),Auxiliar!$C$13,IF(AND(SIGN($E342-$G342)=SIGN(AE342-AG342),MIN($E342,$G342)=MIN(AE342,AG342)),Auxiliar!$C$14,IF(SIGN($E342-$G342)=SIGN(AE342-AG342),Auxiliar!$C$15,IF(AE342=AG342,Auxiliar!$C$16,0)))))))</f>
        <v/>
      </c>
    </row>
    <row r="343" spans="3:34" x14ac:dyDescent="0.25">
      <c r="C343" s="24">
        <f t="shared" si="4"/>
        <v>33</v>
      </c>
      <c r="D343" s="18"/>
      <c r="E343" s="13"/>
      <c r="F343" s="12" t="s">
        <v>23</v>
      </c>
      <c r="G343" s="13"/>
      <c r="H343" s="14"/>
      <c r="K343" s="9">
        <v>3</v>
      </c>
      <c r="L343" s="10" t="s">
        <v>23</v>
      </c>
      <c r="M343" s="11">
        <v>1</v>
      </c>
      <c r="N343" s="60" t="str">
        <f>IF(OR($E343="",$G343=""),"",IF(AND(K343=$E343,M343=$G343),Auxiliar!$C$11,IF(AND(SIGN($E343-$G343)=SIGN(K343-M343),MAX($E343,$G343)=MAX(K343,M343)),Auxiliar!$C$12,IF(ABS($E343-$G343)=ABS(K343-M343),Auxiliar!$C$13,IF(AND(SIGN($E343-$G343)=SIGN(K343-M343),MIN($E343,$G343)=MIN(K343,M343)),Auxiliar!$C$14,IF(SIGN($E343-$G343)=SIGN(K343-M343),Auxiliar!$C$15,IF(K343=M343,Auxiliar!$C$16,0)))))))</f>
        <v/>
      </c>
      <c r="P343" s="9">
        <v>3</v>
      </c>
      <c r="Q343" s="10" t="s">
        <v>23</v>
      </c>
      <c r="R343" s="11">
        <v>3</v>
      </c>
      <c r="S343" s="60" t="str">
        <f>IF(OR($E343="",$G343=""),"",IF(AND(P343=$E343,R343=$G343),Auxiliar!$C$11,IF(AND(SIGN($E343-$G343)=SIGN(P343-R343),MAX($E343,$G343)=MAX(P343,R343)),Auxiliar!$C$12,IF(ABS($E343-$G343)=ABS(P343-R343),Auxiliar!$C$13,IF(AND(SIGN($E343-$G343)=SIGN(P343-R343),MIN($E343,$G343)=MIN(P343,R343)),Auxiliar!$C$14,IF(SIGN($E343-$G343)=SIGN(P343-R343),Auxiliar!$C$15,IF(P343=R343,Auxiliar!$C$16,0)))))))</f>
        <v/>
      </c>
      <c r="U343" s="9">
        <v>0</v>
      </c>
      <c r="V343" s="10" t="s">
        <v>23</v>
      </c>
      <c r="W343" s="11">
        <v>4</v>
      </c>
      <c r="X343" s="60" t="str">
        <f>IF(OR($E343="",$G343=""),"",IF(AND(U343=$E343,W343=$G343),Auxiliar!$C$11,IF(AND(SIGN($E343-$G343)=SIGN(U343-W343),MAX($E343,$G343)=MAX(U343,W343)),Auxiliar!$C$12,IF(ABS($E343-$G343)=ABS(U343-W343),Auxiliar!$C$13,IF(AND(SIGN($E343-$G343)=SIGN(U343-W343),MIN($E343,$G343)=MIN(U343,W343)),Auxiliar!$C$14,IF(SIGN($E343-$G343)=SIGN(U343-W343),Auxiliar!$C$15,IF(U343=W343,Auxiliar!$C$16,0)))))))</f>
        <v/>
      </c>
      <c r="Z343" s="9">
        <v>4</v>
      </c>
      <c r="AA343" s="10" t="s">
        <v>23</v>
      </c>
      <c r="AB343" s="11">
        <v>1</v>
      </c>
      <c r="AC343" s="60" t="str">
        <f>IF(OR($E343="",$G343=""),"",IF(AND(Z343=$E343,AB343=$G343),Auxiliar!$C$11,IF(AND(SIGN($E343-$G343)=SIGN(Z343-AB343),MAX($E343,$G343)=MAX(Z343,AB343)),Auxiliar!$C$12,IF(ABS($E343-$G343)=ABS(Z343-AB343),Auxiliar!$C$13,IF(AND(SIGN($E343-$G343)=SIGN(Z343-AB343),MIN($E343,$G343)=MIN(Z343,AB343)),Auxiliar!$C$14,IF(SIGN($E343-$G343)=SIGN(Z343-AB343),Auxiliar!$C$15,IF(Z343=AB343,Auxiliar!$C$16,0)))))))</f>
        <v/>
      </c>
      <c r="AE343" s="9">
        <v>4</v>
      </c>
      <c r="AF343" s="10" t="s">
        <v>23</v>
      </c>
      <c r="AG343" s="11">
        <v>0</v>
      </c>
      <c r="AH343" s="60" t="str">
        <f>IF(OR($E343="",$G343=""),"",IF(AND(AE343=$E343,AG343=$G343),Auxiliar!$C$11,IF(AND(SIGN($E343-$G343)=SIGN(AE343-AG343),MAX($E343,$G343)=MAX(AE343,AG343)),Auxiliar!$C$12,IF(ABS($E343-$G343)=ABS(AE343-AG343),Auxiliar!$C$13,IF(AND(SIGN($E343-$G343)=SIGN(AE343-AG343),MIN($E343,$G343)=MIN(AE343,AG343)),Auxiliar!$C$14,IF(SIGN($E343-$G343)=SIGN(AE343-AG343),Auxiliar!$C$15,IF(AE343=AG343,Auxiliar!$C$16,0)))))))</f>
        <v/>
      </c>
    </row>
    <row r="344" spans="3:34" x14ac:dyDescent="0.25">
      <c r="C344" s="24">
        <f t="shared" si="4"/>
        <v>33</v>
      </c>
      <c r="D344" s="18"/>
      <c r="E344" s="13"/>
      <c r="F344" s="12" t="s">
        <v>23</v>
      </c>
      <c r="G344" s="13"/>
      <c r="H344" s="14"/>
      <c r="K344" s="9">
        <v>1</v>
      </c>
      <c r="L344" s="10" t="s">
        <v>23</v>
      </c>
      <c r="M344" s="11">
        <v>3</v>
      </c>
      <c r="N344" s="60" t="str">
        <f>IF(OR($E344="",$G344=""),"",IF(AND(K344=$E344,M344=$G344),Auxiliar!$C$11,IF(AND(SIGN($E344-$G344)=SIGN(K344-M344),MAX($E344,$G344)=MAX(K344,M344)),Auxiliar!$C$12,IF(ABS($E344-$G344)=ABS(K344-M344),Auxiliar!$C$13,IF(AND(SIGN($E344-$G344)=SIGN(K344-M344),MIN($E344,$G344)=MIN(K344,M344)),Auxiliar!$C$14,IF(SIGN($E344-$G344)=SIGN(K344-M344),Auxiliar!$C$15,IF(K344=M344,Auxiliar!$C$16,0)))))))</f>
        <v/>
      </c>
      <c r="P344" s="9">
        <v>1</v>
      </c>
      <c r="Q344" s="10" t="s">
        <v>23</v>
      </c>
      <c r="R344" s="11">
        <v>4</v>
      </c>
      <c r="S344" s="60" t="str">
        <f>IF(OR($E344="",$G344=""),"",IF(AND(P344=$E344,R344=$G344),Auxiliar!$C$11,IF(AND(SIGN($E344-$G344)=SIGN(P344-R344),MAX($E344,$G344)=MAX(P344,R344)),Auxiliar!$C$12,IF(ABS($E344-$G344)=ABS(P344-R344),Auxiliar!$C$13,IF(AND(SIGN($E344-$G344)=SIGN(P344-R344),MIN($E344,$G344)=MIN(P344,R344)),Auxiliar!$C$14,IF(SIGN($E344-$G344)=SIGN(P344-R344),Auxiliar!$C$15,IF(P344=R344,Auxiliar!$C$16,0)))))))</f>
        <v/>
      </c>
      <c r="U344" s="9">
        <v>1</v>
      </c>
      <c r="V344" s="10" t="s">
        <v>23</v>
      </c>
      <c r="W344" s="11">
        <v>5</v>
      </c>
      <c r="X344" s="60" t="str">
        <f>IF(OR($E344="",$G344=""),"",IF(AND(U344=$E344,W344=$G344),Auxiliar!$C$11,IF(AND(SIGN($E344-$G344)=SIGN(U344-W344),MAX($E344,$G344)=MAX(U344,W344)),Auxiliar!$C$12,IF(ABS($E344-$G344)=ABS(U344-W344),Auxiliar!$C$13,IF(AND(SIGN($E344-$G344)=SIGN(U344-W344),MIN($E344,$G344)=MIN(U344,W344)),Auxiliar!$C$14,IF(SIGN($E344-$G344)=SIGN(U344-W344),Auxiliar!$C$15,IF(U344=W344,Auxiliar!$C$16,0)))))))</f>
        <v/>
      </c>
      <c r="Z344" s="9">
        <v>3</v>
      </c>
      <c r="AA344" s="10" t="s">
        <v>23</v>
      </c>
      <c r="AB344" s="11">
        <v>3</v>
      </c>
      <c r="AC344" s="60" t="str">
        <f>IF(OR($E344="",$G344=""),"",IF(AND(Z344=$E344,AB344=$G344),Auxiliar!$C$11,IF(AND(SIGN($E344-$G344)=SIGN(Z344-AB344),MAX($E344,$G344)=MAX(Z344,AB344)),Auxiliar!$C$12,IF(ABS($E344-$G344)=ABS(Z344-AB344),Auxiliar!$C$13,IF(AND(SIGN($E344-$G344)=SIGN(Z344-AB344),MIN($E344,$G344)=MIN(Z344,AB344)),Auxiliar!$C$14,IF(SIGN($E344-$G344)=SIGN(Z344-AB344),Auxiliar!$C$15,IF(Z344=AB344,Auxiliar!$C$16,0)))))))</f>
        <v/>
      </c>
      <c r="AE344" s="9">
        <v>4</v>
      </c>
      <c r="AF344" s="10" t="s">
        <v>23</v>
      </c>
      <c r="AG344" s="11">
        <v>1</v>
      </c>
      <c r="AH344" s="60" t="str">
        <f>IF(OR($E344="",$G344=""),"",IF(AND(AE344=$E344,AG344=$G344),Auxiliar!$C$11,IF(AND(SIGN($E344-$G344)=SIGN(AE344-AG344),MAX($E344,$G344)=MAX(AE344,AG344)),Auxiliar!$C$12,IF(ABS($E344-$G344)=ABS(AE344-AG344),Auxiliar!$C$13,IF(AND(SIGN($E344-$G344)=SIGN(AE344-AG344),MIN($E344,$G344)=MIN(AE344,AG344)),Auxiliar!$C$14,IF(SIGN($E344-$G344)=SIGN(AE344-AG344),Auxiliar!$C$15,IF(AE344=AG344,Auxiliar!$C$16,0)))))))</f>
        <v/>
      </c>
    </row>
    <row r="345" spans="3:34" x14ac:dyDescent="0.25">
      <c r="C345" s="24">
        <f t="shared" si="4"/>
        <v>33</v>
      </c>
      <c r="D345" s="18"/>
      <c r="E345" s="13"/>
      <c r="F345" s="12" t="s">
        <v>23</v>
      </c>
      <c r="G345" s="13"/>
      <c r="H345" s="14"/>
      <c r="K345" s="9">
        <v>1</v>
      </c>
      <c r="L345" s="10" t="s">
        <v>23</v>
      </c>
      <c r="M345" s="11">
        <v>1</v>
      </c>
      <c r="N345" s="60" t="str">
        <f>IF(OR($E345="",$G345=""),"",IF(AND(K345=$E345,M345=$G345),Auxiliar!$C$11,IF(AND(SIGN($E345-$G345)=SIGN(K345-M345),MAX($E345,$G345)=MAX(K345,M345)),Auxiliar!$C$12,IF(ABS($E345-$G345)=ABS(K345-M345),Auxiliar!$C$13,IF(AND(SIGN($E345-$G345)=SIGN(K345-M345),MIN($E345,$G345)=MIN(K345,M345)),Auxiliar!$C$14,IF(SIGN($E345-$G345)=SIGN(K345-M345),Auxiliar!$C$15,IF(K345=M345,Auxiliar!$C$16,0)))))))</f>
        <v/>
      </c>
      <c r="P345" s="9">
        <v>1</v>
      </c>
      <c r="Q345" s="10" t="s">
        <v>23</v>
      </c>
      <c r="R345" s="11">
        <v>2</v>
      </c>
      <c r="S345" s="60" t="str">
        <f>IF(OR($E345="",$G345=""),"",IF(AND(P345=$E345,R345=$G345),Auxiliar!$C$11,IF(AND(SIGN($E345-$G345)=SIGN(P345-R345),MAX($E345,$G345)=MAX(P345,R345)),Auxiliar!$C$12,IF(ABS($E345-$G345)=ABS(P345-R345),Auxiliar!$C$13,IF(AND(SIGN($E345-$G345)=SIGN(P345-R345),MIN($E345,$G345)=MIN(P345,R345)),Auxiliar!$C$14,IF(SIGN($E345-$G345)=SIGN(P345-R345),Auxiliar!$C$15,IF(P345=R345,Auxiliar!$C$16,0)))))))</f>
        <v/>
      </c>
      <c r="U345" s="9">
        <v>2</v>
      </c>
      <c r="V345" s="10" t="s">
        <v>23</v>
      </c>
      <c r="W345" s="11">
        <v>5</v>
      </c>
      <c r="X345" s="60" t="str">
        <f>IF(OR($E345="",$G345=""),"",IF(AND(U345=$E345,W345=$G345),Auxiliar!$C$11,IF(AND(SIGN($E345-$G345)=SIGN(U345-W345),MAX($E345,$G345)=MAX(U345,W345)),Auxiliar!$C$12,IF(ABS($E345-$G345)=ABS(U345-W345),Auxiliar!$C$13,IF(AND(SIGN($E345-$G345)=SIGN(U345-W345),MIN($E345,$G345)=MIN(U345,W345)),Auxiliar!$C$14,IF(SIGN($E345-$G345)=SIGN(U345-W345),Auxiliar!$C$15,IF(U345=W345,Auxiliar!$C$16,0)))))))</f>
        <v/>
      </c>
      <c r="Z345" s="9">
        <v>3</v>
      </c>
      <c r="AA345" s="10" t="s">
        <v>23</v>
      </c>
      <c r="AB345" s="11">
        <v>3</v>
      </c>
      <c r="AC345" s="60" t="str">
        <f>IF(OR($E345="",$G345=""),"",IF(AND(Z345=$E345,AB345=$G345),Auxiliar!$C$11,IF(AND(SIGN($E345-$G345)=SIGN(Z345-AB345),MAX($E345,$G345)=MAX(Z345,AB345)),Auxiliar!$C$12,IF(ABS($E345-$G345)=ABS(Z345-AB345),Auxiliar!$C$13,IF(AND(SIGN($E345-$G345)=SIGN(Z345-AB345),MIN($E345,$G345)=MIN(Z345,AB345)),Auxiliar!$C$14,IF(SIGN($E345-$G345)=SIGN(Z345-AB345),Auxiliar!$C$15,IF(Z345=AB345,Auxiliar!$C$16,0)))))))</f>
        <v/>
      </c>
      <c r="AE345" s="9">
        <v>1</v>
      </c>
      <c r="AF345" s="10" t="s">
        <v>23</v>
      </c>
      <c r="AG345" s="11">
        <v>0</v>
      </c>
      <c r="AH345" s="60" t="str">
        <f>IF(OR($E345="",$G345=""),"",IF(AND(AE345=$E345,AG345=$G345),Auxiliar!$C$11,IF(AND(SIGN($E345-$G345)=SIGN(AE345-AG345),MAX($E345,$G345)=MAX(AE345,AG345)),Auxiliar!$C$12,IF(ABS($E345-$G345)=ABS(AE345-AG345),Auxiliar!$C$13,IF(AND(SIGN($E345-$G345)=SIGN(AE345-AG345),MIN($E345,$G345)=MIN(AE345,AG345)),Auxiliar!$C$14,IF(SIGN($E345-$G345)=SIGN(AE345-AG345),Auxiliar!$C$15,IF(AE345=AG345,Auxiliar!$C$16,0)))))))</f>
        <v/>
      </c>
    </row>
    <row r="346" spans="3:34" x14ac:dyDescent="0.25">
      <c r="C346" s="24">
        <f t="shared" si="4"/>
        <v>33</v>
      </c>
      <c r="D346" s="18"/>
      <c r="E346" s="13"/>
      <c r="F346" s="12" t="s">
        <v>23</v>
      </c>
      <c r="G346" s="13"/>
      <c r="H346" s="14"/>
      <c r="K346" s="9">
        <v>0</v>
      </c>
      <c r="L346" s="10" t="s">
        <v>23</v>
      </c>
      <c r="M346" s="11">
        <v>4</v>
      </c>
      <c r="N346" s="60" t="str">
        <f>IF(OR($E346="",$G346=""),"",IF(AND(K346=$E346,M346=$G346),Auxiliar!$C$11,IF(AND(SIGN($E346-$G346)=SIGN(K346-M346),MAX($E346,$G346)=MAX(K346,M346)),Auxiliar!$C$12,IF(ABS($E346-$G346)=ABS(K346-M346),Auxiliar!$C$13,IF(AND(SIGN($E346-$G346)=SIGN(K346-M346),MIN($E346,$G346)=MIN(K346,M346)),Auxiliar!$C$14,IF(SIGN($E346-$G346)=SIGN(K346-M346),Auxiliar!$C$15,IF(K346=M346,Auxiliar!$C$16,0)))))))</f>
        <v/>
      </c>
      <c r="P346" s="9">
        <v>1</v>
      </c>
      <c r="Q346" s="10" t="s">
        <v>23</v>
      </c>
      <c r="R346" s="11">
        <v>0</v>
      </c>
      <c r="S346" s="60" t="str">
        <f>IF(OR($E346="",$G346=""),"",IF(AND(P346=$E346,R346=$G346),Auxiliar!$C$11,IF(AND(SIGN($E346-$G346)=SIGN(P346-R346),MAX($E346,$G346)=MAX(P346,R346)),Auxiliar!$C$12,IF(ABS($E346-$G346)=ABS(P346-R346),Auxiliar!$C$13,IF(AND(SIGN($E346-$G346)=SIGN(P346-R346),MIN($E346,$G346)=MIN(P346,R346)),Auxiliar!$C$14,IF(SIGN($E346-$G346)=SIGN(P346-R346),Auxiliar!$C$15,IF(P346=R346,Auxiliar!$C$16,0)))))))</f>
        <v/>
      </c>
      <c r="U346" s="9">
        <v>5</v>
      </c>
      <c r="V346" s="10" t="s">
        <v>23</v>
      </c>
      <c r="W346" s="11">
        <v>4</v>
      </c>
      <c r="X346" s="60" t="str">
        <f>IF(OR($E346="",$G346=""),"",IF(AND(U346=$E346,W346=$G346),Auxiliar!$C$11,IF(AND(SIGN($E346-$G346)=SIGN(U346-W346),MAX($E346,$G346)=MAX(U346,W346)),Auxiliar!$C$12,IF(ABS($E346-$G346)=ABS(U346-W346),Auxiliar!$C$13,IF(AND(SIGN($E346-$G346)=SIGN(U346-W346),MIN($E346,$G346)=MIN(U346,W346)),Auxiliar!$C$14,IF(SIGN($E346-$G346)=SIGN(U346-W346),Auxiliar!$C$15,IF(U346=W346,Auxiliar!$C$16,0)))))))</f>
        <v/>
      </c>
      <c r="Z346" s="9">
        <v>2</v>
      </c>
      <c r="AA346" s="10" t="s">
        <v>23</v>
      </c>
      <c r="AB346" s="11">
        <v>5</v>
      </c>
      <c r="AC346" s="60" t="str">
        <f>IF(OR($E346="",$G346=""),"",IF(AND(Z346=$E346,AB346=$G346),Auxiliar!$C$11,IF(AND(SIGN($E346-$G346)=SIGN(Z346-AB346),MAX($E346,$G346)=MAX(Z346,AB346)),Auxiliar!$C$12,IF(ABS($E346-$G346)=ABS(Z346-AB346),Auxiliar!$C$13,IF(AND(SIGN($E346-$G346)=SIGN(Z346-AB346),MIN($E346,$G346)=MIN(Z346,AB346)),Auxiliar!$C$14,IF(SIGN($E346-$G346)=SIGN(Z346-AB346),Auxiliar!$C$15,IF(Z346=AB346,Auxiliar!$C$16,0)))))))</f>
        <v/>
      </c>
      <c r="AE346" s="9">
        <v>1</v>
      </c>
      <c r="AF346" s="10" t="s">
        <v>23</v>
      </c>
      <c r="AG346" s="11">
        <v>4</v>
      </c>
      <c r="AH346" s="60" t="str">
        <f>IF(OR($E346="",$G346=""),"",IF(AND(AE346=$E346,AG346=$G346),Auxiliar!$C$11,IF(AND(SIGN($E346-$G346)=SIGN(AE346-AG346),MAX($E346,$G346)=MAX(AE346,AG346)),Auxiliar!$C$12,IF(ABS($E346-$G346)=ABS(AE346-AG346),Auxiliar!$C$13,IF(AND(SIGN($E346-$G346)=SIGN(AE346-AG346),MIN($E346,$G346)=MIN(AE346,AG346)),Auxiliar!$C$14,IF(SIGN($E346-$G346)=SIGN(AE346-AG346),Auxiliar!$C$15,IF(AE346=AG346,Auxiliar!$C$16,0)))))))</f>
        <v/>
      </c>
    </row>
    <row r="347" spans="3:34" x14ac:dyDescent="0.25">
      <c r="C347" s="24">
        <f t="shared" si="4"/>
        <v>33</v>
      </c>
      <c r="D347" s="18"/>
      <c r="E347" s="13"/>
      <c r="F347" s="12" t="s">
        <v>23</v>
      </c>
      <c r="G347" s="13"/>
      <c r="H347" s="14"/>
      <c r="K347" s="9">
        <v>3</v>
      </c>
      <c r="L347" s="10" t="s">
        <v>23</v>
      </c>
      <c r="M347" s="11">
        <v>1</v>
      </c>
      <c r="N347" s="60" t="str">
        <f>IF(OR($E347="",$G347=""),"",IF(AND(K347=$E347,M347=$G347),Auxiliar!$C$11,IF(AND(SIGN($E347-$G347)=SIGN(K347-M347),MAX($E347,$G347)=MAX(K347,M347)),Auxiliar!$C$12,IF(ABS($E347-$G347)=ABS(K347-M347),Auxiliar!$C$13,IF(AND(SIGN($E347-$G347)=SIGN(K347-M347),MIN($E347,$G347)=MIN(K347,M347)),Auxiliar!$C$14,IF(SIGN($E347-$G347)=SIGN(K347-M347),Auxiliar!$C$15,IF(K347=M347,Auxiliar!$C$16,0)))))))</f>
        <v/>
      </c>
      <c r="P347" s="9">
        <v>1</v>
      </c>
      <c r="Q347" s="10" t="s">
        <v>23</v>
      </c>
      <c r="R347" s="11">
        <v>0</v>
      </c>
      <c r="S347" s="60" t="str">
        <f>IF(OR($E347="",$G347=""),"",IF(AND(P347=$E347,R347=$G347),Auxiliar!$C$11,IF(AND(SIGN($E347-$G347)=SIGN(P347-R347),MAX($E347,$G347)=MAX(P347,R347)),Auxiliar!$C$12,IF(ABS($E347-$G347)=ABS(P347-R347),Auxiliar!$C$13,IF(AND(SIGN($E347-$G347)=SIGN(P347-R347),MIN($E347,$G347)=MIN(P347,R347)),Auxiliar!$C$14,IF(SIGN($E347-$G347)=SIGN(P347-R347),Auxiliar!$C$15,IF(P347=R347,Auxiliar!$C$16,0)))))))</f>
        <v/>
      </c>
      <c r="U347" s="9">
        <v>2</v>
      </c>
      <c r="V347" s="10" t="s">
        <v>23</v>
      </c>
      <c r="W347" s="11">
        <v>4</v>
      </c>
      <c r="X347" s="60" t="str">
        <f>IF(OR($E347="",$G347=""),"",IF(AND(U347=$E347,W347=$G347),Auxiliar!$C$11,IF(AND(SIGN($E347-$G347)=SIGN(U347-W347),MAX($E347,$G347)=MAX(U347,W347)),Auxiliar!$C$12,IF(ABS($E347-$G347)=ABS(U347-W347),Auxiliar!$C$13,IF(AND(SIGN($E347-$G347)=SIGN(U347-W347),MIN($E347,$G347)=MIN(U347,W347)),Auxiliar!$C$14,IF(SIGN($E347-$G347)=SIGN(U347-W347),Auxiliar!$C$15,IF(U347=W347,Auxiliar!$C$16,0)))))))</f>
        <v/>
      </c>
      <c r="Z347" s="9">
        <v>3</v>
      </c>
      <c r="AA347" s="10" t="s">
        <v>23</v>
      </c>
      <c r="AB347" s="11">
        <v>0</v>
      </c>
      <c r="AC347" s="60" t="str">
        <f>IF(OR($E347="",$G347=""),"",IF(AND(Z347=$E347,AB347=$G347),Auxiliar!$C$11,IF(AND(SIGN($E347-$G347)=SIGN(Z347-AB347),MAX($E347,$G347)=MAX(Z347,AB347)),Auxiliar!$C$12,IF(ABS($E347-$G347)=ABS(Z347-AB347),Auxiliar!$C$13,IF(AND(SIGN($E347-$G347)=SIGN(Z347-AB347),MIN($E347,$G347)=MIN(Z347,AB347)),Auxiliar!$C$14,IF(SIGN($E347-$G347)=SIGN(Z347-AB347),Auxiliar!$C$15,IF(Z347=AB347,Auxiliar!$C$16,0)))))))</f>
        <v/>
      </c>
      <c r="AE347" s="9">
        <v>3</v>
      </c>
      <c r="AF347" s="10" t="s">
        <v>23</v>
      </c>
      <c r="AG347" s="11">
        <v>4</v>
      </c>
      <c r="AH347" s="60" t="str">
        <f>IF(OR($E347="",$G347=""),"",IF(AND(AE347=$E347,AG347=$G347),Auxiliar!$C$11,IF(AND(SIGN($E347-$G347)=SIGN(AE347-AG347),MAX($E347,$G347)=MAX(AE347,AG347)),Auxiliar!$C$12,IF(ABS($E347-$G347)=ABS(AE347-AG347),Auxiliar!$C$13,IF(AND(SIGN($E347-$G347)=SIGN(AE347-AG347),MIN($E347,$G347)=MIN(AE347,AG347)),Auxiliar!$C$14,IF(SIGN($E347-$G347)=SIGN(AE347-AG347),Auxiliar!$C$15,IF(AE347=AG347,Auxiliar!$C$16,0)))))))</f>
        <v/>
      </c>
    </row>
    <row r="348" spans="3:34" x14ac:dyDescent="0.25">
      <c r="C348" s="24">
        <f t="shared" si="4"/>
        <v>33</v>
      </c>
      <c r="D348" s="18"/>
      <c r="E348" s="13"/>
      <c r="F348" s="12" t="s">
        <v>23</v>
      </c>
      <c r="G348" s="13"/>
      <c r="H348" s="14"/>
      <c r="K348" s="9">
        <v>0</v>
      </c>
      <c r="L348" s="10" t="s">
        <v>23</v>
      </c>
      <c r="M348" s="11">
        <v>5</v>
      </c>
      <c r="N348" s="60" t="str">
        <f>IF(OR($E348="",$G348=""),"",IF(AND(K348=$E348,M348=$G348),Auxiliar!$C$11,IF(AND(SIGN($E348-$G348)=SIGN(K348-M348),MAX($E348,$G348)=MAX(K348,M348)),Auxiliar!$C$12,IF(ABS($E348-$G348)=ABS(K348-M348),Auxiliar!$C$13,IF(AND(SIGN($E348-$G348)=SIGN(K348-M348),MIN($E348,$G348)=MIN(K348,M348)),Auxiliar!$C$14,IF(SIGN($E348-$G348)=SIGN(K348-M348),Auxiliar!$C$15,IF(K348=M348,Auxiliar!$C$16,0)))))))</f>
        <v/>
      </c>
      <c r="P348" s="9">
        <v>3</v>
      </c>
      <c r="Q348" s="10" t="s">
        <v>23</v>
      </c>
      <c r="R348" s="11">
        <v>5</v>
      </c>
      <c r="S348" s="60" t="str">
        <f>IF(OR($E348="",$G348=""),"",IF(AND(P348=$E348,R348=$G348),Auxiliar!$C$11,IF(AND(SIGN($E348-$G348)=SIGN(P348-R348),MAX($E348,$G348)=MAX(P348,R348)),Auxiliar!$C$12,IF(ABS($E348-$G348)=ABS(P348-R348),Auxiliar!$C$13,IF(AND(SIGN($E348-$G348)=SIGN(P348-R348),MIN($E348,$G348)=MIN(P348,R348)),Auxiliar!$C$14,IF(SIGN($E348-$G348)=SIGN(P348-R348),Auxiliar!$C$15,IF(P348=R348,Auxiliar!$C$16,0)))))))</f>
        <v/>
      </c>
      <c r="U348" s="9">
        <v>0</v>
      </c>
      <c r="V348" s="10" t="s">
        <v>23</v>
      </c>
      <c r="W348" s="11">
        <v>4</v>
      </c>
      <c r="X348" s="60" t="str">
        <f>IF(OR($E348="",$G348=""),"",IF(AND(U348=$E348,W348=$G348),Auxiliar!$C$11,IF(AND(SIGN($E348-$G348)=SIGN(U348-W348),MAX($E348,$G348)=MAX(U348,W348)),Auxiliar!$C$12,IF(ABS($E348-$G348)=ABS(U348-W348),Auxiliar!$C$13,IF(AND(SIGN($E348-$G348)=SIGN(U348-W348),MIN($E348,$G348)=MIN(U348,W348)),Auxiliar!$C$14,IF(SIGN($E348-$G348)=SIGN(U348-W348),Auxiliar!$C$15,IF(U348=W348,Auxiliar!$C$16,0)))))))</f>
        <v/>
      </c>
      <c r="Z348" s="9">
        <v>3</v>
      </c>
      <c r="AA348" s="10" t="s">
        <v>23</v>
      </c>
      <c r="AB348" s="11">
        <v>4</v>
      </c>
      <c r="AC348" s="60" t="str">
        <f>IF(OR($E348="",$G348=""),"",IF(AND(Z348=$E348,AB348=$G348),Auxiliar!$C$11,IF(AND(SIGN($E348-$G348)=SIGN(Z348-AB348),MAX($E348,$G348)=MAX(Z348,AB348)),Auxiliar!$C$12,IF(ABS($E348-$G348)=ABS(Z348-AB348),Auxiliar!$C$13,IF(AND(SIGN($E348-$G348)=SIGN(Z348-AB348),MIN($E348,$G348)=MIN(Z348,AB348)),Auxiliar!$C$14,IF(SIGN($E348-$G348)=SIGN(Z348-AB348),Auxiliar!$C$15,IF(Z348=AB348,Auxiliar!$C$16,0)))))))</f>
        <v/>
      </c>
      <c r="AE348" s="9">
        <v>0</v>
      </c>
      <c r="AF348" s="10" t="s">
        <v>23</v>
      </c>
      <c r="AG348" s="11">
        <v>5</v>
      </c>
      <c r="AH348" s="60" t="str">
        <f>IF(OR($E348="",$G348=""),"",IF(AND(AE348=$E348,AG348=$G348),Auxiliar!$C$11,IF(AND(SIGN($E348-$G348)=SIGN(AE348-AG348),MAX($E348,$G348)=MAX(AE348,AG348)),Auxiliar!$C$12,IF(ABS($E348-$G348)=ABS(AE348-AG348),Auxiliar!$C$13,IF(AND(SIGN($E348-$G348)=SIGN(AE348-AG348),MIN($E348,$G348)=MIN(AE348,AG348)),Auxiliar!$C$14,IF(SIGN($E348-$G348)=SIGN(AE348-AG348),Auxiliar!$C$15,IF(AE348=AG348,Auxiliar!$C$16,0)))))))</f>
        <v/>
      </c>
    </row>
    <row r="349" spans="3:34" x14ac:dyDescent="0.25">
      <c r="C349" s="24">
        <f t="shared" si="4"/>
        <v>34</v>
      </c>
      <c r="D349" s="18"/>
      <c r="E349" s="13"/>
      <c r="F349" s="12" t="s">
        <v>23</v>
      </c>
      <c r="G349" s="13"/>
      <c r="H349" s="14"/>
      <c r="K349" s="9">
        <v>5</v>
      </c>
      <c r="L349" s="10" t="s">
        <v>23</v>
      </c>
      <c r="M349" s="11">
        <v>5</v>
      </c>
      <c r="N349" s="60" t="str">
        <f>IF(OR($E349="",$G349=""),"",IF(AND(K349=$E349,M349=$G349),Auxiliar!$C$11,IF(AND(SIGN($E349-$G349)=SIGN(K349-M349),MAX($E349,$G349)=MAX(K349,M349)),Auxiliar!$C$12,IF(ABS($E349-$G349)=ABS(K349-M349),Auxiliar!$C$13,IF(AND(SIGN($E349-$G349)=SIGN(K349-M349),MIN($E349,$G349)=MIN(K349,M349)),Auxiliar!$C$14,IF(SIGN($E349-$G349)=SIGN(K349-M349),Auxiliar!$C$15,IF(K349=M349,Auxiliar!$C$16,0)))))))</f>
        <v/>
      </c>
      <c r="P349" s="9">
        <v>4</v>
      </c>
      <c r="Q349" s="10" t="s">
        <v>23</v>
      </c>
      <c r="R349" s="11">
        <v>4</v>
      </c>
      <c r="S349" s="60" t="str">
        <f>IF(OR($E349="",$G349=""),"",IF(AND(P349=$E349,R349=$G349),Auxiliar!$C$11,IF(AND(SIGN($E349-$G349)=SIGN(P349-R349),MAX($E349,$G349)=MAX(P349,R349)),Auxiliar!$C$12,IF(ABS($E349-$G349)=ABS(P349-R349),Auxiliar!$C$13,IF(AND(SIGN($E349-$G349)=SIGN(P349-R349),MIN($E349,$G349)=MIN(P349,R349)),Auxiliar!$C$14,IF(SIGN($E349-$G349)=SIGN(P349-R349),Auxiliar!$C$15,IF(P349=R349,Auxiliar!$C$16,0)))))))</f>
        <v/>
      </c>
      <c r="U349" s="9">
        <v>1</v>
      </c>
      <c r="V349" s="10" t="s">
        <v>23</v>
      </c>
      <c r="W349" s="11">
        <v>3</v>
      </c>
      <c r="X349" s="60" t="str">
        <f>IF(OR($E349="",$G349=""),"",IF(AND(U349=$E349,W349=$G349),Auxiliar!$C$11,IF(AND(SIGN($E349-$G349)=SIGN(U349-W349),MAX($E349,$G349)=MAX(U349,W349)),Auxiliar!$C$12,IF(ABS($E349-$G349)=ABS(U349-W349),Auxiliar!$C$13,IF(AND(SIGN($E349-$G349)=SIGN(U349-W349),MIN($E349,$G349)=MIN(U349,W349)),Auxiliar!$C$14,IF(SIGN($E349-$G349)=SIGN(U349-W349),Auxiliar!$C$15,IF(U349=W349,Auxiliar!$C$16,0)))))))</f>
        <v/>
      </c>
      <c r="Z349" s="9">
        <v>3</v>
      </c>
      <c r="AA349" s="10" t="s">
        <v>23</v>
      </c>
      <c r="AB349" s="11">
        <v>1</v>
      </c>
      <c r="AC349" s="60" t="str">
        <f>IF(OR($E349="",$G349=""),"",IF(AND(Z349=$E349,AB349=$G349),Auxiliar!$C$11,IF(AND(SIGN($E349-$G349)=SIGN(Z349-AB349),MAX($E349,$G349)=MAX(Z349,AB349)),Auxiliar!$C$12,IF(ABS($E349-$G349)=ABS(Z349-AB349),Auxiliar!$C$13,IF(AND(SIGN($E349-$G349)=SIGN(Z349-AB349),MIN($E349,$G349)=MIN(Z349,AB349)),Auxiliar!$C$14,IF(SIGN($E349-$G349)=SIGN(Z349-AB349),Auxiliar!$C$15,IF(Z349=AB349,Auxiliar!$C$16,0)))))))</f>
        <v/>
      </c>
      <c r="AE349" s="9">
        <v>5</v>
      </c>
      <c r="AF349" s="10" t="s">
        <v>23</v>
      </c>
      <c r="AG349" s="11">
        <v>1</v>
      </c>
      <c r="AH349" s="60" t="str">
        <f>IF(OR($E349="",$G349=""),"",IF(AND(AE349=$E349,AG349=$G349),Auxiliar!$C$11,IF(AND(SIGN($E349-$G349)=SIGN(AE349-AG349),MAX($E349,$G349)=MAX(AE349,AG349)),Auxiliar!$C$12,IF(ABS($E349-$G349)=ABS(AE349-AG349),Auxiliar!$C$13,IF(AND(SIGN($E349-$G349)=SIGN(AE349-AG349),MIN($E349,$G349)=MIN(AE349,AG349)),Auxiliar!$C$14,IF(SIGN($E349-$G349)=SIGN(AE349-AG349),Auxiliar!$C$15,IF(AE349=AG349,Auxiliar!$C$16,0)))))))</f>
        <v/>
      </c>
    </row>
    <row r="350" spans="3:34" x14ac:dyDescent="0.25">
      <c r="C350" s="24">
        <f t="shared" ref="C350:C398" si="5">C340+1</f>
        <v>34</v>
      </c>
      <c r="D350" s="18"/>
      <c r="E350" s="13"/>
      <c r="F350" s="12" t="s">
        <v>23</v>
      </c>
      <c r="G350" s="13"/>
      <c r="H350" s="14"/>
      <c r="K350" s="9">
        <v>0</v>
      </c>
      <c r="L350" s="10" t="s">
        <v>23</v>
      </c>
      <c r="M350" s="11">
        <v>1</v>
      </c>
      <c r="N350" s="60" t="str">
        <f>IF(OR($E350="",$G350=""),"",IF(AND(K350=$E350,M350=$G350),Auxiliar!$C$11,IF(AND(SIGN($E350-$G350)=SIGN(K350-M350),MAX($E350,$G350)=MAX(K350,M350)),Auxiliar!$C$12,IF(ABS($E350-$G350)=ABS(K350-M350),Auxiliar!$C$13,IF(AND(SIGN($E350-$G350)=SIGN(K350-M350),MIN($E350,$G350)=MIN(K350,M350)),Auxiliar!$C$14,IF(SIGN($E350-$G350)=SIGN(K350-M350),Auxiliar!$C$15,IF(K350=M350,Auxiliar!$C$16,0)))))))</f>
        <v/>
      </c>
      <c r="P350" s="9">
        <v>4</v>
      </c>
      <c r="Q350" s="10" t="s">
        <v>23</v>
      </c>
      <c r="R350" s="11">
        <v>4</v>
      </c>
      <c r="S350" s="60" t="str">
        <f>IF(OR($E350="",$G350=""),"",IF(AND(P350=$E350,R350=$G350),Auxiliar!$C$11,IF(AND(SIGN($E350-$G350)=SIGN(P350-R350),MAX($E350,$G350)=MAX(P350,R350)),Auxiliar!$C$12,IF(ABS($E350-$G350)=ABS(P350-R350),Auxiliar!$C$13,IF(AND(SIGN($E350-$G350)=SIGN(P350-R350),MIN($E350,$G350)=MIN(P350,R350)),Auxiliar!$C$14,IF(SIGN($E350-$G350)=SIGN(P350-R350),Auxiliar!$C$15,IF(P350=R350,Auxiliar!$C$16,0)))))))</f>
        <v/>
      </c>
      <c r="U350" s="9">
        <v>4</v>
      </c>
      <c r="V350" s="10" t="s">
        <v>23</v>
      </c>
      <c r="W350" s="11">
        <v>3</v>
      </c>
      <c r="X350" s="60" t="str">
        <f>IF(OR($E350="",$G350=""),"",IF(AND(U350=$E350,W350=$G350),Auxiliar!$C$11,IF(AND(SIGN($E350-$G350)=SIGN(U350-W350),MAX($E350,$G350)=MAX(U350,W350)),Auxiliar!$C$12,IF(ABS($E350-$G350)=ABS(U350-W350),Auxiliar!$C$13,IF(AND(SIGN($E350-$G350)=SIGN(U350-W350),MIN($E350,$G350)=MIN(U350,W350)),Auxiliar!$C$14,IF(SIGN($E350-$G350)=SIGN(U350-W350),Auxiliar!$C$15,IF(U350=W350,Auxiliar!$C$16,0)))))))</f>
        <v/>
      </c>
      <c r="Z350" s="9">
        <v>0</v>
      </c>
      <c r="AA350" s="10" t="s">
        <v>23</v>
      </c>
      <c r="AB350" s="11">
        <v>1</v>
      </c>
      <c r="AC350" s="60" t="str">
        <f>IF(OR($E350="",$G350=""),"",IF(AND(Z350=$E350,AB350=$G350),Auxiliar!$C$11,IF(AND(SIGN($E350-$G350)=SIGN(Z350-AB350),MAX($E350,$G350)=MAX(Z350,AB350)),Auxiliar!$C$12,IF(ABS($E350-$G350)=ABS(Z350-AB350),Auxiliar!$C$13,IF(AND(SIGN($E350-$G350)=SIGN(Z350-AB350),MIN($E350,$G350)=MIN(Z350,AB350)),Auxiliar!$C$14,IF(SIGN($E350-$G350)=SIGN(Z350-AB350),Auxiliar!$C$15,IF(Z350=AB350,Auxiliar!$C$16,0)))))))</f>
        <v/>
      </c>
      <c r="AE350" s="9">
        <v>1</v>
      </c>
      <c r="AF350" s="10" t="s">
        <v>23</v>
      </c>
      <c r="AG350" s="11">
        <v>4</v>
      </c>
      <c r="AH350" s="60" t="str">
        <f>IF(OR($E350="",$G350=""),"",IF(AND(AE350=$E350,AG350=$G350),Auxiliar!$C$11,IF(AND(SIGN($E350-$G350)=SIGN(AE350-AG350),MAX($E350,$G350)=MAX(AE350,AG350)),Auxiliar!$C$12,IF(ABS($E350-$G350)=ABS(AE350-AG350),Auxiliar!$C$13,IF(AND(SIGN($E350-$G350)=SIGN(AE350-AG350),MIN($E350,$G350)=MIN(AE350,AG350)),Auxiliar!$C$14,IF(SIGN($E350-$G350)=SIGN(AE350-AG350),Auxiliar!$C$15,IF(AE350=AG350,Auxiliar!$C$16,0)))))))</f>
        <v/>
      </c>
    </row>
    <row r="351" spans="3:34" x14ac:dyDescent="0.25">
      <c r="C351" s="24">
        <f t="shared" si="5"/>
        <v>34</v>
      </c>
      <c r="D351" s="18"/>
      <c r="E351" s="13"/>
      <c r="F351" s="12" t="s">
        <v>23</v>
      </c>
      <c r="G351" s="13"/>
      <c r="H351" s="14"/>
      <c r="K351" s="9">
        <v>0</v>
      </c>
      <c r="L351" s="10" t="s">
        <v>23</v>
      </c>
      <c r="M351" s="11">
        <v>1</v>
      </c>
      <c r="N351" s="60" t="str">
        <f>IF(OR($E351="",$G351=""),"",IF(AND(K351=$E351,M351=$G351),Auxiliar!$C$11,IF(AND(SIGN($E351-$G351)=SIGN(K351-M351),MAX($E351,$G351)=MAX(K351,M351)),Auxiliar!$C$12,IF(ABS($E351-$G351)=ABS(K351-M351),Auxiliar!$C$13,IF(AND(SIGN($E351-$G351)=SIGN(K351-M351),MIN($E351,$G351)=MIN(K351,M351)),Auxiliar!$C$14,IF(SIGN($E351-$G351)=SIGN(K351-M351),Auxiliar!$C$15,IF(K351=M351,Auxiliar!$C$16,0)))))))</f>
        <v/>
      </c>
      <c r="P351" s="9">
        <v>5</v>
      </c>
      <c r="Q351" s="10" t="s">
        <v>23</v>
      </c>
      <c r="R351" s="11">
        <v>2</v>
      </c>
      <c r="S351" s="60" t="str">
        <f>IF(OR($E351="",$G351=""),"",IF(AND(P351=$E351,R351=$G351),Auxiliar!$C$11,IF(AND(SIGN($E351-$G351)=SIGN(P351-R351),MAX($E351,$G351)=MAX(P351,R351)),Auxiliar!$C$12,IF(ABS($E351-$G351)=ABS(P351-R351),Auxiliar!$C$13,IF(AND(SIGN($E351-$G351)=SIGN(P351-R351),MIN($E351,$G351)=MIN(P351,R351)),Auxiliar!$C$14,IF(SIGN($E351-$G351)=SIGN(P351-R351),Auxiliar!$C$15,IF(P351=R351,Auxiliar!$C$16,0)))))))</f>
        <v/>
      </c>
      <c r="U351" s="9">
        <v>0</v>
      </c>
      <c r="V351" s="10" t="s">
        <v>23</v>
      </c>
      <c r="W351" s="11">
        <v>0</v>
      </c>
      <c r="X351" s="60" t="str">
        <f>IF(OR($E351="",$G351=""),"",IF(AND(U351=$E351,W351=$G351),Auxiliar!$C$11,IF(AND(SIGN($E351-$G351)=SIGN(U351-W351),MAX($E351,$G351)=MAX(U351,W351)),Auxiliar!$C$12,IF(ABS($E351-$G351)=ABS(U351-W351),Auxiliar!$C$13,IF(AND(SIGN($E351-$G351)=SIGN(U351-W351),MIN($E351,$G351)=MIN(U351,W351)),Auxiliar!$C$14,IF(SIGN($E351-$G351)=SIGN(U351-W351),Auxiliar!$C$15,IF(U351=W351,Auxiliar!$C$16,0)))))))</f>
        <v/>
      </c>
      <c r="Z351" s="9">
        <v>2</v>
      </c>
      <c r="AA351" s="10" t="s">
        <v>23</v>
      </c>
      <c r="AB351" s="11">
        <v>2</v>
      </c>
      <c r="AC351" s="60" t="str">
        <f>IF(OR($E351="",$G351=""),"",IF(AND(Z351=$E351,AB351=$G351),Auxiliar!$C$11,IF(AND(SIGN($E351-$G351)=SIGN(Z351-AB351),MAX($E351,$G351)=MAX(Z351,AB351)),Auxiliar!$C$12,IF(ABS($E351-$G351)=ABS(Z351-AB351),Auxiliar!$C$13,IF(AND(SIGN($E351-$G351)=SIGN(Z351-AB351),MIN($E351,$G351)=MIN(Z351,AB351)),Auxiliar!$C$14,IF(SIGN($E351-$G351)=SIGN(Z351-AB351),Auxiliar!$C$15,IF(Z351=AB351,Auxiliar!$C$16,0)))))))</f>
        <v/>
      </c>
      <c r="AE351" s="9">
        <v>5</v>
      </c>
      <c r="AF351" s="10" t="s">
        <v>23</v>
      </c>
      <c r="AG351" s="11">
        <v>3</v>
      </c>
      <c r="AH351" s="60" t="str">
        <f>IF(OR($E351="",$G351=""),"",IF(AND(AE351=$E351,AG351=$G351),Auxiliar!$C$11,IF(AND(SIGN($E351-$G351)=SIGN(AE351-AG351),MAX($E351,$G351)=MAX(AE351,AG351)),Auxiliar!$C$12,IF(ABS($E351-$G351)=ABS(AE351-AG351),Auxiliar!$C$13,IF(AND(SIGN($E351-$G351)=SIGN(AE351-AG351),MIN($E351,$G351)=MIN(AE351,AG351)),Auxiliar!$C$14,IF(SIGN($E351-$G351)=SIGN(AE351-AG351),Auxiliar!$C$15,IF(AE351=AG351,Auxiliar!$C$16,0)))))))</f>
        <v/>
      </c>
    </row>
    <row r="352" spans="3:34" x14ac:dyDescent="0.25">
      <c r="C352" s="24">
        <f t="shared" si="5"/>
        <v>34</v>
      </c>
      <c r="D352" s="18"/>
      <c r="E352" s="13"/>
      <c r="F352" s="12" t="s">
        <v>23</v>
      </c>
      <c r="G352" s="13"/>
      <c r="H352" s="14"/>
      <c r="K352" s="9">
        <v>1</v>
      </c>
      <c r="L352" s="10" t="s">
        <v>23</v>
      </c>
      <c r="M352" s="11">
        <v>2</v>
      </c>
      <c r="N352" s="60" t="str">
        <f>IF(OR($E352="",$G352=""),"",IF(AND(K352=$E352,M352=$G352),Auxiliar!$C$11,IF(AND(SIGN($E352-$G352)=SIGN(K352-M352),MAX($E352,$G352)=MAX(K352,M352)),Auxiliar!$C$12,IF(ABS($E352-$G352)=ABS(K352-M352),Auxiliar!$C$13,IF(AND(SIGN($E352-$G352)=SIGN(K352-M352),MIN($E352,$G352)=MIN(K352,M352)),Auxiliar!$C$14,IF(SIGN($E352-$G352)=SIGN(K352-M352),Auxiliar!$C$15,IF(K352=M352,Auxiliar!$C$16,0)))))))</f>
        <v/>
      </c>
      <c r="P352" s="9">
        <v>0</v>
      </c>
      <c r="Q352" s="10" t="s">
        <v>23</v>
      </c>
      <c r="R352" s="11">
        <v>3</v>
      </c>
      <c r="S352" s="60" t="str">
        <f>IF(OR($E352="",$G352=""),"",IF(AND(P352=$E352,R352=$G352),Auxiliar!$C$11,IF(AND(SIGN($E352-$G352)=SIGN(P352-R352),MAX($E352,$G352)=MAX(P352,R352)),Auxiliar!$C$12,IF(ABS($E352-$G352)=ABS(P352-R352),Auxiliar!$C$13,IF(AND(SIGN($E352-$G352)=SIGN(P352-R352),MIN($E352,$G352)=MIN(P352,R352)),Auxiliar!$C$14,IF(SIGN($E352-$G352)=SIGN(P352-R352),Auxiliar!$C$15,IF(P352=R352,Auxiliar!$C$16,0)))))))</f>
        <v/>
      </c>
      <c r="U352" s="9">
        <v>4</v>
      </c>
      <c r="V352" s="10" t="s">
        <v>23</v>
      </c>
      <c r="W352" s="11">
        <v>3</v>
      </c>
      <c r="X352" s="60" t="str">
        <f>IF(OR($E352="",$G352=""),"",IF(AND(U352=$E352,W352=$G352),Auxiliar!$C$11,IF(AND(SIGN($E352-$G352)=SIGN(U352-W352),MAX($E352,$G352)=MAX(U352,W352)),Auxiliar!$C$12,IF(ABS($E352-$G352)=ABS(U352-W352),Auxiliar!$C$13,IF(AND(SIGN($E352-$G352)=SIGN(U352-W352),MIN($E352,$G352)=MIN(U352,W352)),Auxiliar!$C$14,IF(SIGN($E352-$G352)=SIGN(U352-W352),Auxiliar!$C$15,IF(U352=W352,Auxiliar!$C$16,0)))))))</f>
        <v/>
      </c>
      <c r="Z352" s="9">
        <v>4</v>
      </c>
      <c r="AA352" s="10" t="s">
        <v>23</v>
      </c>
      <c r="AB352" s="11">
        <v>2</v>
      </c>
      <c r="AC352" s="60" t="str">
        <f>IF(OR($E352="",$G352=""),"",IF(AND(Z352=$E352,AB352=$G352),Auxiliar!$C$11,IF(AND(SIGN($E352-$G352)=SIGN(Z352-AB352),MAX($E352,$G352)=MAX(Z352,AB352)),Auxiliar!$C$12,IF(ABS($E352-$G352)=ABS(Z352-AB352),Auxiliar!$C$13,IF(AND(SIGN($E352-$G352)=SIGN(Z352-AB352),MIN($E352,$G352)=MIN(Z352,AB352)),Auxiliar!$C$14,IF(SIGN($E352-$G352)=SIGN(Z352-AB352),Auxiliar!$C$15,IF(Z352=AB352,Auxiliar!$C$16,0)))))))</f>
        <v/>
      </c>
      <c r="AE352" s="9">
        <v>0</v>
      </c>
      <c r="AF352" s="10" t="s">
        <v>23</v>
      </c>
      <c r="AG352" s="11">
        <v>4</v>
      </c>
      <c r="AH352" s="60" t="str">
        <f>IF(OR($E352="",$G352=""),"",IF(AND(AE352=$E352,AG352=$G352),Auxiliar!$C$11,IF(AND(SIGN($E352-$G352)=SIGN(AE352-AG352),MAX($E352,$G352)=MAX(AE352,AG352)),Auxiliar!$C$12,IF(ABS($E352-$G352)=ABS(AE352-AG352),Auxiliar!$C$13,IF(AND(SIGN($E352-$G352)=SIGN(AE352-AG352),MIN($E352,$G352)=MIN(AE352,AG352)),Auxiliar!$C$14,IF(SIGN($E352-$G352)=SIGN(AE352-AG352),Auxiliar!$C$15,IF(AE352=AG352,Auxiliar!$C$16,0)))))))</f>
        <v/>
      </c>
    </row>
    <row r="353" spans="3:34" x14ac:dyDescent="0.25">
      <c r="C353" s="24">
        <f t="shared" si="5"/>
        <v>34</v>
      </c>
      <c r="D353" s="18"/>
      <c r="E353" s="13"/>
      <c r="F353" s="12" t="s">
        <v>23</v>
      </c>
      <c r="G353" s="13"/>
      <c r="H353" s="14"/>
      <c r="K353" s="9">
        <v>3</v>
      </c>
      <c r="L353" s="10" t="s">
        <v>23</v>
      </c>
      <c r="M353" s="11">
        <v>0</v>
      </c>
      <c r="N353" s="60" t="str">
        <f>IF(OR($E353="",$G353=""),"",IF(AND(K353=$E353,M353=$G353),Auxiliar!$C$11,IF(AND(SIGN($E353-$G353)=SIGN(K353-M353),MAX($E353,$G353)=MAX(K353,M353)),Auxiliar!$C$12,IF(ABS($E353-$G353)=ABS(K353-M353),Auxiliar!$C$13,IF(AND(SIGN($E353-$G353)=SIGN(K353-M353),MIN($E353,$G353)=MIN(K353,M353)),Auxiliar!$C$14,IF(SIGN($E353-$G353)=SIGN(K353-M353),Auxiliar!$C$15,IF(K353=M353,Auxiliar!$C$16,0)))))))</f>
        <v/>
      </c>
      <c r="P353" s="9">
        <v>5</v>
      </c>
      <c r="Q353" s="10" t="s">
        <v>23</v>
      </c>
      <c r="R353" s="11">
        <v>1</v>
      </c>
      <c r="S353" s="60" t="str">
        <f>IF(OR($E353="",$G353=""),"",IF(AND(P353=$E353,R353=$G353),Auxiliar!$C$11,IF(AND(SIGN($E353-$G353)=SIGN(P353-R353),MAX($E353,$G353)=MAX(P353,R353)),Auxiliar!$C$12,IF(ABS($E353-$G353)=ABS(P353-R353),Auxiliar!$C$13,IF(AND(SIGN($E353-$G353)=SIGN(P353-R353),MIN($E353,$G353)=MIN(P353,R353)),Auxiliar!$C$14,IF(SIGN($E353-$G353)=SIGN(P353-R353),Auxiliar!$C$15,IF(P353=R353,Auxiliar!$C$16,0)))))))</f>
        <v/>
      </c>
      <c r="U353" s="9">
        <v>2</v>
      </c>
      <c r="V353" s="10" t="s">
        <v>23</v>
      </c>
      <c r="W353" s="11">
        <v>0</v>
      </c>
      <c r="X353" s="60" t="str">
        <f>IF(OR($E353="",$G353=""),"",IF(AND(U353=$E353,W353=$G353),Auxiliar!$C$11,IF(AND(SIGN($E353-$G353)=SIGN(U353-W353),MAX($E353,$G353)=MAX(U353,W353)),Auxiliar!$C$12,IF(ABS($E353-$G353)=ABS(U353-W353),Auxiliar!$C$13,IF(AND(SIGN($E353-$G353)=SIGN(U353-W353),MIN($E353,$G353)=MIN(U353,W353)),Auxiliar!$C$14,IF(SIGN($E353-$G353)=SIGN(U353-W353),Auxiliar!$C$15,IF(U353=W353,Auxiliar!$C$16,0)))))))</f>
        <v/>
      </c>
      <c r="Z353" s="9">
        <v>2</v>
      </c>
      <c r="AA353" s="10" t="s">
        <v>23</v>
      </c>
      <c r="AB353" s="11">
        <v>3</v>
      </c>
      <c r="AC353" s="60" t="str">
        <f>IF(OR($E353="",$G353=""),"",IF(AND(Z353=$E353,AB353=$G353),Auxiliar!$C$11,IF(AND(SIGN($E353-$G353)=SIGN(Z353-AB353),MAX($E353,$G353)=MAX(Z353,AB353)),Auxiliar!$C$12,IF(ABS($E353-$G353)=ABS(Z353-AB353),Auxiliar!$C$13,IF(AND(SIGN($E353-$G353)=SIGN(Z353-AB353),MIN($E353,$G353)=MIN(Z353,AB353)),Auxiliar!$C$14,IF(SIGN($E353-$G353)=SIGN(Z353-AB353),Auxiliar!$C$15,IF(Z353=AB353,Auxiliar!$C$16,0)))))))</f>
        <v/>
      </c>
      <c r="AE353" s="9">
        <v>1</v>
      </c>
      <c r="AF353" s="10" t="s">
        <v>23</v>
      </c>
      <c r="AG353" s="11">
        <v>0</v>
      </c>
      <c r="AH353" s="60" t="str">
        <f>IF(OR($E353="",$G353=""),"",IF(AND(AE353=$E353,AG353=$G353),Auxiliar!$C$11,IF(AND(SIGN($E353-$G353)=SIGN(AE353-AG353),MAX($E353,$G353)=MAX(AE353,AG353)),Auxiliar!$C$12,IF(ABS($E353-$G353)=ABS(AE353-AG353),Auxiliar!$C$13,IF(AND(SIGN($E353-$G353)=SIGN(AE353-AG353),MIN($E353,$G353)=MIN(AE353,AG353)),Auxiliar!$C$14,IF(SIGN($E353-$G353)=SIGN(AE353-AG353),Auxiliar!$C$15,IF(AE353=AG353,Auxiliar!$C$16,0)))))))</f>
        <v/>
      </c>
    </row>
    <row r="354" spans="3:34" x14ac:dyDescent="0.25">
      <c r="C354" s="24">
        <f t="shared" si="5"/>
        <v>34</v>
      </c>
      <c r="D354" s="18"/>
      <c r="E354" s="13"/>
      <c r="F354" s="12" t="s">
        <v>23</v>
      </c>
      <c r="G354" s="13"/>
      <c r="H354" s="14"/>
      <c r="K354" s="9">
        <v>2</v>
      </c>
      <c r="L354" s="10" t="s">
        <v>23</v>
      </c>
      <c r="M354" s="11">
        <v>0</v>
      </c>
      <c r="N354" s="60" t="str">
        <f>IF(OR($E354="",$G354=""),"",IF(AND(K354=$E354,M354=$G354),Auxiliar!$C$11,IF(AND(SIGN($E354-$G354)=SIGN(K354-M354),MAX($E354,$G354)=MAX(K354,M354)),Auxiliar!$C$12,IF(ABS($E354-$G354)=ABS(K354-M354),Auxiliar!$C$13,IF(AND(SIGN($E354-$G354)=SIGN(K354-M354),MIN($E354,$G354)=MIN(K354,M354)),Auxiliar!$C$14,IF(SIGN($E354-$G354)=SIGN(K354-M354),Auxiliar!$C$15,IF(K354=M354,Auxiliar!$C$16,0)))))))</f>
        <v/>
      </c>
      <c r="P354" s="9">
        <v>5</v>
      </c>
      <c r="Q354" s="10" t="s">
        <v>23</v>
      </c>
      <c r="R354" s="11">
        <v>0</v>
      </c>
      <c r="S354" s="60" t="str">
        <f>IF(OR($E354="",$G354=""),"",IF(AND(P354=$E354,R354=$G354),Auxiliar!$C$11,IF(AND(SIGN($E354-$G354)=SIGN(P354-R354),MAX($E354,$G354)=MAX(P354,R354)),Auxiliar!$C$12,IF(ABS($E354-$G354)=ABS(P354-R354),Auxiliar!$C$13,IF(AND(SIGN($E354-$G354)=SIGN(P354-R354),MIN($E354,$G354)=MIN(P354,R354)),Auxiliar!$C$14,IF(SIGN($E354-$G354)=SIGN(P354-R354),Auxiliar!$C$15,IF(P354=R354,Auxiliar!$C$16,0)))))))</f>
        <v/>
      </c>
      <c r="U354" s="9">
        <v>1</v>
      </c>
      <c r="V354" s="10" t="s">
        <v>23</v>
      </c>
      <c r="W354" s="11">
        <v>3</v>
      </c>
      <c r="X354" s="60" t="str">
        <f>IF(OR($E354="",$G354=""),"",IF(AND(U354=$E354,W354=$G354),Auxiliar!$C$11,IF(AND(SIGN($E354-$G354)=SIGN(U354-W354),MAX($E354,$G354)=MAX(U354,W354)),Auxiliar!$C$12,IF(ABS($E354-$G354)=ABS(U354-W354),Auxiliar!$C$13,IF(AND(SIGN($E354-$G354)=SIGN(U354-W354),MIN($E354,$G354)=MIN(U354,W354)),Auxiliar!$C$14,IF(SIGN($E354-$G354)=SIGN(U354-W354),Auxiliar!$C$15,IF(U354=W354,Auxiliar!$C$16,0)))))))</f>
        <v/>
      </c>
      <c r="Z354" s="9">
        <v>5</v>
      </c>
      <c r="AA354" s="10" t="s">
        <v>23</v>
      </c>
      <c r="AB354" s="11">
        <v>1</v>
      </c>
      <c r="AC354" s="60" t="str">
        <f>IF(OR($E354="",$G354=""),"",IF(AND(Z354=$E354,AB354=$G354),Auxiliar!$C$11,IF(AND(SIGN($E354-$G354)=SIGN(Z354-AB354),MAX($E354,$G354)=MAX(Z354,AB354)),Auxiliar!$C$12,IF(ABS($E354-$G354)=ABS(Z354-AB354),Auxiliar!$C$13,IF(AND(SIGN($E354-$G354)=SIGN(Z354-AB354),MIN($E354,$G354)=MIN(Z354,AB354)),Auxiliar!$C$14,IF(SIGN($E354-$G354)=SIGN(Z354-AB354),Auxiliar!$C$15,IF(Z354=AB354,Auxiliar!$C$16,0)))))))</f>
        <v/>
      </c>
      <c r="AE354" s="9">
        <v>2</v>
      </c>
      <c r="AF354" s="10" t="s">
        <v>23</v>
      </c>
      <c r="AG354" s="11">
        <v>1</v>
      </c>
      <c r="AH354" s="60" t="str">
        <f>IF(OR($E354="",$G354=""),"",IF(AND(AE354=$E354,AG354=$G354),Auxiliar!$C$11,IF(AND(SIGN($E354-$G354)=SIGN(AE354-AG354),MAX($E354,$G354)=MAX(AE354,AG354)),Auxiliar!$C$12,IF(ABS($E354-$G354)=ABS(AE354-AG354),Auxiliar!$C$13,IF(AND(SIGN($E354-$G354)=SIGN(AE354-AG354),MIN($E354,$G354)=MIN(AE354,AG354)),Auxiliar!$C$14,IF(SIGN($E354-$G354)=SIGN(AE354-AG354),Auxiliar!$C$15,IF(AE354=AG354,Auxiliar!$C$16,0)))))))</f>
        <v/>
      </c>
    </row>
    <row r="355" spans="3:34" x14ac:dyDescent="0.25">
      <c r="C355" s="24">
        <f t="shared" si="5"/>
        <v>34</v>
      </c>
      <c r="D355" s="18"/>
      <c r="E355" s="13"/>
      <c r="F355" s="12" t="s">
        <v>23</v>
      </c>
      <c r="G355" s="13"/>
      <c r="H355" s="14"/>
      <c r="K355" s="9">
        <v>3</v>
      </c>
      <c r="L355" s="10" t="s">
        <v>23</v>
      </c>
      <c r="M355" s="11">
        <v>0</v>
      </c>
      <c r="N355" s="60" t="str">
        <f>IF(OR($E355="",$G355=""),"",IF(AND(K355=$E355,M355=$G355),Auxiliar!$C$11,IF(AND(SIGN($E355-$G355)=SIGN(K355-M355),MAX($E355,$G355)=MAX(K355,M355)),Auxiliar!$C$12,IF(ABS($E355-$G355)=ABS(K355-M355),Auxiliar!$C$13,IF(AND(SIGN($E355-$G355)=SIGN(K355-M355),MIN($E355,$G355)=MIN(K355,M355)),Auxiliar!$C$14,IF(SIGN($E355-$G355)=SIGN(K355-M355),Auxiliar!$C$15,IF(K355=M355,Auxiliar!$C$16,0)))))))</f>
        <v/>
      </c>
      <c r="P355" s="9">
        <v>2</v>
      </c>
      <c r="Q355" s="10" t="s">
        <v>23</v>
      </c>
      <c r="R355" s="11">
        <v>0</v>
      </c>
      <c r="S355" s="60" t="str">
        <f>IF(OR($E355="",$G355=""),"",IF(AND(P355=$E355,R355=$G355),Auxiliar!$C$11,IF(AND(SIGN($E355-$G355)=SIGN(P355-R355),MAX($E355,$G355)=MAX(P355,R355)),Auxiliar!$C$12,IF(ABS($E355-$G355)=ABS(P355-R355),Auxiliar!$C$13,IF(AND(SIGN($E355-$G355)=SIGN(P355-R355),MIN($E355,$G355)=MIN(P355,R355)),Auxiliar!$C$14,IF(SIGN($E355-$G355)=SIGN(P355-R355),Auxiliar!$C$15,IF(P355=R355,Auxiliar!$C$16,0)))))))</f>
        <v/>
      </c>
      <c r="U355" s="9">
        <v>1</v>
      </c>
      <c r="V355" s="10" t="s">
        <v>23</v>
      </c>
      <c r="W355" s="11">
        <v>1</v>
      </c>
      <c r="X355" s="60" t="str">
        <f>IF(OR($E355="",$G355=""),"",IF(AND(U355=$E355,W355=$G355),Auxiliar!$C$11,IF(AND(SIGN($E355-$G355)=SIGN(U355-W355),MAX($E355,$G355)=MAX(U355,W355)),Auxiliar!$C$12,IF(ABS($E355-$G355)=ABS(U355-W355),Auxiliar!$C$13,IF(AND(SIGN($E355-$G355)=SIGN(U355-W355),MIN($E355,$G355)=MIN(U355,W355)),Auxiliar!$C$14,IF(SIGN($E355-$G355)=SIGN(U355-W355),Auxiliar!$C$15,IF(U355=W355,Auxiliar!$C$16,0)))))))</f>
        <v/>
      </c>
      <c r="Z355" s="9">
        <v>5</v>
      </c>
      <c r="AA355" s="10" t="s">
        <v>23</v>
      </c>
      <c r="AB355" s="11">
        <v>2</v>
      </c>
      <c r="AC355" s="60" t="str">
        <f>IF(OR($E355="",$G355=""),"",IF(AND(Z355=$E355,AB355=$G355),Auxiliar!$C$11,IF(AND(SIGN($E355-$G355)=SIGN(Z355-AB355),MAX($E355,$G355)=MAX(Z355,AB355)),Auxiliar!$C$12,IF(ABS($E355-$G355)=ABS(Z355-AB355),Auxiliar!$C$13,IF(AND(SIGN($E355-$G355)=SIGN(Z355-AB355),MIN($E355,$G355)=MIN(Z355,AB355)),Auxiliar!$C$14,IF(SIGN($E355-$G355)=SIGN(Z355-AB355),Auxiliar!$C$15,IF(Z355=AB355,Auxiliar!$C$16,0)))))))</f>
        <v/>
      </c>
      <c r="AE355" s="9">
        <v>3</v>
      </c>
      <c r="AF355" s="10" t="s">
        <v>23</v>
      </c>
      <c r="AG355" s="11">
        <v>0</v>
      </c>
      <c r="AH355" s="60" t="str">
        <f>IF(OR($E355="",$G355=""),"",IF(AND(AE355=$E355,AG355=$G355),Auxiliar!$C$11,IF(AND(SIGN($E355-$G355)=SIGN(AE355-AG355),MAX($E355,$G355)=MAX(AE355,AG355)),Auxiliar!$C$12,IF(ABS($E355-$G355)=ABS(AE355-AG355),Auxiliar!$C$13,IF(AND(SIGN($E355-$G355)=SIGN(AE355-AG355),MIN($E355,$G355)=MIN(AE355,AG355)),Auxiliar!$C$14,IF(SIGN($E355-$G355)=SIGN(AE355-AG355),Auxiliar!$C$15,IF(AE355=AG355,Auxiliar!$C$16,0)))))))</f>
        <v/>
      </c>
    </row>
    <row r="356" spans="3:34" x14ac:dyDescent="0.25">
      <c r="C356" s="24">
        <f t="shared" si="5"/>
        <v>34</v>
      </c>
      <c r="D356" s="18"/>
      <c r="E356" s="13"/>
      <c r="F356" s="12" t="s">
        <v>23</v>
      </c>
      <c r="G356" s="13"/>
      <c r="H356" s="14"/>
      <c r="K356" s="9">
        <v>5</v>
      </c>
      <c r="L356" s="10" t="s">
        <v>23</v>
      </c>
      <c r="M356" s="11">
        <v>0</v>
      </c>
      <c r="N356" s="60" t="str">
        <f>IF(OR($E356="",$G356=""),"",IF(AND(K356=$E356,M356=$G356),Auxiliar!$C$11,IF(AND(SIGN($E356-$G356)=SIGN(K356-M356),MAX($E356,$G356)=MAX(K356,M356)),Auxiliar!$C$12,IF(ABS($E356-$G356)=ABS(K356-M356),Auxiliar!$C$13,IF(AND(SIGN($E356-$G356)=SIGN(K356-M356),MIN($E356,$G356)=MIN(K356,M356)),Auxiliar!$C$14,IF(SIGN($E356-$G356)=SIGN(K356-M356),Auxiliar!$C$15,IF(K356=M356,Auxiliar!$C$16,0)))))))</f>
        <v/>
      </c>
      <c r="P356" s="9">
        <v>5</v>
      </c>
      <c r="Q356" s="10" t="s">
        <v>23</v>
      </c>
      <c r="R356" s="11">
        <v>5</v>
      </c>
      <c r="S356" s="60" t="str">
        <f>IF(OR($E356="",$G356=""),"",IF(AND(P356=$E356,R356=$G356),Auxiliar!$C$11,IF(AND(SIGN($E356-$G356)=SIGN(P356-R356),MAX($E356,$G356)=MAX(P356,R356)),Auxiliar!$C$12,IF(ABS($E356-$G356)=ABS(P356-R356),Auxiliar!$C$13,IF(AND(SIGN($E356-$G356)=SIGN(P356-R356),MIN($E356,$G356)=MIN(P356,R356)),Auxiliar!$C$14,IF(SIGN($E356-$G356)=SIGN(P356-R356),Auxiliar!$C$15,IF(P356=R356,Auxiliar!$C$16,0)))))))</f>
        <v/>
      </c>
      <c r="U356" s="9">
        <v>1</v>
      </c>
      <c r="V356" s="10" t="s">
        <v>23</v>
      </c>
      <c r="W356" s="11">
        <v>3</v>
      </c>
      <c r="X356" s="60" t="str">
        <f>IF(OR($E356="",$G356=""),"",IF(AND(U356=$E356,W356=$G356),Auxiliar!$C$11,IF(AND(SIGN($E356-$G356)=SIGN(U356-W356),MAX($E356,$G356)=MAX(U356,W356)),Auxiliar!$C$12,IF(ABS($E356-$G356)=ABS(U356-W356),Auxiliar!$C$13,IF(AND(SIGN($E356-$G356)=SIGN(U356-W356),MIN($E356,$G356)=MIN(U356,W356)),Auxiliar!$C$14,IF(SIGN($E356-$G356)=SIGN(U356-W356),Auxiliar!$C$15,IF(U356=W356,Auxiliar!$C$16,0)))))))</f>
        <v/>
      </c>
      <c r="Z356" s="9">
        <v>2</v>
      </c>
      <c r="AA356" s="10" t="s">
        <v>23</v>
      </c>
      <c r="AB356" s="11">
        <v>1</v>
      </c>
      <c r="AC356" s="60" t="str">
        <f>IF(OR($E356="",$G356=""),"",IF(AND(Z356=$E356,AB356=$G356),Auxiliar!$C$11,IF(AND(SIGN($E356-$G356)=SIGN(Z356-AB356),MAX($E356,$G356)=MAX(Z356,AB356)),Auxiliar!$C$12,IF(ABS($E356-$G356)=ABS(Z356-AB356),Auxiliar!$C$13,IF(AND(SIGN($E356-$G356)=SIGN(Z356-AB356),MIN($E356,$G356)=MIN(Z356,AB356)),Auxiliar!$C$14,IF(SIGN($E356-$G356)=SIGN(Z356-AB356),Auxiliar!$C$15,IF(Z356=AB356,Auxiliar!$C$16,0)))))))</f>
        <v/>
      </c>
      <c r="AE356" s="9">
        <v>3</v>
      </c>
      <c r="AF356" s="10" t="s">
        <v>23</v>
      </c>
      <c r="AG356" s="11">
        <v>4</v>
      </c>
      <c r="AH356" s="60" t="str">
        <f>IF(OR($E356="",$G356=""),"",IF(AND(AE356=$E356,AG356=$G356),Auxiliar!$C$11,IF(AND(SIGN($E356-$G356)=SIGN(AE356-AG356),MAX($E356,$G356)=MAX(AE356,AG356)),Auxiliar!$C$12,IF(ABS($E356-$G356)=ABS(AE356-AG356),Auxiliar!$C$13,IF(AND(SIGN($E356-$G356)=SIGN(AE356-AG356),MIN($E356,$G356)=MIN(AE356,AG356)),Auxiliar!$C$14,IF(SIGN($E356-$G356)=SIGN(AE356-AG356),Auxiliar!$C$15,IF(AE356=AG356,Auxiliar!$C$16,0)))))))</f>
        <v/>
      </c>
    </row>
    <row r="357" spans="3:34" x14ac:dyDescent="0.25">
      <c r="C357" s="24">
        <f t="shared" si="5"/>
        <v>34</v>
      </c>
      <c r="D357" s="18"/>
      <c r="E357" s="13"/>
      <c r="F357" s="12" t="s">
        <v>23</v>
      </c>
      <c r="G357" s="13"/>
      <c r="H357" s="14"/>
      <c r="K357" s="9">
        <v>0</v>
      </c>
      <c r="L357" s="10" t="s">
        <v>23</v>
      </c>
      <c r="M357" s="11">
        <v>3</v>
      </c>
      <c r="N357" s="60" t="str">
        <f>IF(OR($E357="",$G357=""),"",IF(AND(K357=$E357,M357=$G357),Auxiliar!$C$11,IF(AND(SIGN($E357-$G357)=SIGN(K357-M357),MAX($E357,$G357)=MAX(K357,M357)),Auxiliar!$C$12,IF(ABS($E357-$G357)=ABS(K357-M357),Auxiliar!$C$13,IF(AND(SIGN($E357-$G357)=SIGN(K357-M357),MIN($E357,$G357)=MIN(K357,M357)),Auxiliar!$C$14,IF(SIGN($E357-$G357)=SIGN(K357-M357),Auxiliar!$C$15,IF(K357=M357,Auxiliar!$C$16,0)))))))</f>
        <v/>
      </c>
      <c r="P357" s="9">
        <v>4</v>
      </c>
      <c r="Q357" s="10" t="s">
        <v>23</v>
      </c>
      <c r="R357" s="11">
        <v>0</v>
      </c>
      <c r="S357" s="60" t="str">
        <f>IF(OR($E357="",$G357=""),"",IF(AND(P357=$E357,R357=$G357),Auxiliar!$C$11,IF(AND(SIGN($E357-$G357)=SIGN(P357-R357),MAX($E357,$G357)=MAX(P357,R357)),Auxiliar!$C$12,IF(ABS($E357-$G357)=ABS(P357-R357),Auxiliar!$C$13,IF(AND(SIGN($E357-$G357)=SIGN(P357-R357),MIN($E357,$G357)=MIN(P357,R357)),Auxiliar!$C$14,IF(SIGN($E357-$G357)=SIGN(P357-R357),Auxiliar!$C$15,IF(P357=R357,Auxiliar!$C$16,0)))))))</f>
        <v/>
      </c>
      <c r="U357" s="9">
        <v>0</v>
      </c>
      <c r="V357" s="10" t="s">
        <v>23</v>
      </c>
      <c r="W357" s="11">
        <v>3</v>
      </c>
      <c r="X357" s="60" t="str">
        <f>IF(OR($E357="",$G357=""),"",IF(AND(U357=$E357,W357=$G357),Auxiliar!$C$11,IF(AND(SIGN($E357-$G357)=SIGN(U357-W357),MAX($E357,$G357)=MAX(U357,W357)),Auxiliar!$C$12,IF(ABS($E357-$G357)=ABS(U357-W357),Auxiliar!$C$13,IF(AND(SIGN($E357-$G357)=SIGN(U357-W357),MIN($E357,$G357)=MIN(U357,W357)),Auxiliar!$C$14,IF(SIGN($E357-$G357)=SIGN(U357-W357),Auxiliar!$C$15,IF(U357=W357,Auxiliar!$C$16,0)))))))</f>
        <v/>
      </c>
      <c r="Z357" s="9">
        <v>1</v>
      </c>
      <c r="AA357" s="10" t="s">
        <v>23</v>
      </c>
      <c r="AB357" s="11">
        <v>2</v>
      </c>
      <c r="AC357" s="60" t="str">
        <f>IF(OR($E357="",$G357=""),"",IF(AND(Z357=$E357,AB357=$G357),Auxiliar!$C$11,IF(AND(SIGN($E357-$G357)=SIGN(Z357-AB357),MAX($E357,$G357)=MAX(Z357,AB357)),Auxiliar!$C$12,IF(ABS($E357-$G357)=ABS(Z357-AB357),Auxiliar!$C$13,IF(AND(SIGN($E357-$G357)=SIGN(Z357-AB357),MIN($E357,$G357)=MIN(Z357,AB357)),Auxiliar!$C$14,IF(SIGN($E357-$G357)=SIGN(Z357-AB357),Auxiliar!$C$15,IF(Z357=AB357,Auxiliar!$C$16,0)))))))</f>
        <v/>
      </c>
      <c r="AE357" s="9">
        <v>5</v>
      </c>
      <c r="AF357" s="10" t="s">
        <v>23</v>
      </c>
      <c r="AG357" s="11">
        <v>1</v>
      </c>
      <c r="AH357" s="60" t="str">
        <f>IF(OR($E357="",$G357=""),"",IF(AND(AE357=$E357,AG357=$G357),Auxiliar!$C$11,IF(AND(SIGN($E357-$G357)=SIGN(AE357-AG357),MAX($E357,$G357)=MAX(AE357,AG357)),Auxiliar!$C$12,IF(ABS($E357-$G357)=ABS(AE357-AG357),Auxiliar!$C$13,IF(AND(SIGN($E357-$G357)=SIGN(AE357-AG357),MIN($E357,$G357)=MIN(AE357,AG357)),Auxiliar!$C$14,IF(SIGN($E357-$G357)=SIGN(AE357-AG357),Auxiliar!$C$15,IF(AE357=AG357,Auxiliar!$C$16,0)))))))</f>
        <v/>
      </c>
    </row>
    <row r="358" spans="3:34" x14ac:dyDescent="0.25">
      <c r="C358" s="24">
        <f t="shared" si="5"/>
        <v>34</v>
      </c>
      <c r="D358" s="18"/>
      <c r="E358" s="13"/>
      <c r="F358" s="12" t="s">
        <v>23</v>
      </c>
      <c r="G358" s="13"/>
      <c r="H358" s="14"/>
      <c r="K358" s="9">
        <v>3</v>
      </c>
      <c r="L358" s="10" t="s">
        <v>23</v>
      </c>
      <c r="M358" s="11">
        <v>2</v>
      </c>
      <c r="N358" s="60" t="str">
        <f>IF(OR($E358="",$G358=""),"",IF(AND(K358=$E358,M358=$G358),Auxiliar!$C$11,IF(AND(SIGN($E358-$G358)=SIGN(K358-M358),MAX($E358,$G358)=MAX(K358,M358)),Auxiliar!$C$12,IF(ABS($E358-$G358)=ABS(K358-M358),Auxiliar!$C$13,IF(AND(SIGN($E358-$G358)=SIGN(K358-M358),MIN($E358,$G358)=MIN(K358,M358)),Auxiliar!$C$14,IF(SIGN($E358-$G358)=SIGN(K358-M358),Auxiliar!$C$15,IF(K358=M358,Auxiliar!$C$16,0)))))))</f>
        <v/>
      </c>
      <c r="P358" s="9">
        <v>3</v>
      </c>
      <c r="Q358" s="10" t="s">
        <v>23</v>
      </c>
      <c r="R358" s="11">
        <v>3</v>
      </c>
      <c r="S358" s="60" t="str">
        <f>IF(OR($E358="",$G358=""),"",IF(AND(P358=$E358,R358=$G358),Auxiliar!$C$11,IF(AND(SIGN($E358-$G358)=SIGN(P358-R358),MAX($E358,$G358)=MAX(P358,R358)),Auxiliar!$C$12,IF(ABS($E358-$G358)=ABS(P358-R358),Auxiliar!$C$13,IF(AND(SIGN($E358-$G358)=SIGN(P358-R358),MIN($E358,$G358)=MIN(P358,R358)),Auxiliar!$C$14,IF(SIGN($E358-$G358)=SIGN(P358-R358),Auxiliar!$C$15,IF(P358=R358,Auxiliar!$C$16,0)))))))</f>
        <v/>
      </c>
      <c r="U358" s="9">
        <v>2</v>
      </c>
      <c r="V358" s="10" t="s">
        <v>23</v>
      </c>
      <c r="W358" s="11">
        <v>5</v>
      </c>
      <c r="X358" s="60" t="str">
        <f>IF(OR($E358="",$G358=""),"",IF(AND(U358=$E358,W358=$G358),Auxiliar!$C$11,IF(AND(SIGN($E358-$G358)=SIGN(U358-W358),MAX($E358,$G358)=MAX(U358,W358)),Auxiliar!$C$12,IF(ABS($E358-$G358)=ABS(U358-W358),Auxiliar!$C$13,IF(AND(SIGN($E358-$G358)=SIGN(U358-W358),MIN($E358,$G358)=MIN(U358,W358)),Auxiliar!$C$14,IF(SIGN($E358-$G358)=SIGN(U358-W358),Auxiliar!$C$15,IF(U358=W358,Auxiliar!$C$16,0)))))))</f>
        <v/>
      </c>
      <c r="Z358" s="9">
        <v>1</v>
      </c>
      <c r="AA358" s="10" t="s">
        <v>23</v>
      </c>
      <c r="AB358" s="11">
        <v>5</v>
      </c>
      <c r="AC358" s="60" t="str">
        <f>IF(OR($E358="",$G358=""),"",IF(AND(Z358=$E358,AB358=$G358),Auxiliar!$C$11,IF(AND(SIGN($E358-$G358)=SIGN(Z358-AB358),MAX($E358,$G358)=MAX(Z358,AB358)),Auxiliar!$C$12,IF(ABS($E358-$G358)=ABS(Z358-AB358),Auxiliar!$C$13,IF(AND(SIGN($E358-$G358)=SIGN(Z358-AB358),MIN($E358,$G358)=MIN(Z358,AB358)),Auxiliar!$C$14,IF(SIGN($E358-$G358)=SIGN(Z358-AB358),Auxiliar!$C$15,IF(Z358=AB358,Auxiliar!$C$16,0)))))))</f>
        <v/>
      </c>
      <c r="AE358" s="9">
        <v>1</v>
      </c>
      <c r="AF358" s="10" t="s">
        <v>23</v>
      </c>
      <c r="AG358" s="11">
        <v>2</v>
      </c>
      <c r="AH358" s="60" t="str">
        <f>IF(OR($E358="",$G358=""),"",IF(AND(AE358=$E358,AG358=$G358),Auxiliar!$C$11,IF(AND(SIGN($E358-$G358)=SIGN(AE358-AG358),MAX($E358,$G358)=MAX(AE358,AG358)),Auxiliar!$C$12,IF(ABS($E358-$G358)=ABS(AE358-AG358),Auxiliar!$C$13,IF(AND(SIGN($E358-$G358)=SIGN(AE358-AG358),MIN($E358,$G358)=MIN(AE358,AG358)),Auxiliar!$C$14,IF(SIGN($E358-$G358)=SIGN(AE358-AG358),Auxiliar!$C$15,IF(AE358=AG358,Auxiliar!$C$16,0)))))))</f>
        <v/>
      </c>
    </row>
    <row r="359" spans="3:34" x14ac:dyDescent="0.25">
      <c r="C359" s="24">
        <f t="shared" si="5"/>
        <v>35</v>
      </c>
      <c r="D359" s="18"/>
      <c r="E359" s="13"/>
      <c r="F359" s="12" t="s">
        <v>23</v>
      </c>
      <c r="G359" s="13"/>
      <c r="H359" s="14"/>
      <c r="K359" s="9">
        <v>1</v>
      </c>
      <c r="L359" s="10" t="s">
        <v>23</v>
      </c>
      <c r="M359" s="11">
        <v>1</v>
      </c>
      <c r="N359" s="60" t="str">
        <f>IF(OR($E359="",$G359=""),"",IF(AND(K359=$E359,M359=$G359),Auxiliar!$C$11,IF(AND(SIGN($E359-$G359)=SIGN(K359-M359),MAX($E359,$G359)=MAX(K359,M359)),Auxiliar!$C$12,IF(ABS($E359-$G359)=ABS(K359-M359),Auxiliar!$C$13,IF(AND(SIGN($E359-$G359)=SIGN(K359-M359),MIN($E359,$G359)=MIN(K359,M359)),Auxiliar!$C$14,IF(SIGN($E359-$G359)=SIGN(K359-M359),Auxiliar!$C$15,IF(K359=M359,Auxiliar!$C$16,0)))))))</f>
        <v/>
      </c>
      <c r="P359" s="9">
        <v>4</v>
      </c>
      <c r="Q359" s="10" t="s">
        <v>23</v>
      </c>
      <c r="R359" s="11">
        <v>0</v>
      </c>
      <c r="S359" s="60" t="str">
        <f>IF(OR($E359="",$G359=""),"",IF(AND(P359=$E359,R359=$G359),Auxiliar!$C$11,IF(AND(SIGN($E359-$G359)=SIGN(P359-R359),MAX($E359,$G359)=MAX(P359,R359)),Auxiliar!$C$12,IF(ABS($E359-$G359)=ABS(P359-R359),Auxiliar!$C$13,IF(AND(SIGN($E359-$G359)=SIGN(P359-R359),MIN($E359,$G359)=MIN(P359,R359)),Auxiliar!$C$14,IF(SIGN($E359-$G359)=SIGN(P359-R359),Auxiliar!$C$15,IF(P359=R359,Auxiliar!$C$16,0)))))))</f>
        <v/>
      </c>
      <c r="U359" s="9">
        <v>3</v>
      </c>
      <c r="V359" s="10" t="s">
        <v>23</v>
      </c>
      <c r="W359" s="11">
        <v>0</v>
      </c>
      <c r="X359" s="60" t="str">
        <f>IF(OR($E359="",$G359=""),"",IF(AND(U359=$E359,W359=$G359),Auxiliar!$C$11,IF(AND(SIGN($E359-$G359)=SIGN(U359-W359),MAX($E359,$G359)=MAX(U359,W359)),Auxiliar!$C$12,IF(ABS($E359-$G359)=ABS(U359-W359),Auxiliar!$C$13,IF(AND(SIGN($E359-$G359)=SIGN(U359-W359),MIN($E359,$G359)=MIN(U359,W359)),Auxiliar!$C$14,IF(SIGN($E359-$G359)=SIGN(U359-W359),Auxiliar!$C$15,IF(U359=W359,Auxiliar!$C$16,0)))))))</f>
        <v/>
      </c>
      <c r="Z359" s="9">
        <v>4</v>
      </c>
      <c r="AA359" s="10" t="s">
        <v>23</v>
      </c>
      <c r="AB359" s="11">
        <v>3</v>
      </c>
      <c r="AC359" s="60" t="str">
        <f>IF(OR($E359="",$G359=""),"",IF(AND(Z359=$E359,AB359=$G359),Auxiliar!$C$11,IF(AND(SIGN($E359-$G359)=SIGN(Z359-AB359),MAX($E359,$G359)=MAX(Z359,AB359)),Auxiliar!$C$12,IF(ABS($E359-$G359)=ABS(Z359-AB359),Auxiliar!$C$13,IF(AND(SIGN($E359-$G359)=SIGN(Z359-AB359),MIN($E359,$G359)=MIN(Z359,AB359)),Auxiliar!$C$14,IF(SIGN($E359-$G359)=SIGN(Z359-AB359),Auxiliar!$C$15,IF(Z359=AB359,Auxiliar!$C$16,0)))))))</f>
        <v/>
      </c>
      <c r="AE359" s="9">
        <v>5</v>
      </c>
      <c r="AF359" s="10" t="s">
        <v>23</v>
      </c>
      <c r="AG359" s="11">
        <v>0</v>
      </c>
      <c r="AH359" s="60" t="str">
        <f>IF(OR($E359="",$G359=""),"",IF(AND(AE359=$E359,AG359=$G359),Auxiliar!$C$11,IF(AND(SIGN($E359-$G359)=SIGN(AE359-AG359),MAX($E359,$G359)=MAX(AE359,AG359)),Auxiliar!$C$12,IF(ABS($E359-$G359)=ABS(AE359-AG359),Auxiliar!$C$13,IF(AND(SIGN($E359-$G359)=SIGN(AE359-AG359),MIN($E359,$G359)=MIN(AE359,AG359)),Auxiliar!$C$14,IF(SIGN($E359-$G359)=SIGN(AE359-AG359),Auxiliar!$C$15,IF(AE359=AG359,Auxiliar!$C$16,0)))))))</f>
        <v/>
      </c>
    </row>
    <row r="360" spans="3:34" x14ac:dyDescent="0.25">
      <c r="C360" s="24">
        <f t="shared" si="5"/>
        <v>35</v>
      </c>
      <c r="D360" s="18"/>
      <c r="E360" s="13"/>
      <c r="F360" s="12" t="s">
        <v>23</v>
      </c>
      <c r="G360" s="13"/>
      <c r="H360" s="14"/>
      <c r="K360" s="9">
        <v>4</v>
      </c>
      <c r="L360" s="10" t="s">
        <v>23</v>
      </c>
      <c r="M360" s="11">
        <v>1</v>
      </c>
      <c r="N360" s="60" t="str">
        <f>IF(OR($E360="",$G360=""),"",IF(AND(K360=$E360,M360=$G360),Auxiliar!$C$11,IF(AND(SIGN($E360-$G360)=SIGN(K360-M360),MAX($E360,$G360)=MAX(K360,M360)),Auxiliar!$C$12,IF(ABS($E360-$G360)=ABS(K360-M360),Auxiliar!$C$13,IF(AND(SIGN($E360-$G360)=SIGN(K360-M360),MIN($E360,$G360)=MIN(K360,M360)),Auxiliar!$C$14,IF(SIGN($E360-$G360)=SIGN(K360-M360),Auxiliar!$C$15,IF(K360=M360,Auxiliar!$C$16,0)))))))</f>
        <v/>
      </c>
      <c r="P360" s="9">
        <v>5</v>
      </c>
      <c r="Q360" s="10" t="s">
        <v>23</v>
      </c>
      <c r="R360" s="11">
        <v>4</v>
      </c>
      <c r="S360" s="60" t="str">
        <f>IF(OR($E360="",$G360=""),"",IF(AND(P360=$E360,R360=$G360),Auxiliar!$C$11,IF(AND(SIGN($E360-$G360)=SIGN(P360-R360),MAX($E360,$G360)=MAX(P360,R360)),Auxiliar!$C$12,IF(ABS($E360-$G360)=ABS(P360-R360),Auxiliar!$C$13,IF(AND(SIGN($E360-$G360)=SIGN(P360-R360),MIN($E360,$G360)=MIN(P360,R360)),Auxiliar!$C$14,IF(SIGN($E360-$G360)=SIGN(P360-R360),Auxiliar!$C$15,IF(P360=R360,Auxiliar!$C$16,0)))))))</f>
        <v/>
      </c>
      <c r="U360" s="9">
        <v>3</v>
      </c>
      <c r="V360" s="10" t="s">
        <v>23</v>
      </c>
      <c r="W360" s="11">
        <v>1</v>
      </c>
      <c r="X360" s="60" t="str">
        <f>IF(OR($E360="",$G360=""),"",IF(AND(U360=$E360,W360=$G360),Auxiliar!$C$11,IF(AND(SIGN($E360-$G360)=SIGN(U360-W360),MAX($E360,$G360)=MAX(U360,W360)),Auxiliar!$C$12,IF(ABS($E360-$G360)=ABS(U360-W360),Auxiliar!$C$13,IF(AND(SIGN($E360-$G360)=SIGN(U360-W360),MIN($E360,$G360)=MIN(U360,W360)),Auxiliar!$C$14,IF(SIGN($E360-$G360)=SIGN(U360-W360),Auxiliar!$C$15,IF(U360=W360,Auxiliar!$C$16,0)))))))</f>
        <v/>
      </c>
      <c r="Z360" s="9">
        <v>1</v>
      </c>
      <c r="AA360" s="10" t="s">
        <v>23</v>
      </c>
      <c r="AB360" s="11">
        <v>3</v>
      </c>
      <c r="AC360" s="60" t="str">
        <f>IF(OR($E360="",$G360=""),"",IF(AND(Z360=$E360,AB360=$G360),Auxiliar!$C$11,IF(AND(SIGN($E360-$G360)=SIGN(Z360-AB360),MAX($E360,$G360)=MAX(Z360,AB360)),Auxiliar!$C$12,IF(ABS($E360-$G360)=ABS(Z360-AB360),Auxiliar!$C$13,IF(AND(SIGN($E360-$G360)=SIGN(Z360-AB360),MIN($E360,$G360)=MIN(Z360,AB360)),Auxiliar!$C$14,IF(SIGN($E360-$G360)=SIGN(Z360-AB360),Auxiliar!$C$15,IF(Z360=AB360,Auxiliar!$C$16,0)))))))</f>
        <v/>
      </c>
      <c r="AE360" s="9">
        <v>0</v>
      </c>
      <c r="AF360" s="10" t="s">
        <v>23</v>
      </c>
      <c r="AG360" s="11">
        <v>0</v>
      </c>
      <c r="AH360" s="60" t="str">
        <f>IF(OR($E360="",$G360=""),"",IF(AND(AE360=$E360,AG360=$G360),Auxiliar!$C$11,IF(AND(SIGN($E360-$G360)=SIGN(AE360-AG360),MAX($E360,$G360)=MAX(AE360,AG360)),Auxiliar!$C$12,IF(ABS($E360-$G360)=ABS(AE360-AG360),Auxiliar!$C$13,IF(AND(SIGN($E360-$G360)=SIGN(AE360-AG360),MIN($E360,$G360)=MIN(AE360,AG360)),Auxiliar!$C$14,IF(SIGN($E360-$G360)=SIGN(AE360-AG360),Auxiliar!$C$15,IF(AE360=AG360,Auxiliar!$C$16,0)))))))</f>
        <v/>
      </c>
    </row>
    <row r="361" spans="3:34" x14ac:dyDescent="0.25">
      <c r="C361" s="24">
        <f t="shared" si="5"/>
        <v>35</v>
      </c>
      <c r="D361" s="18"/>
      <c r="E361" s="13"/>
      <c r="F361" s="12" t="s">
        <v>23</v>
      </c>
      <c r="G361" s="13"/>
      <c r="H361" s="14"/>
      <c r="K361" s="9">
        <v>2</v>
      </c>
      <c r="L361" s="10" t="s">
        <v>23</v>
      </c>
      <c r="M361" s="11">
        <v>5</v>
      </c>
      <c r="N361" s="60" t="str">
        <f>IF(OR($E361="",$G361=""),"",IF(AND(K361=$E361,M361=$G361),Auxiliar!$C$11,IF(AND(SIGN($E361-$G361)=SIGN(K361-M361),MAX($E361,$G361)=MAX(K361,M361)),Auxiliar!$C$12,IF(ABS($E361-$G361)=ABS(K361-M361),Auxiliar!$C$13,IF(AND(SIGN($E361-$G361)=SIGN(K361-M361),MIN($E361,$G361)=MIN(K361,M361)),Auxiliar!$C$14,IF(SIGN($E361-$G361)=SIGN(K361-M361),Auxiliar!$C$15,IF(K361=M361,Auxiliar!$C$16,0)))))))</f>
        <v/>
      </c>
      <c r="P361" s="9">
        <v>0</v>
      </c>
      <c r="Q361" s="10" t="s">
        <v>23</v>
      </c>
      <c r="R361" s="11">
        <v>1</v>
      </c>
      <c r="S361" s="60" t="str">
        <f>IF(OR($E361="",$G361=""),"",IF(AND(P361=$E361,R361=$G361),Auxiliar!$C$11,IF(AND(SIGN($E361-$G361)=SIGN(P361-R361),MAX($E361,$G361)=MAX(P361,R361)),Auxiliar!$C$12,IF(ABS($E361-$G361)=ABS(P361-R361),Auxiliar!$C$13,IF(AND(SIGN($E361-$G361)=SIGN(P361-R361),MIN($E361,$G361)=MIN(P361,R361)),Auxiliar!$C$14,IF(SIGN($E361-$G361)=SIGN(P361-R361),Auxiliar!$C$15,IF(P361=R361,Auxiliar!$C$16,0)))))))</f>
        <v/>
      </c>
      <c r="U361" s="9">
        <v>4</v>
      </c>
      <c r="V361" s="10" t="s">
        <v>23</v>
      </c>
      <c r="W361" s="11">
        <v>5</v>
      </c>
      <c r="X361" s="60" t="str">
        <f>IF(OR($E361="",$G361=""),"",IF(AND(U361=$E361,W361=$G361),Auxiliar!$C$11,IF(AND(SIGN($E361-$G361)=SIGN(U361-W361),MAX($E361,$G361)=MAX(U361,W361)),Auxiliar!$C$12,IF(ABS($E361-$G361)=ABS(U361-W361),Auxiliar!$C$13,IF(AND(SIGN($E361-$G361)=SIGN(U361-W361),MIN($E361,$G361)=MIN(U361,W361)),Auxiliar!$C$14,IF(SIGN($E361-$G361)=SIGN(U361-W361),Auxiliar!$C$15,IF(U361=W361,Auxiliar!$C$16,0)))))))</f>
        <v/>
      </c>
      <c r="Z361" s="9">
        <v>1</v>
      </c>
      <c r="AA361" s="10" t="s">
        <v>23</v>
      </c>
      <c r="AB361" s="11">
        <v>0</v>
      </c>
      <c r="AC361" s="60" t="str">
        <f>IF(OR($E361="",$G361=""),"",IF(AND(Z361=$E361,AB361=$G361),Auxiliar!$C$11,IF(AND(SIGN($E361-$G361)=SIGN(Z361-AB361),MAX($E361,$G361)=MAX(Z361,AB361)),Auxiliar!$C$12,IF(ABS($E361-$G361)=ABS(Z361-AB361),Auxiliar!$C$13,IF(AND(SIGN($E361-$G361)=SIGN(Z361-AB361),MIN($E361,$G361)=MIN(Z361,AB361)),Auxiliar!$C$14,IF(SIGN($E361-$G361)=SIGN(Z361-AB361),Auxiliar!$C$15,IF(Z361=AB361,Auxiliar!$C$16,0)))))))</f>
        <v/>
      </c>
      <c r="AE361" s="9">
        <v>3</v>
      </c>
      <c r="AF361" s="10" t="s">
        <v>23</v>
      </c>
      <c r="AG361" s="11">
        <v>4</v>
      </c>
      <c r="AH361" s="60" t="str">
        <f>IF(OR($E361="",$G361=""),"",IF(AND(AE361=$E361,AG361=$G361),Auxiliar!$C$11,IF(AND(SIGN($E361-$G361)=SIGN(AE361-AG361),MAX($E361,$G361)=MAX(AE361,AG361)),Auxiliar!$C$12,IF(ABS($E361-$G361)=ABS(AE361-AG361),Auxiliar!$C$13,IF(AND(SIGN($E361-$G361)=SIGN(AE361-AG361),MIN($E361,$G361)=MIN(AE361,AG361)),Auxiliar!$C$14,IF(SIGN($E361-$G361)=SIGN(AE361-AG361),Auxiliar!$C$15,IF(AE361=AG361,Auxiliar!$C$16,0)))))))</f>
        <v/>
      </c>
    </row>
    <row r="362" spans="3:34" x14ac:dyDescent="0.25">
      <c r="C362" s="24">
        <f t="shared" si="5"/>
        <v>35</v>
      </c>
      <c r="D362" s="18"/>
      <c r="E362" s="13"/>
      <c r="F362" s="12" t="s">
        <v>23</v>
      </c>
      <c r="G362" s="13"/>
      <c r="H362" s="14"/>
      <c r="K362" s="9">
        <v>2</v>
      </c>
      <c r="L362" s="10" t="s">
        <v>23</v>
      </c>
      <c r="M362" s="11">
        <v>0</v>
      </c>
      <c r="N362" s="60" t="str">
        <f>IF(OR($E362="",$G362=""),"",IF(AND(K362=$E362,M362=$G362),Auxiliar!$C$11,IF(AND(SIGN($E362-$G362)=SIGN(K362-M362),MAX($E362,$G362)=MAX(K362,M362)),Auxiliar!$C$12,IF(ABS($E362-$G362)=ABS(K362-M362),Auxiliar!$C$13,IF(AND(SIGN($E362-$G362)=SIGN(K362-M362),MIN($E362,$G362)=MIN(K362,M362)),Auxiliar!$C$14,IF(SIGN($E362-$G362)=SIGN(K362-M362),Auxiliar!$C$15,IF(K362=M362,Auxiliar!$C$16,0)))))))</f>
        <v/>
      </c>
      <c r="P362" s="9">
        <v>5</v>
      </c>
      <c r="Q362" s="10" t="s">
        <v>23</v>
      </c>
      <c r="R362" s="11">
        <v>5</v>
      </c>
      <c r="S362" s="60" t="str">
        <f>IF(OR($E362="",$G362=""),"",IF(AND(P362=$E362,R362=$G362),Auxiliar!$C$11,IF(AND(SIGN($E362-$G362)=SIGN(P362-R362),MAX($E362,$G362)=MAX(P362,R362)),Auxiliar!$C$12,IF(ABS($E362-$G362)=ABS(P362-R362),Auxiliar!$C$13,IF(AND(SIGN($E362-$G362)=SIGN(P362-R362),MIN($E362,$G362)=MIN(P362,R362)),Auxiliar!$C$14,IF(SIGN($E362-$G362)=SIGN(P362-R362),Auxiliar!$C$15,IF(P362=R362,Auxiliar!$C$16,0)))))))</f>
        <v/>
      </c>
      <c r="U362" s="9">
        <v>1</v>
      </c>
      <c r="V362" s="10" t="s">
        <v>23</v>
      </c>
      <c r="W362" s="11">
        <v>5</v>
      </c>
      <c r="X362" s="60" t="str">
        <f>IF(OR($E362="",$G362=""),"",IF(AND(U362=$E362,W362=$G362),Auxiliar!$C$11,IF(AND(SIGN($E362-$G362)=SIGN(U362-W362),MAX($E362,$G362)=MAX(U362,W362)),Auxiliar!$C$12,IF(ABS($E362-$G362)=ABS(U362-W362),Auxiliar!$C$13,IF(AND(SIGN($E362-$G362)=SIGN(U362-W362),MIN($E362,$G362)=MIN(U362,W362)),Auxiliar!$C$14,IF(SIGN($E362-$G362)=SIGN(U362-W362),Auxiliar!$C$15,IF(U362=W362,Auxiliar!$C$16,0)))))))</f>
        <v/>
      </c>
      <c r="Z362" s="9">
        <v>0</v>
      </c>
      <c r="AA362" s="10" t="s">
        <v>23</v>
      </c>
      <c r="AB362" s="11">
        <v>2</v>
      </c>
      <c r="AC362" s="60" t="str">
        <f>IF(OR($E362="",$G362=""),"",IF(AND(Z362=$E362,AB362=$G362),Auxiliar!$C$11,IF(AND(SIGN($E362-$G362)=SIGN(Z362-AB362),MAX($E362,$G362)=MAX(Z362,AB362)),Auxiliar!$C$12,IF(ABS($E362-$G362)=ABS(Z362-AB362),Auxiliar!$C$13,IF(AND(SIGN($E362-$G362)=SIGN(Z362-AB362),MIN($E362,$G362)=MIN(Z362,AB362)),Auxiliar!$C$14,IF(SIGN($E362-$G362)=SIGN(Z362-AB362),Auxiliar!$C$15,IF(Z362=AB362,Auxiliar!$C$16,0)))))))</f>
        <v/>
      </c>
      <c r="AE362" s="9">
        <v>0</v>
      </c>
      <c r="AF362" s="10" t="s">
        <v>23</v>
      </c>
      <c r="AG362" s="11">
        <v>1</v>
      </c>
      <c r="AH362" s="60" t="str">
        <f>IF(OR($E362="",$G362=""),"",IF(AND(AE362=$E362,AG362=$G362),Auxiliar!$C$11,IF(AND(SIGN($E362-$G362)=SIGN(AE362-AG362),MAX($E362,$G362)=MAX(AE362,AG362)),Auxiliar!$C$12,IF(ABS($E362-$G362)=ABS(AE362-AG362),Auxiliar!$C$13,IF(AND(SIGN($E362-$G362)=SIGN(AE362-AG362),MIN($E362,$G362)=MIN(AE362,AG362)),Auxiliar!$C$14,IF(SIGN($E362-$G362)=SIGN(AE362-AG362),Auxiliar!$C$15,IF(AE362=AG362,Auxiliar!$C$16,0)))))))</f>
        <v/>
      </c>
    </row>
    <row r="363" spans="3:34" x14ac:dyDescent="0.25">
      <c r="C363" s="24">
        <f t="shared" si="5"/>
        <v>35</v>
      </c>
      <c r="D363" s="18"/>
      <c r="E363" s="13"/>
      <c r="F363" s="12" t="s">
        <v>23</v>
      </c>
      <c r="G363" s="13"/>
      <c r="H363" s="14"/>
      <c r="K363" s="9">
        <v>1</v>
      </c>
      <c r="L363" s="10" t="s">
        <v>23</v>
      </c>
      <c r="M363" s="11">
        <v>3</v>
      </c>
      <c r="N363" s="60" t="str">
        <f>IF(OR($E363="",$G363=""),"",IF(AND(K363=$E363,M363=$G363),Auxiliar!$C$11,IF(AND(SIGN($E363-$G363)=SIGN(K363-M363),MAX($E363,$G363)=MAX(K363,M363)),Auxiliar!$C$12,IF(ABS($E363-$G363)=ABS(K363-M363),Auxiliar!$C$13,IF(AND(SIGN($E363-$G363)=SIGN(K363-M363),MIN($E363,$G363)=MIN(K363,M363)),Auxiliar!$C$14,IF(SIGN($E363-$G363)=SIGN(K363-M363),Auxiliar!$C$15,IF(K363=M363,Auxiliar!$C$16,0)))))))</f>
        <v/>
      </c>
      <c r="P363" s="9">
        <v>4</v>
      </c>
      <c r="Q363" s="10" t="s">
        <v>23</v>
      </c>
      <c r="R363" s="11">
        <v>2</v>
      </c>
      <c r="S363" s="60" t="str">
        <f>IF(OR($E363="",$G363=""),"",IF(AND(P363=$E363,R363=$G363),Auxiliar!$C$11,IF(AND(SIGN($E363-$G363)=SIGN(P363-R363),MAX($E363,$G363)=MAX(P363,R363)),Auxiliar!$C$12,IF(ABS($E363-$G363)=ABS(P363-R363),Auxiliar!$C$13,IF(AND(SIGN($E363-$G363)=SIGN(P363-R363),MIN($E363,$G363)=MIN(P363,R363)),Auxiliar!$C$14,IF(SIGN($E363-$G363)=SIGN(P363-R363),Auxiliar!$C$15,IF(P363=R363,Auxiliar!$C$16,0)))))))</f>
        <v/>
      </c>
      <c r="U363" s="9">
        <v>5</v>
      </c>
      <c r="V363" s="10" t="s">
        <v>23</v>
      </c>
      <c r="W363" s="11">
        <v>0</v>
      </c>
      <c r="X363" s="60" t="str">
        <f>IF(OR($E363="",$G363=""),"",IF(AND(U363=$E363,W363=$G363),Auxiliar!$C$11,IF(AND(SIGN($E363-$G363)=SIGN(U363-W363),MAX($E363,$G363)=MAX(U363,W363)),Auxiliar!$C$12,IF(ABS($E363-$G363)=ABS(U363-W363),Auxiliar!$C$13,IF(AND(SIGN($E363-$G363)=SIGN(U363-W363),MIN($E363,$G363)=MIN(U363,W363)),Auxiliar!$C$14,IF(SIGN($E363-$G363)=SIGN(U363-W363),Auxiliar!$C$15,IF(U363=W363,Auxiliar!$C$16,0)))))))</f>
        <v/>
      </c>
      <c r="Z363" s="9">
        <v>0</v>
      </c>
      <c r="AA363" s="10" t="s">
        <v>23</v>
      </c>
      <c r="AB363" s="11">
        <v>2</v>
      </c>
      <c r="AC363" s="60" t="str">
        <f>IF(OR($E363="",$G363=""),"",IF(AND(Z363=$E363,AB363=$G363),Auxiliar!$C$11,IF(AND(SIGN($E363-$G363)=SIGN(Z363-AB363),MAX($E363,$G363)=MAX(Z363,AB363)),Auxiliar!$C$12,IF(ABS($E363-$G363)=ABS(Z363-AB363),Auxiliar!$C$13,IF(AND(SIGN($E363-$G363)=SIGN(Z363-AB363),MIN($E363,$G363)=MIN(Z363,AB363)),Auxiliar!$C$14,IF(SIGN($E363-$G363)=SIGN(Z363-AB363),Auxiliar!$C$15,IF(Z363=AB363,Auxiliar!$C$16,0)))))))</f>
        <v/>
      </c>
      <c r="AE363" s="9">
        <v>4</v>
      </c>
      <c r="AF363" s="10" t="s">
        <v>23</v>
      </c>
      <c r="AG363" s="11">
        <v>2</v>
      </c>
      <c r="AH363" s="60" t="str">
        <f>IF(OR($E363="",$G363=""),"",IF(AND(AE363=$E363,AG363=$G363),Auxiliar!$C$11,IF(AND(SIGN($E363-$G363)=SIGN(AE363-AG363),MAX($E363,$G363)=MAX(AE363,AG363)),Auxiliar!$C$12,IF(ABS($E363-$G363)=ABS(AE363-AG363),Auxiliar!$C$13,IF(AND(SIGN($E363-$G363)=SIGN(AE363-AG363),MIN($E363,$G363)=MIN(AE363,AG363)),Auxiliar!$C$14,IF(SIGN($E363-$G363)=SIGN(AE363-AG363),Auxiliar!$C$15,IF(AE363=AG363,Auxiliar!$C$16,0)))))))</f>
        <v/>
      </c>
    </row>
    <row r="364" spans="3:34" x14ac:dyDescent="0.25">
      <c r="C364" s="24">
        <f t="shared" si="5"/>
        <v>35</v>
      </c>
      <c r="D364" s="18"/>
      <c r="E364" s="13"/>
      <c r="F364" s="12" t="s">
        <v>23</v>
      </c>
      <c r="G364" s="13"/>
      <c r="H364" s="14"/>
      <c r="K364" s="9">
        <v>0</v>
      </c>
      <c r="L364" s="10" t="s">
        <v>23</v>
      </c>
      <c r="M364" s="11">
        <v>2</v>
      </c>
      <c r="N364" s="60" t="str">
        <f>IF(OR($E364="",$G364=""),"",IF(AND(K364=$E364,M364=$G364),Auxiliar!$C$11,IF(AND(SIGN($E364-$G364)=SIGN(K364-M364),MAX($E364,$G364)=MAX(K364,M364)),Auxiliar!$C$12,IF(ABS($E364-$G364)=ABS(K364-M364),Auxiliar!$C$13,IF(AND(SIGN($E364-$G364)=SIGN(K364-M364),MIN($E364,$G364)=MIN(K364,M364)),Auxiliar!$C$14,IF(SIGN($E364-$G364)=SIGN(K364-M364),Auxiliar!$C$15,IF(K364=M364,Auxiliar!$C$16,0)))))))</f>
        <v/>
      </c>
      <c r="P364" s="9">
        <v>0</v>
      </c>
      <c r="Q364" s="10" t="s">
        <v>23</v>
      </c>
      <c r="R364" s="11">
        <v>2</v>
      </c>
      <c r="S364" s="60" t="str">
        <f>IF(OR($E364="",$G364=""),"",IF(AND(P364=$E364,R364=$G364),Auxiliar!$C$11,IF(AND(SIGN($E364-$G364)=SIGN(P364-R364),MAX($E364,$G364)=MAX(P364,R364)),Auxiliar!$C$12,IF(ABS($E364-$G364)=ABS(P364-R364),Auxiliar!$C$13,IF(AND(SIGN($E364-$G364)=SIGN(P364-R364),MIN($E364,$G364)=MIN(P364,R364)),Auxiliar!$C$14,IF(SIGN($E364-$G364)=SIGN(P364-R364),Auxiliar!$C$15,IF(P364=R364,Auxiliar!$C$16,0)))))))</f>
        <v/>
      </c>
      <c r="U364" s="9">
        <v>5</v>
      </c>
      <c r="V364" s="10" t="s">
        <v>23</v>
      </c>
      <c r="W364" s="11">
        <v>2</v>
      </c>
      <c r="X364" s="60" t="str">
        <f>IF(OR($E364="",$G364=""),"",IF(AND(U364=$E364,W364=$G364),Auxiliar!$C$11,IF(AND(SIGN($E364-$G364)=SIGN(U364-W364),MAX($E364,$G364)=MAX(U364,W364)),Auxiliar!$C$12,IF(ABS($E364-$G364)=ABS(U364-W364),Auxiliar!$C$13,IF(AND(SIGN($E364-$G364)=SIGN(U364-W364),MIN($E364,$G364)=MIN(U364,W364)),Auxiliar!$C$14,IF(SIGN($E364-$G364)=SIGN(U364-W364),Auxiliar!$C$15,IF(U364=W364,Auxiliar!$C$16,0)))))))</f>
        <v/>
      </c>
      <c r="Z364" s="9">
        <v>1</v>
      </c>
      <c r="AA364" s="10" t="s">
        <v>23</v>
      </c>
      <c r="AB364" s="11">
        <v>3</v>
      </c>
      <c r="AC364" s="60" t="str">
        <f>IF(OR($E364="",$G364=""),"",IF(AND(Z364=$E364,AB364=$G364),Auxiliar!$C$11,IF(AND(SIGN($E364-$G364)=SIGN(Z364-AB364),MAX($E364,$G364)=MAX(Z364,AB364)),Auxiliar!$C$12,IF(ABS($E364-$G364)=ABS(Z364-AB364),Auxiliar!$C$13,IF(AND(SIGN($E364-$G364)=SIGN(Z364-AB364),MIN($E364,$G364)=MIN(Z364,AB364)),Auxiliar!$C$14,IF(SIGN($E364-$G364)=SIGN(Z364-AB364),Auxiliar!$C$15,IF(Z364=AB364,Auxiliar!$C$16,0)))))))</f>
        <v/>
      </c>
      <c r="AE364" s="9">
        <v>5</v>
      </c>
      <c r="AF364" s="10" t="s">
        <v>23</v>
      </c>
      <c r="AG364" s="11">
        <v>0</v>
      </c>
      <c r="AH364" s="60" t="str">
        <f>IF(OR($E364="",$G364=""),"",IF(AND(AE364=$E364,AG364=$G364),Auxiliar!$C$11,IF(AND(SIGN($E364-$G364)=SIGN(AE364-AG364),MAX($E364,$G364)=MAX(AE364,AG364)),Auxiliar!$C$12,IF(ABS($E364-$G364)=ABS(AE364-AG364),Auxiliar!$C$13,IF(AND(SIGN($E364-$G364)=SIGN(AE364-AG364),MIN($E364,$G364)=MIN(AE364,AG364)),Auxiliar!$C$14,IF(SIGN($E364-$G364)=SIGN(AE364-AG364),Auxiliar!$C$15,IF(AE364=AG364,Auxiliar!$C$16,0)))))))</f>
        <v/>
      </c>
    </row>
    <row r="365" spans="3:34" x14ac:dyDescent="0.25">
      <c r="C365" s="24">
        <f t="shared" si="5"/>
        <v>35</v>
      </c>
      <c r="D365" s="18"/>
      <c r="E365" s="13"/>
      <c r="F365" s="12" t="s">
        <v>23</v>
      </c>
      <c r="G365" s="13"/>
      <c r="H365" s="14"/>
      <c r="K365" s="9">
        <v>2</v>
      </c>
      <c r="L365" s="10" t="s">
        <v>23</v>
      </c>
      <c r="M365" s="11">
        <v>0</v>
      </c>
      <c r="N365" s="60" t="str">
        <f>IF(OR($E365="",$G365=""),"",IF(AND(K365=$E365,M365=$G365),Auxiliar!$C$11,IF(AND(SIGN($E365-$G365)=SIGN(K365-M365),MAX($E365,$G365)=MAX(K365,M365)),Auxiliar!$C$12,IF(ABS($E365-$G365)=ABS(K365-M365),Auxiliar!$C$13,IF(AND(SIGN($E365-$G365)=SIGN(K365-M365),MIN($E365,$G365)=MIN(K365,M365)),Auxiliar!$C$14,IF(SIGN($E365-$G365)=SIGN(K365-M365),Auxiliar!$C$15,IF(K365=M365,Auxiliar!$C$16,0)))))))</f>
        <v/>
      </c>
      <c r="P365" s="9">
        <v>2</v>
      </c>
      <c r="Q365" s="10" t="s">
        <v>23</v>
      </c>
      <c r="R365" s="11">
        <v>5</v>
      </c>
      <c r="S365" s="60" t="str">
        <f>IF(OR($E365="",$G365=""),"",IF(AND(P365=$E365,R365=$G365),Auxiliar!$C$11,IF(AND(SIGN($E365-$G365)=SIGN(P365-R365),MAX($E365,$G365)=MAX(P365,R365)),Auxiliar!$C$12,IF(ABS($E365-$G365)=ABS(P365-R365),Auxiliar!$C$13,IF(AND(SIGN($E365-$G365)=SIGN(P365-R365),MIN($E365,$G365)=MIN(P365,R365)),Auxiliar!$C$14,IF(SIGN($E365-$G365)=SIGN(P365-R365),Auxiliar!$C$15,IF(P365=R365,Auxiliar!$C$16,0)))))))</f>
        <v/>
      </c>
      <c r="U365" s="9">
        <v>0</v>
      </c>
      <c r="V365" s="10" t="s">
        <v>23</v>
      </c>
      <c r="W365" s="11">
        <v>5</v>
      </c>
      <c r="X365" s="60" t="str">
        <f>IF(OR($E365="",$G365=""),"",IF(AND(U365=$E365,W365=$G365),Auxiliar!$C$11,IF(AND(SIGN($E365-$G365)=SIGN(U365-W365),MAX($E365,$G365)=MAX(U365,W365)),Auxiliar!$C$12,IF(ABS($E365-$G365)=ABS(U365-W365),Auxiliar!$C$13,IF(AND(SIGN($E365-$G365)=SIGN(U365-W365),MIN($E365,$G365)=MIN(U365,W365)),Auxiliar!$C$14,IF(SIGN($E365-$G365)=SIGN(U365-W365),Auxiliar!$C$15,IF(U365=W365,Auxiliar!$C$16,0)))))))</f>
        <v/>
      </c>
      <c r="Z365" s="9">
        <v>0</v>
      </c>
      <c r="AA365" s="10" t="s">
        <v>23</v>
      </c>
      <c r="AB365" s="11">
        <v>2</v>
      </c>
      <c r="AC365" s="60" t="str">
        <f>IF(OR($E365="",$G365=""),"",IF(AND(Z365=$E365,AB365=$G365),Auxiliar!$C$11,IF(AND(SIGN($E365-$G365)=SIGN(Z365-AB365),MAX($E365,$G365)=MAX(Z365,AB365)),Auxiliar!$C$12,IF(ABS($E365-$G365)=ABS(Z365-AB365),Auxiliar!$C$13,IF(AND(SIGN($E365-$G365)=SIGN(Z365-AB365),MIN($E365,$G365)=MIN(Z365,AB365)),Auxiliar!$C$14,IF(SIGN($E365-$G365)=SIGN(Z365-AB365),Auxiliar!$C$15,IF(Z365=AB365,Auxiliar!$C$16,0)))))))</f>
        <v/>
      </c>
      <c r="AE365" s="9">
        <v>0</v>
      </c>
      <c r="AF365" s="10" t="s">
        <v>23</v>
      </c>
      <c r="AG365" s="11">
        <v>4</v>
      </c>
      <c r="AH365" s="60" t="str">
        <f>IF(OR($E365="",$G365=""),"",IF(AND(AE365=$E365,AG365=$G365),Auxiliar!$C$11,IF(AND(SIGN($E365-$G365)=SIGN(AE365-AG365),MAX($E365,$G365)=MAX(AE365,AG365)),Auxiliar!$C$12,IF(ABS($E365-$G365)=ABS(AE365-AG365),Auxiliar!$C$13,IF(AND(SIGN($E365-$G365)=SIGN(AE365-AG365),MIN($E365,$G365)=MIN(AE365,AG365)),Auxiliar!$C$14,IF(SIGN($E365-$G365)=SIGN(AE365-AG365),Auxiliar!$C$15,IF(AE365=AG365,Auxiliar!$C$16,0)))))))</f>
        <v/>
      </c>
    </row>
    <row r="366" spans="3:34" x14ac:dyDescent="0.25">
      <c r="C366" s="24">
        <f t="shared" si="5"/>
        <v>35</v>
      </c>
      <c r="D366" s="18"/>
      <c r="E366" s="13"/>
      <c r="F366" s="12" t="s">
        <v>23</v>
      </c>
      <c r="G366" s="13"/>
      <c r="H366" s="14"/>
      <c r="K366" s="9">
        <v>3</v>
      </c>
      <c r="L366" s="10" t="s">
        <v>23</v>
      </c>
      <c r="M366" s="11">
        <v>5</v>
      </c>
      <c r="N366" s="60" t="str">
        <f>IF(OR($E366="",$G366=""),"",IF(AND(K366=$E366,M366=$G366),Auxiliar!$C$11,IF(AND(SIGN($E366-$G366)=SIGN(K366-M366),MAX($E366,$G366)=MAX(K366,M366)),Auxiliar!$C$12,IF(ABS($E366-$G366)=ABS(K366-M366),Auxiliar!$C$13,IF(AND(SIGN($E366-$G366)=SIGN(K366-M366),MIN($E366,$G366)=MIN(K366,M366)),Auxiliar!$C$14,IF(SIGN($E366-$G366)=SIGN(K366-M366),Auxiliar!$C$15,IF(K366=M366,Auxiliar!$C$16,0)))))))</f>
        <v/>
      </c>
      <c r="P366" s="9">
        <v>5</v>
      </c>
      <c r="Q366" s="10" t="s">
        <v>23</v>
      </c>
      <c r="R366" s="11">
        <v>3</v>
      </c>
      <c r="S366" s="60" t="str">
        <f>IF(OR($E366="",$G366=""),"",IF(AND(P366=$E366,R366=$G366),Auxiliar!$C$11,IF(AND(SIGN($E366-$G366)=SIGN(P366-R366),MAX($E366,$G366)=MAX(P366,R366)),Auxiliar!$C$12,IF(ABS($E366-$G366)=ABS(P366-R366),Auxiliar!$C$13,IF(AND(SIGN($E366-$G366)=SIGN(P366-R366),MIN($E366,$G366)=MIN(P366,R366)),Auxiliar!$C$14,IF(SIGN($E366-$G366)=SIGN(P366-R366),Auxiliar!$C$15,IF(P366=R366,Auxiliar!$C$16,0)))))))</f>
        <v/>
      </c>
      <c r="U366" s="9">
        <v>5</v>
      </c>
      <c r="V366" s="10" t="s">
        <v>23</v>
      </c>
      <c r="W366" s="11">
        <v>3</v>
      </c>
      <c r="X366" s="60" t="str">
        <f>IF(OR($E366="",$G366=""),"",IF(AND(U366=$E366,W366=$G366),Auxiliar!$C$11,IF(AND(SIGN($E366-$G366)=SIGN(U366-W366),MAX($E366,$G366)=MAX(U366,W366)),Auxiliar!$C$12,IF(ABS($E366-$G366)=ABS(U366-W366),Auxiliar!$C$13,IF(AND(SIGN($E366-$G366)=SIGN(U366-W366),MIN($E366,$G366)=MIN(U366,W366)),Auxiliar!$C$14,IF(SIGN($E366-$G366)=SIGN(U366-W366),Auxiliar!$C$15,IF(U366=W366,Auxiliar!$C$16,0)))))))</f>
        <v/>
      </c>
      <c r="Z366" s="9">
        <v>0</v>
      </c>
      <c r="AA366" s="10" t="s">
        <v>23</v>
      </c>
      <c r="AB366" s="11">
        <v>3</v>
      </c>
      <c r="AC366" s="60" t="str">
        <f>IF(OR($E366="",$G366=""),"",IF(AND(Z366=$E366,AB366=$G366),Auxiliar!$C$11,IF(AND(SIGN($E366-$G366)=SIGN(Z366-AB366),MAX($E366,$G366)=MAX(Z366,AB366)),Auxiliar!$C$12,IF(ABS($E366-$G366)=ABS(Z366-AB366),Auxiliar!$C$13,IF(AND(SIGN($E366-$G366)=SIGN(Z366-AB366),MIN($E366,$G366)=MIN(Z366,AB366)),Auxiliar!$C$14,IF(SIGN($E366-$G366)=SIGN(Z366-AB366),Auxiliar!$C$15,IF(Z366=AB366,Auxiliar!$C$16,0)))))))</f>
        <v/>
      </c>
      <c r="AE366" s="9">
        <v>3</v>
      </c>
      <c r="AF366" s="10" t="s">
        <v>23</v>
      </c>
      <c r="AG366" s="11">
        <v>5</v>
      </c>
      <c r="AH366" s="60" t="str">
        <f>IF(OR($E366="",$G366=""),"",IF(AND(AE366=$E366,AG366=$G366),Auxiliar!$C$11,IF(AND(SIGN($E366-$G366)=SIGN(AE366-AG366),MAX($E366,$G366)=MAX(AE366,AG366)),Auxiliar!$C$12,IF(ABS($E366-$G366)=ABS(AE366-AG366),Auxiliar!$C$13,IF(AND(SIGN($E366-$G366)=SIGN(AE366-AG366),MIN($E366,$G366)=MIN(AE366,AG366)),Auxiliar!$C$14,IF(SIGN($E366-$G366)=SIGN(AE366-AG366),Auxiliar!$C$15,IF(AE366=AG366,Auxiliar!$C$16,0)))))))</f>
        <v/>
      </c>
    </row>
    <row r="367" spans="3:34" x14ac:dyDescent="0.25">
      <c r="C367" s="24">
        <f t="shared" si="5"/>
        <v>35</v>
      </c>
      <c r="D367" s="18"/>
      <c r="E367" s="13"/>
      <c r="F367" s="12" t="s">
        <v>23</v>
      </c>
      <c r="G367" s="13"/>
      <c r="H367" s="14"/>
      <c r="K367" s="9">
        <v>5</v>
      </c>
      <c r="L367" s="10" t="s">
        <v>23</v>
      </c>
      <c r="M367" s="11">
        <v>2</v>
      </c>
      <c r="N367" s="60" t="str">
        <f>IF(OR($E367="",$G367=""),"",IF(AND(K367=$E367,M367=$G367),Auxiliar!$C$11,IF(AND(SIGN($E367-$G367)=SIGN(K367-M367),MAX($E367,$G367)=MAX(K367,M367)),Auxiliar!$C$12,IF(ABS($E367-$G367)=ABS(K367-M367),Auxiliar!$C$13,IF(AND(SIGN($E367-$G367)=SIGN(K367-M367),MIN($E367,$G367)=MIN(K367,M367)),Auxiliar!$C$14,IF(SIGN($E367-$G367)=SIGN(K367-M367),Auxiliar!$C$15,IF(K367=M367,Auxiliar!$C$16,0)))))))</f>
        <v/>
      </c>
      <c r="P367" s="9">
        <v>1</v>
      </c>
      <c r="Q367" s="10" t="s">
        <v>23</v>
      </c>
      <c r="R367" s="11">
        <v>5</v>
      </c>
      <c r="S367" s="60" t="str">
        <f>IF(OR($E367="",$G367=""),"",IF(AND(P367=$E367,R367=$G367),Auxiliar!$C$11,IF(AND(SIGN($E367-$G367)=SIGN(P367-R367),MAX($E367,$G367)=MAX(P367,R367)),Auxiliar!$C$12,IF(ABS($E367-$G367)=ABS(P367-R367),Auxiliar!$C$13,IF(AND(SIGN($E367-$G367)=SIGN(P367-R367),MIN($E367,$G367)=MIN(P367,R367)),Auxiliar!$C$14,IF(SIGN($E367-$G367)=SIGN(P367-R367),Auxiliar!$C$15,IF(P367=R367,Auxiliar!$C$16,0)))))))</f>
        <v/>
      </c>
      <c r="U367" s="9">
        <v>3</v>
      </c>
      <c r="V367" s="10" t="s">
        <v>23</v>
      </c>
      <c r="W367" s="11">
        <v>4</v>
      </c>
      <c r="X367" s="60" t="str">
        <f>IF(OR($E367="",$G367=""),"",IF(AND(U367=$E367,W367=$G367),Auxiliar!$C$11,IF(AND(SIGN($E367-$G367)=SIGN(U367-W367),MAX($E367,$G367)=MAX(U367,W367)),Auxiliar!$C$12,IF(ABS($E367-$G367)=ABS(U367-W367),Auxiliar!$C$13,IF(AND(SIGN($E367-$G367)=SIGN(U367-W367),MIN($E367,$G367)=MIN(U367,W367)),Auxiliar!$C$14,IF(SIGN($E367-$G367)=SIGN(U367-W367),Auxiliar!$C$15,IF(U367=W367,Auxiliar!$C$16,0)))))))</f>
        <v/>
      </c>
      <c r="Z367" s="9">
        <v>4</v>
      </c>
      <c r="AA367" s="10" t="s">
        <v>23</v>
      </c>
      <c r="AB367" s="11">
        <v>3</v>
      </c>
      <c r="AC367" s="60" t="str">
        <f>IF(OR($E367="",$G367=""),"",IF(AND(Z367=$E367,AB367=$G367),Auxiliar!$C$11,IF(AND(SIGN($E367-$G367)=SIGN(Z367-AB367),MAX($E367,$G367)=MAX(Z367,AB367)),Auxiliar!$C$12,IF(ABS($E367-$G367)=ABS(Z367-AB367),Auxiliar!$C$13,IF(AND(SIGN($E367-$G367)=SIGN(Z367-AB367),MIN($E367,$G367)=MIN(Z367,AB367)),Auxiliar!$C$14,IF(SIGN($E367-$G367)=SIGN(Z367-AB367),Auxiliar!$C$15,IF(Z367=AB367,Auxiliar!$C$16,0)))))))</f>
        <v/>
      </c>
      <c r="AE367" s="9">
        <v>1</v>
      </c>
      <c r="AF367" s="10" t="s">
        <v>23</v>
      </c>
      <c r="AG367" s="11">
        <v>2</v>
      </c>
      <c r="AH367" s="60" t="str">
        <f>IF(OR($E367="",$G367=""),"",IF(AND(AE367=$E367,AG367=$G367),Auxiliar!$C$11,IF(AND(SIGN($E367-$G367)=SIGN(AE367-AG367),MAX($E367,$G367)=MAX(AE367,AG367)),Auxiliar!$C$12,IF(ABS($E367-$G367)=ABS(AE367-AG367),Auxiliar!$C$13,IF(AND(SIGN($E367-$G367)=SIGN(AE367-AG367),MIN($E367,$G367)=MIN(AE367,AG367)),Auxiliar!$C$14,IF(SIGN($E367-$G367)=SIGN(AE367-AG367),Auxiliar!$C$15,IF(AE367=AG367,Auxiliar!$C$16,0)))))))</f>
        <v/>
      </c>
    </row>
    <row r="368" spans="3:34" x14ac:dyDescent="0.25">
      <c r="C368" s="24">
        <f t="shared" si="5"/>
        <v>35</v>
      </c>
      <c r="D368" s="18"/>
      <c r="E368" s="13"/>
      <c r="F368" s="12" t="s">
        <v>23</v>
      </c>
      <c r="G368" s="13"/>
      <c r="H368" s="14"/>
      <c r="K368" s="9">
        <v>1</v>
      </c>
      <c r="L368" s="10" t="s">
        <v>23</v>
      </c>
      <c r="M368" s="11">
        <v>5</v>
      </c>
      <c r="N368" s="60" t="str">
        <f>IF(OR($E368="",$G368=""),"",IF(AND(K368=$E368,M368=$G368),Auxiliar!$C$11,IF(AND(SIGN($E368-$G368)=SIGN(K368-M368),MAX($E368,$G368)=MAX(K368,M368)),Auxiliar!$C$12,IF(ABS($E368-$G368)=ABS(K368-M368),Auxiliar!$C$13,IF(AND(SIGN($E368-$G368)=SIGN(K368-M368),MIN($E368,$G368)=MIN(K368,M368)),Auxiliar!$C$14,IF(SIGN($E368-$G368)=SIGN(K368-M368),Auxiliar!$C$15,IF(K368=M368,Auxiliar!$C$16,0)))))))</f>
        <v/>
      </c>
      <c r="P368" s="9">
        <v>4</v>
      </c>
      <c r="Q368" s="10" t="s">
        <v>23</v>
      </c>
      <c r="R368" s="11">
        <v>2</v>
      </c>
      <c r="S368" s="60" t="str">
        <f>IF(OR($E368="",$G368=""),"",IF(AND(P368=$E368,R368=$G368),Auxiliar!$C$11,IF(AND(SIGN($E368-$G368)=SIGN(P368-R368),MAX($E368,$G368)=MAX(P368,R368)),Auxiliar!$C$12,IF(ABS($E368-$G368)=ABS(P368-R368),Auxiliar!$C$13,IF(AND(SIGN($E368-$G368)=SIGN(P368-R368),MIN($E368,$G368)=MIN(P368,R368)),Auxiliar!$C$14,IF(SIGN($E368-$G368)=SIGN(P368-R368),Auxiliar!$C$15,IF(P368=R368,Auxiliar!$C$16,0)))))))</f>
        <v/>
      </c>
      <c r="U368" s="9">
        <v>0</v>
      </c>
      <c r="V368" s="10" t="s">
        <v>23</v>
      </c>
      <c r="W368" s="11">
        <v>1</v>
      </c>
      <c r="X368" s="60" t="str">
        <f>IF(OR($E368="",$G368=""),"",IF(AND(U368=$E368,W368=$G368),Auxiliar!$C$11,IF(AND(SIGN($E368-$G368)=SIGN(U368-W368),MAX($E368,$G368)=MAX(U368,W368)),Auxiliar!$C$12,IF(ABS($E368-$G368)=ABS(U368-W368),Auxiliar!$C$13,IF(AND(SIGN($E368-$G368)=SIGN(U368-W368),MIN($E368,$G368)=MIN(U368,W368)),Auxiliar!$C$14,IF(SIGN($E368-$G368)=SIGN(U368-W368),Auxiliar!$C$15,IF(U368=W368,Auxiliar!$C$16,0)))))))</f>
        <v/>
      </c>
      <c r="Z368" s="9">
        <v>4</v>
      </c>
      <c r="AA368" s="10" t="s">
        <v>23</v>
      </c>
      <c r="AB368" s="11">
        <v>2</v>
      </c>
      <c r="AC368" s="60" t="str">
        <f>IF(OR($E368="",$G368=""),"",IF(AND(Z368=$E368,AB368=$G368),Auxiliar!$C$11,IF(AND(SIGN($E368-$G368)=SIGN(Z368-AB368),MAX($E368,$G368)=MAX(Z368,AB368)),Auxiliar!$C$12,IF(ABS($E368-$G368)=ABS(Z368-AB368),Auxiliar!$C$13,IF(AND(SIGN($E368-$G368)=SIGN(Z368-AB368),MIN($E368,$G368)=MIN(Z368,AB368)),Auxiliar!$C$14,IF(SIGN($E368-$G368)=SIGN(Z368-AB368),Auxiliar!$C$15,IF(Z368=AB368,Auxiliar!$C$16,0)))))))</f>
        <v/>
      </c>
      <c r="AE368" s="9">
        <v>0</v>
      </c>
      <c r="AF368" s="10" t="s">
        <v>23</v>
      </c>
      <c r="AG368" s="11">
        <v>5</v>
      </c>
      <c r="AH368" s="60" t="str">
        <f>IF(OR($E368="",$G368=""),"",IF(AND(AE368=$E368,AG368=$G368),Auxiliar!$C$11,IF(AND(SIGN($E368-$G368)=SIGN(AE368-AG368),MAX($E368,$G368)=MAX(AE368,AG368)),Auxiliar!$C$12,IF(ABS($E368-$G368)=ABS(AE368-AG368),Auxiliar!$C$13,IF(AND(SIGN($E368-$G368)=SIGN(AE368-AG368),MIN($E368,$G368)=MIN(AE368,AG368)),Auxiliar!$C$14,IF(SIGN($E368-$G368)=SIGN(AE368-AG368),Auxiliar!$C$15,IF(AE368=AG368,Auxiliar!$C$16,0)))))))</f>
        <v/>
      </c>
    </row>
    <row r="369" spans="3:34" x14ac:dyDescent="0.25">
      <c r="C369" s="24">
        <f t="shared" si="5"/>
        <v>36</v>
      </c>
      <c r="D369" s="18"/>
      <c r="E369" s="13"/>
      <c r="F369" s="12" t="s">
        <v>23</v>
      </c>
      <c r="G369" s="13"/>
      <c r="H369" s="14"/>
      <c r="K369" s="9">
        <v>0</v>
      </c>
      <c r="L369" s="10" t="s">
        <v>23</v>
      </c>
      <c r="M369" s="11">
        <v>0</v>
      </c>
      <c r="N369" s="60" t="str">
        <f>IF(OR($E369="",$G369=""),"",IF(AND(K369=$E369,M369=$G369),Auxiliar!$C$11,IF(AND(SIGN($E369-$G369)=SIGN(K369-M369),MAX($E369,$G369)=MAX(K369,M369)),Auxiliar!$C$12,IF(ABS($E369-$G369)=ABS(K369-M369),Auxiliar!$C$13,IF(AND(SIGN($E369-$G369)=SIGN(K369-M369),MIN($E369,$G369)=MIN(K369,M369)),Auxiliar!$C$14,IF(SIGN($E369-$G369)=SIGN(K369-M369),Auxiliar!$C$15,IF(K369=M369,Auxiliar!$C$16,0)))))))</f>
        <v/>
      </c>
      <c r="P369" s="9">
        <v>0</v>
      </c>
      <c r="Q369" s="10" t="s">
        <v>23</v>
      </c>
      <c r="R369" s="11">
        <v>0</v>
      </c>
      <c r="S369" s="60" t="str">
        <f>IF(OR($E369="",$G369=""),"",IF(AND(P369=$E369,R369=$G369),Auxiliar!$C$11,IF(AND(SIGN($E369-$G369)=SIGN(P369-R369),MAX($E369,$G369)=MAX(P369,R369)),Auxiliar!$C$12,IF(ABS($E369-$G369)=ABS(P369-R369),Auxiliar!$C$13,IF(AND(SIGN($E369-$G369)=SIGN(P369-R369),MIN($E369,$G369)=MIN(P369,R369)),Auxiliar!$C$14,IF(SIGN($E369-$G369)=SIGN(P369-R369),Auxiliar!$C$15,IF(P369=R369,Auxiliar!$C$16,0)))))))</f>
        <v/>
      </c>
      <c r="U369" s="9">
        <v>2</v>
      </c>
      <c r="V369" s="10" t="s">
        <v>23</v>
      </c>
      <c r="W369" s="11">
        <v>4</v>
      </c>
      <c r="X369" s="60" t="str">
        <f>IF(OR($E369="",$G369=""),"",IF(AND(U369=$E369,W369=$G369),Auxiliar!$C$11,IF(AND(SIGN($E369-$G369)=SIGN(U369-W369),MAX($E369,$G369)=MAX(U369,W369)),Auxiliar!$C$12,IF(ABS($E369-$G369)=ABS(U369-W369),Auxiliar!$C$13,IF(AND(SIGN($E369-$G369)=SIGN(U369-W369),MIN($E369,$G369)=MIN(U369,W369)),Auxiliar!$C$14,IF(SIGN($E369-$G369)=SIGN(U369-W369),Auxiliar!$C$15,IF(U369=W369,Auxiliar!$C$16,0)))))))</f>
        <v/>
      </c>
      <c r="Z369" s="9">
        <v>3</v>
      </c>
      <c r="AA369" s="10" t="s">
        <v>23</v>
      </c>
      <c r="AB369" s="11">
        <v>2</v>
      </c>
      <c r="AC369" s="60" t="str">
        <f>IF(OR($E369="",$G369=""),"",IF(AND(Z369=$E369,AB369=$G369),Auxiliar!$C$11,IF(AND(SIGN($E369-$G369)=SIGN(Z369-AB369),MAX($E369,$G369)=MAX(Z369,AB369)),Auxiliar!$C$12,IF(ABS($E369-$G369)=ABS(Z369-AB369),Auxiliar!$C$13,IF(AND(SIGN($E369-$G369)=SIGN(Z369-AB369),MIN($E369,$G369)=MIN(Z369,AB369)),Auxiliar!$C$14,IF(SIGN($E369-$G369)=SIGN(Z369-AB369),Auxiliar!$C$15,IF(Z369=AB369,Auxiliar!$C$16,0)))))))</f>
        <v/>
      </c>
      <c r="AE369" s="9">
        <v>5</v>
      </c>
      <c r="AF369" s="10" t="s">
        <v>23</v>
      </c>
      <c r="AG369" s="11">
        <v>2</v>
      </c>
      <c r="AH369" s="60" t="str">
        <f>IF(OR($E369="",$G369=""),"",IF(AND(AE369=$E369,AG369=$G369),Auxiliar!$C$11,IF(AND(SIGN($E369-$G369)=SIGN(AE369-AG369),MAX($E369,$G369)=MAX(AE369,AG369)),Auxiliar!$C$12,IF(ABS($E369-$G369)=ABS(AE369-AG369),Auxiliar!$C$13,IF(AND(SIGN($E369-$G369)=SIGN(AE369-AG369),MIN($E369,$G369)=MIN(AE369,AG369)),Auxiliar!$C$14,IF(SIGN($E369-$G369)=SIGN(AE369-AG369),Auxiliar!$C$15,IF(AE369=AG369,Auxiliar!$C$16,0)))))))</f>
        <v/>
      </c>
    </row>
    <row r="370" spans="3:34" x14ac:dyDescent="0.25">
      <c r="C370" s="24">
        <f t="shared" si="5"/>
        <v>36</v>
      </c>
      <c r="D370" s="18"/>
      <c r="E370" s="13"/>
      <c r="F370" s="12" t="s">
        <v>23</v>
      </c>
      <c r="G370" s="13"/>
      <c r="H370" s="14"/>
      <c r="K370" s="9">
        <v>5</v>
      </c>
      <c r="L370" s="10" t="s">
        <v>23</v>
      </c>
      <c r="M370" s="11">
        <v>4</v>
      </c>
      <c r="N370" s="60" t="str">
        <f>IF(OR($E370="",$G370=""),"",IF(AND(K370=$E370,M370=$G370),Auxiliar!$C$11,IF(AND(SIGN($E370-$G370)=SIGN(K370-M370),MAX($E370,$G370)=MAX(K370,M370)),Auxiliar!$C$12,IF(ABS($E370-$G370)=ABS(K370-M370),Auxiliar!$C$13,IF(AND(SIGN($E370-$G370)=SIGN(K370-M370),MIN($E370,$G370)=MIN(K370,M370)),Auxiliar!$C$14,IF(SIGN($E370-$G370)=SIGN(K370-M370),Auxiliar!$C$15,IF(K370=M370,Auxiliar!$C$16,0)))))))</f>
        <v/>
      </c>
      <c r="P370" s="9">
        <v>1</v>
      </c>
      <c r="Q370" s="10" t="s">
        <v>23</v>
      </c>
      <c r="R370" s="11">
        <v>5</v>
      </c>
      <c r="S370" s="60" t="str">
        <f>IF(OR($E370="",$G370=""),"",IF(AND(P370=$E370,R370=$G370),Auxiliar!$C$11,IF(AND(SIGN($E370-$G370)=SIGN(P370-R370),MAX($E370,$G370)=MAX(P370,R370)),Auxiliar!$C$12,IF(ABS($E370-$G370)=ABS(P370-R370),Auxiliar!$C$13,IF(AND(SIGN($E370-$G370)=SIGN(P370-R370),MIN($E370,$G370)=MIN(P370,R370)),Auxiliar!$C$14,IF(SIGN($E370-$G370)=SIGN(P370-R370),Auxiliar!$C$15,IF(P370=R370,Auxiliar!$C$16,0)))))))</f>
        <v/>
      </c>
      <c r="U370" s="9">
        <v>4</v>
      </c>
      <c r="V370" s="10" t="s">
        <v>23</v>
      </c>
      <c r="W370" s="11">
        <v>3</v>
      </c>
      <c r="X370" s="60" t="str">
        <f>IF(OR($E370="",$G370=""),"",IF(AND(U370=$E370,W370=$G370),Auxiliar!$C$11,IF(AND(SIGN($E370-$G370)=SIGN(U370-W370),MAX($E370,$G370)=MAX(U370,W370)),Auxiliar!$C$12,IF(ABS($E370-$G370)=ABS(U370-W370),Auxiliar!$C$13,IF(AND(SIGN($E370-$G370)=SIGN(U370-W370),MIN($E370,$G370)=MIN(U370,W370)),Auxiliar!$C$14,IF(SIGN($E370-$G370)=SIGN(U370-W370),Auxiliar!$C$15,IF(U370=W370,Auxiliar!$C$16,0)))))))</f>
        <v/>
      </c>
      <c r="Z370" s="9">
        <v>4</v>
      </c>
      <c r="AA370" s="10" t="s">
        <v>23</v>
      </c>
      <c r="AB370" s="11">
        <v>1</v>
      </c>
      <c r="AC370" s="60" t="str">
        <f>IF(OR($E370="",$G370=""),"",IF(AND(Z370=$E370,AB370=$G370),Auxiliar!$C$11,IF(AND(SIGN($E370-$G370)=SIGN(Z370-AB370),MAX($E370,$G370)=MAX(Z370,AB370)),Auxiliar!$C$12,IF(ABS($E370-$G370)=ABS(Z370-AB370),Auxiliar!$C$13,IF(AND(SIGN($E370-$G370)=SIGN(Z370-AB370),MIN($E370,$G370)=MIN(Z370,AB370)),Auxiliar!$C$14,IF(SIGN($E370-$G370)=SIGN(Z370-AB370),Auxiliar!$C$15,IF(Z370=AB370,Auxiliar!$C$16,0)))))))</f>
        <v/>
      </c>
      <c r="AE370" s="9">
        <v>1</v>
      </c>
      <c r="AF370" s="10" t="s">
        <v>23</v>
      </c>
      <c r="AG370" s="11">
        <v>0</v>
      </c>
      <c r="AH370" s="60" t="str">
        <f>IF(OR($E370="",$G370=""),"",IF(AND(AE370=$E370,AG370=$G370),Auxiliar!$C$11,IF(AND(SIGN($E370-$G370)=SIGN(AE370-AG370),MAX($E370,$G370)=MAX(AE370,AG370)),Auxiliar!$C$12,IF(ABS($E370-$G370)=ABS(AE370-AG370),Auxiliar!$C$13,IF(AND(SIGN($E370-$G370)=SIGN(AE370-AG370),MIN($E370,$G370)=MIN(AE370,AG370)),Auxiliar!$C$14,IF(SIGN($E370-$G370)=SIGN(AE370-AG370),Auxiliar!$C$15,IF(AE370=AG370,Auxiliar!$C$16,0)))))))</f>
        <v/>
      </c>
    </row>
    <row r="371" spans="3:34" x14ac:dyDescent="0.25">
      <c r="C371" s="24">
        <f t="shared" si="5"/>
        <v>36</v>
      </c>
      <c r="D371" s="18"/>
      <c r="E371" s="13"/>
      <c r="F371" s="12" t="s">
        <v>23</v>
      </c>
      <c r="G371" s="13"/>
      <c r="H371" s="14"/>
      <c r="K371" s="9">
        <v>1</v>
      </c>
      <c r="L371" s="10" t="s">
        <v>23</v>
      </c>
      <c r="M371" s="11">
        <v>4</v>
      </c>
      <c r="N371" s="60" t="str">
        <f>IF(OR($E371="",$G371=""),"",IF(AND(K371=$E371,M371=$G371),Auxiliar!$C$11,IF(AND(SIGN($E371-$G371)=SIGN(K371-M371),MAX($E371,$G371)=MAX(K371,M371)),Auxiliar!$C$12,IF(ABS($E371-$G371)=ABS(K371-M371),Auxiliar!$C$13,IF(AND(SIGN($E371-$G371)=SIGN(K371-M371),MIN($E371,$G371)=MIN(K371,M371)),Auxiliar!$C$14,IF(SIGN($E371-$G371)=SIGN(K371-M371),Auxiliar!$C$15,IF(K371=M371,Auxiliar!$C$16,0)))))))</f>
        <v/>
      </c>
      <c r="P371" s="9">
        <v>0</v>
      </c>
      <c r="Q371" s="10" t="s">
        <v>23</v>
      </c>
      <c r="R371" s="11">
        <v>4</v>
      </c>
      <c r="S371" s="60" t="str">
        <f>IF(OR($E371="",$G371=""),"",IF(AND(P371=$E371,R371=$G371),Auxiliar!$C$11,IF(AND(SIGN($E371-$G371)=SIGN(P371-R371),MAX($E371,$G371)=MAX(P371,R371)),Auxiliar!$C$12,IF(ABS($E371-$G371)=ABS(P371-R371),Auxiliar!$C$13,IF(AND(SIGN($E371-$G371)=SIGN(P371-R371),MIN($E371,$G371)=MIN(P371,R371)),Auxiliar!$C$14,IF(SIGN($E371-$G371)=SIGN(P371-R371),Auxiliar!$C$15,IF(P371=R371,Auxiliar!$C$16,0)))))))</f>
        <v/>
      </c>
      <c r="U371" s="9">
        <v>2</v>
      </c>
      <c r="V371" s="10" t="s">
        <v>23</v>
      </c>
      <c r="W371" s="11">
        <v>1</v>
      </c>
      <c r="X371" s="60" t="str">
        <f>IF(OR($E371="",$G371=""),"",IF(AND(U371=$E371,W371=$G371),Auxiliar!$C$11,IF(AND(SIGN($E371-$G371)=SIGN(U371-W371),MAX($E371,$G371)=MAX(U371,W371)),Auxiliar!$C$12,IF(ABS($E371-$G371)=ABS(U371-W371),Auxiliar!$C$13,IF(AND(SIGN($E371-$G371)=SIGN(U371-W371),MIN($E371,$G371)=MIN(U371,W371)),Auxiliar!$C$14,IF(SIGN($E371-$G371)=SIGN(U371-W371),Auxiliar!$C$15,IF(U371=W371,Auxiliar!$C$16,0)))))))</f>
        <v/>
      </c>
      <c r="Z371" s="9">
        <v>5</v>
      </c>
      <c r="AA371" s="10" t="s">
        <v>23</v>
      </c>
      <c r="AB371" s="11">
        <v>3</v>
      </c>
      <c r="AC371" s="60" t="str">
        <f>IF(OR($E371="",$G371=""),"",IF(AND(Z371=$E371,AB371=$G371),Auxiliar!$C$11,IF(AND(SIGN($E371-$G371)=SIGN(Z371-AB371),MAX($E371,$G371)=MAX(Z371,AB371)),Auxiliar!$C$12,IF(ABS($E371-$G371)=ABS(Z371-AB371),Auxiliar!$C$13,IF(AND(SIGN($E371-$G371)=SIGN(Z371-AB371),MIN($E371,$G371)=MIN(Z371,AB371)),Auxiliar!$C$14,IF(SIGN($E371-$G371)=SIGN(Z371-AB371),Auxiliar!$C$15,IF(Z371=AB371,Auxiliar!$C$16,0)))))))</f>
        <v/>
      </c>
      <c r="AE371" s="9">
        <v>2</v>
      </c>
      <c r="AF371" s="10" t="s">
        <v>23</v>
      </c>
      <c r="AG371" s="11">
        <v>1</v>
      </c>
      <c r="AH371" s="60" t="str">
        <f>IF(OR($E371="",$G371=""),"",IF(AND(AE371=$E371,AG371=$G371),Auxiliar!$C$11,IF(AND(SIGN($E371-$G371)=SIGN(AE371-AG371),MAX($E371,$G371)=MAX(AE371,AG371)),Auxiliar!$C$12,IF(ABS($E371-$G371)=ABS(AE371-AG371),Auxiliar!$C$13,IF(AND(SIGN($E371-$G371)=SIGN(AE371-AG371),MIN($E371,$G371)=MIN(AE371,AG371)),Auxiliar!$C$14,IF(SIGN($E371-$G371)=SIGN(AE371-AG371),Auxiliar!$C$15,IF(AE371=AG371,Auxiliar!$C$16,0)))))))</f>
        <v/>
      </c>
    </row>
    <row r="372" spans="3:34" x14ac:dyDescent="0.25">
      <c r="C372" s="24">
        <f t="shared" si="5"/>
        <v>36</v>
      </c>
      <c r="D372" s="18"/>
      <c r="E372" s="13"/>
      <c r="F372" s="12" t="s">
        <v>23</v>
      </c>
      <c r="G372" s="13"/>
      <c r="H372" s="14"/>
      <c r="K372" s="9">
        <v>2</v>
      </c>
      <c r="L372" s="10" t="s">
        <v>23</v>
      </c>
      <c r="M372" s="11">
        <v>2</v>
      </c>
      <c r="N372" s="60" t="str">
        <f>IF(OR($E372="",$G372=""),"",IF(AND(K372=$E372,M372=$G372),Auxiliar!$C$11,IF(AND(SIGN($E372-$G372)=SIGN(K372-M372),MAX($E372,$G372)=MAX(K372,M372)),Auxiliar!$C$12,IF(ABS($E372-$G372)=ABS(K372-M372),Auxiliar!$C$13,IF(AND(SIGN($E372-$G372)=SIGN(K372-M372),MIN($E372,$G372)=MIN(K372,M372)),Auxiliar!$C$14,IF(SIGN($E372-$G372)=SIGN(K372-M372),Auxiliar!$C$15,IF(K372=M372,Auxiliar!$C$16,0)))))))</f>
        <v/>
      </c>
      <c r="P372" s="9">
        <v>2</v>
      </c>
      <c r="Q372" s="10" t="s">
        <v>23</v>
      </c>
      <c r="R372" s="11">
        <v>1</v>
      </c>
      <c r="S372" s="60" t="str">
        <f>IF(OR($E372="",$G372=""),"",IF(AND(P372=$E372,R372=$G372),Auxiliar!$C$11,IF(AND(SIGN($E372-$G372)=SIGN(P372-R372),MAX($E372,$G372)=MAX(P372,R372)),Auxiliar!$C$12,IF(ABS($E372-$G372)=ABS(P372-R372),Auxiliar!$C$13,IF(AND(SIGN($E372-$G372)=SIGN(P372-R372),MIN($E372,$G372)=MIN(P372,R372)),Auxiliar!$C$14,IF(SIGN($E372-$G372)=SIGN(P372-R372),Auxiliar!$C$15,IF(P372=R372,Auxiliar!$C$16,0)))))))</f>
        <v/>
      </c>
      <c r="U372" s="9">
        <v>0</v>
      </c>
      <c r="V372" s="10" t="s">
        <v>23</v>
      </c>
      <c r="W372" s="11">
        <v>4</v>
      </c>
      <c r="X372" s="60" t="str">
        <f>IF(OR($E372="",$G372=""),"",IF(AND(U372=$E372,W372=$G372),Auxiliar!$C$11,IF(AND(SIGN($E372-$G372)=SIGN(U372-W372),MAX($E372,$G372)=MAX(U372,W372)),Auxiliar!$C$12,IF(ABS($E372-$G372)=ABS(U372-W372),Auxiliar!$C$13,IF(AND(SIGN($E372-$G372)=SIGN(U372-W372),MIN($E372,$G372)=MIN(U372,W372)),Auxiliar!$C$14,IF(SIGN($E372-$G372)=SIGN(U372-W372),Auxiliar!$C$15,IF(U372=W372,Auxiliar!$C$16,0)))))))</f>
        <v/>
      </c>
      <c r="Z372" s="9">
        <v>2</v>
      </c>
      <c r="AA372" s="10" t="s">
        <v>23</v>
      </c>
      <c r="AB372" s="11">
        <v>1</v>
      </c>
      <c r="AC372" s="60" t="str">
        <f>IF(OR($E372="",$G372=""),"",IF(AND(Z372=$E372,AB372=$G372),Auxiliar!$C$11,IF(AND(SIGN($E372-$G372)=SIGN(Z372-AB372),MAX($E372,$G372)=MAX(Z372,AB372)),Auxiliar!$C$12,IF(ABS($E372-$G372)=ABS(Z372-AB372),Auxiliar!$C$13,IF(AND(SIGN($E372-$G372)=SIGN(Z372-AB372),MIN($E372,$G372)=MIN(Z372,AB372)),Auxiliar!$C$14,IF(SIGN($E372-$G372)=SIGN(Z372-AB372),Auxiliar!$C$15,IF(Z372=AB372,Auxiliar!$C$16,0)))))))</f>
        <v/>
      </c>
      <c r="AE372" s="9">
        <v>1</v>
      </c>
      <c r="AF372" s="10" t="s">
        <v>23</v>
      </c>
      <c r="AG372" s="11">
        <v>1</v>
      </c>
      <c r="AH372" s="60" t="str">
        <f>IF(OR($E372="",$G372=""),"",IF(AND(AE372=$E372,AG372=$G372),Auxiliar!$C$11,IF(AND(SIGN($E372-$G372)=SIGN(AE372-AG372),MAX($E372,$G372)=MAX(AE372,AG372)),Auxiliar!$C$12,IF(ABS($E372-$G372)=ABS(AE372-AG372),Auxiliar!$C$13,IF(AND(SIGN($E372-$G372)=SIGN(AE372-AG372),MIN($E372,$G372)=MIN(AE372,AG372)),Auxiliar!$C$14,IF(SIGN($E372-$G372)=SIGN(AE372-AG372),Auxiliar!$C$15,IF(AE372=AG372,Auxiliar!$C$16,0)))))))</f>
        <v/>
      </c>
    </row>
    <row r="373" spans="3:34" x14ac:dyDescent="0.25">
      <c r="C373" s="24">
        <f t="shared" si="5"/>
        <v>36</v>
      </c>
      <c r="D373" s="18"/>
      <c r="E373" s="13"/>
      <c r="F373" s="12" t="s">
        <v>23</v>
      </c>
      <c r="G373" s="13"/>
      <c r="H373" s="14"/>
      <c r="K373" s="9">
        <v>4</v>
      </c>
      <c r="L373" s="10" t="s">
        <v>23</v>
      </c>
      <c r="M373" s="11">
        <v>2</v>
      </c>
      <c r="N373" s="60" t="str">
        <f>IF(OR($E373="",$G373=""),"",IF(AND(K373=$E373,M373=$G373),Auxiliar!$C$11,IF(AND(SIGN($E373-$G373)=SIGN(K373-M373),MAX($E373,$G373)=MAX(K373,M373)),Auxiliar!$C$12,IF(ABS($E373-$G373)=ABS(K373-M373),Auxiliar!$C$13,IF(AND(SIGN($E373-$G373)=SIGN(K373-M373),MIN($E373,$G373)=MIN(K373,M373)),Auxiliar!$C$14,IF(SIGN($E373-$G373)=SIGN(K373-M373),Auxiliar!$C$15,IF(K373=M373,Auxiliar!$C$16,0)))))))</f>
        <v/>
      </c>
      <c r="P373" s="9">
        <v>1</v>
      </c>
      <c r="Q373" s="10" t="s">
        <v>23</v>
      </c>
      <c r="R373" s="11">
        <v>5</v>
      </c>
      <c r="S373" s="60" t="str">
        <f>IF(OR($E373="",$G373=""),"",IF(AND(P373=$E373,R373=$G373),Auxiliar!$C$11,IF(AND(SIGN($E373-$G373)=SIGN(P373-R373),MAX($E373,$G373)=MAX(P373,R373)),Auxiliar!$C$12,IF(ABS($E373-$G373)=ABS(P373-R373),Auxiliar!$C$13,IF(AND(SIGN($E373-$G373)=SIGN(P373-R373),MIN($E373,$G373)=MIN(P373,R373)),Auxiliar!$C$14,IF(SIGN($E373-$G373)=SIGN(P373-R373),Auxiliar!$C$15,IF(P373=R373,Auxiliar!$C$16,0)))))))</f>
        <v/>
      </c>
      <c r="U373" s="9">
        <v>5</v>
      </c>
      <c r="V373" s="10" t="s">
        <v>23</v>
      </c>
      <c r="W373" s="11">
        <v>4</v>
      </c>
      <c r="X373" s="60" t="str">
        <f>IF(OR($E373="",$G373=""),"",IF(AND(U373=$E373,W373=$G373),Auxiliar!$C$11,IF(AND(SIGN($E373-$G373)=SIGN(U373-W373),MAX($E373,$G373)=MAX(U373,W373)),Auxiliar!$C$12,IF(ABS($E373-$G373)=ABS(U373-W373),Auxiliar!$C$13,IF(AND(SIGN($E373-$G373)=SIGN(U373-W373),MIN($E373,$G373)=MIN(U373,W373)),Auxiliar!$C$14,IF(SIGN($E373-$G373)=SIGN(U373-W373),Auxiliar!$C$15,IF(U373=W373,Auxiliar!$C$16,0)))))))</f>
        <v/>
      </c>
      <c r="Z373" s="9">
        <v>4</v>
      </c>
      <c r="AA373" s="10" t="s">
        <v>23</v>
      </c>
      <c r="AB373" s="11">
        <v>0</v>
      </c>
      <c r="AC373" s="60" t="str">
        <f>IF(OR($E373="",$G373=""),"",IF(AND(Z373=$E373,AB373=$G373),Auxiliar!$C$11,IF(AND(SIGN($E373-$G373)=SIGN(Z373-AB373),MAX($E373,$G373)=MAX(Z373,AB373)),Auxiliar!$C$12,IF(ABS($E373-$G373)=ABS(Z373-AB373),Auxiliar!$C$13,IF(AND(SIGN($E373-$G373)=SIGN(Z373-AB373),MIN($E373,$G373)=MIN(Z373,AB373)),Auxiliar!$C$14,IF(SIGN($E373-$G373)=SIGN(Z373-AB373),Auxiliar!$C$15,IF(Z373=AB373,Auxiliar!$C$16,0)))))))</f>
        <v/>
      </c>
      <c r="AE373" s="9">
        <v>1</v>
      </c>
      <c r="AF373" s="10" t="s">
        <v>23</v>
      </c>
      <c r="AG373" s="11">
        <v>5</v>
      </c>
      <c r="AH373" s="60" t="str">
        <f>IF(OR($E373="",$G373=""),"",IF(AND(AE373=$E373,AG373=$G373),Auxiliar!$C$11,IF(AND(SIGN($E373-$G373)=SIGN(AE373-AG373),MAX($E373,$G373)=MAX(AE373,AG373)),Auxiliar!$C$12,IF(ABS($E373-$G373)=ABS(AE373-AG373),Auxiliar!$C$13,IF(AND(SIGN($E373-$G373)=SIGN(AE373-AG373),MIN($E373,$G373)=MIN(AE373,AG373)),Auxiliar!$C$14,IF(SIGN($E373-$G373)=SIGN(AE373-AG373),Auxiliar!$C$15,IF(AE373=AG373,Auxiliar!$C$16,0)))))))</f>
        <v/>
      </c>
    </row>
    <row r="374" spans="3:34" x14ac:dyDescent="0.25">
      <c r="C374" s="24">
        <f t="shared" si="5"/>
        <v>36</v>
      </c>
      <c r="D374" s="18"/>
      <c r="E374" s="13"/>
      <c r="F374" s="12" t="s">
        <v>23</v>
      </c>
      <c r="G374" s="13"/>
      <c r="H374" s="14"/>
      <c r="K374" s="9">
        <v>0</v>
      </c>
      <c r="L374" s="10" t="s">
        <v>23</v>
      </c>
      <c r="M374" s="11">
        <v>1</v>
      </c>
      <c r="N374" s="60" t="str">
        <f>IF(OR($E374="",$G374=""),"",IF(AND(K374=$E374,M374=$G374),Auxiliar!$C$11,IF(AND(SIGN($E374-$G374)=SIGN(K374-M374),MAX($E374,$G374)=MAX(K374,M374)),Auxiliar!$C$12,IF(ABS($E374-$G374)=ABS(K374-M374),Auxiliar!$C$13,IF(AND(SIGN($E374-$G374)=SIGN(K374-M374),MIN($E374,$G374)=MIN(K374,M374)),Auxiliar!$C$14,IF(SIGN($E374-$G374)=SIGN(K374-M374),Auxiliar!$C$15,IF(K374=M374,Auxiliar!$C$16,0)))))))</f>
        <v/>
      </c>
      <c r="P374" s="9">
        <v>2</v>
      </c>
      <c r="Q374" s="10" t="s">
        <v>23</v>
      </c>
      <c r="R374" s="11">
        <v>1</v>
      </c>
      <c r="S374" s="60" t="str">
        <f>IF(OR($E374="",$G374=""),"",IF(AND(P374=$E374,R374=$G374),Auxiliar!$C$11,IF(AND(SIGN($E374-$G374)=SIGN(P374-R374),MAX($E374,$G374)=MAX(P374,R374)),Auxiliar!$C$12,IF(ABS($E374-$G374)=ABS(P374-R374),Auxiliar!$C$13,IF(AND(SIGN($E374-$G374)=SIGN(P374-R374),MIN($E374,$G374)=MIN(P374,R374)),Auxiliar!$C$14,IF(SIGN($E374-$G374)=SIGN(P374-R374),Auxiliar!$C$15,IF(P374=R374,Auxiliar!$C$16,0)))))))</f>
        <v/>
      </c>
      <c r="U374" s="9">
        <v>1</v>
      </c>
      <c r="V374" s="10" t="s">
        <v>23</v>
      </c>
      <c r="W374" s="11">
        <v>4</v>
      </c>
      <c r="X374" s="60" t="str">
        <f>IF(OR($E374="",$G374=""),"",IF(AND(U374=$E374,W374=$G374),Auxiliar!$C$11,IF(AND(SIGN($E374-$G374)=SIGN(U374-W374),MAX($E374,$G374)=MAX(U374,W374)),Auxiliar!$C$12,IF(ABS($E374-$G374)=ABS(U374-W374),Auxiliar!$C$13,IF(AND(SIGN($E374-$G374)=SIGN(U374-W374),MIN($E374,$G374)=MIN(U374,W374)),Auxiliar!$C$14,IF(SIGN($E374-$G374)=SIGN(U374-W374),Auxiliar!$C$15,IF(U374=W374,Auxiliar!$C$16,0)))))))</f>
        <v/>
      </c>
      <c r="Z374" s="9">
        <v>4</v>
      </c>
      <c r="AA374" s="10" t="s">
        <v>23</v>
      </c>
      <c r="AB374" s="11">
        <v>1</v>
      </c>
      <c r="AC374" s="60" t="str">
        <f>IF(OR($E374="",$G374=""),"",IF(AND(Z374=$E374,AB374=$G374),Auxiliar!$C$11,IF(AND(SIGN($E374-$G374)=SIGN(Z374-AB374),MAX($E374,$G374)=MAX(Z374,AB374)),Auxiliar!$C$12,IF(ABS($E374-$G374)=ABS(Z374-AB374),Auxiliar!$C$13,IF(AND(SIGN($E374-$G374)=SIGN(Z374-AB374),MIN($E374,$G374)=MIN(Z374,AB374)),Auxiliar!$C$14,IF(SIGN($E374-$G374)=SIGN(Z374-AB374),Auxiliar!$C$15,IF(Z374=AB374,Auxiliar!$C$16,0)))))))</f>
        <v/>
      </c>
      <c r="AE374" s="9">
        <v>2</v>
      </c>
      <c r="AF374" s="10" t="s">
        <v>23</v>
      </c>
      <c r="AG374" s="11">
        <v>3</v>
      </c>
      <c r="AH374" s="60" t="str">
        <f>IF(OR($E374="",$G374=""),"",IF(AND(AE374=$E374,AG374=$G374),Auxiliar!$C$11,IF(AND(SIGN($E374-$G374)=SIGN(AE374-AG374),MAX($E374,$G374)=MAX(AE374,AG374)),Auxiliar!$C$12,IF(ABS($E374-$G374)=ABS(AE374-AG374),Auxiliar!$C$13,IF(AND(SIGN($E374-$G374)=SIGN(AE374-AG374),MIN($E374,$G374)=MIN(AE374,AG374)),Auxiliar!$C$14,IF(SIGN($E374-$G374)=SIGN(AE374-AG374),Auxiliar!$C$15,IF(AE374=AG374,Auxiliar!$C$16,0)))))))</f>
        <v/>
      </c>
    </row>
    <row r="375" spans="3:34" x14ac:dyDescent="0.25">
      <c r="C375" s="24">
        <f t="shared" si="5"/>
        <v>36</v>
      </c>
      <c r="D375" s="18"/>
      <c r="E375" s="13"/>
      <c r="F375" s="12" t="s">
        <v>23</v>
      </c>
      <c r="G375" s="13"/>
      <c r="H375" s="14"/>
      <c r="K375" s="9">
        <v>0</v>
      </c>
      <c r="L375" s="10" t="s">
        <v>23</v>
      </c>
      <c r="M375" s="11">
        <v>3</v>
      </c>
      <c r="N375" s="60" t="str">
        <f>IF(OR($E375="",$G375=""),"",IF(AND(K375=$E375,M375=$G375),Auxiliar!$C$11,IF(AND(SIGN($E375-$G375)=SIGN(K375-M375),MAX($E375,$G375)=MAX(K375,M375)),Auxiliar!$C$12,IF(ABS($E375-$G375)=ABS(K375-M375),Auxiliar!$C$13,IF(AND(SIGN($E375-$G375)=SIGN(K375-M375),MIN($E375,$G375)=MIN(K375,M375)),Auxiliar!$C$14,IF(SIGN($E375-$G375)=SIGN(K375-M375),Auxiliar!$C$15,IF(K375=M375,Auxiliar!$C$16,0)))))))</f>
        <v/>
      </c>
      <c r="P375" s="9">
        <v>4</v>
      </c>
      <c r="Q375" s="10" t="s">
        <v>23</v>
      </c>
      <c r="R375" s="11">
        <v>4</v>
      </c>
      <c r="S375" s="60" t="str">
        <f>IF(OR($E375="",$G375=""),"",IF(AND(P375=$E375,R375=$G375),Auxiliar!$C$11,IF(AND(SIGN($E375-$G375)=SIGN(P375-R375),MAX($E375,$G375)=MAX(P375,R375)),Auxiliar!$C$12,IF(ABS($E375-$G375)=ABS(P375-R375),Auxiliar!$C$13,IF(AND(SIGN($E375-$G375)=SIGN(P375-R375),MIN($E375,$G375)=MIN(P375,R375)),Auxiliar!$C$14,IF(SIGN($E375-$G375)=SIGN(P375-R375),Auxiliar!$C$15,IF(P375=R375,Auxiliar!$C$16,0)))))))</f>
        <v/>
      </c>
      <c r="U375" s="9">
        <v>5</v>
      </c>
      <c r="V375" s="10" t="s">
        <v>23</v>
      </c>
      <c r="W375" s="11">
        <v>2</v>
      </c>
      <c r="X375" s="60" t="str">
        <f>IF(OR($E375="",$G375=""),"",IF(AND(U375=$E375,W375=$G375),Auxiliar!$C$11,IF(AND(SIGN($E375-$G375)=SIGN(U375-W375),MAX($E375,$G375)=MAX(U375,W375)),Auxiliar!$C$12,IF(ABS($E375-$G375)=ABS(U375-W375),Auxiliar!$C$13,IF(AND(SIGN($E375-$G375)=SIGN(U375-W375),MIN($E375,$G375)=MIN(U375,W375)),Auxiliar!$C$14,IF(SIGN($E375-$G375)=SIGN(U375-W375),Auxiliar!$C$15,IF(U375=W375,Auxiliar!$C$16,0)))))))</f>
        <v/>
      </c>
      <c r="Z375" s="9">
        <v>2</v>
      </c>
      <c r="AA375" s="10" t="s">
        <v>23</v>
      </c>
      <c r="AB375" s="11">
        <v>3</v>
      </c>
      <c r="AC375" s="60" t="str">
        <f>IF(OR($E375="",$G375=""),"",IF(AND(Z375=$E375,AB375=$G375),Auxiliar!$C$11,IF(AND(SIGN($E375-$G375)=SIGN(Z375-AB375),MAX($E375,$G375)=MAX(Z375,AB375)),Auxiliar!$C$12,IF(ABS($E375-$G375)=ABS(Z375-AB375),Auxiliar!$C$13,IF(AND(SIGN($E375-$G375)=SIGN(Z375-AB375),MIN($E375,$G375)=MIN(Z375,AB375)),Auxiliar!$C$14,IF(SIGN($E375-$G375)=SIGN(Z375-AB375),Auxiliar!$C$15,IF(Z375=AB375,Auxiliar!$C$16,0)))))))</f>
        <v/>
      </c>
      <c r="AE375" s="9">
        <v>4</v>
      </c>
      <c r="AF375" s="10" t="s">
        <v>23</v>
      </c>
      <c r="AG375" s="11">
        <v>3</v>
      </c>
      <c r="AH375" s="60" t="str">
        <f>IF(OR($E375="",$G375=""),"",IF(AND(AE375=$E375,AG375=$G375),Auxiliar!$C$11,IF(AND(SIGN($E375-$G375)=SIGN(AE375-AG375),MAX($E375,$G375)=MAX(AE375,AG375)),Auxiliar!$C$12,IF(ABS($E375-$G375)=ABS(AE375-AG375),Auxiliar!$C$13,IF(AND(SIGN($E375-$G375)=SIGN(AE375-AG375),MIN($E375,$G375)=MIN(AE375,AG375)),Auxiliar!$C$14,IF(SIGN($E375-$G375)=SIGN(AE375-AG375),Auxiliar!$C$15,IF(AE375=AG375,Auxiliar!$C$16,0)))))))</f>
        <v/>
      </c>
    </row>
    <row r="376" spans="3:34" x14ac:dyDescent="0.25">
      <c r="C376" s="24">
        <f t="shared" si="5"/>
        <v>36</v>
      </c>
      <c r="D376" s="18"/>
      <c r="E376" s="13"/>
      <c r="F376" s="12" t="s">
        <v>23</v>
      </c>
      <c r="G376" s="13"/>
      <c r="H376" s="14"/>
      <c r="K376" s="9">
        <v>0</v>
      </c>
      <c r="L376" s="10" t="s">
        <v>23</v>
      </c>
      <c r="M376" s="11">
        <v>2</v>
      </c>
      <c r="N376" s="60" t="str">
        <f>IF(OR($E376="",$G376=""),"",IF(AND(K376=$E376,M376=$G376),Auxiliar!$C$11,IF(AND(SIGN($E376-$G376)=SIGN(K376-M376),MAX($E376,$G376)=MAX(K376,M376)),Auxiliar!$C$12,IF(ABS($E376-$G376)=ABS(K376-M376),Auxiliar!$C$13,IF(AND(SIGN($E376-$G376)=SIGN(K376-M376),MIN($E376,$G376)=MIN(K376,M376)),Auxiliar!$C$14,IF(SIGN($E376-$G376)=SIGN(K376-M376),Auxiliar!$C$15,IF(K376=M376,Auxiliar!$C$16,0)))))))</f>
        <v/>
      </c>
      <c r="P376" s="9">
        <v>0</v>
      </c>
      <c r="Q376" s="10" t="s">
        <v>23</v>
      </c>
      <c r="R376" s="11">
        <v>2</v>
      </c>
      <c r="S376" s="60" t="str">
        <f>IF(OR($E376="",$G376=""),"",IF(AND(P376=$E376,R376=$G376),Auxiliar!$C$11,IF(AND(SIGN($E376-$G376)=SIGN(P376-R376),MAX($E376,$G376)=MAX(P376,R376)),Auxiliar!$C$12,IF(ABS($E376-$G376)=ABS(P376-R376),Auxiliar!$C$13,IF(AND(SIGN($E376-$G376)=SIGN(P376-R376),MIN($E376,$G376)=MIN(P376,R376)),Auxiliar!$C$14,IF(SIGN($E376-$G376)=SIGN(P376-R376),Auxiliar!$C$15,IF(P376=R376,Auxiliar!$C$16,0)))))))</f>
        <v/>
      </c>
      <c r="U376" s="9">
        <v>2</v>
      </c>
      <c r="V376" s="10" t="s">
        <v>23</v>
      </c>
      <c r="W376" s="11">
        <v>2</v>
      </c>
      <c r="X376" s="60" t="str">
        <f>IF(OR($E376="",$G376=""),"",IF(AND(U376=$E376,W376=$G376),Auxiliar!$C$11,IF(AND(SIGN($E376-$G376)=SIGN(U376-W376),MAX($E376,$G376)=MAX(U376,W376)),Auxiliar!$C$12,IF(ABS($E376-$G376)=ABS(U376-W376),Auxiliar!$C$13,IF(AND(SIGN($E376-$G376)=SIGN(U376-W376),MIN($E376,$G376)=MIN(U376,W376)),Auxiliar!$C$14,IF(SIGN($E376-$G376)=SIGN(U376-W376),Auxiliar!$C$15,IF(U376=W376,Auxiliar!$C$16,0)))))))</f>
        <v/>
      </c>
      <c r="Z376" s="9">
        <v>0</v>
      </c>
      <c r="AA376" s="10" t="s">
        <v>23</v>
      </c>
      <c r="AB376" s="11">
        <v>1</v>
      </c>
      <c r="AC376" s="60" t="str">
        <f>IF(OR($E376="",$G376=""),"",IF(AND(Z376=$E376,AB376=$G376),Auxiliar!$C$11,IF(AND(SIGN($E376-$G376)=SIGN(Z376-AB376),MAX($E376,$G376)=MAX(Z376,AB376)),Auxiliar!$C$12,IF(ABS($E376-$G376)=ABS(Z376-AB376),Auxiliar!$C$13,IF(AND(SIGN($E376-$G376)=SIGN(Z376-AB376),MIN($E376,$G376)=MIN(Z376,AB376)),Auxiliar!$C$14,IF(SIGN($E376-$G376)=SIGN(Z376-AB376),Auxiliar!$C$15,IF(Z376=AB376,Auxiliar!$C$16,0)))))))</f>
        <v/>
      </c>
      <c r="AE376" s="9">
        <v>1</v>
      </c>
      <c r="AF376" s="10" t="s">
        <v>23</v>
      </c>
      <c r="AG376" s="11">
        <v>2</v>
      </c>
      <c r="AH376" s="60" t="str">
        <f>IF(OR($E376="",$G376=""),"",IF(AND(AE376=$E376,AG376=$G376),Auxiliar!$C$11,IF(AND(SIGN($E376-$G376)=SIGN(AE376-AG376),MAX($E376,$G376)=MAX(AE376,AG376)),Auxiliar!$C$12,IF(ABS($E376-$G376)=ABS(AE376-AG376),Auxiliar!$C$13,IF(AND(SIGN($E376-$G376)=SIGN(AE376-AG376),MIN($E376,$G376)=MIN(AE376,AG376)),Auxiliar!$C$14,IF(SIGN($E376-$G376)=SIGN(AE376-AG376),Auxiliar!$C$15,IF(AE376=AG376,Auxiliar!$C$16,0)))))))</f>
        <v/>
      </c>
    </row>
    <row r="377" spans="3:34" x14ac:dyDescent="0.25">
      <c r="C377" s="24">
        <f t="shared" si="5"/>
        <v>36</v>
      </c>
      <c r="D377" s="18"/>
      <c r="E377" s="13"/>
      <c r="F377" s="12" t="s">
        <v>23</v>
      </c>
      <c r="G377" s="13"/>
      <c r="H377" s="14"/>
      <c r="K377" s="9">
        <v>3</v>
      </c>
      <c r="L377" s="10" t="s">
        <v>23</v>
      </c>
      <c r="M377" s="11">
        <v>2</v>
      </c>
      <c r="N377" s="60" t="str">
        <f>IF(OR($E377="",$G377=""),"",IF(AND(K377=$E377,M377=$G377),Auxiliar!$C$11,IF(AND(SIGN($E377-$G377)=SIGN(K377-M377),MAX($E377,$G377)=MAX(K377,M377)),Auxiliar!$C$12,IF(ABS($E377-$G377)=ABS(K377-M377),Auxiliar!$C$13,IF(AND(SIGN($E377-$G377)=SIGN(K377-M377),MIN($E377,$G377)=MIN(K377,M377)),Auxiliar!$C$14,IF(SIGN($E377-$G377)=SIGN(K377-M377),Auxiliar!$C$15,IF(K377=M377,Auxiliar!$C$16,0)))))))</f>
        <v/>
      </c>
      <c r="P377" s="9">
        <v>2</v>
      </c>
      <c r="Q377" s="10" t="s">
        <v>23</v>
      </c>
      <c r="R377" s="11">
        <v>5</v>
      </c>
      <c r="S377" s="60" t="str">
        <f>IF(OR($E377="",$G377=""),"",IF(AND(P377=$E377,R377=$G377),Auxiliar!$C$11,IF(AND(SIGN($E377-$G377)=SIGN(P377-R377),MAX($E377,$G377)=MAX(P377,R377)),Auxiliar!$C$12,IF(ABS($E377-$G377)=ABS(P377-R377),Auxiliar!$C$13,IF(AND(SIGN($E377-$G377)=SIGN(P377-R377),MIN($E377,$G377)=MIN(P377,R377)),Auxiliar!$C$14,IF(SIGN($E377-$G377)=SIGN(P377-R377),Auxiliar!$C$15,IF(P377=R377,Auxiliar!$C$16,0)))))))</f>
        <v/>
      </c>
      <c r="U377" s="9">
        <v>3</v>
      </c>
      <c r="V377" s="10" t="s">
        <v>23</v>
      </c>
      <c r="W377" s="11">
        <v>3</v>
      </c>
      <c r="X377" s="60" t="str">
        <f>IF(OR($E377="",$G377=""),"",IF(AND(U377=$E377,W377=$G377),Auxiliar!$C$11,IF(AND(SIGN($E377-$G377)=SIGN(U377-W377),MAX($E377,$G377)=MAX(U377,W377)),Auxiliar!$C$12,IF(ABS($E377-$G377)=ABS(U377-W377),Auxiliar!$C$13,IF(AND(SIGN($E377-$G377)=SIGN(U377-W377),MIN($E377,$G377)=MIN(U377,W377)),Auxiliar!$C$14,IF(SIGN($E377-$G377)=SIGN(U377-W377),Auxiliar!$C$15,IF(U377=W377,Auxiliar!$C$16,0)))))))</f>
        <v/>
      </c>
      <c r="Z377" s="9">
        <v>4</v>
      </c>
      <c r="AA377" s="10" t="s">
        <v>23</v>
      </c>
      <c r="AB377" s="11">
        <v>0</v>
      </c>
      <c r="AC377" s="60" t="str">
        <f>IF(OR($E377="",$G377=""),"",IF(AND(Z377=$E377,AB377=$G377),Auxiliar!$C$11,IF(AND(SIGN($E377-$G377)=SIGN(Z377-AB377),MAX($E377,$G377)=MAX(Z377,AB377)),Auxiliar!$C$12,IF(ABS($E377-$G377)=ABS(Z377-AB377),Auxiliar!$C$13,IF(AND(SIGN($E377-$G377)=SIGN(Z377-AB377),MIN($E377,$G377)=MIN(Z377,AB377)),Auxiliar!$C$14,IF(SIGN($E377-$G377)=SIGN(Z377-AB377),Auxiliar!$C$15,IF(Z377=AB377,Auxiliar!$C$16,0)))))))</f>
        <v/>
      </c>
      <c r="AE377" s="9">
        <v>3</v>
      </c>
      <c r="AF377" s="10" t="s">
        <v>23</v>
      </c>
      <c r="AG377" s="11">
        <v>2</v>
      </c>
      <c r="AH377" s="60" t="str">
        <f>IF(OR($E377="",$G377=""),"",IF(AND(AE377=$E377,AG377=$G377),Auxiliar!$C$11,IF(AND(SIGN($E377-$G377)=SIGN(AE377-AG377),MAX($E377,$G377)=MAX(AE377,AG377)),Auxiliar!$C$12,IF(ABS($E377-$G377)=ABS(AE377-AG377),Auxiliar!$C$13,IF(AND(SIGN($E377-$G377)=SIGN(AE377-AG377),MIN($E377,$G377)=MIN(AE377,AG377)),Auxiliar!$C$14,IF(SIGN($E377-$G377)=SIGN(AE377-AG377),Auxiliar!$C$15,IF(AE377=AG377,Auxiliar!$C$16,0)))))))</f>
        <v/>
      </c>
    </row>
    <row r="378" spans="3:34" x14ac:dyDescent="0.25">
      <c r="C378" s="24">
        <f t="shared" si="5"/>
        <v>36</v>
      </c>
      <c r="D378" s="18"/>
      <c r="E378" s="13"/>
      <c r="F378" s="12" t="s">
        <v>23</v>
      </c>
      <c r="G378" s="13"/>
      <c r="H378" s="14"/>
      <c r="K378" s="9">
        <v>4</v>
      </c>
      <c r="L378" s="10" t="s">
        <v>23</v>
      </c>
      <c r="M378" s="11">
        <v>1</v>
      </c>
      <c r="N378" s="60" t="str">
        <f>IF(OR($E378="",$G378=""),"",IF(AND(K378=$E378,M378=$G378),Auxiliar!$C$11,IF(AND(SIGN($E378-$G378)=SIGN(K378-M378),MAX($E378,$G378)=MAX(K378,M378)),Auxiliar!$C$12,IF(ABS($E378-$G378)=ABS(K378-M378),Auxiliar!$C$13,IF(AND(SIGN($E378-$G378)=SIGN(K378-M378),MIN($E378,$G378)=MIN(K378,M378)),Auxiliar!$C$14,IF(SIGN($E378-$G378)=SIGN(K378-M378),Auxiliar!$C$15,IF(K378=M378,Auxiliar!$C$16,0)))))))</f>
        <v/>
      </c>
      <c r="P378" s="9">
        <v>3</v>
      </c>
      <c r="Q378" s="10" t="s">
        <v>23</v>
      </c>
      <c r="R378" s="11">
        <v>1</v>
      </c>
      <c r="S378" s="60" t="str">
        <f>IF(OR($E378="",$G378=""),"",IF(AND(P378=$E378,R378=$G378),Auxiliar!$C$11,IF(AND(SIGN($E378-$G378)=SIGN(P378-R378),MAX($E378,$G378)=MAX(P378,R378)),Auxiliar!$C$12,IF(ABS($E378-$G378)=ABS(P378-R378),Auxiliar!$C$13,IF(AND(SIGN($E378-$G378)=SIGN(P378-R378),MIN($E378,$G378)=MIN(P378,R378)),Auxiliar!$C$14,IF(SIGN($E378-$G378)=SIGN(P378-R378),Auxiliar!$C$15,IF(P378=R378,Auxiliar!$C$16,0)))))))</f>
        <v/>
      </c>
      <c r="U378" s="9">
        <v>1</v>
      </c>
      <c r="V378" s="10" t="s">
        <v>23</v>
      </c>
      <c r="W378" s="11">
        <v>5</v>
      </c>
      <c r="X378" s="60" t="str">
        <f>IF(OR($E378="",$G378=""),"",IF(AND(U378=$E378,W378=$G378),Auxiliar!$C$11,IF(AND(SIGN($E378-$G378)=SIGN(U378-W378),MAX($E378,$G378)=MAX(U378,W378)),Auxiliar!$C$12,IF(ABS($E378-$G378)=ABS(U378-W378),Auxiliar!$C$13,IF(AND(SIGN($E378-$G378)=SIGN(U378-W378),MIN($E378,$G378)=MIN(U378,W378)),Auxiliar!$C$14,IF(SIGN($E378-$G378)=SIGN(U378-W378),Auxiliar!$C$15,IF(U378=W378,Auxiliar!$C$16,0)))))))</f>
        <v/>
      </c>
      <c r="Z378" s="9">
        <v>2</v>
      </c>
      <c r="AA378" s="10" t="s">
        <v>23</v>
      </c>
      <c r="AB378" s="11">
        <v>5</v>
      </c>
      <c r="AC378" s="60" t="str">
        <f>IF(OR($E378="",$G378=""),"",IF(AND(Z378=$E378,AB378=$G378),Auxiliar!$C$11,IF(AND(SIGN($E378-$G378)=SIGN(Z378-AB378),MAX($E378,$G378)=MAX(Z378,AB378)),Auxiliar!$C$12,IF(ABS($E378-$G378)=ABS(Z378-AB378),Auxiliar!$C$13,IF(AND(SIGN($E378-$G378)=SIGN(Z378-AB378),MIN($E378,$G378)=MIN(Z378,AB378)),Auxiliar!$C$14,IF(SIGN($E378-$G378)=SIGN(Z378-AB378),Auxiliar!$C$15,IF(Z378=AB378,Auxiliar!$C$16,0)))))))</f>
        <v/>
      </c>
      <c r="AE378" s="9">
        <v>0</v>
      </c>
      <c r="AF378" s="10" t="s">
        <v>23</v>
      </c>
      <c r="AG378" s="11">
        <v>5</v>
      </c>
      <c r="AH378" s="60" t="str">
        <f>IF(OR($E378="",$G378=""),"",IF(AND(AE378=$E378,AG378=$G378),Auxiliar!$C$11,IF(AND(SIGN($E378-$G378)=SIGN(AE378-AG378),MAX($E378,$G378)=MAX(AE378,AG378)),Auxiliar!$C$12,IF(ABS($E378-$G378)=ABS(AE378-AG378),Auxiliar!$C$13,IF(AND(SIGN($E378-$G378)=SIGN(AE378-AG378),MIN($E378,$G378)=MIN(AE378,AG378)),Auxiliar!$C$14,IF(SIGN($E378-$G378)=SIGN(AE378-AG378),Auxiliar!$C$15,IF(AE378=AG378,Auxiliar!$C$16,0)))))))</f>
        <v/>
      </c>
    </row>
    <row r="379" spans="3:34" x14ac:dyDescent="0.25">
      <c r="C379" s="24">
        <f t="shared" si="5"/>
        <v>37</v>
      </c>
      <c r="D379" s="18"/>
      <c r="E379" s="13"/>
      <c r="F379" s="12" t="s">
        <v>23</v>
      </c>
      <c r="G379" s="13"/>
      <c r="H379" s="14"/>
      <c r="K379" s="9">
        <v>1</v>
      </c>
      <c r="L379" s="10" t="s">
        <v>23</v>
      </c>
      <c r="M379" s="11">
        <v>2</v>
      </c>
      <c r="N379" s="60" t="str">
        <f>IF(OR($E379="",$G379=""),"",IF(AND(K379=$E379,M379=$G379),Auxiliar!$C$11,IF(AND(SIGN($E379-$G379)=SIGN(K379-M379),MAX($E379,$G379)=MAX(K379,M379)),Auxiliar!$C$12,IF(ABS($E379-$G379)=ABS(K379-M379),Auxiliar!$C$13,IF(AND(SIGN($E379-$G379)=SIGN(K379-M379),MIN($E379,$G379)=MIN(K379,M379)),Auxiliar!$C$14,IF(SIGN($E379-$G379)=SIGN(K379-M379),Auxiliar!$C$15,IF(K379=M379,Auxiliar!$C$16,0)))))))</f>
        <v/>
      </c>
      <c r="P379" s="9">
        <v>0</v>
      </c>
      <c r="Q379" s="10" t="s">
        <v>23</v>
      </c>
      <c r="R379" s="11">
        <v>0</v>
      </c>
      <c r="S379" s="60" t="str">
        <f>IF(OR($E379="",$G379=""),"",IF(AND(P379=$E379,R379=$G379),Auxiliar!$C$11,IF(AND(SIGN($E379-$G379)=SIGN(P379-R379),MAX($E379,$G379)=MAX(P379,R379)),Auxiliar!$C$12,IF(ABS($E379-$G379)=ABS(P379-R379),Auxiliar!$C$13,IF(AND(SIGN($E379-$G379)=SIGN(P379-R379),MIN($E379,$G379)=MIN(P379,R379)),Auxiliar!$C$14,IF(SIGN($E379-$G379)=SIGN(P379-R379),Auxiliar!$C$15,IF(P379=R379,Auxiliar!$C$16,0)))))))</f>
        <v/>
      </c>
      <c r="U379" s="9">
        <v>4</v>
      </c>
      <c r="V379" s="10" t="s">
        <v>23</v>
      </c>
      <c r="W379" s="11">
        <v>5</v>
      </c>
      <c r="X379" s="60" t="str">
        <f>IF(OR($E379="",$G379=""),"",IF(AND(U379=$E379,W379=$G379),Auxiliar!$C$11,IF(AND(SIGN($E379-$G379)=SIGN(U379-W379),MAX($E379,$G379)=MAX(U379,W379)),Auxiliar!$C$12,IF(ABS($E379-$G379)=ABS(U379-W379),Auxiliar!$C$13,IF(AND(SIGN($E379-$G379)=SIGN(U379-W379),MIN($E379,$G379)=MIN(U379,W379)),Auxiliar!$C$14,IF(SIGN($E379-$G379)=SIGN(U379-W379),Auxiliar!$C$15,IF(U379=W379,Auxiliar!$C$16,0)))))))</f>
        <v/>
      </c>
      <c r="Z379" s="9">
        <v>2</v>
      </c>
      <c r="AA379" s="10" t="s">
        <v>23</v>
      </c>
      <c r="AB379" s="11">
        <v>1</v>
      </c>
      <c r="AC379" s="60" t="str">
        <f>IF(OR($E379="",$G379=""),"",IF(AND(Z379=$E379,AB379=$G379),Auxiliar!$C$11,IF(AND(SIGN($E379-$G379)=SIGN(Z379-AB379),MAX($E379,$G379)=MAX(Z379,AB379)),Auxiliar!$C$12,IF(ABS($E379-$G379)=ABS(Z379-AB379),Auxiliar!$C$13,IF(AND(SIGN($E379-$G379)=SIGN(Z379-AB379),MIN($E379,$G379)=MIN(Z379,AB379)),Auxiliar!$C$14,IF(SIGN($E379-$G379)=SIGN(Z379-AB379),Auxiliar!$C$15,IF(Z379=AB379,Auxiliar!$C$16,0)))))))</f>
        <v/>
      </c>
      <c r="AE379" s="9">
        <v>1</v>
      </c>
      <c r="AF379" s="10" t="s">
        <v>23</v>
      </c>
      <c r="AG379" s="11">
        <v>0</v>
      </c>
      <c r="AH379" s="60" t="str">
        <f>IF(OR($E379="",$G379=""),"",IF(AND(AE379=$E379,AG379=$G379),Auxiliar!$C$11,IF(AND(SIGN($E379-$G379)=SIGN(AE379-AG379),MAX($E379,$G379)=MAX(AE379,AG379)),Auxiliar!$C$12,IF(ABS($E379-$G379)=ABS(AE379-AG379),Auxiliar!$C$13,IF(AND(SIGN($E379-$G379)=SIGN(AE379-AG379),MIN($E379,$G379)=MIN(AE379,AG379)),Auxiliar!$C$14,IF(SIGN($E379-$G379)=SIGN(AE379-AG379),Auxiliar!$C$15,IF(AE379=AG379,Auxiliar!$C$16,0)))))))</f>
        <v/>
      </c>
    </row>
    <row r="380" spans="3:34" x14ac:dyDescent="0.25">
      <c r="C380" s="24">
        <f t="shared" si="5"/>
        <v>37</v>
      </c>
      <c r="D380" s="18"/>
      <c r="E380" s="13"/>
      <c r="F380" s="12" t="s">
        <v>23</v>
      </c>
      <c r="G380" s="13"/>
      <c r="H380" s="14"/>
      <c r="K380" s="9">
        <v>2</v>
      </c>
      <c r="L380" s="10" t="s">
        <v>23</v>
      </c>
      <c r="M380" s="11">
        <v>1</v>
      </c>
      <c r="N380" s="60" t="str">
        <f>IF(OR($E380="",$G380=""),"",IF(AND(K380=$E380,M380=$G380),Auxiliar!$C$11,IF(AND(SIGN($E380-$G380)=SIGN(K380-M380),MAX($E380,$G380)=MAX(K380,M380)),Auxiliar!$C$12,IF(ABS($E380-$G380)=ABS(K380-M380),Auxiliar!$C$13,IF(AND(SIGN($E380-$G380)=SIGN(K380-M380),MIN($E380,$G380)=MIN(K380,M380)),Auxiliar!$C$14,IF(SIGN($E380-$G380)=SIGN(K380-M380),Auxiliar!$C$15,IF(K380=M380,Auxiliar!$C$16,0)))))))</f>
        <v/>
      </c>
      <c r="P380" s="9">
        <v>0</v>
      </c>
      <c r="Q380" s="10" t="s">
        <v>23</v>
      </c>
      <c r="R380" s="11">
        <v>0</v>
      </c>
      <c r="S380" s="60" t="str">
        <f>IF(OR($E380="",$G380=""),"",IF(AND(P380=$E380,R380=$G380),Auxiliar!$C$11,IF(AND(SIGN($E380-$G380)=SIGN(P380-R380),MAX($E380,$G380)=MAX(P380,R380)),Auxiliar!$C$12,IF(ABS($E380-$G380)=ABS(P380-R380),Auxiliar!$C$13,IF(AND(SIGN($E380-$G380)=SIGN(P380-R380),MIN($E380,$G380)=MIN(P380,R380)),Auxiliar!$C$14,IF(SIGN($E380-$G380)=SIGN(P380-R380),Auxiliar!$C$15,IF(P380=R380,Auxiliar!$C$16,0)))))))</f>
        <v/>
      </c>
      <c r="U380" s="9">
        <v>3</v>
      </c>
      <c r="V380" s="10" t="s">
        <v>23</v>
      </c>
      <c r="W380" s="11">
        <v>5</v>
      </c>
      <c r="X380" s="60" t="str">
        <f>IF(OR($E380="",$G380=""),"",IF(AND(U380=$E380,W380=$G380),Auxiliar!$C$11,IF(AND(SIGN($E380-$G380)=SIGN(U380-W380),MAX($E380,$G380)=MAX(U380,W380)),Auxiliar!$C$12,IF(ABS($E380-$G380)=ABS(U380-W380),Auxiliar!$C$13,IF(AND(SIGN($E380-$G380)=SIGN(U380-W380),MIN($E380,$G380)=MIN(U380,W380)),Auxiliar!$C$14,IF(SIGN($E380-$G380)=SIGN(U380-W380),Auxiliar!$C$15,IF(U380=W380,Auxiliar!$C$16,0)))))))</f>
        <v/>
      </c>
      <c r="Z380" s="9">
        <v>2</v>
      </c>
      <c r="AA380" s="10" t="s">
        <v>23</v>
      </c>
      <c r="AB380" s="11">
        <v>4</v>
      </c>
      <c r="AC380" s="60" t="str">
        <f>IF(OR($E380="",$G380=""),"",IF(AND(Z380=$E380,AB380=$G380),Auxiliar!$C$11,IF(AND(SIGN($E380-$G380)=SIGN(Z380-AB380),MAX($E380,$G380)=MAX(Z380,AB380)),Auxiliar!$C$12,IF(ABS($E380-$G380)=ABS(Z380-AB380),Auxiliar!$C$13,IF(AND(SIGN($E380-$G380)=SIGN(Z380-AB380),MIN($E380,$G380)=MIN(Z380,AB380)),Auxiliar!$C$14,IF(SIGN($E380-$G380)=SIGN(Z380-AB380),Auxiliar!$C$15,IF(Z380=AB380,Auxiliar!$C$16,0)))))))</f>
        <v/>
      </c>
      <c r="AE380" s="9">
        <v>1</v>
      </c>
      <c r="AF380" s="10" t="s">
        <v>23</v>
      </c>
      <c r="AG380" s="11">
        <v>3</v>
      </c>
      <c r="AH380" s="60" t="str">
        <f>IF(OR($E380="",$G380=""),"",IF(AND(AE380=$E380,AG380=$G380),Auxiliar!$C$11,IF(AND(SIGN($E380-$G380)=SIGN(AE380-AG380),MAX($E380,$G380)=MAX(AE380,AG380)),Auxiliar!$C$12,IF(ABS($E380-$G380)=ABS(AE380-AG380),Auxiliar!$C$13,IF(AND(SIGN($E380-$G380)=SIGN(AE380-AG380),MIN($E380,$G380)=MIN(AE380,AG380)),Auxiliar!$C$14,IF(SIGN($E380-$G380)=SIGN(AE380-AG380),Auxiliar!$C$15,IF(AE380=AG380,Auxiliar!$C$16,0)))))))</f>
        <v/>
      </c>
    </row>
    <row r="381" spans="3:34" x14ac:dyDescent="0.25">
      <c r="C381" s="24">
        <f t="shared" si="5"/>
        <v>37</v>
      </c>
      <c r="D381" s="18"/>
      <c r="E381" s="13"/>
      <c r="F381" s="12" t="s">
        <v>23</v>
      </c>
      <c r="G381" s="13"/>
      <c r="H381" s="14"/>
      <c r="K381" s="9">
        <v>0</v>
      </c>
      <c r="L381" s="10" t="s">
        <v>23</v>
      </c>
      <c r="M381" s="11">
        <v>0</v>
      </c>
      <c r="N381" s="60" t="str">
        <f>IF(OR($E381="",$G381=""),"",IF(AND(K381=$E381,M381=$G381),Auxiliar!$C$11,IF(AND(SIGN($E381-$G381)=SIGN(K381-M381),MAX($E381,$G381)=MAX(K381,M381)),Auxiliar!$C$12,IF(ABS($E381-$G381)=ABS(K381-M381),Auxiliar!$C$13,IF(AND(SIGN($E381-$G381)=SIGN(K381-M381),MIN($E381,$G381)=MIN(K381,M381)),Auxiliar!$C$14,IF(SIGN($E381-$G381)=SIGN(K381-M381),Auxiliar!$C$15,IF(K381=M381,Auxiliar!$C$16,0)))))))</f>
        <v/>
      </c>
      <c r="P381" s="9">
        <v>4</v>
      </c>
      <c r="Q381" s="10" t="s">
        <v>23</v>
      </c>
      <c r="R381" s="11">
        <v>5</v>
      </c>
      <c r="S381" s="60" t="str">
        <f>IF(OR($E381="",$G381=""),"",IF(AND(P381=$E381,R381=$G381),Auxiliar!$C$11,IF(AND(SIGN($E381-$G381)=SIGN(P381-R381),MAX($E381,$G381)=MAX(P381,R381)),Auxiliar!$C$12,IF(ABS($E381-$G381)=ABS(P381-R381),Auxiliar!$C$13,IF(AND(SIGN($E381-$G381)=SIGN(P381-R381),MIN($E381,$G381)=MIN(P381,R381)),Auxiliar!$C$14,IF(SIGN($E381-$G381)=SIGN(P381-R381),Auxiliar!$C$15,IF(P381=R381,Auxiliar!$C$16,0)))))))</f>
        <v/>
      </c>
      <c r="U381" s="9">
        <v>3</v>
      </c>
      <c r="V381" s="10" t="s">
        <v>23</v>
      </c>
      <c r="W381" s="11">
        <v>2</v>
      </c>
      <c r="X381" s="60" t="str">
        <f>IF(OR($E381="",$G381=""),"",IF(AND(U381=$E381,W381=$G381),Auxiliar!$C$11,IF(AND(SIGN($E381-$G381)=SIGN(U381-W381),MAX($E381,$G381)=MAX(U381,W381)),Auxiliar!$C$12,IF(ABS($E381-$G381)=ABS(U381-W381),Auxiliar!$C$13,IF(AND(SIGN($E381-$G381)=SIGN(U381-W381),MIN($E381,$G381)=MIN(U381,W381)),Auxiliar!$C$14,IF(SIGN($E381-$G381)=SIGN(U381-W381),Auxiliar!$C$15,IF(U381=W381,Auxiliar!$C$16,0)))))))</f>
        <v/>
      </c>
      <c r="Z381" s="9">
        <v>0</v>
      </c>
      <c r="AA381" s="10" t="s">
        <v>23</v>
      </c>
      <c r="AB381" s="11">
        <v>4</v>
      </c>
      <c r="AC381" s="60" t="str">
        <f>IF(OR($E381="",$G381=""),"",IF(AND(Z381=$E381,AB381=$G381),Auxiliar!$C$11,IF(AND(SIGN($E381-$G381)=SIGN(Z381-AB381),MAX($E381,$G381)=MAX(Z381,AB381)),Auxiliar!$C$12,IF(ABS($E381-$G381)=ABS(Z381-AB381),Auxiliar!$C$13,IF(AND(SIGN($E381-$G381)=SIGN(Z381-AB381),MIN($E381,$G381)=MIN(Z381,AB381)),Auxiliar!$C$14,IF(SIGN($E381-$G381)=SIGN(Z381-AB381),Auxiliar!$C$15,IF(Z381=AB381,Auxiliar!$C$16,0)))))))</f>
        <v/>
      </c>
      <c r="AE381" s="9">
        <v>2</v>
      </c>
      <c r="AF381" s="10" t="s">
        <v>23</v>
      </c>
      <c r="AG381" s="11">
        <v>2</v>
      </c>
      <c r="AH381" s="60" t="str">
        <f>IF(OR($E381="",$G381=""),"",IF(AND(AE381=$E381,AG381=$G381),Auxiliar!$C$11,IF(AND(SIGN($E381-$G381)=SIGN(AE381-AG381),MAX($E381,$G381)=MAX(AE381,AG381)),Auxiliar!$C$12,IF(ABS($E381-$G381)=ABS(AE381-AG381),Auxiliar!$C$13,IF(AND(SIGN($E381-$G381)=SIGN(AE381-AG381),MIN($E381,$G381)=MIN(AE381,AG381)),Auxiliar!$C$14,IF(SIGN($E381-$G381)=SIGN(AE381-AG381),Auxiliar!$C$15,IF(AE381=AG381,Auxiliar!$C$16,0)))))))</f>
        <v/>
      </c>
    </row>
    <row r="382" spans="3:34" x14ac:dyDescent="0.25">
      <c r="C382" s="24">
        <f t="shared" si="5"/>
        <v>37</v>
      </c>
      <c r="D382" s="18"/>
      <c r="E382" s="13"/>
      <c r="F382" s="12" t="s">
        <v>23</v>
      </c>
      <c r="G382" s="13"/>
      <c r="H382" s="14"/>
      <c r="K382" s="9">
        <v>0</v>
      </c>
      <c r="L382" s="10" t="s">
        <v>23</v>
      </c>
      <c r="M382" s="11">
        <v>5</v>
      </c>
      <c r="N382" s="60" t="str">
        <f>IF(OR($E382="",$G382=""),"",IF(AND(K382=$E382,M382=$G382),Auxiliar!$C$11,IF(AND(SIGN($E382-$G382)=SIGN(K382-M382),MAX($E382,$G382)=MAX(K382,M382)),Auxiliar!$C$12,IF(ABS($E382-$G382)=ABS(K382-M382),Auxiliar!$C$13,IF(AND(SIGN($E382-$G382)=SIGN(K382-M382),MIN($E382,$G382)=MIN(K382,M382)),Auxiliar!$C$14,IF(SIGN($E382-$G382)=SIGN(K382-M382),Auxiliar!$C$15,IF(K382=M382,Auxiliar!$C$16,0)))))))</f>
        <v/>
      </c>
      <c r="P382" s="9">
        <v>0</v>
      </c>
      <c r="Q382" s="10" t="s">
        <v>23</v>
      </c>
      <c r="R382" s="11">
        <v>1</v>
      </c>
      <c r="S382" s="60" t="str">
        <f>IF(OR($E382="",$G382=""),"",IF(AND(P382=$E382,R382=$G382),Auxiliar!$C$11,IF(AND(SIGN($E382-$G382)=SIGN(P382-R382),MAX($E382,$G382)=MAX(P382,R382)),Auxiliar!$C$12,IF(ABS($E382-$G382)=ABS(P382-R382),Auxiliar!$C$13,IF(AND(SIGN($E382-$G382)=SIGN(P382-R382),MIN($E382,$G382)=MIN(P382,R382)),Auxiliar!$C$14,IF(SIGN($E382-$G382)=SIGN(P382-R382),Auxiliar!$C$15,IF(P382=R382,Auxiliar!$C$16,0)))))))</f>
        <v/>
      </c>
      <c r="U382" s="9">
        <v>5</v>
      </c>
      <c r="V382" s="10" t="s">
        <v>23</v>
      </c>
      <c r="W382" s="11">
        <v>3</v>
      </c>
      <c r="X382" s="60" t="str">
        <f>IF(OR($E382="",$G382=""),"",IF(AND(U382=$E382,W382=$G382),Auxiliar!$C$11,IF(AND(SIGN($E382-$G382)=SIGN(U382-W382),MAX($E382,$G382)=MAX(U382,W382)),Auxiliar!$C$12,IF(ABS($E382-$G382)=ABS(U382-W382),Auxiliar!$C$13,IF(AND(SIGN($E382-$G382)=SIGN(U382-W382),MIN($E382,$G382)=MIN(U382,W382)),Auxiliar!$C$14,IF(SIGN($E382-$G382)=SIGN(U382-W382),Auxiliar!$C$15,IF(U382=W382,Auxiliar!$C$16,0)))))))</f>
        <v/>
      </c>
      <c r="Z382" s="9">
        <v>5</v>
      </c>
      <c r="AA382" s="10" t="s">
        <v>23</v>
      </c>
      <c r="AB382" s="11">
        <v>4</v>
      </c>
      <c r="AC382" s="60" t="str">
        <f>IF(OR($E382="",$G382=""),"",IF(AND(Z382=$E382,AB382=$G382),Auxiliar!$C$11,IF(AND(SIGN($E382-$G382)=SIGN(Z382-AB382),MAX($E382,$G382)=MAX(Z382,AB382)),Auxiliar!$C$12,IF(ABS($E382-$G382)=ABS(Z382-AB382),Auxiliar!$C$13,IF(AND(SIGN($E382-$G382)=SIGN(Z382-AB382),MIN($E382,$G382)=MIN(Z382,AB382)),Auxiliar!$C$14,IF(SIGN($E382-$G382)=SIGN(Z382-AB382),Auxiliar!$C$15,IF(Z382=AB382,Auxiliar!$C$16,0)))))))</f>
        <v/>
      </c>
      <c r="AE382" s="9">
        <v>1</v>
      </c>
      <c r="AF382" s="10" t="s">
        <v>23</v>
      </c>
      <c r="AG382" s="11">
        <v>3</v>
      </c>
      <c r="AH382" s="60" t="str">
        <f>IF(OR($E382="",$G382=""),"",IF(AND(AE382=$E382,AG382=$G382),Auxiliar!$C$11,IF(AND(SIGN($E382-$G382)=SIGN(AE382-AG382),MAX($E382,$G382)=MAX(AE382,AG382)),Auxiliar!$C$12,IF(ABS($E382-$G382)=ABS(AE382-AG382),Auxiliar!$C$13,IF(AND(SIGN($E382-$G382)=SIGN(AE382-AG382),MIN($E382,$G382)=MIN(AE382,AG382)),Auxiliar!$C$14,IF(SIGN($E382-$G382)=SIGN(AE382-AG382),Auxiliar!$C$15,IF(AE382=AG382,Auxiliar!$C$16,0)))))))</f>
        <v/>
      </c>
    </row>
    <row r="383" spans="3:34" x14ac:dyDescent="0.25">
      <c r="C383" s="24">
        <f t="shared" si="5"/>
        <v>37</v>
      </c>
      <c r="D383" s="18"/>
      <c r="E383" s="13"/>
      <c r="F383" s="12" t="s">
        <v>23</v>
      </c>
      <c r="G383" s="13"/>
      <c r="H383" s="14"/>
      <c r="K383" s="9">
        <v>1</v>
      </c>
      <c r="L383" s="10" t="s">
        <v>23</v>
      </c>
      <c r="M383" s="11">
        <v>1</v>
      </c>
      <c r="N383" s="60" t="str">
        <f>IF(OR($E383="",$G383=""),"",IF(AND(K383=$E383,M383=$G383),Auxiliar!$C$11,IF(AND(SIGN($E383-$G383)=SIGN(K383-M383),MAX($E383,$G383)=MAX(K383,M383)),Auxiliar!$C$12,IF(ABS($E383-$G383)=ABS(K383-M383),Auxiliar!$C$13,IF(AND(SIGN($E383-$G383)=SIGN(K383-M383),MIN($E383,$G383)=MIN(K383,M383)),Auxiliar!$C$14,IF(SIGN($E383-$G383)=SIGN(K383-M383),Auxiliar!$C$15,IF(K383=M383,Auxiliar!$C$16,0)))))))</f>
        <v/>
      </c>
      <c r="P383" s="9">
        <v>5</v>
      </c>
      <c r="Q383" s="10" t="s">
        <v>23</v>
      </c>
      <c r="R383" s="11">
        <v>0</v>
      </c>
      <c r="S383" s="60" t="str">
        <f>IF(OR($E383="",$G383=""),"",IF(AND(P383=$E383,R383=$G383),Auxiliar!$C$11,IF(AND(SIGN($E383-$G383)=SIGN(P383-R383),MAX($E383,$G383)=MAX(P383,R383)),Auxiliar!$C$12,IF(ABS($E383-$G383)=ABS(P383-R383),Auxiliar!$C$13,IF(AND(SIGN($E383-$G383)=SIGN(P383-R383),MIN($E383,$G383)=MIN(P383,R383)),Auxiliar!$C$14,IF(SIGN($E383-$G383)=SIGN(P383-R383),Auxiliar!$C$15,IF(P383=R383,Auxiliar!$C$16,0)))))))</f>
        <v/>
      </c>
      <c r="U383" s="9">
        <v>2</v>
      </c>
      <c r="V383" s="10" t="s">
        <v>23</v>
      </c>
      <c r="W383" s="11">
        <v>1</v>
      </c>
      <c r="X383" s="60" t="str">
        <f>IF(OR($E383="",$G383=""),"",IF(AND(U383=$E383,W383=$G383),Auxiliar!$C$11,IF(AND(SIGN($E383-$G383)=SIGN(U383-W383),MAX($E383,$G383)=MAX(U383,W383)),Auxiliar!$C$12,IF(ABS($E383-$G383)=ABS(U383-W383),Auxiliar!$C$13,IF(AND(SIGN($E383-$G383)=SIGN(U383-W383),MIN($E383,$G383)=MIN(U383,W383)),Auxiliar!$C$14,IF(SIGN($E383-$G383)=SIGN(U383-W383),Auxiliar!$C$15,IF(U383=W383,Auxiliar!$C$16,0)))))))</f>
        <v/>
      </c>
      <c r="Z383" s="9">
        <v>5</v>
      </c>
      <c r="AA383" s="10" t="s">
        <v>23</v>
      </c>
      <c r="AB383" s="11">
        <v>0</v>
      </c>
      <c r="AC383" s="60" t="str">
        <f>IF(OR($E383="",$G383=""),"",IF(AND(Z383=$E383,AB383=$G383),Auxiliar!$C$11,IF(AND(SIGN($E383-$G383)=SIGN(Z383-AB383),MAX($E383,$G383)=MAX(Z383,AB383)),Auxiliar!$C$12,IF(ABS($E383-$G383)=ABS(Z383-AB383),Auxiliar!$C$13,IF(AND(SIGN($E383-$G383)=SIGN(Z383-AB383),MIN($E383,$G383)=MIN(Z383,AB383)),Auxiliar!$C$14,IF(SIGN($E383-$G383)=SIGN(Z383-AB383),Auxiliar!$C$15,IF(Z383=AB383,Auxiliar!$C$16,0)))))))</f>
        <v/>
      </c>
      <c r="AE383" s="9">
        <v>5</v>
      </c>
      <c r="AF383" s="10" t="s">
        <v>23</v>
      </c>
      <c r="AG383" s="11">
        <v>5</v>
      </c>
      <c r="AH383" s="60" t="str">
        <f>IF(OR($E383="",$G383=""),"",IF(AND(AE383=$E383,AG383=$G383),Auxiliar!$C$11,IF(AND(SIGN($E383-$G383)=SIGN(AE383-AG383),MAX($E383,$G383)=MAX(AE383,AG383)),Auxiliar!$C$12,IF(ABS($E383-$G383)=ABS(AE383-AG383),Auxiliar!$C$13,IF(AND(SIGN($E383-$G383)=SIGN(AE383-AG383),MIN($E383,$G383)=MIN(AE383,AG383)),Auxiliar!$C$14,IF(SIGN($E383-$G383)=SIGN(AE383-AG383),Auxiliar!$C$15,IF(AE383=AG383,Auxiliar!$C$16,0)))))))</f>
        <v/>
      </c>
    </row>
    <row r="384" spans="3:34" x14ac:dyDescent="0.25">
      <c r="C384" s="24">
        <f t="shared" si="5"/>
        <v>37</v>
      </c>
      <c r="D384" s="18"/>
      <c r="E384" s="13"/>
      <c r="F384" s="12" t="s">
        <v>23</v>
      </c>
      <c r="G384" s="13"/>
      <c r="H384" s="14"/>
      <c r="K384" s="9">
        <v>3</v>
      </c>
      <c r="L384" s="10" t="s">
        <v>23</v>
      </c>
      <c r="M384" s="11">
        <v>0</v>
      </c>
      <c r="N384" s="60" t="str">
        <f>IF(OR($E384="",$G384=""),"",IF(AND(K384=$E384,M384=$G384),Auxiliar!$C$11,IF(AND(SIGN($E384-$G384)=SIGN(K384-M384),MAX($E384,$G384)=MAX(K384,M384)),Auxiliar!$C$12,IF(ABS($E384-$G384)=ABS(K384-M384),Auxiliar!$C$13,IF(AND(SIGN($E384-$G384)=SIGN(K384-M384),MIN($E384,$G384)=MIN(K384,M384)),Auxiliar!$C$14,IF(SIGN($E384-$G384)=SIGN(K384-M384),Auxiliar!$C$15,IF(K384=M384,Auxiliar!$C$16,0)))))))</f>
        <v/>
      </c>
      <c r="P384" s="9">
        <v>3</v>
      </c>
      <c r="Q384" s="10" t="s">
        <v>23</v>
      </c>
      <c r="R384" s="11">
        <v>0</v>
      </c>
      <c r="S384" s="60" t="str">
        <f>IF(OR($E384="",$G384=""),"",IF(AND(P384=$E384,R384=$G384),Auxiliar!$C$11,IF(AND(SIGN($E384-$G384)=SIGN(P384-R384),MAX($E384,$G384)=MAX(P384,R384)),Auxiliar!$C$12,IF(ABS($E384-$G384)=ABS(P384-R384),Auxiliar!$C$13,IF(AND(SIGN($E384-$G384)=SIGN(P384-R384),MIN($E384,$G384)=MIN(P384,R384)),Auxiliar!$C$14,IF(SIGN($E384-$G384)=SIGN(P384-R384),Auxiliar!$C$15,IF(P384=R384,Auxiliar!$C$16,0)))))))</f>
        <v/>
      </c>
      <c r="U384" s="9">
        <v>1</v>
      </c>
      <c r="V384" s="10" t="s">
        <v>23</v>
      </c>
      <c r="W384" s="11">
        <v>5</v>
      </c>
      <c r="X384" s="60" t="str">
        <f>IF(OR($E384="",$G384=""),"",IF(AND(U384=$E384,W384=$G384),Auxiliar!$C$11,IF(AND(SIGN($E384-$G384)=SIGN(U384-W384),MAX($E384,$G384)=MAX(U384,W384)),Auxiliar!$C$12,IF(ABS($E384-$G384)=ABS(U384-W384),Auxiliar!$C$13,IF(AND(SIGN($E384-$G384)=SIGN(U384-W384),MIN($E384,$G384)=MIN(U384,W384)),Auxiliar!$C$14,IF(SIGN($E384-$G384)=SIGN(U384-W384),Auxiliar!$C$15,IF(U384=W384,Auxiliar!$C$16,0)))))))</f>
        <v/>
      </c>
      <c r="Z384" s="9">
        <v>5</v>
      </c>
      <c r="AA384" s="10" t="s">
        <v>23</v>
      </c>
      <c r="AB384" s="11">
        <v>4</v>
      </c>
      <c r="AC384" s="60" t="str">
        <f>IF(OR($E384="",$G384=""),"",IF(AND(Z384=$E384,AB384=$G384),Auxiliar!$C$11,IF(AND(SIGN($E384-$G384)=SIGN(Z384-AB384),MAX($E384,$G384)=MAX(Z384,AB384)),Auxiliar!$C$12,IF(ABS($E384-$G384)=ABS(Z384-AB384),Auxiliar!$C$13,IF(AND(SIGN($E384-$G384)=SIGN(Z384-AB384),MIN($E384,$G384)=MIN(Z384,AB384)),Auxiliar!$C$14,IF(SIGN($E384-$G384)=SIGN(Z384-AB384),Auxiliar!$C$15,IF(Z384=AB384,Auxiliar!$C$16,0)))))))</f>
        <v/>
      </c>
      <c r="AE384" s="9">
        <v>4</v>
      </c>
      <c r="AF384" s="10" t="s">
        <v>23</v>
      </c>
      <c r="AG384" s="11">
        <v>4</v>
      </c>
      <c r="AH384" s="60" t="str">
        <f>IF(OR($E384="",$G384=""),"",IF(AND(AE384=$E384,AG384=$G384),Auxiliar!$C$11,IF(AND(SIGN($E384-$G384)=SIGN(AE384-AG384),MAX($E384,$G384)=MAX(AE384,AG384)),Auxiliar!$C$12,IF(ABS($E384-$G384)=ABS(AE384-AG384),Auxiliar!$C$13,IF(AND(SIGN($E384-$G384)=SIGN(AE384-AG384),MIN($E384,$G384)=MIN(AE384,AG384)),Auxiliar!$C$14,IF(SIGN($E384-$G384)=SIGN(AE384-AG384),Auxiliar!$C$15,IF(AE384=AG384,Auxiliar!$C$16,0)))))))</f>
        <v/>
      </c>
    </row>
    <row r="385" spans="3:34" x14ac:dyDescent="0.25">
      <c r="C385" s="24">
        <f t="shared" si="5"/>
        <v>37</v>
      </c>
      <c r="D385" s="18"/>
      <c r="E385" s="13"/>
      <c r="F385" s="12" t="s">
        <v>23</v>
      </c>
      <c r="G385" s="13"/>
      <c r="H385" s="14"/>
      <c r="K385" s="9">
        <v>4</v>
      </c>
      <c r="L385" s="10" t="s">
        <v>23</v>
      </c>
      <c r="M385" s="11">
        <v>2</v>
      </c>
      <c r="N385" s="60" t="str">
        <f>IF(OR($E385="",$G385=""),"",IF(AND(K385=$E385,M385=$G385),Auxiliar!$C$11,IF(AND(SIGN($E385-$G385)=SIGN(K385-M385),MAX($E385,$G385)=MAX(K385,M385)),Auxiliar!$C$12,IF(ABS($E385-$G385)=ABS(K385-M385),Auxiliar!$C$13,IF(AND(SIGN($E385-$G385)=SIGN(K385-M385),MIN($E385,$G385)=MIN(K385,M385)),Auxiliar!$C$14,IF(SIGN($E385-$G385)=SIGN(K385-M385),Auxiliar!$C$15,IF(K385=M385,Auxiliar!$C$16,0)))))))</f>
        <v/>
      </c>
      <c r="P385" s="9">
        <v>1</v>
      </c>
      <c r="Q385" s="10" t="s">
        <v>23</v>
      </c>
      <c r="R385" s="11">
        <v>5</v>
      </c>
      <c r="S385" s="60" t="str">
        <f>IF(OR($E385="",$G385=""),"",IF(AND(P385=$E385,R385=$G385),Auxiliar!$C$11,IF(AND(SIGN($E385-$G385)=SIGN(P385-R385),MAX($E385,$G385)=MAX(P385,R385)),Auxiliar!$C$12,IF(ABS($E385-$G385)=ABS(P385-R385),Auxiliar!$C$13,IF(AND(SIGN($E385-$G385)=SIGN(P385-R385),MIN($E385,$G385)=MIN(P385,R385)),Auxiliar!$C$14,IF(SIGN($E385-$G385)=SIGN(P385-R385),Auxiliar!$C$15,IF(P385=R385,Auxiliar!$C$16,0)))))))</f>
        <v/>
      </c>
      <c r="U385" s="9">
        <v>2</v>
      </c>
      <c r="V385" s="10" t="s">
        <v>23</v>
      </c>
      <c r="W385" s="11">
        <v>0</v>
      </c>
      <c r="X385" s="60" t="str">
        <f>IF(OR($E385="",$G385=""),"",IF(AND(U385=$E385,W385=$G385),Auxiliar!$C$11,IF(AND(SIGN($E385-$G385)=SIGN(U385-W385),MAX($E385,$G385)=MAX(U385,W385)),Auxiliar!$C$12,IF(ABS($E385-$G385)=ABS(U385-W385),Auxiliar!$C$13,IF(AND(SIGN($E385-$G385)=SIGN(U385-W385),MIN($E385,$G385)=MIN(U385,W385)),Auxiliar!$C$14,IF(SIGN($E385-$G385)=SIGN(U385-W385),Auxiliar!$C$15,IF(U385=W385,Auxiliar!$C$16,0)))))))</f>
        <v/>
      </c>
      <c r="Z385" s="9">
        <v>5</v>
      </c>
      <c r="AA385" s="10" t="s">
        <v>23</v>
      </c>
      <c r="AB385" s="11">
        <v>5</v>
      </c>
      <c r="AC385" s="60" t="str">
        <f>IF(OR($E385="",$G385=""),"",IF(AND(Z385=$E385,AB385=$G385),Auxiliar!$C$11,IF(AND(SIGN($E385-$G385)=SIGN(Z385-AB385),MAX($E385,$G385)=MAX(Z385,AB385)),Auxiliar!$C$12,IF(ABS($E385-$G385)=ABS(Z385-AB385),Auxiliar!$C$13,IF(AND(SIGN($E385-$G385)=SIGN(Z385-AB385),MIN($E385,$G385)=MIN(Z385,AB385)),Auxiliar!$C$14,IF(SIGN($E385-$G385)=SIGN(Z385-AB385),Auxiliar!$C$15,IF(Z385=AB385,Auxiliar!$C$16,0)))))))</f>
        <v/>
      </c>
      <c r="AE385" s="9">
        <v>2</v>
      </c>
      <c r="AF385" s="10" t="s">
        <v>23</v>
      </c>
      <c r="AG385" s="11">
        <v>0</v>
      </c>
      <c r="AH385" s="60" t="str">
        <f>IF(OR($E385="",$G385=""),"",IF(AND(AE385=$E385,AG385=$G385),Auxiliar!$C$11,IF(AND(SIGN($E385-$G385)=SIGN(AE385-AG385),MAX($E385,$G385)=MAX(AE385,AG385)),Auxiliar!$C$12,IF(ABS($E385-$G385)=ABS(AE385-AG385),Auxiliar!$C$13,IF(AND(SIGN($E385-$G385)=SIGN(AE385-AG385),MIN($E385,$G385)=MIN(AE385,AG385)),Auxiliar!$C$14,IF(SIGN($E385-$G385)=SIGN(AE385-AG385),Auxiliar!$C$15,IF(AE385=AG385,Auxiliar!$C$16,0)))))))</f>
        <v/>
      </c>
    </row>
    <row r="386" spans="3:34" x14ac:dyDescent="0.25">
      <c r="C386" s="24">
        <f t="shared" si="5"/>
        <v>37</v>
      </c>
      <c r="D386" s="18"/>
      <c r="E386" s="13"/>
      <c r="F386" s="12" t="s">
        <v>23</v>
      </c>
      <c r="G386" s="13"/>
      <c r="H386" s="14"/>
      <c r="K386" s="9">
        <v>0</v>
      </c>
      <c r="L386" s="10" t="s">
        <v>23</v>
      </c>
      <c r="M386" s="11">
        <v>2</v>
      </c>
      <c r="N386" s="60" t="str">
        <f>IF(OR($E386="",$G386=""),"",IF(AND(K386=$E386,M386=$G386),Auxiliar!$C$11,IF(AND(SIGN($E386-$G386)=SIGN(K386-M386),MAX($E386,$G386)=MAX(K386,M386)),Auxiliar!$C$12,IF(ABS($E386-$G386)=ABS(K386-M386),Auxiliar!$C$13,IF(AND(SIGN($E386-$G386)=SIGN(K386-M386),MIN($E386,$G386)=MIN(K386,M386)),Auxiliar!$C$14,IF(SIGN($E386-$G386)=SIGN(K386-M386),Auxiliar!$C$15,IF(K386=M386,Auxiliar!$C$16,0)))))))</f>
        <v/>
      </c>
      <c r="P386" s="9">
        <v>2</v>
      </c>
      <c r="Q386" s="10" t="s">
        <v>23</v>
      </c>
      <c r="R386" s="11">
        <v>5</v>
      </c>
      <c r="S386" s="60" t="str">
        <f>IF(OR($E386="",$G386=""),"",IF(AND(P386=$E386,R386=$G386),Auxiliar!$C$11,IF(AND(SIGN($E386-$G386)=SIGN(P386-R386),MAX($E386,$G386)=MAX(P386,R386)),Auxiliar!$C$12,IF(ABS($E386-$G386)=ABS(P386-R386),Auxiliar!$C$13,IF(AND(SIGN($E386-$G386)=SIGN(P386-R386),MIN($E386,$G386)=MIN(P386,R386)),Auxiliar!$C$14,IF(SIGN($E386-$G386)=SIGN(P386-R386),Auxiliar!$C$15,IF(P386=R386,Auxiliar!$C$16,0)))))))</f>
        <v/>
      </c>
      <c r="U386" s="9">
        <v>1</v>
      </c>
      <c r="V386" s="10" t="s">
        <v>23</v>
      </c>
      <c r="W386" s="11">
        <v>1</v>
      </c>
      <c r="X386" s="60" t="str">
        <f>IF(OR($E386="",$G386=""),"",IF(AND(U386=$E386,W386=$G386),Auxiliar!$C$11,IF(AND(SIGN($E386-$G386)=SIGN(U386-W386),MAX($E386,$G386)=MAX(U386,W386)),Auxiliar!$C$12,IF(ABS($E386-$G386)=ABS(U386-W386),Auxiliar!$C$13,IF(AND(SIGN($E386-$G386)=SIGN(U386-W386),MIN($E386,$G386)=MIN(U386,W386)),Auxiliar!$C$14,IF(SIGN($E386-$G386)=SIGN(U386-W386),Auxiliar!$C$15,IF(U386=W386,Auxiliar!$C$16,0)))))))</f>
        <v/>
      </c>
      <c r="Z386" s="9">
        <v>3</v>
      </c>
      <c r="AA386" s="10" t="s">
        <v>23</v>
      </c>
      <c r="AB386" s="11">
        <v>3</v>
      </c>
      <c r="AC386" s="60" t="str">
        <f>IF(OR($E386="",$G386=""),"",IF(AND(Z386=$E386,AB386=$G386),Auxiliar!$C$11,IF(AND(SIGN($E386-$G386)=SIGN(Z386-AB386),MAX($E386,$G386)=MAX(Z386,AB386)),Auxiliar!$C$12,IF(ABS($E386-$G386)=ABS(Z386-AB386),Auxiliar!$C$13,IF(AND(SIGN($E386-$G386)=SIGN(Z386-AB386),MIN($E386,$G386)=MIN(Z386,AB386)),Auxiliar!$C$14,IF(SIGN($E386-$G386)=SIGN(Z386-AB386),Auxiliar!$C$15,IF(Z386=AB386,Auxiliar!$C$16,0)))))))</f>
        <v/>
      </c>
      <c r="AE386" s="9">
        <v>2</v>
      </c>
      <c r="AF386" s="10" t="s">
        <v>23</v>
      </c>
      <c r="AG386" s="11">
        <v>1</v>
      </c>
      <c r="AH386" s="60" t="str">
        <f>IF(OR($E386="",$G386=""),"",IF(AND(AE386=$E386,AG386=$G386),Auxiliar!$C$11,IF(AND(SIGN($E386-$G386)=SIGN(AE386-AG386),MAX($E386,$G386)=MAX(AE386,AG386)),Auxiliar!$C$12,IF(ABS($E386-$G386)=ABS(AE386-AG386),Auxiliar!$C$13,IF(AND(SIGN($E386-$G386)=SIGN(AE386-AG386),MIN($E386,$G386)=MIN(AE386,AG386)),Auxiliar!$C$14,IF(SIGN($E386-$G386)=SIGN(AE386-AG386),Auxiliar!$C$15,IF(AE386=AG386,Auxiliar!$C$16,0)))))))</f>
        <v/>
      </c>
    </row>
    <row r="387" spans="3:34" x14ac:dyDescent="0.25">
      <c r="C387" s="24">
        <f t="shared" si="5"/>
        <v>37</v>
      </c>
      <c r="D387" s="18"/>
      <c r="E387" s="13"/>
      <c r="F387" s="12" t="s">
        <v>23</v>
      </c>
      <c r="G387" s="13"/>
      <c r="H387" s="14"/>
      <c r="K387" s="9">
        <v>3</v>
      </c>
      <c r="L387" s="10" t="s">
        <v>23</v>
      </c>
      <c r="M387" s="11">
        <v>1</v>
      </c>
      <c r="N387" s="60" t="str">
        <f>IF(OR($E387="",$G387=""),"",IF(AND(K387=$E387,M387=$G387),Auxiliar!$C$11,IF(AND(SIGN($E387-$G387)=SIGN(K387-M387),MAX($E387,$G387)=MAX(K387,M387)),Auxiliar!$C$12,IF(ABS($E387-$G387)=ABS(K387-M387),Auxiliar!$C$13,IF(AND(SIGN($E387-$G387)=SIGN(K387-M387),MIN($E387,$G387)=MIN(K387,M387)),Auxiliar!$C$14,IF(SIGN($E387-$G387)=SIGN(K387-M387),Auxiliar!$C$15,IF(K387=M387,Auxiliar!$C$16,0)))))))</f>
        <v/>
      </c>
      <c r="P387" s="9">
        <v>0</v>
      </c>
      <c r="Q387" s="10" t="s">
        <v>23</v>
      </c>
      <c r="R387" s="11">
        <v>5</v>
      </c>
      <c r="S387" s="60" t="str">
        <f>IF(OR($E387="",$G387=""),"",IF(AND(P387=$E387,R387=$G387),Auxiliar!$C$11,IF(AND(SIGN($E387-$G387)=SIGN(P387-R387),MAX($E387,$G387)=MAX(P387,R387)),Auxiliar!$C$12,IF(ABS($E387-$G387)=ABS(P387-R387),Auxiliar!$C$13,IF(AND(SIGN($E387-$G387)=SIGN(P387-R387),MIN($E387,$G387)=MIN(P387,R387)),Auxiliar!$C$14,IF(SIGN($E387-$G387)=SIGN(P387-R387),Auxiliar!$C$15,IF(P387=R387,Auxiliar!$C$16,0)))))))</f>
        <v/>
      </c>
      <c r="U387" s="9">
        <v>4</v>
      </c>
      <c r="V387" s="10" t="s">
        <v>23</v>
      </c>
      <c r="W387" s="11">
        <v>4</v>
      </c>
      <c r="X387" s="60" t="str">
        <f>IF(OR($E387="",$G387=""),"",IF(AND(U387=$E387,W387=$G387),Auxiliar!$C$11,IF(AND(SIGN($E387-$G387)=SIGN(U387-W387),MAX($E387,$G387)=MAX(U387,W387)),Auxiliar!$C$12,IF(ABS($E387-$G387)=ABS(U387-W387),Auxiliar!$C$13,IF(AND(SIGN($E387-$G387)=SIGN(U387-W387),MIN($E387,$G387)=MIN(U387,W387)),Auxiliar!$C$14,IF(SIGN($E387-$G387)=SIGN(U387-W387),Auxiliar!$C$15,IF(U387=W387,Auxiliar!$C$16,0)))))))</f>
        <v/>
      </c>
      <c r="Z387" s="9">
        <v>4</v>
      </c>
      <c r="AA387" s="10" t="s">
        <v>23</v>
      </c>
      <c r="AB387" s="11">
        <v>1</v>
      </c>
      <c r="AC387" s="60" t="str">
        <f>IF(OR($E387="",$G387=""),"",IF(AND(Z387=$E387,AB387=$G387),Auxiliar!$C$11,IF(AND(SIGN($E387-$G387)=SIGN(Z387-AB387),MAX($E387,$G387)=MAX(Z387,AB387)),Auxiliar!$C$12,IF(ABS($E387-$G387)=ABS(Z387-AB387),Auxiliar!$C$13,IF(AND(SIGN($E387-$G387)=SIGN(Z387-AB387),MIN($E387,$G387)=MIN(Z387,AB387)),Auxiliar!$C$14,IF(SIGN($E387-$G387)=SIGN(Z387-AB387),Auxiliar!$C$15,IF(Z387=AB387,Auxiliar!$C$16,0)))))))</f>
        <v/>
      </c>
      <c r="AE387" s="9">
        <v>5</v>
      </c>
      <c r="AF387" s="10" t="s">
        <v>23</v>
      </c>
      <c r="AG387" s="11">
        <v>1</v>
      </c>
      <c r="AH387" s="60" t="str">
        <f>IF(OR($E387="",$G387=""),"",IF(AND(AE387=$E387,AG387=$G387),Auxiliar!$C$11,IF(AND(SIGN($E387-$G387)=SIGN(AE387-AG387),MAX($E387,$G387)=MAX(AE387,AG387)),Auxiliar!$C$12,IF(ABS($E387-$G387)=ABS(AE387-AG387),Auxiliar!$C$13,IF(AND(SIGN($E387-$G387)=SIGN(AE387-AG387),MIN($E387,$G387)=MIN(AE387,AG387)),Auxiliar!$C$14,IF(SIGN($E387-$G387)=SIGN(AE387-AG387),Auxiliar!$C$15,IF(AE387=AG387,Auxiliar!$C$16,0)))))))</f>
        <v/>
      </c>
    </row>
    <row r="388" spans="3:34" x14ac:dyDescent="0.25">
      <c r="C388" s="24">
        <f t="shared" si="5"/>
        <v>37</v>
      </c>
      <c r="D388" s="18"/>
      <c r="E388" s="13"/>
      <c r="F388" s="12" t="s">
        <v>23</v>
      </c>
      <c r="G388" s="13"/>
      <c r="H388" s="14"/>
      <c r="K388" s="9">
        <v>0</v>
      </c>
      <c r="L388" s="10" t="s">
        <v>23</v>
      </c>
      <c r="M388" s="11">
        <v>5</v>
      </c>
      <c r="N388" s="60" t="str">
        <f>IF(OR($E388="",$G388=""),"",IF(AND(K388=$E388,M388=$G388),Auxiliar!$C$11,IF(AND(SIGN($E388-$G388)=SIGN(K388-M388),MAX($E388,$G388)=MAX(K388,M388)),Auxiliar!$C$12,IF(ABS($E388-$G388)=ABS(K388-M388),Auxiliar!$C$13,IF(AND(SIGN($E388-$G388)=SIGN(K388-M388),MIN($E388,$G388)=MIN(K388,M388)),Auxiliar!$C$14,IF(SIGN($E388-$G388)=SIGN(K388-M388),Auxiliar!$C$15,IF(K388=M388,Auxiliar!$C$16,0)))))))</f>
        <v/>
      </c>
      <c r="P388" s="9">
        <v>4</v>
      </c>
      <c r="Q388" s="10" t="s">
        <v>23</v>
      </c>
      <c r="R388" s="11">
        <v>1</v>
      </c>
      <c r="S388" s="60" t="str">
        <f>IF(OR($E388="",$G388=""),"",IF(AND(P388=$E388,R388=$G388),Auxiliar!$C$11,IF(AND(SIGN($E388-$G388)=SIGN(P388-R388),MAX($E388,$G388)=MAX(P388,R388)),Auxiliar!$C$12,IF(ABS($E388-$G388)=ABS(P388-R388),Auxiliar!$C$13,IF(AND(SIGN($E388-$G388)=SIGN(P388-R388),MIN($E388,$G388)=MIN(P388,R388)),Auxiliar!$C$14,IF(SIGN($E388-$G388)=SIGN(P388-R388),Auxiliar!$C$15,IF(P388=R388,Auxiliar!$C$16,0)))))))</f>
        <v/>
      </c>
      <c r="U388" s="9">
        <v>3</v>
      </c>
      <c r="V388" s="10" t="s">
        <v>23</v>
      </c>
      <c r="W388" s="11">
        <v>1</v>
      </c>
      <c r="X388" s="60" t="str">
        <f>IF(OR($E388="",$G388=""),"",IF(AND(U388=$E388,W388=$G388),Auxiliar!$C$11,IF(AND(SIGN($E388-$G388)=SIGN(U388-W388),MAX($E388,$G388)=MAX(U388,W388)),Auxiliar!$C$12,IF(ABS($E388-$G388)=ABS(U388-W388),Auxiliar!$C$13,IF(AND(SIGN($E388-$G388)=SIGN(U388-W388),MIN($E388,$G388)=MIN(U388,W388)),Auxiliar!$C$14,IF(SIGN($E388-$G388)=SIGN(U388-W388),Auxiliar!$C$15,IF(U388=W388,Auxiliar!$C$16,0)))))))</f>
        <v/>
      </c>
      <c r="Z388" s="9">
        <v>4</v>
      </c>
      <c r="AA388" s="10" t="s">
        <v>23</v>
      </c>
      <c r="AB388" s="11">
        <v>2</v>
      </c>
      <c r="AC388" s="60" t="str">
        <f>IF(OR($E388="",$G388=""),"",IF(AND(Z388=$E388,AB388=$G388),Auxiliar!$C$11,IF(AND(SIGN($E388-$G388)=SIGN(Z388-AB388),MAX($E388,$G388)=MAX(Z388,AB388)),Auxiliar!$C$12,IF(ABS($E388-$G388)=ABS(Z388-AB388),Auxiliar!$C$13,IF(AND(SIGN($E388-$G388)=SIGN(Z388-AB388),MIN($E388,$G388)=MIN(Z388,AB388)),Auxiliar!$C$14,IF(SIGN($E388-$G388)=SIGN(Z388-AB388),Auxiliar!$C$15,IF(Z388=AB388,Auxiliar!$C$16,0)))))))</f>
        <v/>
      </c>
      <c r="AE388" s="9">
        <v>1</v>
      </c>
      <c r="AF388" s="10" t="s">
        <v>23</v>
      </c>
      <c r="AG388" s="11">
        <v>1</v>
      </c>
      <c r="AH388" s="60" t="str">
        <f>IF(OR($E388="",$G388=""),"",IF(AND(AE388=$E388,AG388=$G388),Auxiliar!$C$11,IF(AND(SIGN($E388-$G388)=SIGN(AE388-AG388),MAX($E388,$G388)=MAX(AE388,AG388)),Auxiliar!$C$12,IF(ABS($E388-$G388)=ABS(AE388-AG388),Auxiliar!$C$13,IF(AND(SIGN($E388-$G388)=SIGN(AE388-AG388),MIN($E388,$G388)=MIN(AE388,AG388)),Auxiliar!$C$14,IF(SIGN($E388-$G388)=SIGN(AE388-AG388),Auxiliar!$C$15,IF(AE388=AG388,Auxiliar!$C$16,0)))))))</f>
        <v/>
      </c>
    </row>
    <row r="389" spans="3:34" x14ac:dyDescent="0.25">
      <c r="C389" s="24">
        <f t="shared" si="5"/>
        <v>38</v>
      </c>
      <c r="D389" s="18"/>
      <c r="E389" s="13"/>
      <c r="F389" s="12" t="s">
        <v>23</v>
      </c>
      <c r="G389" s="13"/>
      <c r="H389" s="14"/>
      <c r="K389" s="9">
        <v>5</v>
      </c>
      <c r="L389" s="10" t="s">
        <v>23</v>
      </c>
      <c r="M389" s="11">
        <v>2</v>
      </c>
      <c r="N389" s="60" t="str">
        <f>IF(OR($E389="",$G389=""),"",IF(AND(K389=$E389,M389=$G389),Auxiliar!$C$11,IF(AND(SIGN($E389-$G389)=SIGN(K389-M389),MAX($E389,$G389)=MAX(K389,M389)),Auxiliar!$C$12,IF(ABS($E389-$G389)=ABS(K389-M389),Auxiliar!$C$13,IF(AND(SIGN($E389-$G389)=SIGN(K389-M389),MIN($E389,$G389)=MIN(K389,M389)),Auxiliar!$C$14,IF(SIGN($E389-$G389)=SIGN(K389-M389),Auxiliar!$C$15,IF(K389=M389,Auxiliar!$C$16,0)))))))</f>
        <v/>
      </c>
      <c r="P389" s="9">
        <v>2</v>
      </c>
      <c r="Q389" s="10" t="s">
        <v>23</v>
      </c>
      <c r="R389" s="11">
        <v>0</v>
      </c>
      <c r="S389" s="60" t="str">
        <f>IF(OR($E389="",$G389=""),"",IF(AND(P389=$E389,R389=$G389),Auxiliar!$C$11,IF(AND(SIGN($E389-$G389)=SIGN(P389-R389),MAX($E389,$G389)=MAX(P389,R389)),Auxiliar!$C$12,IF(ABS($E389-$G389)=ABS(P389-R389),Auxiliar!$C$13,IF(AND(SIGN($E389-$G389)=SIGN(P389-R389),MIN($E389,$G389)=MIN(P389,R389)),Auxiliar!$C$14,IF(SIGN($E389-$G389)=SIGN(P389-R389),Auxiliar!$C$15,IF(P389=R389,Auxiliar!$C$16,0)))))))</f>
        <v/>
      </c>
      <c r="U389" s="9">
        <v>1</v>
      </c>
      <c r="V389" s="10" t="s">
        <v>23</v>
      </c>
      <c r="W389" s="11">
        <v>0</v>
      </c>
      <c r="X389" s="60" t="str">
        <f>IF(OR($E389="",$G389=""),"",IF(AND(U389=$E389,W389=$G389),Auxiliar!$C$11,IF(AND(SIGN($E389-$G389)=SIGN(U389-W389),MAX($E389,$G389)=MAX(U389,W389)),Auxiliar!$C$12,IF(ABS($E389-$G389)=ABS(U389-W389),Auxiliar!$C$13,IF(AND(SIGN($E389-$G389)=SIGN(U389-W389),MIN($E389,$G389)=MIN(U389,W389)),Auxiliar!$C$14,IF(SIGN($E389-$G389)=SIGN(U389-W389),Auxiliar!$C$15,IF(U389=W389,Auxiliar!$C$16,0)))))))</f>
        <v/>
      </c>
      <c r="Z389" s="9">
        <v>2</v>
      </c>
      <c r="AA389" s="10" t="s">
        <v>23</v>
      </c>
      <c r="AB389" s="11">
        <v>4</v>
      </c>
      <c r="AC389" s="60" t="str">
        <f>IF(OR($E389="",$G389=""),"",IF(AND(Z389=$E389,AB389=$G389),Auxiliar!$C$11,IF(AND(SIGN($E389-$G389)=SIGN(Z389-AB389),MAX($E389,$G389)=MAX(Z389,AB389)),Auxiliar!$C$12,IF(ABS($E389-$G389)=ABS(Z389-AB389),Auxiliar!$C$13,IF(AND(SIGN($E389-$G389)=SIGN(Z389-AB389),MIN($E389,$G389)=MIN(Z389,AB389)),Auxiliar!$C$14,IF(SIGN($E389-$G389)=SIGN(Z389-AB389),Auxiliar!$C$15,IF(Z389=AB389,Auxiliar!$C$16,0)))))))</f>
        <v/>
      </c>
      <c r="AE389" s="9">
        <v>2</v>
      </c>
      <c r="AF389" s="10" t="s">
        <v>23</v>
      </c>
      <c r="AG389" s="11">
        <v>4</v>
      </c>
      <c r="AH389" s="60" t="str">
        <f>IF(OR($E389="",$G389=""),"",IF(AND(AE389=$E389,AG389=$G389),Auxiliar!$C$11,IF(AND(SIGN($E389-$G389)=SIGN(AE389-AG389),MAX($E389,$G389)=MAX(AE389,AG389)),Auxiliar!$C$12,IF(ABS($E389-$G389)=ABS(AE389-AG389),Auxiliar!$C$13,IF(AND(SIGN($E389-$G389)=SIGN(AE389-AG389),MIN($E389,$G389)=MIN(AE389,AG389)),Auxiliar!$C$14,IF(SIGN($E389-$G389)=SIGN(AE389-AG389),Auxiliar!$C$15,IF(AE389=AG389,Auxiliar!$C$16,0)))))))</f>
        <v/>
      </c>
    </row>
    <row r="390" spans="3:34" x14ac:dyDescent="0.25">
      <c r="C390" s="24">
        <f t="shared" si="5"/>
        <v>38</v>
      </c>
      <c r="D390" s="18"/>
      <c r="E390" s="13"/>
      <c r="F390" s="12" t="s">
        <v>23</v>
      </c>
      <c r="G390" s="13"/>
      <c r="H390" s="14"/>
      <c r="K390" s="9">
        <v>5</v>
      </c>
      <c r="L390" s="10" t="s">
        <v>23</v>
      </c>
      <c r="M390" s="11">
        <v>4</v>
      </c>
      <c r="N390" s="60" t="str">
        <f>IF(OR($E390="",$G390=""),"",IF(AND(K390=$E390,M390=$G390),Auxiliar!$C$11,IF(AND(SIGN($E390-$G390)=SIGN(K390-M390),MAX($E390,$G390)=MAX(K390,M390)),Auxiliar!$C$12,IF(ABS($E390-$G390)=ABS(K390-M390),Auxiliar!$C$13,IF(AND(SIGN($E390-$G390)=SIGN(K390-M390),MIN($E390,$G390)=MIN(K390,M390)),Auxiliar!$C$14,IF(SIGN($E390-$G390)=SIGN(K390-M390),Auxiliar!$C$15,IF(K390=M390,Auxiliar!$C$16,0)))))))</f>
        <v/>
      </c>
      <c r="P390" s="9">
        <v>0</v>
      </c>
      <c r="Q390" s="10" t="s">
        <v>23</v>
      </c>
      <c r="R390" s="11">
        <v>5</v>
      </c>
      <c r="S390" s="60" t="str">
        <f>IF(OR($E390="",$G390=""),"",IF(AND(P390=$E390,R390=$G390),Auxiliar!$C$11,IF(AND(SIGN($E390-$G390)=SIGN(P390-R390),MAX($E390,$G390)=MAX(P390,R390)),Auxiliar!$C$12,IF(ABS($E390-$G390)=ABS(P390-R390),Auxiliar!$C$13,IF(AND(SIGN($E390-$G390)=SIGN(P390-R390),MIN($E390,$G390)=MIN(P390,R390)),Auxiliar!$C$14,IF(SIGN($E390-$G390)=SIGN(P390-R390),Auxiliar!$C$15,IF(P390=R390,Auxiliar!$C$16,0)))))))</f>
        <v/>
      </c>
      <c r="U390" s="9">
        <v>2</v>
      </c>
      <c r="V390" s="10" t="s">
        <v>23</v>
      </c>
      <c r="W390" s="11">
        <v>5</v>
      </c>
      <c r="X390" s="60" t="str">
        <f>IF(OR($E390="",$G390=""),"",IF(AND(U390=$E390,W390=$G390),Auxiliar!$C$11,IF(AND(SIGN($E390-$G390)=SIGN(U390-W390),MAX($E390,$G390)=MAX(U390,W390)),Auxiliar!$C$12,IF(ABS($E390-$G390)=ABS(U390-W390),Auxiliar!$C$13,IF(AND(SIGN($E390-$G390)=SIGN(U390-W390),MIN($E390,$G390)=MIN(U390,W390)),Auxiliar!$C$14,IF(SIGN($E390-$G390)=SIGN(U390-W390),Auxiliar!$C$15,IF(U390=W390,Auxiliar!$C$16,0)))))))</f>
        <v/>
      </c>
      <c r="Z390" s="9">
        <v>5</v>
      </c>
      <c r="AA390" s="10" t="s">
        <v>23</v>
      </c>
      <c r="AB390" s="11">
        <v>3</v>
      </c>
      <c r="AC390" s="60" t="str">
        <f>IF(OR($E390="",$G390=""),"",IF(AND(Z390=$E390,AB390=$G390),Auxiliar!$C$11,IF(AND(SIGN($E390-$G390)=SIGN(Z390-AB390),MAX($E390,$G390)=MAX(Z390,AB390)),Auxiliar!$C$12,IF(ABS($E390-$G390)=ABS(Z390-AB390),Auxiliar!$C$13,IF(AND(SIGN($E390-$G390)=SIGN(Z390-AB390),MIN($E390,$G390)=MIN(Z390,AB390)),Auxiliar!$C$14,IF(SIGN($E390-$G390)=SIGN(Z390-AB390),Auxiliar!$C$15,IF(Z390=AB390,Auxiliar!$C$16,0)))))))</f>
        <v/>
      </c>
      <c r="AE390" s="9">
        <v>5</v>
      </c>
      <c r="AF390" s="10" t="s">
        <v>23</v>
      </c>
      <c r="AG390" s="11">
        <v>5</v>
      </c>
      <c r="AH390" s="60" t="str">
        <f>IF(OR($E390="",$G390=""),"",IF(AND(AE390=$E390,AG390=$G390),Auxiliar!$C$11,IF(AND(SIGN($E390-$G390)=SIGN(AE390-AG390),MAX($E390,$G390)=MAX(AE390,AG390)),Auxiliar!$C$12,IF(ABS($E390-$G390)=ABS(AE390-AG390),Auxiliar!$C$13,IF(AND(SIGN($E390-$G390)=SIGN(AE390-AG390),MIN($E390,$G390)=MIN(AE390,AG390)),Auxiliar!$C$14,IF(SIGN($E390-$G390)=SIGN(AE390-AG390),Auxiliar!$C$15,IF(AE390=AG390,Auxiliar!$C$16,0)))))))</f>
        <v/>
      </c>
    </row>
    <row r="391" spans="3:34" x14ac:dyDescent="0.25">
      <c r="C391" s="24">
        <f t="shared" si="5"/>
        <v>38</v>
      </c>
      <c r="D391" s="18"/>
      <c r="E391" s="13"/>
      <c r="F391" s="12" t="s">
        <v>23</v>
      </c>
      <c r="G391" s="13"/>
      <c r="H391" s="14"/>
      <c r="K391" s="9">
        <v>5</v>
      </c>
      <c r="L391" s="10" t="s">
        <v>23</v>
      </c>
      <c r="M391" s="11">
        <v>4</v>
      </c>
      <c r="N391" s="60" t="str">
        <f>IF(OR($E391="",$G391=""),"",IF(AND(K391=$E391,M391=$G391),Auxiliar!$C$11,IF(AND(SIGN($E391-$G391)=SIGN(K391-M391),MAX($E391,$G391)=MAX(K391,M391)),Auxiliar!$C$12,IF(ABS($E391-$G391)=ABS(K391-M391),Auxiliar!$C$13,IF(AND(SIGN($E391-$G391)=SIGN(K391-M391),MIN($E391,$G391)=MIN(K391,M391)),Auxiliar!$C$14,IF(SIGN($E391-$G391)=SIGN(K391-M391),Auxiliar!$C$15,IF(K391=M391,Auxiliar!$C$16,0)))))))</f>
        <v/>
      </c>
      <c r="P391" s="9">
        <v>2</v>
      </c>
      <c r="Q391" s="10" t="s">
        <v>23</v>
      </c>
      <c r="R391" s="11">
        <v>1</v>
      </c>
      <c r="S391" s="60" t="str">
        <f>IF(OR($E391="",$G391=""),"",IF(AND(P391=$E391,R391=$G391),Auxiliar!$C$11,IF(AND(SIGN($E391-$G391)=SIGN(P391-R391),MAX($E391,$G391)=MAX(P391,R391)),Auxiliar!$C$12,IF(ABS($E391-$G391)=ABS(P391-R391),Auxiliar!$C$13,IF(AND(SIGN($E391-$G391)=SIGN(P391-R391),MIN($E391,$G391)=MIN(P391,R391)),Auxiliar!$C$14,IF(SIGN($E391-$G391)=SIGN(P391-R391),Auxiliar!$C$15,IF(P391=R391,Auxiliar!$C$16,0)))))))</f>
        <v/>
      </c>
      <c r="U391" s="9">
        <v>2</v>
      </c>
      <c r="V391" s="10" t="s">
        <v>23</v>
      </c>
      <c r="W391" s="11">
        <v>2</v>
      </c>
      <c r="X391" s="60" t="str">
        <f>IF(OR($E391="",$G391=""),"",IF(AND(U391=$E391,W391=$G391),Auxiliar!$C$11,IF(AND(SIGN($E391-$G391)=SIGN(U391-W391),MAX($E391,$G391)=MAX(U391,W391)),Auxiliar!$C$12,IF(ABS($E391-$G391)=ABS(U391-W391),Auxiliar!$C$13,IF(AND(SIGN($E391-$G391)=SIGN(U391-W391),MIN($E391,$G391)=MIN(U391,W391)),Auxiliar!$C$14,IF(SIGN($E391-$G391)=SIGN(U391-W391),Auxiliar!$C$15,IF(U391=W391,Auxiliar!$C$16,0)))))))</f>
        <v/>
      </c>
      <c r="Z391" s="9">
        <v>3</v>
      </c>
      <c r="AA391" s="10" t="s">
        <v>23</v>
      </c>
      <c r="AB391" s="11">
        <v>5</v>
      </c>
      <c r="AC391" s="60" t="str">
        <f>IF(OR($E391="",$G391=""),"",IF(AND(Z391=$E391,AB391=$G391),Auxiliar!$C$11,IF(AND(SIGN($E391-$G391)=SIGN(Z391-AB391),MAX($E391,$G391)=MAX(Z391,AB391)),Auxiliar!$C$12,IF(ABS($E391-$G391)=ABS(Z391-AB391),Auxiliar!$C$13,IF(AND(SIGN($E391-$G391)=SIGN(Z391-AB391),MIN($E391,$G391)=MIN(Z391,AB391)),Auxiliar!$C$14,IF(SIGN($E391-$G391)=SIGN(Z391-AB391),Auxiliar!$C$15,IF(Z391=AB391,Auxiliar!$C$16,0)))))))</f>
        <v/>
      </c>
      <c r="AE391" s="9">
        <v>1</v>
      </c>
      <c r="AF391" s="10" t="s">
        <v>23</v>
      </c>
      <c r="AG391" s="11">
        <v>3</v>
      </c>
      <c r="AH391" s="60" t="str">
        <f>IF(OR($E391="",$G391=""),"",IF(AND(AE391=$E391,AG391=$G391),Auxiliar!$C$11,IF(AND(SIGN($E391-$G391)=SIGN(AE391-AG391),MAX($E391,$G391)=MAX(AE391,AG391)),Auxiliar!$C$12,IF(ABS($E391-$G391)=ABS(AE391-AG391),Auxiliar!$C$13,IF(AND(SIGN($E391-$G391)=SIGN(AE391-AG391),MIN($E391,$G391)=MIN(AE391,AG391)),Auxiliar!$C$14,IF(SIGN($E391-$G391)=SIGN(AE391-AG391),Auxiliar!$C$15,IF(AE391=AG391,Auxiliar!$C$16,0)))))))</f>
        <v/>
      </c>
    </row>
    <row r="392" spans="3:34" x14ac:dyDescent="0.25">
      <c r="C392" s="24">
        <f t="shared" si="5"/>
        <v>38</v>
      </c>
      <c r="D392" s="18"/>
      <c r="E392" s="13"/>
      <c r="F392" s="12" t="s">
        <v>23</v>
      </c>
      <c r="G392" s="13"/>
      <c r="H392" s="14"/>
      <c r="K392" s="9">
        <v>0</v>
      </c>
      <c r="L392" s="10" t="s">
        <v>23</v>
      </c>
      <c r="M392" s="11">
        <v>1</v>
      </c>
      <c r="N392" s="60" t="str">
        <f>IF(OR($E392="",$G392=""),"",IF(AND(K392=$E392,M392=$G392),Auxiliar!$C$11,IF(AND(SIGN($E392-$G392)=SIGN(K392-M392),MAX($E392,$G392)=MAX(K392,M392)),Auxiliar!$C$12,IF(ABS($E392-$G392)=ABS(K392-M392),Auxiliar!$C$13,IF(AND(SIGN($E392-$G392)=SIGN(K392-M392),MIN($E392,$G392)=MIN(K392,M392)),Auxiliar!$C$14,IF(SIGN($E392-$G392)=SIGN(K392-M392),Auxiliar!$C$15,IF(K392=M392,Auxiliar!$C$16,0)))))))</f>
        <v/>
      </c>
      <c r="P392" s="9">
        <v>4</v>
      </c>
      <c r="Q392" s="10" t="s">
        <v>23</v>
      </c>
      <c r="R392" s="11">
        <v>3</v>
      </c>
      <c r="S392" s="60" t="str">
        <f>IF(OR($E392="",$G392=""),"",IF(AND(P392=$E392,R392=$G392),Auxiliar!$C$11,IF(AND(SIGN($E392-$G392)=SIGN(P392-R392),MAX($E392,$G392)=MAX(P392,R392)),Auxiliar!$C$12,IF(ABS($E392-$G392)=ABS(P392-R392),Auxiliar!$C$13,IF(AND(SIGN($E392-$G392)=SIGN(P392-R392),MIN($E392,$G392)=MIN(P392,R392)),Auxiliar!$C$14,IF(SIGN($E392-$G392)=SIGN(P392-R392),Auxiliar!$C$15,IF(P392=R392,Auxiliar!$C$16,0)))))))</f>
        <v/>
      </c>
      <c r="U392" s="9">
        <v>3</v>
      </c>
      <c r="V392" s="10" t="s">
        <v>23</v>
      </c>
      <c r="W392" s="11">
        <v>1</v>
      </c>
      <c r="X392" s="60" t="str">
        <f>IF(OR($E392="",$G392=""),"",IF(AND(U392=$E392,W392=$G392),Auxiliar!$C$11,IF(AND(SIGN($E392-$G392)=SIGN(U392-W392),MAX($E392,$G392)=MAX(U392,W392)),Auxiliar!$C$12,IF(ABS($E392-$G392)=ABS(U392-W392),Auxiliar!$C$13,IF(AND(SIGN($E392-$G392)=SIGN(U392-W392),MIN($E392,$G392)=MIN(U392,W392)),Auxiliar!$C$14,IF(SIGN($E392-$G392)=SIGN(U392-W392),Auxiliar!$C$15,IF(U392=W392,Auxiliar!$C$16,0)))))))</f>
        <v/>
      </c>
      <c r="Z392" s="9">
        <v>4</v>
      </c>
      <c r="AA392" s="10" t="s">
        <v>23</v>
      </c>
      <c r="AB392" s="11">
        <v>4</v>
      </c>
      <c r="AC392" s="60" t="str">
        <f>IF(OR($E392="",$G392=""),"",IF(AND(Z392=$E392,AB392=$G392),Auxiliar!$C$11,IF(AND(SIGN($E392-$G392)=SIGN(Z392-AB392),MAX($E392,$G392)=MAX(Z392,AB392)),Auxiliar!$C$12,IF(ABS($E392-$G392)=ABS(Z392-AB392),Auxiliar!$C$13,IF(AND(SIGN($E392-$G392)=SIGN(Z392-AB392),MIN($E392,$G392)=MIN(Z392,AB392)),Auxiliar!$C$14,IF(SIGN($E392-$G392)=SIGN(Z392-AB392),Auxiliar!$C$15,IF(Z392=AB392,Auxiliar!$C$16,0)))))))</f>
        <v/>
      </c>
      <c r="AE392" s="9">
        <v>5</v>
      </c>
      <c r="AF392" s="10" t="s">
        <v>23</v>
      </c>
      <c r="AG392" s="11">
        <v>1</v>
      </c>
      <c r="AH392" s="60" t="str">
        <f>IF(OR($E392="",$G392=""),"",IF(AND(AE392=$E392,AG392=$G392),Auxiliar!$C$11,IF(AND(SIGN($E392-$G392)=SIGN(AE392-AG392),MAX($E392,$G392)=MAX(AE392,AG392)),Auxiliar!$C$12,IF(ABS($E392-$G392)=ABS(AE392-AG392),Auxiliar!$C$13,IF(AND(SIGN($E392-$G392)=SIGN(AE392-AG392),MIN($E392,$G392)=MIN(AE392,AG392)),Auxiliar!$C$14,IF(SIGN($E392-$G392)=SIGN(AE392-AG392),Auxiliar!$C$15,IF(AE392=AG392,Auxiliar!$C$16,0)))))))</f>
        <v/>
      </c>
    </row>
    <row r="393" spans="3:34" x14ac:dyDescent="0.25">
      <c r="C393" s="24">
        <f t="shared" si="5"/>
        <v>38</v>
      </c>
      <c r="D393" s="18"/>
      <c r="E393" s="13"/>
      <c r="F393" s="12" t="s">
        <v>23</v>
      </c>
      <c r="G393" s="13"/>
      <c r="H393" s="14"/>
      <c r="K393" s="9">
        <v>2</v>
      </c>
      <c r="L393" s="10" t="s">
        <v>23</v>
      </c>
      <c r="M393" s="11">
        <v>3</v>
      </c>
      <c r="N393" s="60" t="str">
        <f>IF(OR($E393="",$G393=""),"",IF(AND(K393=$E393,M393=$G393),Auxiliar!$C$11,IF(AND(SIGN($E393-$G393)=SIGN(K393-M393),MAX($E393,$G393)=MAX(K393,M393)),Auxiliar!$C$12,IF(ABS($E393-$G393)=ABS(K393-M393),Auxiliar!$C$13,IF(AND(SIGN($E393-$G393)=SIGN(K393-M393),MIN($E393,$G393)=MIN(K393,M393)),Auxiliar!$C$14,IF(SIGN($E393-$G393)=SIGN(K393-M393),Auxiliar!$C$15,IF(K393=M393,Auxiliar!$C$16,0)))))))</f>
        <v/>
      </c>
      <c r="P393" s="9">
        <v>3</v>
      </c>
      <c r="Q393" s="10" t="s">
        <v>23</v>
      </c>
      <c r="R393" s="11">
        <v>0</v>
      </c>
      <c r="S393" s="60" t="str">
        <f>IF(OR($E393="",$G393=""),"",IF(AND(P393=$E393,R393=$G393),Auxiliar!$C$11,IF(AND(SIGN($E393-$G393)=SIGN(P393-R393),MAX($E393,$G393)=MAX(P393,R393)),Auxiliar!$C$12,IF(ABS($E393-$G393)=ABS(P393-R393),Auxiliar!$C$13,IF(AND(SIGN($E393-$G393)=SIGN(P393-R393),MIN($E393,$G393)=MIN(P393,R393)),Auxiliar!$C$14,IF(SIGN($E393-$G393)=SIGN(P393-R393),Auxiliar!$C$15,IF(P393=R393,Auxiliar!$C$16,0)))))))</f>
        <v/>
      </c>
      <c r="U393" s="9">
        <v>1</v>
      </c>
      <c r="V393" s="10" t="s">
        <v>23</v>
      </c>
      <c r="W393" s="11">
        <v>4</v>
      </c>
      <c r="X393" s="60" t="str">
        <f>IF(OR($E393="",$G393=""),"",IF(AND(U393=$E393,W393=$G393),Auxiliar!$C$11,IF(AND(SIGN($E393-$G393)=SIGN(U393-W393),MAX($E393,$G393)=MAX(U393,W393)),Auxiliar!$C$12,IF(ABS($E393-$G393)=ABS(U393-W393),Auxiliar!$C$13,IF(AND(SIGN($E393-$G393)=SIGN(U393-W393),MIN($E393,$G393)=MIN(U393,W393)),Auxiliar!$C$14,IF(SIGN($E393-$G393)=SIGN(U393-W393),Auxiliar!$C$15,IF(U393=W393,Auxiliar!$C$16,0)))))))</f>
        <v/>
      </c>
      <c r="Z393" s="9">
        <v>1</v>
      </c>
      <c r="AA393" s="10" t="s">
        <v>23</v>
      </c>
      <c r="AB393" s="11">
        <v>0</v>
      </c>
      <c r="AC393" s="60" t="str">
        <f>IF(OR($E393="",$G393=""),"",IF(AND(Z393=$E393,AB393=$G393),Auxiliar!$C$11,IF(AND(SIGN($E393-$G393)=SIGN(Z393-AB393),MAX($E393,$G393)=MAX(Z393,AB393)),Auxiliar!$C$12,IF(ABS($E393-$G393)=ABS(Z393-AB393),Auxiliar!$C$13,IF(AND(SIGN($E393-$G393)=SIGN(Z393-AB393),MIN($E393,$G393)=MIN(Z393,AB393)),Auxiliar!$C$14,IF(SIGN($E393-$G393)=SIGN(Z393-AB393),Auxiliar!$C$15,IF(Z393=AB393,Auxiliar!$C$16,0)))))))</f>
        <v/>
      </c>
      <c r="AE393" s="9">
        <v>2</v>
      </c>
      <c r="AF393" s="10" t="s">
        <v>23</v>
      </c>
      <c r="AG393" s="11">
        <v>1</v>
      </c>
      <c r="AH393" s="60" t="str">
        <f>IF(OR($E393="",$G393=""),"",IF(AND(AE393=$E393,AG393=$G393),Auxiliar!$C$11,IF(AND(SIGN($E393-$G393)=SIGN(AE393-AG393),MAX($E393,$G393)=MAX(AE393,AG393)),Auxiliar!$C$12,IF(ABS($E393-$G393)=ABS(AE393-AG393),Auxiliar!$C$13,IF(AND(SIGN($E393-$G393)=SIGN(AE393-AG393),MIN($E393,$G393)=MIN(AE393,AG393)),Auxiliar!$C$14,IF(SIGN($E393-$G393)=SIGN(AE393-AG393),Auxiliar!$C$15,IF(AE393=AG393,Auxiliar!$C$16,0)))))))</f>
        <v/>
      </c>
    </row>
    <row r="394" spans="3:34" x14ac:dyDescent="0.25">
      <c r="C394" s="24">
        <f t="shared" si="5"/>
        <v>38</v>
      </c>
      <c r="D394" s="18"/>
      <c r="E394" s="13"/>
      <c r="F394" s="12" t="s">
        <v>23</v>
      </c>
      <c r="G394" s="13"/>
      <c r="H394" s="14"/>
      <c r="K394" s="9">
        <v>3</v>
      </c>
      <c r="L394" s="10" t="s">
        <v>23</v>
      </c>
      <c r="M394" s="11">
        <v>2</v>
      </c>
      <c r="N394" s="60" t="str">
        <f>IF(OR($E394="",$G394=""),"",IF(AND(K394=$E394,M394=$G394),Auxiliar!$C$11,IF(AND(SIGN($E394-$G394)=SIGN(K394-M394),MAX($E394,$G394)=MAX(K394,M394)),Auxiliar!$C$12,IF(ABS($E394-$G394)=ABS(K394-M394),Auxiliar!$C$13,IF(AND(SIGN($E394-$G394)=SIGN(K394-M394),MIN($E394,$G394)=MIN(K394,M394)),Auxiliar!$C$14,IF(SIGN($E394-$G394)=SIGN(K394-M394),Auxiliar!$C$15,IF(K394=M394,Auxiliar!$C$16,0)))))))</f>
        <v/>
      </c>
      <c r="P394" s="9">
        <v>2</v>
      </c>
      <c r="Q394" s="10" t="s">
        <v>23</v>
      </c>
      <c r="R394" s="11">
        <v>2</v>
      </c>
      <c r="S394" s="60" t="str">
        <f>IF(OR($E394="",$G394=""),"",IF(AND(P394=$E394,R394=$G394),Auxiliar!$C$11,IF(AND(SIGN($E394-$G394)=SIGN(P394-R394),MAX($E394,$G394)=MAX(P394,R394)),Auxiliar!$C$12,IF(ABS($E394-$G394)=ABS(P394-R394),Auxiliar!$C$13,IF(AND(SIGN($E394-$G394)=SIGN(P394-R394),MIN($E394,$G394)=MIN(P394,R394)),Auxiliar!$C$14,IF(SIGN($E394-$G394)=SIGN(P394-R394),Auxiliar!$C$15,IF(P394=R394,Auxiliar!$C$16,0)))))))</f>
        <v/>
      </c>
      <c r="U394" s="9">
        <v>3</v>
      </c>
      <c r="V394" s="10" t="s">
        <v>23</v>
      </c>
      <c r="W394" s="11">
        <v>5</v>
      </c>
      <c r="X394" s="60" t="str">
        <f>IF(OR($E394="",$G394=""),"",IF(AND(U394=$E394,W394=$G394),Auxiliar!$C$11,IF(AND(SIGN($E394-$G394)=SIGN(U394-W394),MAX($E394,$G394)=MAX(U394,W394)),Auxiliar!$C$12,IF(ABS($E394-$G394)=ABS(U394-W394),Auxiliar!$C$13,IF(AND(SIGN($E394-$G394)=SIGN(U394-W394),MIN($E394,$G394)=MIN(U394,W394)),Auxiliar!$C$14,IF(SIGN($E394-$G394)=SIGN(U394-W394),Auxiliar!$C$15,IF(U394=W394,Auxiliar!$C$16,0)))))))</f>
        <v/>
      </c>
      <c r="Z394" s="9">
        <v>4</v>
      </c>
      <c r="AA394" s="10" t="s">
        <v>23</v>
      </c>
      <c r="AB394" s="11">
        <v>1</v>
      </c>
      <c r="AC394" s="60" t="str">
        <f>IF(OR($E394="",$G394=""),"",IF(AND(Z394=$E394,AB394=$G394),Auxiliar!$C$11,IF(AND(SIGN($E394-$G394)=SIGN(Z394-AB394),MAX($E394,$G394)=MAX(Z394,AB394)),Auxiliar!$C$12,IF(ABS($E394-$G394)=ABS(Z394-AB394),Auxiliar!$C$13,IF(AND(SIGN($E394-$G394)=SIGN(Z394-AB394),MIN($E394,$G394)=MIN(Z394,AB394)),Auxiliar!$C$14,IF(SIGN($E394-$G394)=SIGN(Z394-AB394),Auxiliar!$C$15,IF(Z394=AB394,Auxiliar!$C$16,0)))))))</f>
        <v/>
      </c>
      <c r="AE394" s="9">
        <v>0</v>
      </c>
      <c r="AF394" s="10" t="s">
        <v>23</v>
      </c>
      <c r="AG394" s="11">
        <v>4</v>
      </c>
      <c r="AH394" s="60" t="str">
        <f>IF(OR($E394="",$G394=""),"",IF(AND(AE394=$E394,AG394=$G394),Auxiliar!$C$11,IF(AND(SIGN($E394-$G394)=SIGN(AE394-AG394),MAX($E394,$G394)=MAX(AE394,AG394)),Auxiliar!$C$12,IF(ABS($E394-$G394)=ABS(AE394-AG394),Auxiliar!$C$13,IF(AND(SIGN($E394-$G394)=SIGN(AE394-AG394),MIN($E394,$G394)=MIN(AE394,AG394)),Auxiliar!$C$14,IF(SIGN($E394-$G394)=SIGN(AE394-AG394),Auxiliar!$C$15,IF(AE394=AG394,Auxiliar!$C$16,0)))))))</f>
        <v/>
      </c>
    </row>
    <row r="395" spans="3:34" x14ac:dyDescent="0.25">
      <c r="C395" s="24">
        <f t="shared" si="5"/>
        <v>38</v>
      </c>
      <c r="D395" s="18"/>
      <c r="E395" s="13"/>
      <c r="F395" s="12" t="s">
        <v>23</v>
      </c>
      <c r="G395" s="13"/>
      <c r="H395" s="14"/>
      <c r="K395" s="9">
        <v>5</v>
      </c>
      <c r="L395" s="10" t="s">
        <v>23</v>
      </c>
      <c r="M395" s="11">
        <v>3</v>
      </c>
      <c r="N395" s="60" t="str">
        <f>IF(OR($E395="",$G395=""),"",IF(AND(K395=$E395,M395=$G395),Auxiliar!$C$11,IF(AND(SIGN($E395-$G395)=SIGN(K395-M395),MAX($E395,$G395)=MAX(K395,M395)),Auxiliar!$C$12,IF(ABS($E395-$G395)=ABS(K395-M395),Auxiliar!$C$13,IF(AND(SIGN($E395-$G395)=SIGN(K395-M395),MIN($E395,$G395)=MIN(K395,M395)),Auxiliar!$C$14,IF(SIGN($E395-$G395)=SIGN(K395-M395),Auxiliar!$C$15,IF(K395=M395,Auxiliar!$C$16,0)))))))</f>
        <v/>
      </c>
      <c r="P395" s="9">
        <v>2</v>
      </c>
      <c r="Q395" s="10" t="s">
        <v>23</v>
      </c>
      <c r="R395" s="11">
        <v>3</v>
      </c>
      <c r="S395" s="60" t="str">
        <f>IF(OR($E395="",$G395=""),"",IF(AND(P395=$E395,R395=$G395),Auxiliar!$C$11,IF(AND(SIGN($E395-$G395)=SIGN(P395-R395),MAX($E395,$G395)=MAX(P395,R395)),Auxiliar!$C$12,IF(ABS($E395-$G395)=ABS(P395-R395),Auxiliar!$C$13,IF(AND(SIGN($E395-$G395)=SIGN(P395-R395),MIN($E395,$G395)=MIN(P395,R395)),Auxiliar!$C$14,IF(SIGN($E395-$G395)=SIGN(P395-R395),Auxiliar!$C$15,IF(P395=R395,Auxiliar!$C$16,0)))))))</f>
        <v/>
      </c>
      <c r="U395" s="9">
        <v>4</v>
      </c>
      <c r="V395" s="10" t="s">
        <v>23</v>
      </c>
      <c r="W395" s="11">
        <v>2</v>
      </c>
      <c r="X395" s="60" t="str">
        <f>IF(OR($E395="",$G395=""),"",IF(AND(U395=$E395,W395=$G395),Auxiliar!$C$11,IF(AND(SIGN($E395-$G395)=SIGN(U395-W395),MAX($E395,$G395)=MAX(U395,W395)),Auxiliar!$C$12,IF(ABS($E395-$G395)=ABS(U395-W395),Auxiliar!$C$13,IF(AND(SIGN($E395-$G395)=SIGN(U395-W395),MIN($E395,$G395)=MIN(U395,W395)),Auxiliar!$C$14,IF(SIGN($E395-$G395)=SIGN(U395-W395),Auxiliar!$C$15,IF(U395=W395,Auxiliar!$C$16,0)))))))</f>
        <v/>
      </c>
      <c r="Z395" s="9">
        <v>0</v>
      </c>
      <c r="AA395" s="10" t="s">
        <v>23</v>
      </c>
      <c r="AB395" s="11">
        <v>3</v>
      </c>
      <c r="AC395" s="60" t="str">
        <f>IF(OR($E395="",$G395=""),"",IF(AND(Z395=$E395,AB395=$G395),Auxiliar!$C$11,IF(AND(SIGN($E395-$G395)=SIGN(Z395-AB395),MAX($E395,$G395)=MAX(Z395,AB395)),Auxiliar!$C$12,IF(ABS($E395-$G395)=ABS(Z395-AB395),Auxiliar!$C$13,IF(AND(SIGN($E395-$G395)=SIGN(Z395-AB395),MIN($E395,$G395)=MIN(Z395,AB395)),Auxiliar!$C$14,IF(SIGN($E395-$G395)=SIGN(Z395-AB395),Auxiliar!$C$15,IF(Z395=AB395,Auxiliar!$C$16,0)))))))</f>
        <v/>
      </c>
      <c r="AE395" s="9">
        <v>0</v>
      </c>
      <c r="AF395" s="10" t="s">
        <v>23</v>
      </c>
      <c r="AG395" s="11">
        <v>4</v>
      </c>
      <c r="AH395" s="60" t="str">
        <f>IF(OR($E395="",$G395=""),"",IF(AND(AE395=$E395,AG395=$G395),Auxiliar!$C$11,IF(AND(SIGN($E395-$G395)=SIGN(AE395-AG395),MAX($E395,$G395)=MAX(AE395,AG395)),Auxiliar!$C$12,IF(ABS($E395-$G395)=ABS(AE395-AG395),Auxiliar!$C$13,IF(AND(SIGN($E395-$G395)=SIGN(AE395-AG395),MIN($E395,$G395)=MIN(AE395,AG395)),Auxiliar!$C$14,IF(SIGN($E395-$G395)=SIGN(AE395-AG395),Auxiliar!$C$15,IF(AE395=AG395,Auxiliar!$C$16,0)))))))</f>
        <v/>
      </c>
    </row>
    <row r="396" spans="3:34" x14ac:dyDescent="0.25">
      <c r="C396" s="24">
        <f t="shared" si="5"/>
        <v>38</v>
      </c>
      <c r="D396" s="18"/>
      <c r="E396" s="13"/>
      <c r="F396" s="12" t="s">
        <v>23</v>
      </c>
      <c r="G396" s="13"/>
      <c r="H396" s="14"/>
      <c r="K396" s="9">
        <v>3</v>
      </c>
      <c r="L396" s="10" t="s">
        <v>23</v>
      </c>
      <c r="M396" s="11">
        <v>4</v>
      </c>
      <c r="N396" s="60" t="str">
        <f>IF(OR($E396="",$G396=""),"",IF(AND(K396=$E396,M396=$G396),Auxiliar!$C$11,IF(AND(SIGN($E396-$G396)=SIGN(K396-M396),MAX($E396,$G396)=MAX(K396,M396)),Auxiliar!$C$12,IF(ABS($E396-$G396)=ABS(K396-M396),Auxiliar!$C$13,IF(AND(SIGN($E396-$G396)=SIGN(K396-M396),MIN($E396,$G396)=MIN(K396,M396)),Auxiliar!$C$14,IF(SIGN($E396-$G396)=SIGN(K396-M396),Auxiliar!$C$15,IF(K396=M396,Auxiliar!$C$16,0)))))))</f>
        <v/>
      </c>
      <c r="P396" s="9">
        <v>5</v>
      </c>
      <c r="Q396" s="10" t="s">
        <v>23</v>
      </c>
      <c r="R396" s="11">
        <v>3</v>
      </c>
      <c r="S396" s="60" t="str">
        <f>IF(OR($E396="",$G396=""),"",IF(AND(P396=$E396,R396=$G396),Auxiliar!$C$11,IF(AND(SIGN($E396-$G396)=SIGN(P396-R396),MAX($E396,$G396)=MAX(P396,R396)),Auxiliar!$C$12,IF(ABS($E396-$G396)=ABS(P396-R396),Auxiliar!$C$13,IF(AND(SIGN($E396-$G396)=SIGN(P396-R396),MIN($E396,$G396)=MIN(P396,R396)),Auxiliar!$C$14,IF(SIGN($E396-$G396)=SIGN(P396-R396),Auxiliar!$C$15,IF(P396=R396,Auxiliar!$C$16,0)))))))</f>
        <v/>
      </c>
      <c r="U396" s="9">
        <v>5</v>
      </c>
      <c r="V396" s="10" t="s">
        <v>23</v>
      </c>
      <c r="W396" s="11">
        <v>1</v>
      </c>
      <c r="X396" s="60" t="str">
        <f>IF(OR($E396="",$G396=""),"",IF(AND(U396=$E396,W396=$G396),Auxiliar!$C$11,IF(AND(SIGN($E396-$G396)=SIGN(U396-W396),MAX($E396,$G396)=MAX(U396,W396)),Auxiliar!$C$12,IF(ABS($E396-$G396)=ABS(U396-W396),Auxiliar!$C$13,IF(AND(SIGN($E396-$G396)=SIGN(U396-W396),MIN($E396,$G396)=MIN(U396,W396)),Auxiliar!$C$14,IF(SIGN($E396-$G396)=SIGN(U396-W396),Auxiliar!$C$15,IF(U396=W396,Auxiliar!$C$16,0)))))))</f>
        <v/>
      </c>
      <c r="Z396" s="9">
        <v>2</v>
      </c>
      <c r="AA396" s="10" t="s">
        <v>23</v>
      </c>
      <c r="AB396" s="11">
        <v>5</v>
      </c>
      <c r="AC396" s="60" t="str">
        <f>IF(OR($E396="",$G396=""),"",IF(AND(Z396=$E396,AB396=$G396),Auxiliar!$C$11,IF(AND(SIGN($E396-$G396)=SIGN(Z396-AB396),MAX($E396,$G396)=MAX(Z396,AB396)),Auxiliar!$C$12,IF(ABS($E396-$G396)=ABS(Z396-AB396),Auxiliar!$C$13,IF(AND(SIGN($E396-$G396)=SIGN(Z396-AB396),MIN($E396,$G396)=MIN(Z396,AB396)),Auxiliar!$C$14,IF(SIGN($E396-$G396)=SIGN(Z396-AB396),Auxiliar!$C$15,IF(Z396=AB396,Auxiliar!$C$16,0)))))))</f>
        <v/>
      </c>
      <c r="AE396" s="9">
        <v>3</v>
      </c>
      <c r="AF396" s="10" t="s">
        <v>23</v>
      </c>
      <c r="AG396" s="11">
        <v>5</v>
      </c>
      <c r="AH396" s="60" t="str">
        <f>IF(OR($E396="",$G396=""),"",IF(AND(AE396=$E396,AG396=$G396),Auxiliar!$C$11,IF(AND(SIGN($E396-$G396)=SIGN(AE396-AG396),MAX($E396,$G396)=MAX(AE396,AG396)),Auxiliar!$C$12,IF(ABS($E396-$G396)=ABS(AE396-AG396),Auxiliar!$C$13,IF(AND(SIGN($E396-$G396)=SIGN(AE396-AG396),MIN($E396,$G396)=MIN(AE396,AG396)),Auxiliar!$C$14,IF(SIGN($E396-$G396)=SIGN(AE396-AG396),Auxiliar!$C$15,IF(AE396=AG396,Auxiliar!$C$16,0)))))))</f>
        <v/>
      </c>
    </row>
    <row r="397" spans="3:34" x14ac:dyDescent="0.25">
      <c r="C397" s="24">
        <f t="shared" si="5"/>
        <v>38</v>
      </c>
      <c r="D397" s="18"/>
      <c r="E397" s="13"/>
      <c r="F397" s="12" t="s">
        <v>23</v>
      </c>
      <c r="G397" s="13"/>
      <c r="H397" s="14"/>
      <c r="K397" s="9">
        <v>5</v>
      </c>
      <c r="L397" s="10" t="s">
        <v>23</v>
      </c>
      <c r="M397" s="11">
        <v>3</v>
      </c>
      <c r="N397" s="60" t="str">
        <f>IF(OR($E397="",$G397=""),"",IF(AND(K397=$E397,M397=$G397),Auxiliar!$C$11,IF(AND(SIGN($E397-$G397)=SIGN(K397-M397),MAX($E397,$G397)=MAX(K397,M397)),Auxiliar!$C$12,IF(ABS($E397-$G397)=ABS(K397-M397),Auxiliar!$C$13,IF(AND(SIGN($E397-$G397)=SIGN(K397-M397),MIN($E397,$G397)=MIN(K397,M397)),Auxiliar!$C$14,IF(SIGN($E397-$G397)=SIGN(K397-M397),Auxiliar!$C$15,IF(K397=M397,Auxiliar!$C$16,0)))))))</f>
        <v/>
      </c>
      <c r="P397" s="9">
        <v>0</v>
      </c>
      <c r="Q397" s="10" t="s">
        <v>23</v>
      </c>
      <c r="R397" s="11">
        <v>2</v>
      </c>
      <c r="S397" s="60" t="str">
        <f>IF(OR($E397="",$G397=""),"",IF(AND(P397=$E397,R397=$G397),Auxiliar!$C$11,IF(AND(SIGN($E397-$G397)=SIGN(P397-R397),MAX($E397,$G397)=MAX(P397,R397)),Auxiliar!$C$12,IF(ABS($E397-$G397)=ABS(P397-R397),Auxiliar!$C$13,IF(AND(SIGN($E397-$G397)=SIGN(P397-R397),MIN($E397,$G397)=MIN(P397,R397)),Auxiliar!$C$14,IF(SIGN($E397-$G397)=SIGN(P397-R397),Auxiliar!$C$15,IF(P397=R397,Auxiliar!$C$16,0)))))))</f>
        <v/>
      </c>
      <c r="U397" s="9">
        <v>3</v>
      </c>
      <c r="V397" s="10" t="s">
        <v>23</v>
      </c>
      <c r="W397" s="11">
        <v>0</v>
      </c>
      <c r="X397" s="60" t="str">
        <f>IF(OR($E397="",$G397=""),"",IF(AND(U397=$E397,W397=$G397),Auxiliar!$C$11,IF(AND(SIGN($E397-$G397)=SIGN(U397-W397),MAX($E397,$G397)=MAX(U397,W397)),Auxiliar!$C$12,IF(ABS($E397-$G397)=ABS(U397-W397),Auxiliar!$C$13,IF(AND(SIGN($E397-$G397)=SIGN(U397-W397),MIN($E397,$G397)=MIN(U397,W397)),Auxiliar!$C$14,IF(SIGN($E397-$G397)=SIGN(U397-W397),Auxiliar!$C$15,IF(U397=W397,Auxiliar!$C$16,0)))))))</f>
        <v/>
      </c>
      <c r="Z397" s="9">
        <v>1</v>
      </c>
      <c r="AA397" s="10" t="s">
        <v>23</v>
      </c>
      <c r="AB397" s="11">
        <v>3</v>
      </c>
      <c r="AC397" s="60" t="str">
        <f>IF(OR($E397="",$G397=""),"",IF(AND(Z397=$E397,AB397=$G397),Auxiliar!$C$11,IF(AND(SIGN($E397-$G397)=SIGN(Z397-AB397),MAX($E397,$G397)=MAX(Z397,AB397)),Auxiliar!$C$12,IF(ABS($E397-$G397)=ABS(Z397-AB397),Auxiliar!$C$13,IF(AND(SIGN($E397-$G397)=SIGN(Z397-AB397),MIN($E397,$G397)=MIN(Z397,AB397)),Auxiliar!$C$14,IF(SIGN($E397-$G397)=SIGN(Z397-AB397),Auxiliar!$C$15,IF(Z397=AB397,Auxiliar!$C$16,0)))))))</f>
        <v/>
      </c>
      <c r="AE397" s="9">
        <v>0</v>
      </c>
      <c r="AF397" s="10" t="s">
        <v>23</v>
      </c>
      <c r="AG397" s="11">
        <v>0</v>
      </c>
      <c r="AH397" s="60" t="str">
        <f>IF(OR($E397="",$G397=""),"",IF(AND(AE397=$E397,AG397=$G397),Auxiliar!$C$11,IF(AND(SIGN($E397-$G397)=SIGN(AE397-AG397),MAX($E397,$G397)=MAX(AE397,AG397)),Auxiliar!$C$12,IF(ABS($E397-$G397)=ABS(AE397-AG397),Auxiliar!$C$13,IF(AND(SIGN($E397-$G397)=SIGN(AE397-AG397),MIN($E397,$G397)=MIN(AE397,AG397)),Auxiliar!$C$14,IF(SIGN($E397-$G397)=SIGN(AE397-AG397),Auxiliar!$C$15,IF(AE397=AG397,Auxiliar!$C$16,0)))))))</f>
        <v/>
      </c>
    </row>
    <row r="398" spans="3:34" x14ac:dyDescent="0.25">
      <c r="C398" s="24">
        <f t="shared" si="5"/>
        <v>38</v>
      </c>
      <c r="D398" s="18"/>
      <c r="E398" s="13"/>
      <c r="F398" s="12" t="s">
        <v>23</v>
      </c>
      <c r="G398" s="13"/>
      <c r="H398" s="14"/>
      <c r="K398" s="9">
        <v>3</v>
      </c>
      <c r="L398" s="10" t="s">
        <v>23</v>
      </c>
      <c r="M398" s="11">
        <v>1</v>
      </c>
      <c r="N398" s="60" t="str">
        <f>IF(OR($E398="",$G398=""),"",IF(AND(K398=$E398,M398=$G398),Auxiliar!$C$11,IF(AND(SIGN($E398-$G398)=SIGN(K398-M398),MAX($E398,$G398)=MAX(K398,M398)),Auxiliar!$C$12,IF(ABS($E398-$G398)=ABS(K398-M398),Auxiliar!$C$13,IF(AND(SIGN($E398-$G398)=SIGN(K398-M398),MIN($E398,$G398)=MIN(K398,M398)),Auxiliar!$C$14,IF(SIGN($E398-$G398)=SIGN(K398-M398),Auxiliar!$C$15,IF(K398=M398,Auxiliar!$C$16,0)))))))</f>
        <v/>
      </c>
      <c r="P398" s="9">
        <v>3</v>
      </c>
      <c r="Q398" s="10" t="s">
        <v>23</v>
      </c>
      <c r="R398" s="11">
        <v>4</v>
      </c>
      <c r="S398" s="60" t="str">
        <f>IF(OR($E398="",$G398=""),"",IF(AND(P398=$E398,R398=$G398),Auxiliar!$C$11,IF(AND(SIGN($E398-$G398)=SIGN(P398-R398),MAX($E398,$G398)=MAX(P398,R398)),Auxiliar!$C$12,IF(ABS($E398-$G398)=ABS(P398-R398),Auxiliar!$C$13,IF(AND(SIGN($E398-$G398)=SIGN(P398-R398),MIN($E398,$G398)=MIN(P398,R398)),Auxiliar!$C$14,IF(SIGN($E398-$G398)=SIGN(P398-R398),Auxiliar!$C$15,IF(P398=R398,Auxiliar!$C$16,0)))))))</f>
        <v/>
      </c>
      <c r="U398" s="9">
        <v>0</v>
      </c>
      <c r="V398" s="10" t="s">
        <v>23</v>
      </c>
      <c r="W398" s="11">
        <v>0</v>
      </c>
      <c r="X398" s="60" t="str">
        <f>IF(OR($E398="",$G398=""),"",IF(AND(U398=$E398,W398=$G398),Auxiliar!$C$11,IF(AND(SIGN($E398-$G398)=SIGN(U398-W398),MAX($E398,$G398)=MAX(U398,W398)),Auxiliar!$C$12,IF(ABS($E398-$G398)=ABS(U398-W398),Auxiliar!$C$13,IF(AND(SIGN($E398-$G398)=SIGN(U398-W398),MIN($E398,$G398)=MIN(U398,W398)),Auxiliar!$C$14,IF(SIGN($E398-$G398)=SIGN(U398-W398),Auxiliar!$C$15,IF(U398=W398,Auxiliar!$C$16,0)))))))</f>
        <v/>
      </c>
      <c r="Z398" s="9">
        <v>1</v>
      </c>
      <c r="AA398" s="10" t="s">
        <v>23</v>
      </c>
      <c r="AB398" s="11">
        <v>5</v>
      </c>
      <c r="AC398" s="60" t="str">
        <f>IF(OR($E398="",$G398=""),"",IF(AND(Z398=$E398,AB398=$G398),Auxiliar!$C$11,IF(AND(SIGN($E398-$G398)=SIGN(Z398-AB398),MAX($E398,$G398)=MAX(Z398,AB398)),Auxiliar!$C$12,IF(ABS($E398-$G398)=ABS(Z398-AB398),Auxiliar!$C$13,IF(AND(SIGN($E398-$G398)=SIGN(Z398-AB398),MIN($E398,$G398)=MIN(Z398,AB398)),Auxiliar!$C$14,IF(SIGN($E398-$G398)=SIGN(Z398-AB398),Auxiliar!$C$15,IF(Z398=AB398,Auxiliar!$C$16,0)))))))</f>
        <v/>
      </c>
      <c r="AE398" s="9">
        <v>0</v>
      </c>
      <c r="AF398" s="10" t="s">
        <v>23</v>
      </c>
      <c r="AG398" s="11">
        <v>2</v>
      </c>
      <c r="AH398" s="60" t="str">
        <f>IF(OR($E398="",$G398=""),"",IF(AND(AE398=$E398,AG398=$G398),Auxiliar!$C$11,IF(AND(SIGN($E398-$G398)=SIGN(AE398-AG398),MAX($E398,$G398)=MAX(AE398,AG398)),Auxiliar!$C$12,IF(ABS($E398-$G398)=ABS(AE398-AG398),Auxiliar!$C$13,IF(AND(SIGN($E398-$G398)=SIGN(AE398-AG398),MIN($E398,$G398)=MIN(AE398,AG398)),Auxiliar!$C$14,IF(SIGN($E398-$G398)=SIGN(AE398-AG398),Auxiliar!$C$15,IF(AE398=AG398,Auxiliar!$C$16,0)))))))</f>
        <v/>
      </c>
    </row>
  </sheetData>
  <mergeCells count="16">
    <mergeCell ref="AH14:AH15"/>
    <mergeCell ref="AE18:AG18"/>
    <mergeCell ref="Z14:AB15"/>
    <mergeCell ref="AC14:AC15"/>
    <mergeCell ref="Z18:AB18"/>
    <mergeCell ref="AE14:AG15"/>
    <mergeCell ref="S14:S15"/>
    <mergeCell ref="P18:R18"/>
    <mergeCell ref="U14:W15"/>
    <mergeCell ref="X14:X15"/>
    <mergeCell ref="U18:W18"/>
    <mergeCell ref="E18:G18"/>
    <mergeCell ref="K18:M18"/>
    <mergeCell ref="N14:N15"/>
    <mergeCell ref="K14:M15"/>
    <mergeCell ref="P14:R15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18D51-8A0A-4615-B1FB-88F0F22DBC1F}">
  <sheetPr codeName="Planilha2"/>
  <dimension ref="B10:X43"/>
  <sheetViews>
    <sheetView showGridLines="0" topLeftCell="G1" workbookViewId="0">
      <selection activeCell="X11" sqref="X11:X12"/>
    </sheetView>
  </sheetViews>
  <sheetFormatPr defaultRowHeight="15" x14ac:dyDescent="0.25"/>
  <cols>
    <col min="1" max="1" width="3.7109375" customWidth="1"/>
    <col min="2" max="2" width="24.42578125" customWidth="1"/>
    <col min="3" max="3" width="12.42578125" bestFit="1" customWidth="1"/>
    <col min="4" max="5" width="2.7109375" customWidth="1"/>
    <col min="6" max="6" width="14.85546875" customWidth="1"/>
    <col min="7" max="7" width="17.5703125" customWidth="1"/>
    <col min="8" max="9" width="2.7109375" customWidth="1"/>
    <col min="10" max="10" width="22.28515625" bestFit="1" customWidth="1"/>
    <col min="11" max="12" width="12.42578125" customWidth="1"/>
    <col min="13" max="14" width="1.5703125" customWidth="1"/>
    <col min="15" max="15" width="21.42578125" customWidth="1"/>
    <col min="16" max="16" width="13.85546875" customWidth="1"/>
    <col min="24" max="24" width="12.140625" bestFit="1" customWidth="1"/>
  </cols>
  <sheetData>
    <row r="10" spans="2:24" x14ac:dyDescent="0.25">
      <c r="B10" s="31" t="s">
        <v>25</v>
      </c>
      <c r="C10" s="32" t="s">
        <v>26</v>
      </c>
      <c r="D10" s="31"/>
      <c r="E10" s="31"/>
      <c r="F10" s="31" t="s">
        <v>34</v>
      </c>
      <c r="G10" s="32" t="s">
        <v>36</v>
      </c>
      <c r="H10" s="31"/>
      <c r="I10" s="31"/>
      <c r="J10" s="31" t="s">
        <v>37</v>
      </c>
      <c r="K10" s="32" t="s">
        <v>39</v>
      </c>
      <c r="L10" s="33" t="s">
        <v>41</v>
      </c>
      <c r="O10" s="31" t="s">
        <v>34</v>
      </c>
      <c r="P10" s="31" t="s">
        <v>35</v>
      </c>
      <c r="R10" s="1">
        <v>1</v>
      </c>
      <c r="S10" s="19">
        <f ca="1">LARGE($P$11:$P$15,R10)</f>
        <v>710</v>
      </c>
      <c r="T10" t="str">
        <f ca="1">INDEX(O:O,MATCH(S10,P:P,0))</f>
        <v>ALON</v>
      </c>
      <c r="W10" t="s">
        <v>58</v>
      </c>
      <c r="X10">
        <f>COUNTA(F:F)-1</f>
        <v>5</v>
      </c>
    </row>
    <row r="11" spans="2:24" x14ac:dyDescent="0.25">
      <c r="B11" t="s">
        <v>27</v>
      </c>
      <c r="C11" s="2">
        <v>25</v>
      </c>
      <c r="D11" s="2"/>
      <c r="E11" s="2"/>
      <c r="F11" t="s">
        <v>43</v>
      </c>
      <c r="G11" s="36">
        <v>200</v>
      </c>
      <c r="H11" s="2"/>
      <c r="I11" s="2"/>
      <c r="J11" t="s">
        <v>38</v>
      </c>
      <c r="K11" s="34">
        <v>0.7</v>
      </c>
      <c r="L11" s="35">
        <f>K11*SUM(G:G)</f>
        <v>700</v>
      </c>
      <c r="O11" t="s">
        <v>43</v>
      </c>
      <c r="P11" s="1" cm="1">
        <f t="array" aca="1" ref="P11" ca="1">INDIRECT(ADDRESS(14,MATCH(O11,BOLÃO!$14:$14,0)+3,,,"BOLÃO"))</f>
        <v>710</v>
      </c>
      <c r="R11" s="1">
        <v>2</v>
      </c>
      <c r="S11" s="19">
        <f ca="1">LARGE($P$11:$P$15,R11)</f>
        <v>696</v>
      </c>
      <c r="T11" t="str">
        <f t="shared" ref="T11:T12" ca="1" si="0">INDEX(O:O,MATCH(S11,P:P,0))</f>
        <v>AMANDA</v>
      </c>
      <c r="W11" t="s">
        <v>57</v>
      </c>
      <c r="X11" s="37">
        <f>AVERAGE(G:G)</f>
        <v>200</v>
      </c>
    </row>
    <row r="12" spans="2:24" x14ac:dyDescent="0.25">
      <c r="B12" t="s">
        <v>28</v>
      </c>
      <c r="C12" s="2">
        <v>18</v>
      </c>
      <c r="D12" s="2"/>
      <c r="E12" s="2"/>
      <c r="F12" t="s">
        <v>44</v>
      </c>
      <c r="G12" s="36">
        <v>200</v>
      </c>
      <c r="H12" s="2"/>
      <c r="I12" s="2"/>
      <c r="J12" t="s">
        <v>48</v>
      </c>
      <c r="K12" s="34">
        <v>0.2</v>
      </c>
      <c r="L12" s="35">
        <f>K12*SUM(G:G)</f>
        <v>200</v>
      </c>
      <c r="O12" t="s">
        <v>44</v>
      </c>
      <c r="P12" s="1" cm="1">
        <f t="array" aca="1" ref="P12" ca="1">INDIRECT(ADDRESS(14,MATCH(O12,BOLÃO!$14:$14,0)+3,,,"BOLÃO"))</f>
        <v>693</v>
      </c>
      <c r="R12" s="1">
        <v>3</v>
      </c>
      <c r="S12" s="19">
        <f ca="1">LARGE($P$11:$P$15,R12)</f>
        <v>693</v>
      </c>
      <c r="T12" t="str">
        <f t="shared" ca="1" si="0"/>
        <v>DIEGO</v>
      </c>
      <c r="W12" t="s">
        <v>59</v>
      </c>
      <c r="X12" s="37">
        <f>SUM(G:G)</f>
        <v>1000</v>
      </c>
    </row>
    <row r="13" spans="2:24" x14ac:dyDescent="0.25">
      <c r="B13" t="s">
        <v>29</v>
      </c>
      <c r="C13" s="2">
        <v>15</v>
      </c>
      <c r="D13" s="2"/>
      <c r="E13" s="2"/>
      <c r="F13" t="s">
        <v>45</v>
      </c>
      <c r="G13" s="36">
        <v>200</v>
      </c>
      <c r="H13" s="2"/>
      <c r="I13" s="2"/>
      <c r="J13" t="s">
        <v>40</v>
      </c>
      <c r="K13" s="34">
        <v>0.1</v>
      </c>
      <c r="L13" s="35">
        <f>K13*SUM(G:G)</f>
        <v>100</v>
      </c>
      <c r="O13" t="s">
        <v>45</v>
      </c>
      <c r="P13" s="1" cm="1">
        <f t="array" aca="1" ref="P13" ca="1">INDIRECT(ADDRESS(14,MATCH(O13,BOLÃO!$14:$14,0)+3,,,"BOLÃO"))</f>
        <v>696</v>
      </c>
    </row>
    <row r="14" spans="2:24" x14ac:dyDescent="0.25">
      <c r="B14" t="s">
        <v>30</v>
      </c>
      <c r="C14" s="2">
        <v>12</v>
      </c>
      <c r="D14" s="2"/>
      <c r="E14" s="2"/>
      <c r="F14" t="s">
        <v>49</v>
      </c>
      <c r="G14" s="36">
        <v>200</v>
      </c>
      <c r="H14" s="2"/>
      <c r="I14" s="2"/>
      <c r="J14" s="2"/>
      <c r="K14" s="2"/>
      <c r="L14" s="2"/>
      <c r="O14" t="s">
        <v>49</v>
      </c>
      <c r="P14" s="1" cm="1">
        <f t="array" aca="1" ref="P14" ca="1">INDIRECT(ADDRESS(14,MATCH(O14,BOLÃO!$14:$14,0)+3,,,"BOLÃO"))</f>
        <v>609</v>
      </c>
    </row>
    <row r="15" spans="2:24" x14ac:dyDescent="0.25">
      <c r="B15" t="s">
        <v>31</v>
      </c>
      <c r="C15" s="2">
        <v>10</v>
      </c>
      <c r="D15" s="2"/>
      <c r="E15" s="2"/>
      <c r="F15" t="s">
        <v>46</v>
      </c>
      <c r="G15" s="36">
        <v>200</v>
      </c>
      <c r="H15" s="2"/>
      <c r="I15" s="2"/>
      <c r="J15" s="2"/>
      <c r="K15" s="2"/>
      <c r="L15" s="2"/>
      <c r="O15" t="s">
        <v>46</v>
      </c>
      <c r="P15" s="1" cm="1">
        <f t="array" aca="1" ref="P15" ca="1">INDIRECT(ADDRESS(14,MATCH(O15,BOLÃO!$14:$14,0)+3,,,"BOLÃO"))</f>
        <v>569</v>
      </c>
    </row>
    <row r="16" spans="2:24" x14ac:dyDescent="0.25">
      <c r="B16" t="s">
        <v>32</v>
      </c>
      <c r="C16" s="2">
        <v>5</v>
      </c>
      <c r="D16" s="2"/>
      <c r="E16" s="2"/>
      <c r="F16" s="2"/>
      <c r="G16" s="2"/>
      <c r="H16" s="2"/>
      <c r="I16" s="2"/>
      <c r="J16" s="2"/>
      <c r="K16" s="2"/>
      <c r="L16" s="2"/>
    </row>
    <row r="19" spans="3:12" x14ac:dyDescent="0.25">
      <c r="D19" s="31"/>
      <c r="E19" s="31"/>
      <c r="F19" s="31"/>
      <c r="G19" s="31"/>
      <c r="H19" s="31"/>
      <c r="I19" s="31"/>
      <c r="J19" s="31"/>
      <c r="K19" s="31"/>
      <c r="L19" s="31"/>
    </row>
    <row r="20" spans="3:12" x14ac:dyDescent="0.25">
      <c r="D20" s="1"/>
      <c r="E20" s="1"/>
      <c r="F20" s="1"/>
      <c r="G20" s="1"/>
      <c r="H20" s="1"/>
      <c r="I20" s="1"/>
      <c r="J20" s="1"/>
      <c r="K20" s="1"/>
      <c r="L20" s="1"/>
    </row>
    <row r="21" spans="3:12" x14ac:dyDescent="0.25">
      <c r="D21" s="1"/>
      <c r="E21" s="1"/>
      <c r="F21" s="1"/>
      <c r="G21" s="1"/>
      <c r="H21" s="1"/>
      <c r="I21" s="1"/>
      <c r="J21" s="1"/>
      <c r="K21" s="1"/>
      <c r="L21" s="1"/>
    </row>
    <row r="22" spans="3:12" x14ac:dyDescent="0.25">
      <c r="D22" s="1"/>
      <c r="E22" s="1"/>
      <c r="F22" s="1"/>
      <c r="G22" s="1"/>
      <c r="H22" s="1"/>
      <c r="I22" s="1"/>
      <c r="J22" s="1"/>
      <c r="K22" s="1"/>
      <c r="L22" s="1"/>
    </row>
    <row r="23" spans="3:12" x14ac:dyDescent="0.25">
      <c r="D23" s="1"/>
      <c r="E23" s="1"/>
      <c r="F23" s="1"/>
      <c r="G23" s="1"/>
      <c r="H23" s="1"/>
      <c r="I23" s="1"/>
      <c r="J23" s="1"/>
      <c r="K23" s="1"/>
      <c r="L23" s="1"/>
    </row>
    <row r="24" spans="3:12" x14ac:dyDescent="0.25">
      <c r="D24" s="1"/>
      <c r="E24" s="1"/>
      <c r="F24" s="1"/>
      <c r="G24" s="1"/>
      <c r="H24" s="1"/>
      <c r="I24" s="1"/>
      <c r="J24" s="1"/>
      <c r="K24" s="1"/>
      <c r="L24" s="1"/>
    </row>
    <row r="25" spans="3:12" x14ac:dyDescent="0.25">
      <c r="C25" s="1"/>
      <c r="D25" s="1"/>
      <c r="E25" s="1"/>
      <c r="F25" s="1"/>
      <c r="G25" s="1"/>
      <c r="H25" s="1"/>
      <c r="I25" s="1"/>
      <c r="J25" s="1"/>
      <c r="K25" s="1"/>
      <c r="L25" s="1"/>
    </row>
    <row r="36" spans="4:14" x14ac:dyDescent="0.25">
      <c r="D36" s="7"/>
      <c r="E36" s="7"/>
      <c r="F36" s="7"/>
      <c r="G36" s="7"/>
      <c r="H36" s="7"/>
      <c r="I36" s="7"/>
      <c r="J36" s="7"/>
      <c r="K36" s="7"/>
      <c r="L36" s="7"/>
      <c r="M36" s="8"/>
      <c r="N36" s="8"/>
    </row>
    <row r="37" spans="4:14" x14ac:dyDescent="0.25">
      <c r="D37" s="7"/>
      <c r="E37" s="7"/>
      <c r="F37" s="7"/>
      <c r="G37" s="7"/>
      <c r="H37" s="7"/>
      <c r="I37" s="7"/>
      <c r="J37" s="7"/>
      <c r="K37" s="7"/>
      <c r="L37" s="7"/>
      <c r="M37" s="8"/>
      <c r="N37" s="8"/>
    </row>
    <row r="38" spans="4:14" x14ac:dyDescent="0.25">
      <c r="D38" s="7"/>
      <c r="E38" s="7"/>
      <c r="F38" s="7"/>
      <c r="G38" s="7"/>
      <c r="H38" s="7"/>
      <c r="I38" s="7"/>
      <c r="J38" s="7"/>
      <c r="K38" s="7"/>
      <c r="L38" s="7"/>
      <c r="M38" s="8"/>
      <c r="N38" s="8"/>
    </row>
    <row r="43" spans="4:14" ht="32.25" customHeight="1" x14ac:dyDescent="0.25"/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5A49A-8FAC-4882-AD05-BEF340AD2A30}">
  <dimension ref="A1:B6"/>
  <sheetViews>
    <sheetView workbookViewId="0">
      <selection activeCell="E4" sqref="E4"/>
    </sheetView>
  </sheetViews>
  <sheetFormatPr defaultRowHeight="15" x14ac:dyDescent="0.25"/>
  <cols>
    <col min="1" max="1" width="10.7109375" bestFit="1" customWidth="1"/>
    <col min="2" max="2" width="9.7109375" customWidth="1"/>
  </cols>
  <sheetData>
    <row r="1" spans="1:2" x14ac:dyDescent="0.25">
      <c r="A1" t="s">
        <v>52</v>
      </c>
      <c r="B1" t="s">
        <v>53</v>
      </c>
    </row>
    <row r="2" spans="1:2" ht="51.75" customHeight="1" x14ac:dyDescent="0.25">
      <c r="A2" t="s">
        <v>50</v>
      </c>
    </row>
    <row r="3" spans="1:2" ht="51.75" customHeight="1" x14ac:dyDescent="0.25">
      <c r="A3" t="s">
        <v>51</v>
      </c>
    </row>
    <row r="4" spans="1:2" ht="51.75" customHeight="1" x14ac:dyDescent="0.25">
      <c r="A4" t="s">
        <v>54</v>
      </c>
    </row>
    <row r="5" spans="1:2" ht="51.75" customHeight="1" x14ac:dyDescent="0.25">
      <c r="A5" t="s">
        <v>55</v>
      </c>
    </row>
    <row r="6" spans="1:2" ht="51.75" customHeight="1" x14ac:dyDescent="0.25">
      <c r="A6" t="s">
        <v>56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BOLÃO</vt:lpstr>
      <vt:lpstr>Auxiliar</vt:lpstr>
      <vt:lpstr>Imagens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Cavalcanti</dc:creator>
  <cp:lastModifiedBy>Marcus Vinicius Cavalcanti de Jesus</cp:lastModifiedBy>
  <dcterms:created xsi:type="dcterms:W3CDTF">2021-03-29T20:33:07Z</dcterms:created>
  <dcterms:modified xsi:type="dcterms:W3CDTF">2021-03-30T18:57:39Z</dcterms:modified>
</cp:coreProperties>
</file>