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FF12D767-FE0A-47EE-B383-F60C1DD9F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s" sheetId="1" r:id="rId1"/>
    <sheet name="Clientes" sheetId="2" r:id="rId2"/>
    <sheet name="Ordens de Serviços" sheetId="3" r:id="rId3"/>
    <sheet name="Imprimir OS" sheetId="4" r:id="rId4"/>
    <sheet name="Painel" sheetId="5" r:id="rId5"/>
    <sheet name="Cálculos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E1" i="6"/>
  <c r="B2" i="6"/>
  <c r="E2" i="6"/>
  <c r="A6" i="6" a="1"/>
  <c r="B7" i="6" s="1"/>
  <c r="A6" i="6"/>
  <c r="B6" i="6" s="1"/>
  <c r="D6" i="6" a="1"/>
  <c r="D6" i="6" s="1"/>
  <c r="E6" i="6" s="1"/>
  <c r="B8" i="6"/>
  <c r="G11" i="4"/>
  <c r="G9" i="4"/>
  <c r="F9" i="4"/>
  <c r="F11" i="4"/>
  <c r="E11" i="4"/>
  <c r="E9" i="4"/>
  <c r="G7" i="4"/>
  <c r="F7" i="4"/>
  <c r="E5" i="4"/>
  <c r="H5" i="4" s="1"/>
  <c r="E7" i="4"/>
  <c r="G3" i="4"/>
  <c r="A10" i="3"/>
  <c r="A9" i="3"/>
  <c r="A8" i="3"/>
  <c r="A7" i="3"/>
  <c r="A6" i="3"/>
  <c r="A5" i="3"/>
  <c r="A4" i="3"/>
  <c r="A3" i="3"/>
  <c r="E7" i="6" l="1"/>
  <c r="E8" i="6"/>
  <c r="F5" i="4"/>
  <c r="G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<sst xmlns="http://schemas.openxmlformats.org/spreadsheetml/2006/main" count="163" uniqueCount="84">
  <si>
    <t xml:space="preserve">     Cadastros</t>
  </si>
  <si>
    <t>Tipo de Chamado</t>
  </si>
  <si>
    <t>Atendente</t>
  </si>
  <si>
    <t>Técnico</t>
  </si>
  <si>
    <t>Serviço</t>
  </si>
  <si>
    <t>Suporte</t>
  </si>
  <si>
    <t>João Guilherme</t>
  </si>
  <si>
    <t>Izabelle Cavalcanti</t>
  </si>
  <si>
    <t>Preventiva</t>
  </si>
  <si>
    <t>Garantia</t>
  </si>
  <si>
    <t>Marcos Pinheiro</t>
  </si>
  <si>
    <t>Natalia Pereira</t>
  </si>
  <si>
    <t>Corretiva</t>
  </si>
  <si>
    <t>Novo Serviço</t>
  </si>
  <si>
    <t>Samantha Silva</t>
  </si>
  <si>
    <t>Lucas Fortes</t>
  </si>
  <si>
    <t>Upgrade equipamento</t>
  </si>
  <si>
    <t>Atualização equipamento</t>
  </si>
  <si>
    <t xml:space="preserve">     Clientes</t>
  </si>
  <si>
    <t>Cliente</t>
  </si>
  <si>
    <t>Endereço</t>
  </si>
  <si>
    <t>Cidade</t>
  </si>
  <si>
    <t>UF</t>
  </si>
  <si>
    <t>Contato</t>
  </si>
  <si>
    <t>E-mail</t>
  </si>
  <si>
    <t>Cliente1</t>
  </si>
  <si>
    <t>Endereço1</t>
  </si>
  <si>
    <t>Cidade1</t>
  </si>
  <si>
    <t>AM</t>
  </si>
  <si>
    <t>(xx)xxxxx-xxxx</t>
  </si>
  <si>
    <t>cliente1@email.com</t>
  </si>
  <si>
    <t>Cliente2</t>
  </si>
  <si>
    <t>Endereço2</t>
  </si>
  <si>
    <t>Cidade2</t>
  </si>
  <si>
    <t>AP</t>
  </si>
  <si>
    <t>Cliente3</t>
  </si>
  <si>
    <t>Endereço3</t>
  </si>
  <si>
    <t>Cidade3</t>
  </si>
  <si>
    <t>RS</t>
  </si>
  <si>
    <t>Cliente4</t>
  </si>
  <si>
    <t>Endereço4</t>
  </si>
  <si>
    <t>Cidade4</t>
  </si>
  <si>
    <t>PB</t>
  </si>
  <si>
    <t>Cliente5</t>
  </si>
  <si>
    <t>Endereço5</t>
  </si>
  <si>
    <t>Cidade5</t>
  </si>
  <si>
    <t>PE</t>
  </si>
  <si>
    <t>Cliente6</t>
  </si>
  <si>
    <t>Endereço6</t>
  </si>
  <si>
    <t>Cidade6</t>
  </si>
  <si>
    <t>MG</t>
  </si>
  <si>
    <t>Cliente7</t>
  </si>
  <si>
    <t>Endereço7</t>
  </si>
  <si>
    <t>Cidade7</t>
  </si>
  <si>
    <t>SP</t>
  </si>
  <si>
    <t>Cliente8</t>
  </si>
  <si>
    <t>Endereço8</t>
  </si>
  <si>
    <t>Cidade8</t>
  </si>
  <si>
    <t>MT</t>
  </si>
  <si>
    <t xml:space="preserve">     Ordens de Serviços</t>
  </si>
  <si>
    <t>Código</t>
  </si>
  <si>
    <t>Data atendimento</t>
  </si>
  <si>
    <t>Tipo
Chamado</t>
  </si>
  <si>
    <t>Preço</t>
  </si>
  <si>
    <t>Data Agendamento</t>
  </si>
  <si>
    <t>Situação OS</t>
  </si>
  <si>
    <t>Situação
Problema</t>
  </si>
  <si>
    <t>Resolvido</t>
  </si>
  <si>
    <t>Agendado</t>
  </si>
  <si>
    <t>Não Resolvido</t>
  </si>
  <si>
    <t>Suspenso</t>
  </si>
  <si>
    <t>Cancelado</t>
  </si>
  <si>
    <t>Selecionar OS:</t>
  </si>
  <si>
    <t>Ordem de Serviço</t>
  </si>
  <si>
    <t>Número OS</t>
  </si>
  <si>
    <t>Data Atendimento</t>
  </si>
  <si>
    <t>Data
Agendamento</t>
  </si>
  <si>
    <t>Situação Problema</t>
  </si>
  <si>
    <t>Oss abertas</t>
  </si>
  <si>
    <t>Resolvidos</t>
  </si>
  <si>
    <t>Oss resolvidas</t>
  </si>
  <si>
    <t>Não Resolvidos</t>
  </si>
  <si>
    <t>Por tipo chamado</t>
  </si>
  <si>
    <t>Por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</si>
</sst>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000"/>
    <numFmt numFmtId="166" formatCode="[$-816]d\ &quot;de&quot;\ mmmm\ &quot;de&quot;\ yyyy;@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2" borderId="10" xfId="0" applyFill="1" applyBorder="1"/>
    <xf numFmtId="165" fontId="0" fillId="0" borderId="11" xfId="0" applyNumberFormat="1" applyBorder="1"/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167" formatCode="dd/mm/yyyy"/>
    </dxf>
    <dxf>
      <numFmt numFmtId="164" formatCode="&quot;R$&quot;\ #,##0.00"/>
    </dxf>
    <dxf>
      <numFmt numFmtId="167" formatCode="dd/mm/yyyy"/>
    </dxf>
    <dxf>
      <numFmt numFmtId="165" formatCode="0000"/>
    </dxf>
    <dxf>
      <alignment horizontal="general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Cálculos!$A$6:$A$8</c:f>
              <c:strCache>
                <c:ptCount val="3"/>
                <c:pt idx="0">
                  <c:v>Suporte</c:v>
                </c:pt>
                <c:pt idx="1">
                  <c:v>Garantia</c:v>
                </c:pt>
                <c:pt idx="2">
                  <c:v>Novo Serviço</c:v>
                </c:pt>
              </c:strCache>
            </c:strRef>
          </c:cat>
          <c:val>
            <c:numRef>
              <c:f>Cálculos!$B$6:$B$8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4-4AFB-83F0-64868F188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4534159"/>
        <c:axId val="1044534575"/>
      </c:barChart>
      <c:catAx>
        <c:axId val="104453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34575"/>
        <c:crosses val="autoZero"/>
        <c:auto val="1"/>
        <c:lblAlgn val="ctr"/>
        <c:lblOffset val="100"/>
        <c:noMultiLvlLbl val="0"/>
      </c:catAx>
      <c:valAx>
        <c:axId val="10445345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453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Cálculos!$D$6:$D$8</c:f>
              <c:strCache>
                <c:ptCount val="3"/>
                <c:pt idx="0">
                  <c:v>Izabelle Cavalcanti</c:v>
                </c:pt>
                <c:pt idx="1">
                  <c:v>Natalia Pereira</c:v>
                </c:pt>
                <c:pt idx="2">
                  <c:v>Lucas Fortes</c:v>
                </c:pt>
              </c:strCache>
            </c:strRef>
          </c:cat>
          <c:val>
            <c:numRef>
              <c:f>Cálculos!$E$6:$E$8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2-41C9-84C0-2FCB4D592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564415"/>
        <c:axId val="1446565247"/>
      </c:barChart>
      <c:catAx>
        <c:axId val="144656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565247"/>
        <c:crosses val="autoZero"/>
        <c:auto val="1"/>
        <c:lblAlgn val="ctr"/>
        <c:lblOffset val="100"/>
        <c:noMultiLvlLbl val="0"/>
      </c:catAx>
      <c:valAx>
        <c:axId val="1446565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4656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7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7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7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D85-4534-90B9-E1D3DC34AF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85-4534-90B9-E1D3DC34AFBC}"/>
              </c:ext>
            </c:extLst>
          </c:dPt>
          <c:dLbls>
            <c:dLbl>
              <c:idx val="0"/>
              <c:layout>
                <c:manualLayout>
                  <c:x val="-3.3333333333333333E-2"/>
                  <c:y val="0.106481481481481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85-4534-90B9-E1D3DC34AFBC}"/>
                </c:ext>
              </c:extLst>
            </c:dLbl>
            <c:dLbl>
              <c:idx val="1"/>
              <c:layout>
                <c:manualLayout>
                  <c:x val="8.3728895590178699E-3"/>
                  <c:y val="5.23560209424083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07249802994484"/>
                      <c:h val="0.230453981210463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D85-4534-90B9-E1D3DC34A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Cálculos!$D$1:$D$2</c:f>
              <c:strCache>
                <c:ptCount val="2"/>
                <c:pt idx="0">
                  <c:v>Resolvidos</c:v>
                </c:pt>
                <c:pt idx="1">
                  <c:v>Não Resolvidos</c:v>
                </c:pt>
              </c:strCache>
            </c:strRef>
          </c:cat>
          <c:val>
            <c:numRef>
              <c:f>Cálculos!$E$1:$E$2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5-4534-90B9-E1D3DC34AFB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16411</xdr:colOff>
      <xdr:row>0</xdr:row>
      <xdr:rowOff>29699</xdr:rowOff>
    </xdr:from>
    <xdr:to>
      <xdr:col>15</xdr:col>
      <xdr:colOff>0</xdr:colOff>
      <xdr:row>26</xdr:row>
      <xdr:rowOff>180474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035B58E3-FEB4-42AA-5D17-0A0B0FDF9239}"/>
            </a:ext>
          </a:extLst>
        </xdr:cNvPr>
        <xdr:cNvSpPr/>
      </xdr:nvSpPr>
      <xdr:spPr>
        <a:xfrm>
          <a:off x="16411" y="29699"/>
          <a:ext cx="9127589" cy="4947364"/>
        </a:xfrm>
        <a:prstGeom prst="roundRect">
          <a:avLst>
            <a:gd name="adj" fmla="val 2093"/>
          </a:avLst>
        </a:prstGeom>
        <a:solidFill>
          <a:schemeClr val="accent4">
            <a:lumMod val="60000"/>
            <a:lumOff val="40000"/>
            <a:alpha val="2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152400</xdr:colOff>
      <xdr:row>14</xdr:row>
      <xdr:rowOff>91440</xdr:rowOff>
    </xdr:from>
    <xdr:to>
      <xdr:col>7</xdr:col>
      <xdr:colOff>457200</xdr:colOff>
      <xdr:row>26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18F781-CE90-A335-101C-B4DFF532C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2</xdr:row>
      <xdr:rowOff>0</xdr:rowOff>
    </xdr:from>
    <xdr:to>
      <xdr:col>14</xdr:col>
      <xdr:colOff>594360</xdr:colOff>
      <xdr:row>14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F5D53B-65E3-B9AC-96B1-874161451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186466</xdr:colOff>
      <xdr:row>15</xdr:row>
      <xdr:rowOff>0</xdr:rowOff>
    </xdr:from>
    <xdr:to>
      <xdr:col>14</xdr:col>
      <xdr:colOff>181984</xdr:colOff>
      <xdr:row>26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7CFE18-610E-C585-D806-6BE82ADF2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312420</xdr:colOff>
      <xdr:row>13</xdr:row>
      <xdr:rowOff>15240</xdr:rowOff>
    </xdr:from>
    <xdr:to>
      <xdr:col>7</xdr:col>
      <xdr:colOff>266700</xdr:colOff>
      <xdr:row>14</xdr:row>
      <xdr:rowOff>91440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2856978-5C45-9363-EA5D-5FC40A1A9201}"/>
            </a:ext>
          </a:extLst>
        </xdr:cNvPr>
        <xdr:cNvSpPr txBox="1"/>
      </xdr:nvSpPr>
      <xdr:spPr>
        <a:xfrm>
          <a:off x="312420" y="2392680"/>
          <a:ext cx="4221480" cy="2590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0">
              <a:latin typeface="Montserrat" panose="00000500000000000000" pitchFamily="2" charset="0"/>
            </a:rPr>
            <a:t>Quantidade de OSs por Tipo</a:t>
          </a:r>
        </a:p>
      </xdr:txBody>
    </xdr:sp>
    <xdr:clientData/>
  </xdr:twoCellAnchor>
  <xdr:twoCellAnchor>
    <xdr:from>
      <xdr:col>7</xdr:col>
      <xdr:colOff>464820</xdr:colOff>
      <xdr:row>0</xdr:row>
      <xdr:rowOff>175260</xdr:rowOff>
    </xdr:from>
    <xdr:to>
      <xdr:col>14</xdr:col>
      <xdr:colOff>312420</xdr:colOff>
      <xdr:row>2</xdr:row>
      <xdr:rowOff>53340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597962B-AF07-4B0A-B2C1-10E4BA89E59C}"/>
            </a:ext>
          </a:extLst>
        </xdr:cNvPr>
        <xdr:cNvSpPr txBox="1"/>
      </xdr:nvSpPr>
      <xdr:spPr>
        <a:xfrm>
          <a:off x="4732020" y="175260"/>
          <a:ext cx="4114800" cy="2438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>
              <a:latin typeface="Montserrat" panose="00000500000000000000" pitchFamily="2" charset="0"/>
            </a:rPr>
            <a:t>Quantidade de OSs por Técnico</a:t>
          </a:r>
        </a:p>
      </xdr:txBody>
    </xdr:sp>
    <xdr:clientData/>
  </xdr:twoCellAnchor>
  <xdr:twoCellAnchor>
    <xdr:from>
      <xdr:col>0</xdr:col>
      <xdr:colOff>411480</xdr:colOff>
      <xdr:row>3</xdr:row>
      <xdr:rowOff>134035</xdr:rowOff>
    </xdr:from>
    <xdr:to>
      <xdr:col>3</xdr:col>
      <xdr:colOff>510540</xdr:colOff>
      <xdr:row>6</xdr:row>
      <xdr:rowOff>57835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C7E5A1C-678C-4EAC-B63B-683F72592589}"/>
            </a:ext>
          </a:extLst>
        </xdr:cNvPr>
        <xdr:cNvSpPr txBox="1"/>
      </xdr:nvSpPr>
      <xdr:spPr>
        <a:xfrm>
          <a:off x="14302740" y="682675"/>
          <a:ext cx="1927860" cy="4724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Montserrat" panose="00000500000000000000" pitchFamily="2" charset="0"/>
            </a:rPr>
            <a:t>OSs abertas</a:t>
          </a:r>
        </a:p>
      </xdr:txBody>
    </xdr:sp>
    <xdr:clientData/>
  </xdr:twoCellAnchor>
  <xdr:twoCellAnchor>
    <xdr:from>
      <xdr:col>3</xdr:col>
      <xdr:colOff>529231</xdr:colOff>
      <xdr:row>3</xdr:row>
      <xdr:rowOff>134141</xdr:rowOff>
    </xdr:from>
    <xdr:to>
      <xdr:col>7</xdr:col>
      <xdr:colOff>18691</xdr:colOff>
      <xdr:row>6</xdr:row>
      <xdr:rowOff>57941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601B56F5-DAB9-433B-9C8A-CCC355BEC888}"/>
            </a:ext>
          </a:extLst>
        </xdr:cNvPr>
        <xdr:cNvSpPr txBox="1"/>
      </xdr:nvSpPr>
      <xdr:spPr>
        <a:xfrm>
          <a:off x="16249291" y="682781"/>
          <a:ext cx="1927860" cy="4724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latin typeface="Montserrat" panose="00000500000000000000" pitchFamily="2" charset="0"/>
            </a:rPr>
            <a:t>OSs resolvidas</a:t>
          </a:r>
        </a:p>
      </xdr:txBody>
    </xdr:sp>
    <xdr:clientData/>
  </xdr:twoCellAnchor>
  <xdr:twoCellAnchor>
    <xdr:from>
      <xdr:col>0</xdr:col>
      <xdr:colOff>408215</xdr:colOff>
      <xdr:row>6</xdr:row>
      <xdr:rowOff>59116</xdr:rowOff>
    </xdr:from>
    <xdr:to>
      <xdr:col>3</xdr:col>
      <xdr:colOff>507275</xdr:colOff>
      <xdr:row>8</xdr:row>
      <xdr:rowOff>164646</xdr:rowOff>
    </xdr:to>
    <xdr:sp macro="" textlink="#REF!">
      <xdr:nvSpPr>
        <xdr:cNvPr id="15" name="CaixaDeTexto 14">
          <a:extLst>
            <a:ext uri="{FF2B5EF4-FFF2-40B4-BE49-F238E27FC236}">
              <a16:creationId xmlns:a16="http://schemas.microsoft.com/office/drawing/2014/main" id="{FAF4F6C2-AE43-4FAD-A792-471CDBF75877}"/>
            </a:ext>
          </a:extLst>
        </xdr:cNvPr>
        <xdr:cNvSpPr txBox="1"/>
      </xdr:nvSpPr>
      <xdr:spPr>
        <a:xfrm>
          <a:off x="14299475" y="1156396"/>
          <a:ext cx="1927860" cy="4712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026F143-7C92-4B49-8744-A31EC07EE6F1}" type="TxLink">
            <a:rPr lang="en-US" sz="1100" b="1" i="0" u="none" strike="noStrike">
              <a:solidFill>
                <a:srgbClr val="000000"/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3</a:t>
          </a:fld>
          <a:endParaRPr lang="pt-BR" sz="1100" b="1">
            <a:latin typeface="Montserrat" panose="00000500000000000000" pitchFamily="2" charset="0"/>
          </a:endParaRPr>
        </a:p>
      </xdr:txBody>
    </xdr:sp>
    <xdr:clientData/>
  </xdr:twoCellAnchor>
  <xdr:twoCellAnchor>
    <xdr:from>
      <xdr:col>3</xdr:col>
      <xdr:colOff>530093</xdr:colOff>
      <xdr:row>6</xdr:row>
      <xdr:rowOff>57175</xdr:rowOff>
    </xdr:from>
    <xdr:to>
      <xdr:col>7</xdr:col>
      <xdr:colOff>19553</xdr:colOff>
      <xdr:row>8</xdr:row>
      <xdr:rowOff>163855</xdr:rowOff>
    </xdr:to>
    <xdr:sp macro="" textlink="#REF!">
      <xdr:nvSpPr>
        <xdr:cNvPr id="16" name="CaixaDeTexto 15">
          <a:extLst>
            <a:ext uri="{FF2B5EF4-FFF2-40B4-BE49-F238E27FC236}">
              <a16:creationId xmlns:a16="http://schemas.microsoft.com/office/drawing/2014/main" id="{E2C642DD-745D-4DFA-8155-CE2A34866E4A}"/>
            </a:ext>
          </a:extLst>
        </xdr:cNvPr>
        <xdr:cNvSpPr txBox="1"/>
      </xdr:nvSpPr>
      <xdr:spPr>
        <a:xfrm>
          <a:off x="16250153" y="1154455"/>
          <a:ext cx="1927860" cy="4724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888C1F0-257D-4187-BE74-087EC022827D}" type="TxLink">
            <a:rPr lang="en-US" sz="1100" b="1" i="0" u="none" strike="noStrike">
              <a:solidFill>
                <a:srgbClr val="000000"/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5</a:t>
          </a:fld>
          <a:endParaRPr lang="pt-BR" sz="1100" b="1">
            <a:latin typeface="Montserrat" panose="00000500000000000000" pitchFamily="2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990D8-FF9E-4397-8E98-6DA724F1EBCD}" name="tipos_chamado" displayName="tipos_chamado" ref="A2:A5" totalsRowShown="0">
  <autoFilter ref="A2:A5" xr:uid="{8B6990D8-FF9E-4397-8E98-6DA724F1EBCD}"/>
  <tableColumns count="1">
    <tableColumn id="1" xr3:uid="{0449D90F-7CDE-4BF3-8C5A-B6208CDE91E3}" name="Tipo de Cham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C8FC3-63D9-4868-8E81-CD7D0147DDFC}" name="atendentes" displayName="atendentes" ref="B2:B5" totalsRowShown="0">
  <autoFilter ref="B2:B5" xr:uid="{06AC8FC3-63D9-4868-8E81-CD7D0147DDFC}"/>
  <tableColumns count="1">
    <tableColumn id="1" xr3:uid="{2A7ED01B-9A01-474F-B18C-9A7A7211EF9D}" name="Atendente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F1062-DA1A-4504-BA0B-4EC28A78DA02}" name="tecnicos" displayName="tecnicos" ref="C2:C5" totalsRowShown="0">
  <autoFilter ref="C2:C5" xr:uid="{1D7F1062-DA1A-4504-BA0B-4EC28A78DA02}"/>
  <tableColumns count="1">
    <tableColumn id="1" xr3:uid="{B720345A-8DE9-4248-BC22-BB583537A6F3}" name="Técnico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F666DC-CE6F-4B17-8932-D4D1D09F8BB6}" name="serviços" displayName="serviços" ref="D2:D6" totalsRowShown="0">
  <autoFilter ref="D2:D6" xr:uid="{80F666DC-CE6F-4B17-8932-D4D1D09F8BB6}"/>
  <tableColumns count="1">
    <tableColumn id="1" xr3:uid="{3154B1BF-4B69-43A0-9B23-5F3493CB01FF}" name="Serviço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CD7DD9-DDA9-4ABD-8F62-C510708CFEE2}" name="Tabela6" displayName="Tabela6" ref="A2:F10" totalsRowShown="0">
  <autoFilter ref="A2:F10" xr:uid="{B5CD7DD9-DDA9-4ABD-8F62-C510708CFEE2}"/>
  <tableColumns count="6">
    <tableColumn id="1" xr3:uid="{6AEF4F16-7796-49D9-94B9-F537075616D4}" name="Cliente"/>
    <tableColumn id="2" xr3:uid="{096134C5-79E8-48B4-BC15-B290194F3BD5}" name="Endereço"/>
    <tableColumn id="3" xr3:uid="{7BCCD5D2-45DF-4B76-9CE2-594AF12D27C3}" name="Cidade"/>
    <tableColumn id="4" xr3:uid="{8144A112-C567-4540-886A-A2A38520C712}" name="UF"/>
    <tableColumn id="5" xr3:uid="{A9C7B466-B39E-4DDF-9224-01A90E11CEDD}" name="Contato"/>
    <tableColumn id="6" xr3:uid="{B213EC67-676D-4095-9E22-ADCD1D164AB2}" name="E-mail" dataDxfId="10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1F7C9-AEF1-4705-B3A1-7016845FADE6}" name="Tabela1" displayName="Tabela1" ref="A2:K10" totalsRowShown="0" headerRowDxfId="4">
  <autoFilter ref="A2:K10" xr:uid="{D701F7C9-AEF1-4705-B3A1-7016845FADE6}"/>
  <tableColumns count="11">
    <tableColumn id="1" xr3:uid="{59099F6B-1050-413C-99D1-D479E4F713F4}" name="Código" dataDxfId="3">
      <calculatedColumnFormula>ROW()-2</calculatedColumnFormula>
    </tableColumn>
    <tableColumn id="2" xr3:uid="{F51AA25A-B17B-4279-9615-CA570A11557B}" name="Data atendimento" dataDxfId="2"/>
    <tableColumn id="3" xr3:uid="{D8E0B803-1E5E-4020-9C6E-7C4B891A05A3}" name="Tipo_x000a_Chamado"/>
    <tableColumn id="4" xr3:uid="{9A6EAE54-BFAD-4B84-9E54-84B6F12DE7EB}" name="Atendente"/>
    <tableColumn id="5" xr3:uid="{4C0034E6-C40D-40DE-90C0-3691C65F6110}" name="Cliente"/>
    <tableColumn id="6" xr3:uid="{9B085F3F-B7D7-4C56-9E5A-1887CA3B806C}" name="Serviço"/>
    <tableColumn id="7" xr3:uid="{C683A288-917F-430E-B1DB-2222048B75B7}" name="Técnico"/>
    <tableColumn id="8" xr3:uid="{08D0E923-5066-4EF1-A9C8-43407E602CA0}" name="Preço" dataDxfId="1"/>
    <tableColumn id="9" xr3:uid="{612164C1-C518-4643-B242-8273AE9FC45E}" name="Data Agendamento" dataDxfId="0"/>
    <tableColumn id="10" xr3:uid="{C28EDE10-16E8-409A-B2CE-41608BF14435}" name="Situação OS"/>
    <tableColumn id="11" xr3:uid="{FF7F388C-189C-4B9F-BF6B-5EAEA7AF1448}" name="Situação_x000a_Problem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tabSelected="1" zoomScale="130" zoomScaleNormal="130" workbookViewId="0">
      <selection activeCell="E1" sqref="E1"/>
    </sheetView>
  </sheetViews>
  <sheetFormatPr defaultRowHeight="14.45"/>
  <cols>
    <col min="1" max="4" width="26.42578125" customWidth="1"/>
  </cols>
  <sheetData>
    <row r="1" spans="1:4" ht="30" customHeight="1">
      <c r="A1" s="19" t="s">
        <v>0</v>
      </c>
      <c r="B1" s="19"/>
      <c r="C1" s="19"/>
      <c r="D1" s="19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D6" t="s">
        <v>17</v>
      </c>
    </row>
  </sheetData>
  <mergeCells count="1">
    <mergeCell ref="A1:D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9717-827A-4AB0-84CD-9B111076A133}">
  <dimension ref="A1:F10"/>
  <sheetViews>
    <sheetView showGridLines="0" zoomScale="130" zoomScaleNormal="130" workbookViewId="0">
      <selection activeCell="G1" sqref="G1"/>
    </sheetView>
  </sheetViews>
  <sheetFormatPr defaultRowHeight="14.45"/>
  <cols>
    <col min="1" max="1" width="15.7109375" customWidth="1"/>
    <col min="2" max="2" width="30.7109375" customWidth="1"/>
    <col min="3" max="5" width="15.7109375" customWidth="1"/>
    <col min="6" max="6" width="30.7109375" customWidth="1"/>
  </cols>
  <sheetData>
    <row r="1" spans="1:6" ht="30" customHeight="1">
      <c r="A1" s="19" t="s">
        <v>18</v>
      </c>
      <c r="B1" s="19"/>
      <c r="C1" s="19"/>
      <c r="D1" s="19"/>
      <c r="E1" s="19"/>
      <c r="F1" s="19"/>
    </row>
    <row r="2" spans="1:6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31</v>
      </c>
      <c r="B4" t="s">
        <v>32</v>
      </c>
      <c r="C4" t="s">
        <v>33</v>
      </c>
      <c r="D4" t="s">
        <v>34</v>
      </c>
      <c r="E4" t="s">
        <v>29</v>
      </c>
      <c r="F4" t="s">
        <v>30</v>
      </c>
    </row>
    <row r="5" spans="1:6">
      <c r="A5" t="s">
        <v>35</v>
      </c>
      <c r="B5" t="s">
        <v>36</v>
      </c>
      <c r="C5" t="s">
        <v>37</v>
      </c>
      <c r="D5" t="s">
        <v>38</v>
      </c>
      <c r="E5" t="s">
        <v>29</v>
      </c>
      <c r="F5" t="s">
        <v>30</v>
      </c>
    </row>
    <row r="6" spans="1:6">
      <c r="A6" t="s">
        <v>39</v>
      </c>
      <c r="B6" t="s">
        <v>40</v>
      </c>
      <c r="C6" t="s">
        <v>41</v>
      </c>
      <c r="D6" t="s">
        <v>42</v>
      </c>
      <c r="E6" t="s">
        <v>29</v>
      </c>
      <c r="F6" t="s">
        <v>30</v>
      </c>
    </row>
    <row r="7" spans="1:6">
      <c r="A7" t="s">
        <v>43</v>
      </c>
      <c r="B7" t="s">
        <v>44</v>
      </c>
      <c r="C7" t="s">
        <v>45</v>
      </c>
      <c r="D7" t="s">
        <v>46</v>
      </c>
      <c r="E7" t="s">
        <v>29</v>
      </c>
      <c r="F7" t="s">
        <v>30</v>
      </c>
    </row>
    <row r="8" spans="1:6">
      <c r="A8" t="s">
        <v>47</v>
      </c>
      <c r="B8" t="s">
        <v>48</v>
      </c>
      <c r="C8" t="s">
        <v>49</v>
      </c>
      <c r="D8" t="s">
        <v>50</v>
      </c>
      <c r="E8" t="s">
        <v>29</v>
      </c>
      <c r="F8" t="s">
        <v>30</v>
      </c>
    </row>
    <row r="9" spans="1:6">
      <c r="A9" t="s">
        <v>51</v>
      </c>
      <c r="B9" t="s">
        <v>52</v>
      </c>
      <c r="C9" t="s">
        <v>53</v>
      </c>
      <c r="D9" t="s">
        <v>54</v>
      </c>
      <c r="E9" t="s">
        <v>29</v>
      </c>
      <c r="F9" t="s">
        <v>30</v>
      </c>
    </row>
    <row r="10" spans="1:6">
      <c r="A10" t="s">
        <v>55</v>
      </c>
      <c r="B10" t="s">
        <v>56</v>
      </c>
      <c r="C10" t="s">
        <v>57</v>
      </c>
      <c r="D10" t="s">
        <v>58</v>
      </c>
      <c r="E10" t="s">
        <v>29</v>
      </c>
      <c r="F10" t="s">
        <v>30</v>
      </c>
    </row>
  </sheetData>
  <mergeCells count="1">
    <mergeCell ref="A1:F1"/>
  </mergeCells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7668-A0EE-4D6A-9046-8CCE23999ED8}">
  <dimension ref="A1:K10"/>
  <sheetViews>
    <sheetView showGridLines="0" topLeftCell="D1" zoomScale="130" zoomScaleNormal="130" workbookViewId="0">
      <selection activeCell="L1" sqref="L1"/>
    </sheetView>
  </sheetViews>
  <sheetFormatPr defaultRowHeight="14.45"/>
  <cols>
    <col min="1" max="5" width="15.7109375" customWidth="1"/>
    <col min="6" max="6" width="23.7109375" customWidth="1"/>
    <col min="7" max="10" width="15.7109375" customWidth="1"/>
    <col min="11" max="11" width="18.7109375" customWidth="1"/>
  </cols>
  <sheetData>
    <row r="1" spans="1:11" ht="30" customHeight="1">
      <c r="A1" s="19" t="s">
        <v>59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s="3" customFormat="1" ht="40.15" customHeight="1">
      <c r="A2" s="3" t="s">
        <v>60</v>
      </c>
      <c r="B2" s="3" t="s">
        <v>61</v>
      </c>
      <c r="C2" s="3" t="s">
        <v>62</v>
      </c>
      <c r="D2" s="3" t="s">
        <v>2</v>
      </c>
      <c r="E2" s="3" t="s">
        <v>19</v>
      </c>
      <c r="F2" s="3" t="s">
        <v>4</v>
      </c>
      <c r="G2" s="3" t="s">
        <v>3</v>
      </c>
      <c r="H2" s="3" t="s">
        <v>63</v>
      </c>
      <c r="I2" s="3" t="s">
        <v>64</v>
      </c>
      <c r="J2" s="3" t="s">
        <v>65</v>
      </c>
      <c r="K2" s="3" t="s">
        <v>66</v>
      </c>
    </row>
    <row r="3" spans="1:11">
      <c r="A3" s="4">
        <f>ROW()-2</f>
        <v>1</v>
      </c>
      <c r="B3" s="1">
        <v>44576</v>
      </c>
      <c r="C3" t="s">
        <v>9</v>
      </c>
      <c r="D3" t="s">
        <v>10</v>
      </c>
      <c r="E3" t="s">
        <v>47</v>
      </c>
      <c r="F3" t="s">
        <v>12</v>
      </c>
      <c r="G3" t="s">
        <v>11</v>
      </c>
      <c r="H3" s="2">
        <v>300</v>
      </c>
      <c r="I3" s="1">
        <v>44591</v>
      </c>
      <c r="J3" t="s">
        <v>67</v>
      </c>
      <c r="K3" t="s">
        <v>67</v>
      </c>
    </row>
    <row r="4" spans="1:11">
      <c r="A4" s="4">
        <f>ROW()-2</f>
        <v>2</v>
      </c>
      <c r="B4" s="1">
        <v>44581</v>
      </c>
      <c r="C4" t="s">
        <v>9</v>
      </c>
      <c r="D4" t="s">
        <v>10</v>
      </c>
      <c r="E4" t="s">
        <v>25</v>
      </c>
      <c r="F4" t="s">
        <v>8</v>
      </c>
      <c r="G4" t="s">
        <v>7</v>
      </c>
      <c r="H4" s="2">
        <v>200</v>
      </c>
      <c r="I4" s="1">
        <v>44596</v>
      </c>
      <c r="J4" t="s">
        <v>68</v>
      </c>
      <c r="K4" t="s">
        <v>69</v>
      </c>
    </row>
    <row r="5" spans="1:11">
      <c r="A5" s="4">
        <f>ROW()-2</f>
        <v>3</v>
      </c>
      <c r="B5" s="1">
        <v>44594</v>
      </c>
      <c r="C5" t="s">
        <v>13</v>
      </c>
      <c r="D5" t="s">
        <v>14</v>
      </c>
      <c r="E5" t="s">
        <v>55</v>
      </c>
      <c r="F5" t="s">
        <v>16</v>
      </c>
      <c r="G5" t="s">
        <v>15</v>
      </c>
      <c r="H5" s="2">
        <v>150</v>
      </c>
      <c r="I5" s="1">
        <v>44609</v>
      </c>
      <c r="J5" t="s">
        <v>70</v>
      </c>
      <c r="K5" t="s">
        <v>67</v>
      </c>
    </row>
    <row r="6" spans="1:11">
      <c r="A6" s="4">
        <f>ROW()-2</f>
        <v>4</v>
      </c>
      <c r="B6" s="1">
        <v>44625</v>
      </c>
      <c r="C6" t="s">
        <v>9</v>
      </c>
      <c r="D6" t="s">
        <v>10</v>
      </c>
      <c r="E6" t="s">
        <v>51</v>
      </c>
      <c r="F6" t="s">
        <v>17</v>
      </c>
      <c r="G6" t="s">
        <v>11</v>
      </c>
      <c r="H6" s="2">
        <v>175</v>
      </c>
      <c r="I6" s="1">
        <v>44640</v>
      </c>
      <c r="J6" t="s">
        <v>71</v>
      </c>
      <c r="K6" t="s">
        <v>67</v>
      </c>
    </row>
    <row r="7" spans="1:11">
      <c r="A7" s="4">
        <f>ROW()-2</f>
        <v>5</v>
      </c>
      <c r="B7" s="1">
        <v>44647</v>
      </c>
      <c r="C7" t="s">
        <v>5</v>
      </c>
      <c r="D7" t="s">
        <v>6</v>
      </c>
      <c r="E7" t="s">
        <v>39</v>
      </c>
      <c r="F7" t="s">
        <v>12</v>
      </c>
      <c r="G7" t="s">
        <v>15</v>
      </c>
      <c r="H7" s="2">
        <v>250</v>
      </c>
      <c r="I7" s="1">
        <v>44662</v>
      </c>
      <c r="J7" t="s">
        <v>68</v>
      </c>
      <c r="K7" t="s">
        <v>69</v>
      </c>
    </row>
    <row r="8" spans="1:11">
      <c r="A8" s="4">
        <f>ROW()-2</f>
        <v>6</v>
      </c>
      <c r="B8" s="1">
        <v>44718</v>
      </c>
      <c r="C8" t="s">
        <v>13</v>
      </c>
      <c r="D8" t="s">
        <v>14</v>
      </c>
      <c r="E8" t="s">
        <v>35</v>
      </c>
      <c r="F8" t="s">
        <v>8</v>
      </c>
      <c r="G8" t="s">
        <v>7</v>
      </c>
      <c r="H8" s="2">
        <v>200</v>
      </c>
      <c r="I8" s="1">
        <v>44733</v>
      </c>
      <c r="J8" t="s">
        <v>67</v>
      </c>
      <c r="K8" t="s">
        <v>67</v>
      </c>
    </row>
    <row r="9" spans="1:11">
      <c r="A9" s="4">
        <f>ROW()-2</f>
        <v>7</v>
      </c>
      <c r="B9" s="1">
        <v>44762</v>
      </c>
      <c r="C9" t="s">
        <v>9</v>
      </c>
      <c r="D9" t="s">
        <v>10</v>
      </c>
      <c r="E9" t="s">
        <v>31</v>
      </c>
      <c r="F9" t="s">
        <v>16</v>
      </c>
      <c r="G9" t="s">
        <v>7</v>
      </c>
      <c r="H9" s="2">
        <v>100</v>
      </c>
      <c r="I9" s="1">
        <v>44777</v>
      </c>
      <c r="J9" t="s">
        <v>67</v>
      </c>
      <c r="K9" t="s">
        <v>67</v>
      </c>
    </row>
    <row r="10" spans="1:11">
      <c r="A10" s="4">
        <f>ROW()-2</f>
        <v>8</v>
      </c>
      <c r="B10" s="1">
        <v>44817</v>
      </c>
      <c r="C10" t="s">
        <v>5</v>
      </c>
      <c r="D10" t="s">
        <v>6</v>
      </c>
      <c r="E10" t="s">
        <v>43</v>
      </c>
      <c r="F10" t="s">
        <v>17</v>
      </c>
      <c r="G10" t="s">
        <v>11</v>
      </c>
      <c r="H10" s="2">
        <v>400</v>
      </c>
      <c r="I10" s="1">
        <v>44832</v>
      </c>
      <c r="J10" t="s">
        <v>71</v>
      </c>
      <c r="K10" t="s">
        <v>69</v>
      </c>
    </row>
  </sheetData>
  <mergeCells count="1">
    <mergeCell ref="A1:K1"/>
  </mergeCells>
  <conditionalFormatting sqref="J3:K10">
    <cfRule type="cellIs" dxfId="9" priority="5" operator="equal">
      <formula>"Resolvido"</formula>
    </cfRule>
  </conditionalFormatting>
  <conditionalFormatting sqref="J3:J10">
    <cfRule type="cellIs" dxfId="8" priority="2" operator="equal">
      <formula>"Suspenso"</formula>
    </cfRule>
    <cfRule type="cellIs" dxfId="7" priority="3" operator="equal">
      <formula>"Cancelado"</formula>
    </cfRule>
    <cfRule type="cellIs" dxfId="6" priority="4" operator="equal">
      <formula>"Agendado"</formula>
    </cfRule>
  </conditionalFormatting>
  <conditionalFormatting sqref="K3:K10">
    <cfRule type="cellIs" dxfId="5" priority="1" operator="equal">
      <formula>"Não Resolvido"</formula>
    </cfRule>
  </conditionalFormatting>
  <dataValidations count="2">
    <dataValidation type="list" allowBlank="1" showInputMessage="1" showErrorMessage="1" sqref="J3:J10" xr:uid="{399FF91F-3491-4145-A365-068B9B285BCC}">
      <formula1>"Agendado,Resolvido,Suspenso,Cancelado"</formula1>
    </dataValidation>
    <dataValidation type="list" allowBlank="1" showInputMessage="1" showErrorMessage="1" sqref="K3:K10" xr:uid="{9CD3980D-BB45-4D7B-82C9-F86247318B3A}">
      <formula1>"Resolvido,Não Resolvido"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7BB27C2-0E59-444E-8A00-942A40DF969B}">
          <x14:formula1>
            <xm:f>Cadastros!$A$3:$A$5</xm:f>
          </x14:formula1>
          <xm:sqref>C3:C10</xm:sqref>
        </x14:dataValidation>
        <x14:dataValidation type="list" allowBlank="1" showInputMessage="1" showErrorMessage="1" xr:uid="{85E08FEB-1CEB-4392-A0CC-9FBF73A35878}">
          <x14:formula1>
            <xm:f>Cadastros!$B$3:$B$5</xm:f>
          </x14:formula1>
          <xm:sqref>D3:D10</xm:sqref>
        </x14:dataValidation>
        <x14:dataValidation type="list" allowBlank="1" showInputMessage="1" showErrorMessage="1" xr:uid="{11CAA1A3-C437-437C-A80F-636E954D6103}">
          <x14:formula1>
            <xm:f>Clientes!$A$3:$A$10</xm:f>
          </x14:formula1>
          <xm:sqref>E3:E10</xm:sqref>
        </x14:dataValidation>
        <x14:dataValidation type="list" allowBlank="1" showInputMessage="1" showErrorMessage="1" xr:uid="{8EA3DB42-D4C4-4F69-89D1-E5076D972F6C}">
          <x14:formula1>
            <xm:f>Cadastros!$D$3:$D$6</xm:f>
          </x14:formula1>
          <xm:sqref>F3:F10</xm:sqref>
        </x14:dataValidation>
        <x14:dataValidation type="list" allowBlank="1" showInputMessage="1" showErrorMessage="1" xr:uid="{8D0AF9AB-39B9-475B-8CE4-5B26F11AD530}">
          <x14:formula1>
            <xm:f>Cadastros!$C$3:$C$5</xm:f>
          </x14:formula1>
          <xm:sqref>G3:G10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CCF1E-D94A-498E-9019-7F6D1752C204}">
  <dimension ref="B1:H15"/>
  <sheetViews>
    <sheetView showGridLines="0" zoomScale="115" zoomScaleNormal="115" workbookViewId="0">
      <selection activeCell="B2" sqref="B2"/>
    </sheetView>
  </sheetViews>
  <sheetFormatPr defaultRowHeight="14.45"/>
  <cols>
    <col min="1" max="1" width="1.5703125" customWidth="1"/>
    <col min="2" max="2" width="15" customWidth="1"/>
    <col min="5" max="5" width="19.7109375" customWidth="1"/>
    <col min="6" max="6" width="22.5703125" customWidth="1"/>
    <col min="7" max="8" width="10.7109375" customWidth="1"/>
  </cols>
  <sheetData>
    <row r="1" spans="2:8" ht="15" thickBot="1"/>
    <row r="2" spans="2:8" ht="30" customHeight="1" thickBot="1">
      <c r="B2" s="12" t="s">
        <v>72</v>
      </c>
      <c r="C2" s="13">
        <v>1</v>
      </c>
      <c r="E2" s="26" t="s">
        <v>73</v>
      </c>
      <c r="F2" s="27"/>
      <c r="G2" s="30" t="s">
        <v>74</v>
      </c>
      <c r="H2" s="31"/>
    </row>
    <row r="3" spans="2:8" ht="30" customHeight="1">
      <c r="E3" s="28"/>
      <c r="F3" s="29"/>
      <c r="G3" s="32">
        <f>C2</f>
        <v>1</v>
      </c>
      <c r="H3" s="21"/>
    </row>
    <row r="4" spans="2:8" ht="30" customHeight="1">
      <c r="E4" s="14" t="s">
        <v>19</v>
      </c>
      <c r="F4" s="15" t="s">
        <v>20</v>
      </c>
      <c r="G4" s="15" t="s">
        <v>21</v>
      </c>
      <c r="H4" s="16" t="s">
        <v>22</v>
      </c>
    </row>
    <row r="5" spans="2:8" ht="30" customHeight="1">
      <c r="E5" s="7" t="str">
        <f>VLOOKUP(C2,Tabela1[],5,0)</f>
        <v>Cliente6</v>
      </c>
      <c r="F5" s="5" t="str">
        <f>VLOOKUP(E5,Tabela6[],2,0)</f>
        <v>Endereço6</v>
      </c>
      <c r="G5" s="5" t="str">
        <f>VLOOKUP(E5,Tabela6[],3,0)</f>
        <v>Cidade6</v>
      </c>
      <c r="H5" s="6" t="str">
        <f>VLOOKUP(E5,Tabela6[],4,0)</f>
        <v>MG</v>
      </c>
    </row>
    <row r="6" spans="2:8" ht="30" customHeight="1">
      <c r="E6" s="17" t="s">
        <v>75</v>
      </c>
      <c r="F6" s="18" t="s">
        <v>76</v>
      </c>
      <c r="G6" s="33" t="s">
        <v>2</v>
      </c>
      <c r="H6" s="34"/>
    </row>
    <row r="7" spans="2:8" ht="30" customHeight="1">
      <c r="E7" s="8">
        <f>VLOOKUP(C2,Tabela1[],2,0)</f>
        <v>44576</v>
      </c>
      <c r="F7" s="9">
        <f>VLOOKUP(C2,Tabela1[],9,0)</f>
        <v>44591</v>
      </c>
      <c r="G7" s="20" t="str">
        <f>VLOOKUP(C2,Tabela1[],4,0)</f>
        <v>Marcos Pinheiro</v>
      </c>
      <c r="H7" s="21"/>
    </row>
    <row r="8" spans="2:8" ht="30" customHeight="1">
      <c r="E8" s="14" t="s">
        <v>1</v>
      </c>
      <c r="F8" s="15" t="s">
        <v>4</v>
      </c>
      <c r="G8" s="22" t="s">
        <v>65</v>
      </c>
      <c r="H8" s="23"/>
    </row>
    <row r="9" spans="2:8" ht="30" customHeight="1">
      <c r="E9" s="7" t="str">
        <f>VLOOKUP(C2,Tabela1[],3,0)</f>
        <v>Garantia</v>
      </c>
      <c r="F9" s="5" t="str">
        <f>VLOOKUP(C2,Tabela1[],6,0)</f>
        <v>Corretiva</v>
      </c>
      <c r="G9" s="20" t="str">
        <f>VLOOKUP(C2,Tabela1[],10,0)</f>
        <v>Resolvido</v>
      </c>
      <c r="H9" s="21"/>
    </row>
    <row r="10" spans="2:8" ht="30" customHeight="1">
      <c r="E10" s="14" t="s">
        <v>3</v>
      </c>
      <c r="F10" s="15" t="s">
        <v>63</v>
      </c>
      <c r="G10" s="22" t="s">
        <v>77</v>
      </c>
      <c r="H10" s="23"/>
    </row>
    <row r="11" spans="2:8" ht="30" customHeight="1" thickBot="1">
      <c r="E11" s="10" t="str">
        <f>VLOOKUP(C2,Tabela1[],7,0)</f>
        <v>Natalia Pereira</v>
      </c>
      <c r="F11" s="11">
        <f>VLOOKUP(C2,Tabela1[],8,0)</f>
        <v>300</v>
      </c>
      <c r="G11" s="24" t="str">
        <f>VLOOKUP(C2,Tabela1[],11,0)</f>
        <v>Resolvido</v>
      </c>
      <c r="H11" s="25"/>
    </row>
    <row r="12" spans="2:8" ht="30" customHeight="1"/>
    <row r="13" spans="2:8" ht="30" customHeight="1"/>
    <row r="14" spans="2:8" ht="30" customHeight="1"/>
    <row r="15" spans="2:8" ht="30" customHeight="1"/>
  </sheetData>
  <mergeCells count="9">
    <mergeCell ref="G9:H9"/>
    <mergeCell ref="G10:H10"/>
    <mergeCell ref="G11:H11"/>
    <mergeCell ref="E2:F3"/>
    <mergeCell ref="G2:H2"/>
    <mergeCell ref="G3:H3"/>
    <mergeCell ref="G6:H6"/>
    <mergeCell ref="G7:H7"/>
    <mergeCell ref="G8:H8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8B0F3F-4262-412B-BA4B-0886337AFDD8}">
          <x14:formula1>
            <xm:f>'Ordens de Serviços'!$A$3:$A$10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1BF9-6699-4FE0-A66D-3A7BADBA0CF8}">
  <dimension ref="A1:O33"/>
  <sheetViews>
    <sheetView showGridLines="0" zoomScaleNormal="100" workbookViewId="0">
      <selection activeCell="B5" sqref="B5"/>
    </sheetView>
  </sheetViews>
  <sheetFormatPr defaultColWidth="0" defaultRowHeight="14.45" zeroHeight="1"/>
  <cols>
    <col min="1" max="15" width="8.85546875" customWidth="1"/>
    <col min="16" max="16384" width="8.855468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 hidden="1"/>
    <row r="29" customFormat="1" hidden="1"/>
    <row r="30" customFormat="1" hidden="1"/>
    <row r="31" customFormat="1" hidden="1"/>
    <row r="32" customFormat="1" hidden="1"/>
    <row r="33" customFormat="1" hidden="1"/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D523-63EB-4E1E-82D2-0A0F2957C0E1}">
  <dimension ref="A1:E8"/>
  <sheetViews>
    <sheetView workbookViewId="0">
      <selection sqref="A1:E8"/>
    </sheetView>
  </sheetViews>
  <sheetFormatPr defaultRowHeight="14.45"/>
  <sheetData>
    <row r="1" spans="1:5">
      <c r="A1" t="s">
        <v>78</v>
      </c>
      <c r="B1">
        <f>COUNTIFS('Ordens de Serviços'!J:J,"Agendado")+COUNTIFS('Ordens de Serviços'!J:J,"Suspenso")</f>
        <v>3</v>
      </c>
      <c r="D1" t="s">
        <v>79</v>
      </c>
      <c r="E1">
        <f>COUNTIFS('Ordens de Serviços'!K:K,"Resolvido")</f>
        <v>5</v>
      </c>
    </row>
    <row r="2" spans="1:5">
      <c r="A2" t="s">
        <v>80</v>
      </c>
      <c r="B2">
        <f>COUNTIFS('Ordens de Serviços'!J:J,"Resolvido")+COUNTIFS('Ordens de Serviços'!J:J,"Cancelado")</f>
        <v>5</v>
      </c>
      <c r="D2" t="s">
        <v>81</v>
      </c>
      <c r="E2">
        <f>COUNTIFS('Ordens de Serviços'!K:K,"Não Resolvido")</f>
        <v>3</v>
      </c>
    </row>
    <row r="5" spans="1:5">
      <c r="A5" t="s">
        <v>82</v>
      </c>
      <c r="D5" t="s">
        <v>83</v>
      </c>
    </row>
    <row r="6" spans="1:5">
      <c r="A6" t="str" cm="1">
        <f t="array" ref="A6:A8">tipos_chamado[Tipo de Chamado]</f>
        <v>Suporte</v>
      </c>
      <c r="B6">
        <f>COUNTIFS('Ordens de Serviços'!C:C,Cálculos!A6)</f>
        <v>2</v>
      </c>
      <c r="D6" t="str" cm="1">
        <f t="array" ref="D6:D8">tecnicos[Técnico]</f>
        <v>Izabelle Cavalcanti</v>
      </c>
      <c r="E6">
        <f>COUNTIFS('Ordens de Serviços'!G:G,Cálculos!D6)</f>
        <v>3</v>
      </c>
    </row>
    <row r="7" spans="1:5">
      <c r="A7" t="str">
        <v>Garantia</v>
      </c>
      <c r="B7">
        <f>COUNTIFS('Ordens de Serviços'!C:C,Cálculos!A7)</f>
        <v>4</v>
      </c>
      <c r="D7" t="str">
        <v>Natalia Pereira</v>
      </c>
      <c r="E7">
        <f>COUNTIFS('Ordens de Serviços'!G:G,Cálculos!D7)</f>
        <v>3</v>
      </c>
    </row>
    <row r="8" spans="1:5">
      <c r="A8" t="str">
        <v>Novo Serviço</v>
      </c>
      <c r="B8">
        <f>COUNTIFS('Ordens de Serviços'!C:C,Cálculos!A8)</f>
        <v>2</v>
      </c>
      <c r="D8" t="str">
        <v>Lucas Fortes</v>
      </c>
      <c r="E8">
        <f>COUNTIFS('Ordens de Serviços'!G:G,Cálculos!D8)</f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2015-06-05T18:17:20Z</dcterms:created>
  <dcterms:modified xsi:type="dcterms:W3CDTF">2022-11-22T19:07:41Z</dcterms:modified>
  <cp:category/>
  <cp:contentStatus/>
</cp:coreProperties>
</file>