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25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55219\Desktop\"/>
    </mc:Choice>
  </mc:AlternateContent>
  <xr:revisionPtr revIDLastSave="0" documentId="13_ncr:1_{A8AA412E-5084-44BE-B03A-460FB2A51034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2024" sheetId="1" r:id="rId1"/>
    <sheet name="Novo Planejamento" sheetId="2" state="hidden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1" i="2" l="1"/>
  <c r="B79" i="2"/>
  <c r="B77" i="2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O63" i="2" s="1"/>
  <c r="O55" i="2"/>
  <c r="N55" i="2"/>
  <c r="M55" i="2"/>
  <c r="L55" i="2"/>
  <c r="K55" i="2"/>
  <c r="J55" i="2"/>
  <c r="I55" i="2"/>
  <c r="H55" i="2"/>
  <c r="G55" i="2"/>
  <c r="F55" i="2"/>
  <c r="E55" i="2"/>
  <c r="D55" i="2"/>
  <c r="O49" i="2"/>
  <c r="O38" i="2" s="1"/>
  <c r="N49" i="2"/>
  <c r="M49" i="2"/>
  <c r="L49" i="2"/>
  <c r="K49" i="2"/>
  <c r="J49" i="2"/>
  <c r="I49" i="2"/>
  <c r="H49" i="2"/>
  <c r="G49" i="2"/>
  <c r="F49" i="2"/>
  <c r="E49" i="2"/>
  <c r="D49" i="2"/>
  <c r="O43" i="2"/>
  <c r="N43" i="2"/>
  <c r="M43" i="2"/>
  <c r="L43" i="2"/>
  <c r="K43" i="2"/>
  <c r="J43" i="2"/>
  <c r="I43" i="2"/>
  <c r="H43" i="2"/>
  <c r="G43" i="2"/>
  <c r="F43" i="2"/>
  <c r="E43" i="2"/>
  <c r="D43" i="2"/>
  <c r="O39" i="2"/>
  <c r="N39" i="2"/>
  <c r="N38" i="2" s="1"/>
  <c r="M39" i="2"/>
  <c r="L39" i="2"/>
  <c r="K39" i="2"/>
  <c r="J39" i="2"/>
  <c r="I39" i="2"/>
  <c r="H39" i="2"/>
  <c r="H38" i="2" s="1"/>
  <c r="G39" i="2"/>
  <c r="G38" i="2" s="1"/>
  <c r="G60" i="2" s="1"/>
  <c r="F39" i="2"/>
  <c r="E39" i="2"/>
  <c r="E38" i="2" s="1"/>
  <c r="D39" i="2"/>
  <c r="O32" i="2"/>
  <c r="N32" i="2"/>
  <c r="M32" i="2"/>
  <c r="L32" i="2"/>
  <c r="K32" i="2"/>
  <c r="J32" i="2"/>
  <c r="I32" i="2"/>
  <c r="H32" i="2"/>
  <c r="G32" i="2"/>
  <c r="F32" i="2"/>
  <c r="E32" i="2"/>
  <c r="D32" i="2"/>
  <c r="E55" i="1"/>
  <c r="F55" i="1"/>
  <c r="G55" i="1"/>
  <c r="H55" i="1"/>
  <c r="I55" i="1"/>
  <c r="J55" i="1"/>
  <c r="K55" i="1"/>
  <c r="L55" i="1"/>
  <c r="M55" i="1"/>
  <c r="N55" i="1"/>
  <c r="O55" i="1"/>
  <c r="E49" i="1"/>
  <c r="F49" i="1"/>
  <c r="G49" i="1"/>
  <c r="H49" i="1"/>
  <c r="I49" i="1"/>
  <c r="J49" i="1"/>
  <c r="K49" i="1"/>
  <c r="L49" i="1"/>
  <c r="M49" i="1"/>
  <c r="N49" i="1"/>
  <c r="O49" i="1"/>
  <c r="E43" i="1"/>
  <c r="F43" i="1"/>
  <c r="G43" i="1"/>
  <c r="H43" i="1"/>
  <c r="I43" i="1"/>
  <c r="J43" i="1"/>
  <c r="K43" i="1"/>
  <c r="L43" i="1"/>
  <c r="M43" i="1"/>
  <c r="N43" i="1"/>
  <c r="O43" i="1"/>
  <c r="E39" i="1"/>
  <c r="F39" i="1"/>
  <c r="G39" i="1"/>
  <c r="H39" i="1"/>
  <c r="I39" i="1"/>
  <c r="J39" i="1"/>
  <c r="K39" i="1"/>
  <c r="L39" i="1"/>
  <c r="M39" i="1"/>
  <c r="N39" i="1"/>
  <c r="O39" i="1"/>
  <c r="D55" i="1"/>
  <c r="D49" i="1"/>
  <c r="D43" i="1"/>
  <c r="D39" i="1"/>
  <c r="D38" i="1" s="1"/>
  <c r="D63" i="1"/>
  <c r="E63" i="1" s="1"/>
  <c r="F63" i="1" s="1"/>
  <c r="G63" i="1" s="1"/>
  <c r="H63" i="1" s="1"/>
  <c r="I63" i="1" s="1"/>
  <c r="J63" i="1" s="1"/>
  <c r="K63" i="1" s="1"/>
  <c r="L63" i="1" s="1"/>
  <c r="M63" i="1" s="1"/>
  <c r="N63" i="1" s="1"/>
  <c r="O63" i="1" s="1"/>
  <c r="O32" i="1"/>
  <c r="N32" i="1"/>
  <c r="M32" i="1"/>
  <c r="L32" i="1"/>
  <c r="K32" i="1"/>
  <c r="J32" i="1"/>
  <c r="I32" i="1"/>
  <c r="H32" i="1"/>
  <c r="G32" i="1"/>
  <c r="F32" i="1"/>
  <c r="E32" i="1"/>
  <c r="D32" i="1"/>
  <c r="I38" i="2" l="1"/>
  <c r="I60" i="2" s="1"/>
  <c r="I67" i="2" s="1"/>
  <c r="I79" i="2" s="1"/>
  <c r="J38" i="2"/>
  <c r="J60" i="2" s="1"/>
  <c r="J67" i="2" s="1"/>
  <c r="J79" i="2" s="1"/>
  <c r="M38" i="2"/>
  <c r="M60" i="2" s="1"/>
  <c r="F38" i="2"/>
  <c r="F60" i="2" s="1"/>
  <c r="K38" i="2"/>
  <c r="K60" i="2" s="1"/>
  <c r="L38" i="2"/>
  <c r="D38" i="2"/>
  <c r="L60" i="2"/>
  <c r="L67" i="2" s="1"/>
  <c r="L79" i="2" s="1"/>
  <c r="O60" i="2"/>
  <c r="O77" i="2" s="1"/>
  <c r="N60" i="2"/>
  <c r="N67" i="2" s="1"/>
  <c r="N79" i="2" s="1"/>
  <c r="D60" i="2"/>
  <c r="E60" i="2"/>
  <c r="G77" i="2"/>
  <c r="G67" i="2"/>
  <c r="G79" i="2" s="1"/>
  <c r="H60" i="2"/>
  <c r="L77" i="2"/>
  <c r="O38" i="1"/>
  <c r="H38" i="1"/>
  <c r="H60" i="1" s="1"/>
  <c r="G38" i="1"/>
  <c r="G60" i="1" s="1"/>
  <c r="L38" i="1"/>
  <c r="K38" i="1"/>
  <c r="F38" i="1"/>
  <c r="F60" i="1" s="1"/>
  <c r="J38" i="1"/>
  <c r="N38" i="1"/>
  <c r="N60" i="1" s="1"/>
  <c r="I38" i="1"/>
  <c r="I60" i="1" s="1"/>
  <c r="M38" i="1"/>
  <c r="E38" i="1"/>
  <c r="E60" i="1" s="1"/>
  <c r="J60" i="1"/>
  <c r="O60" i="1"/>
  <c r="M60" i="1"/>
  <c r="L60" i="1"/>
  <c r="K60" i="1"/>
  <c r="D60" i="1"/>
  <c r="M67" i="2" l="1"/>
  <c r="M79" i="2" s="1"/>
  <c r="M77" i="2"/>
  <c r="F77" i="2"/>
  <c r="F67" i="2"/>
  <c r="F79" i="2" s="1"/>
  <c r="I77" i="2"/>
  <c r="J77" i="2"/>
  <c r="O67" i="2"/>
  <c r="O79" i="2" s="1"/>
  <c r="N77" i="2"/>
  <c r="E77" i="2"/>
  <c r="E67" i="2"/>
  <c r="E79" i="2" s="1"/>
  <c r="D77" i="2"/>
  <c r="D67" i="2"/>
  <c r="H77" i="2"/>
  <c r="H67" i="2"/>
  <c r="H79" i="2" s="1"/>
  <c r="K67" i="2"/>
  <c r="K79" i="2" s="1"/>
  <c r="K77" i="2"/>
  <c r="B77" i="1"/>
  <c r="K67" i="1"/>
  <c r="K79" i="1" s="1"/>
  <c r="K77" i="1"/>
  <c r="L67" i="1"/>
  <c r="L79" i="1" s="1"/>
  <c r="L77" i="1"/>
  <c r="M67" i="1"/>
  <c r="M79" i="1" s="1"/>
  <c r="M77" i="1"/>
  <c r="N67" i="1"/>
  <c r="N79" i="1" s="1"/>
  <c r="N77" i="1"/>
  <c r="O67" i="1"/>
  <c r="O79" i="1" s="1"/>
  <c r="O77" i="1"/>
  <c r="H67" i="1"/>
  <c r="H79" i="1" s="1"/>
  <c r="H77" i="1"/>
  <c r="E67" i="1"/>
  <c r="E79" i="1" s="1"/>
  <c r="E77" i="1"/>
  <c r="F67" i="1"/>
  <c r="F79" i="1" s="1"/>
  <c r="F77" i="1"/>
  <c r="G67" i="1"/>
  <c r="G79" i="1" s="1"/>
  <c r="G77" i="1"/>
  <c r="I67" i="1"/>
  <c r="I79" i="1" s="1"/>
  <c r="I77" i="1"/>
  <c r="J67" i="1"/>
  <c r="J79" i="1" s="1"/>
  <c r="J77" i="1"/>
  <c r="D67" i="1"/>
  <c r="D77" i="1"/>
  <c r="D68" i="2" l="1"/>
  <c r="D79" i="2"/>
  <c r="B79" i="1"/>
  <c r="D68" i="1"/>
  <c r="D79" i="1"/>
  <c r="E68" i="2" l="1"/>
  <c r="D81" i="2"/>
  <c r="E68" i="1"/>
  <c r="D81" i="1"/>
  <c r="F68" i="2" l="1"/>
  <c r="E81" i="2"/>
  <c r="F68" i="1"/>
  <c r="E81" i="1"/>
  <c r="F81" i="2" l="1"/>
  <c r="G68" i="2"/>
  <c r="G68" i="1"/>
  <c r="F81" i="1"/>
  <c r="G81" i="2" l="1"/>
  <c r="H68" i="2"/>
  <c r="H68" i="1"/>
  <c r="G81" i="1"/>
  <c r="H81" i="2" l="1"/>
  <c r="I68" i="2"/>
  <c r="I68" i="1"/>
  <c r="H81" i="1"/>
  <c r="I81" i="2" l="1"/>
  <c r="J68" i="2"/>
  <c r="J68" i="1"/>
  <c r="I81" i="1"/>
  <c r="J81" i="2" l="1"/>
  <c r="K68" i="2"/>
  <c r="K68" i="1"/>
  <c r="J81" i="1"/>
  <c r="K81" i="2" l="1"/>
  <c r="L68" i="2"/>
  <c r="L68" i="1"/>
  <c r="K81" i="1"/>
  <c r="L81" i="2" l="1"/>
  <c r="M68" i="2"/>
  <c r="M68" i="1"/>
  <c r="L81" i="1"/>
  <c r="M81" i="2" l="1"/>
  <c r="N68" i="2"/>
  <c r="N68" i="1"/>
  <c r="M81" i="1"/>
  <c r="N81" i="2" l="1"/>
  <c r="O68" i="2"/>
  <c r="O68" i="1"/>
  <c r="N81" i="1"/>
  <c r="O81" i="2" l="1"/>
  <c r="O81" i="1"/>
  <c r="B81" i="1"/>
</calcChain>
</file>

<file path=xl/sharedStrings.xml><?xml version="1.0" encoding="utf-8"?>
<sst xmlns="http://schemas.openxmlformats.org/spreadsheetml/2006/main" count="122" uniqueCount="61">
  <si>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</si>
  <si>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</si>
  <si>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</si>
  <si>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</si>
  <si>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</si>
  <si>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</si>
  <si>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</si>
  <si>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</si>
  <si>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</si>
  <si>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</si>
  <si>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</si>
  <si>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</si>
  <si>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Receitas</t>
  </si>
  <si>
    <t>Vendas de produtos</t>
  </si>
  <si>
    <t>Serviços</t>
  </si>
  <si>
    <t>Receitas financeiras</t>
  </si>
  <si>
    <t>Outros</t>
  </si>
  <si>
    <t>Custos e despesas</t>
  </si>
  <si>
    <t xml:space="preserve">        Custos Diretos</t>
  </si>
  <si>
    <t>Matéria-prima</t>
  </si>
  <si>
    <t>Mão de obra direta</t>
  </si>
  <si>
    <t>Custos de fabricação</t>
  </si>
  <si>
    <t xml:space="preserve">        Despesas fixas</t>
  </si>
  <si>
    <t>Aluguel</t>
  </si>
  <si>
    <t>Seguros</t>
  </si>
  <si>
    <t>Salários e benefícios</t>
  </si>
  <si>
    <t>Serviços públicos</t>
  </si>
  <si>
    <t>Amortização e depreciações</t>
  </si>
  <si>
    <t xml:space="preserve">        Despesas variáveis</t>
  </si>
  <si>
    <t>Comissões de vendas</t>
  </si>
  <si>
    <t>Marketing e publicidade</t>
  </si>
  <si>
    <t>Suprimentos</t>
  </si>
  <si>
    <t>Frete e logística</t>
  </si>
  <si>
    <t>Manutenção e reparos</t>
  </si>
  <si>
    <t xml:space="preserve">        Outras despesas</t>
  </si>
  <si>
    <t>Juros sobre empréstimos</t>
  </si>
  <si>
    <t>Impostos</t>
  </si>
  <si>
    <t>Taxas e licenças</t>
  </si>
  <si>
    <t>Fluxo de caixa operacional</t>
  </si>
  <si>
    <t>Investimentos</t>
  </si>
  <si>
    <t>Acumulado de Investimentos</t>
  </si>
  <si>
    <t>Empréstimos e financiamentos</t>
  </si>
  <si>
    <t>Lucro no período</t>
  </si>
  <si>
    <t>Lucro acumulado</t>
  </si>
  <si>
    <t>ANO</t>
  </si>
  <si>
    <t>Indicador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</si>
  <si>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</si>
  <si>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</si>
  <si>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</si>
  <si>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</si>
  <si>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</si>
  <si>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</si>
  <si>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</si>
  <si>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</si>
  <si>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</si>
  <si>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</si>
  <si>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</si>
  <si>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</si>
  <si>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Margem Operacional</t>
  </si>
  <si>
    <t>Margem Líquida</t>
  </si>
  <si>
    <t>Retorno sobre Investimentos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</si>
</sst>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&quot;R$&quot;\ * #,##0_-;\-&quot;R$&quot;\ * #,##0_-;_-&quot;R$&quot;\ * &quot;-&quot;??_-;_-@_-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1"/>
      <color theme="0"/>
      <name val="Montserrat"/>
    </font>
    <font>
      <b/>
      <sz val="11"/>
      <name val="Montserrat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2" fillId="2" borderId="0" xfId="0" applyFont="1" applyFill="1"/>
    <xf numFmtId="164" fontId="3" fillId="2" borderId="0" xfId="0" applyNumberFormat="1" applyFont="1" applyFill="1"/>
    <xf numFmtId="164" fontId="2" fillId="0" borderId="0" xfId="1" applyNumberFormat="1" applyFont="1"/>
    <xf numFmtId="164" fontId="4" fillId="2" borderId="0" xfId="1" applyNumberFormat="1" applyFont="1" applyFill="1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164" fontId="3" fillId="2" borderId="0" xfId="1" applyNumberFormat="1" applyFont="1" applyFill="1"/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left" vertical="center"/>
    </xf>
    <xf numFmtId="9" fontId="3" fillId="2" borderId="0" xfId="2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2" borderId="0" xfId="0" applyFont="1" applyFill="1" applyAlignment="1">
      <alignment horizontal="left"/>
    </xf>
    <xf numFmtId="9" fontId="3" fillId="2" borderId="0" xfId="2" applyFont="1" applyFill="1" applyAlignment="1">
      <alignment horizontal="left"/>
    </xf>
    <xf numFmtId="0" fontId="2" fillId="3" borderId="0" xfId="0" applyFont="1" applyFill="1"/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/>
    </xf>
    <xf numFmtId="0" fontId="2" fillId="0" borderId="0" xfId="0" applyFont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'2024'!$B$32</c:f>
              <c:strCache>
                <c:ptCount val="1"/>
                <c:pt idx="0">
                  <c:v>Receitas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>
              <a:glow rad="25400">
                <a:schemeClr val="accent1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'2024'!$D$32:$O$32</c:f>
              <c:numCache>
                <c:formatCode>_-"R$"\ * #,##0_-;\-"R$"\ * #,##0_-;_-"R$"\ * "-"??_-;_-@_-</c:formatCode>
                <c:ptCount val="12"/>
                <c:pt idx="0">
                  <c:v>478737</c:v>
                </c:pt>
                <c:pt idx="1">
                  <c:v>499002</c:v>
                </c:pt>
                <c:pt idx="2">
                  <c:v>575356</c:v>
                </c:pt>
                <c:pt idx="3">
                  <c:v>530334</c:v>
                </c:pt>
                <c:pt idx="4">
                  <c:v>490617</c:v>
                </c:pt>
                <c:pt idx="5">
                  <c:v>370913</c:v>
                </c:pt>
                <c:pt idx="6">
                  <c:v>483505</c:v>
                </c:pt>
                <c:pt idx="7">
                  <c:v>491472</c:v>
                </c:pt>
                <c:pt idx="8">
                  <c:v>623099</c:v>
                </c:pt>
                <c:pt idx="9">
                  <c:v>451291</c:v>
                </c:pt>
                <c:pt idx="10">
                  <c:v>515330</c:v>
                </c:pt>
                <c:pt idx="11">
                  <c:v>507165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991-4C77-BE6A-98DE27A9C36C}"/>
            </c:ext>
          </c:extLst>
        </c:ser>
        <c:ser>
          <c:idx val="1"/>
          <c:order val="1"/>
          <c:tx>
            <c:strRef>
              <c:f>'2024'!$B$38</c:f>
              <c:strCache>
                <c:ptCount val="1"/>
                <c:pt idx="0">
                  <c:v>Custos e despesas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>
              <a:glow rad="25400">
                <a:schemeClr val="accent2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'2024'!$D$38:$O$38</c:f>
              <c:numCache>
                <c:formatCode>_-"R$"\ * #,##0_-;\-"R$"\ * #,##0_-;_-"R$"\ * "-"??_-;_-@_-</c:formatCode>
                <c:ptCount val="12"/>
                <c:pt idx="0">
                  <c:v>419040</c:v>
                </c:pt>
                <c:pt idx="1">
                  <c:v>385192</c:v>
                </c:pt>
                <c:pt idx="2">
                  <c:v>426130</c:v>
                </c:pt>
                <c:pt idx="3">
                  <c:v>389762</c:v>
                </c:pt>
                <c:pt idx="4">
                  <c:v>395719</c:v>
                </c:pt>
                <c:pt idx="5">
                  <c:v>449909</c:v>
                </c:pt>
                <c:pt idx="6">
                  <c:v>363300</c:v>
                </c:pt>
                <c:pt idx="7">
                  <c:v>444122</c:v>
                </c:pt>
                <c:pt idx="8">
                  <c:v>386672</c:v>
                </c:pt>
                <c:pt idx="9">
                  <c:v>380046</c:v>
                </c:pt>
                <c:pt idx="10">
                  <c:v>416009</c:v>
                </c:pt>
                <c:pt idx="11">
                  <c:v>334109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991-4C77-BE6A-98DE27A9C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7076031"/>
        <c:axId val="1197072671"/>
      </c:lineChart>
      <c:catAx>
        <c:axId val="11970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7072671"/>
        <c:crosses val="autoZero"/>
        <c:auto val="1"/>
        <c:lblAlgn val="ctr"/>
        <c:lblOffset val="100"/>
        <c:noMultiLvlLbl val="0"/>
      </c:catAx>
      <c:valAx>
        <c:axId val="119707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7076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'2024'!$B$60</c:f>
              <c:strCache>
                <c:ptCount val="1"/>
                <c:pt idx="0">
                  <c:v>Fluxo de caixa operacional</c:v>
                </c:pt>
              </c:strCache>
            </c:strRef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>
              <a:glow rad="25400">
                <a:schemeClr val="accent1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'2024'!$D$60:$O$60</c:f>
              <c:numCache>
                <c:formatCode>_-"R$"\ * #,##0_-;\-"R$"\ * #,##0_-;_-"R$"\ * "-"??_-;_-@_-</c:formatCode>
                <c:ptCount val="12"/>
                <c:pt idx="0">
                  <c:v>59697</c:v>
                </c:pt>
                <c:pt idx="1">
                  <c:v>113810</c:v>
                </c:pt>
                <c:pt idx="2">
                  <c:v>149226</c:v>
                </c:pt>
                <c:pt idx="3">
                  <c:v>140572</c:v>
                </c:pt>
                <c:pt idx="4">
                  <c:v>94898</c:v>
                </c:pt>
                <c:pt idx="5">
                  <c:v>-78996</c:v>
                </c:pt>
                <c:pt idx="6">
                  <c:v>120205</c:v>
                </c:pt>
                <c:pt idx="7">
                  <c:v>47350</c:v>
                </c:pt>
                <c:pt idx="8">
                  <c:v>236427</c:v>
                </c:pt>
                <c:pt idx="9">
                  <c:v>71245</c:v>
                </c:pt>
                <c:pt idx="10">
                  <c:v>99321</c:v>
                </c:pt>
                <c:pt idx="11">
                  <c:v>173056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42A-4D46-8CCC-2A76389F0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324207"/>
        <c:axId val="1278764319"/>
      </c:lineChart>
      <c:catAx>
        <c:axId val="119432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278764319"/>
        <c:crossesAt val="-100000"/>
        <c:auto val="1"/>
        <c:lblAlgn val="ctr"/>
        <c:lblOffset val="100"/>
        <c:noMultiLvlLbl val="0"/>
      </c:catAx>
      <c:valAx>
        <c:axId val="127876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4324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'2024'!$B$63</c:f>
              <c:strCache>
                <c:ptCount val="1"/>
                <c:pt idx="0">
                  <c:v>Acumulado de Investimentos</c:v>
                </c:pt>
              </c:strCache>
            </c:strRef>
          </c:tx>
          <c:spPr>
            <a:gradFill>
              <a:gsLst>
                <a:gs pos="100000">
                  <a:schemeClr val="bg2">
                    <a:lumMod val="25000"/>
                    <a:alpha val="24000"/>
                  </a:schemeClr>
                </a:gs>
                <a:gs pos="0">
                  <a:schemeClr val="accent1">
                    <a:lumMod val="75000"/>
                  </a:schemeClr>
                </a:gs>
              </a:gsLst>
              <a:lin ang="5400000" scaled="1"/>
            </a:gradFill>
            <a:ln>
              <a:noFill/>
            </a:ln>
            <a:effectLst>
              <a:glow>
                <a:schemeClr val="accent1">
                  <a:lumMod val="20000"/>
                  <a:lumOff val="80000"/>
                </a:schemeClr>
              </a:glow>
            </a:effectLst>
          </c:spPr>
          <c:invertIfNegative val="0"/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'2024'!$D$63:$O$63</c:f>
              <c:numCache>
                <c:formatCode>_-"R$"\ * #,##0_-;\-"R$"\ * #,##0_-;_-"R$"\ * "-"??_-;_-@_-</c:formatCode>
                <c:ptCount val="12"/>
                <c:pt idx="0">
                  <c:v>21360</c:v>
                </c:pt>
                <c:pt idx="1">
                  <c:v>21360</c:v>
                </c:pt>
                <c:pt idx="2">
                  <c:v>85823</c:v>
                </c:pt>
                <c:pt idx="3">
                  <c:v>133320</c:v>
                </c:pt>
                <c:pt idx="4">
                  <c:v>133320</c:v>
                </c:pt>
                <c:pt idx="5">
                  <c:v>189864</c:v>
                </c:pt>
                <c:pt idx="6">
                  <c:v>189864</c:v>
                </c:pt>
                <c:pt idx="7">
                  <c:v>189864</c:v>
                </c:pt>
                <c:pt idx="8">
                  <c:v>189864</c:v>
                </c:pt>
                <c:pt idx="9">
                  <c:v>224765</c:v>
                </c:pt>
                <c:pt idx="10">
                  <c:v>224765</c:v>
                </c:pt>
                <c:pt idx="11">
                  <c:v>291385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8-4686-928C-3DD4CEB5E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482879"/>
        <c:axId val="1099481919"/>
      </c:barChart>
      <c:catAx>
        <c:axId val="109948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099481919"/>
        <c:crosses val="autoZero"/>
        <c:auto val="1"/>
        <c:lblAlgn val="ctr"/>
        <c:lblOffset val="100"/>
        <c:noMultiLvlLbl val="0"/>
      </c:catAx>
      <c:valAx>
        <c:axId val="109948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099482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'2024'!$B$68</c:f>
              <c:strCache>
                <c:ptCount val="1"/>
                <c:pt idx="0">
                  <c:v>Lucro acumulado</c:v>
                </c:pt>
              </c:strCache>
            </c:strRef>
          </c:tx>
          <c:spPr>
            <a:gradFill>
              <a:gsLst>
                <a:gs pos="100000">
                  <a:schemeClr val="bg2">
                    <a:lumMod val="25000"/>
                    <a:alpha val="24000"/>
                  </a:schemeClr>
                </a:gs>
                <a:gs pos="0">
                  <a:schemeClr val="accent1">
                    <a:lumMod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'2024'!$D$68:$O$68</c:f>
              <c:numCache>
                <c:formatCode>_-"R$"\ * #,##0_-;\-"R$"\ * #,##0_-;_-"R$"\ * "-"??_-;_-@_-</c:formatCode>
                <c:ptCount val="12"/>
                <c:pt idx="0">
                  <c:v>28337</c:v>
                </c:pt>
                <c:pt idx="1">
                  <c:v>132147</c:v>
                </c:pt>
                <c:pt idx="2">
                  <c:v>206910</c:v>
                </c:pt>
                <c:pt idx="3">
                  <c:v>289985</c:v>
                </c:pt>
                <c:pt idx="4">
                  <c:v>374883</c:v>
                </c:pt>
                <c:pt idx="5">
                  <c:v>229343</c:v>
                </c:pt>
                <c:pt idx="6">
                  <c:v>339548</c:v>
                </c:pt>
                <c:pt idx="7">
                  <c:v>376898</c:v>
                </c:pt>
                <c:pt idx="8">
                  <c:v>603325</c:v>
                </c:pt>
                <c:pt idx="9">
                  <c:v>629669</c:v>
                </c:pt>
                <c:pt idx="10">
                  <c:v>718990</c:v>
                </c:pt>
                <c:pt idx="11">
                  <c:v>815426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B3-421C-8552-3463585C5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701647"/>
        <c:axId val="1194705967"/>
      </c:barChart>
      <c:lineChart>
        <c:grouping val="standard"/>
        <c:varyColors val="0"/>
        <c:ser>
          <c:idx val="0"/>
          <c:order val="0"/>
          <c:tx>
            <c:strRef>
              <c:f>'2024'!$B$67</c:f>
              <c:strCache>
                <c:ptCount val="1"/>
                <c:pt idx="0">
                  <c:v>Lucro no período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>
              <a:glow rad="25400">
                <a:schemeClr val="accent1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'2024'!$D$67:$O$67</c:f>
              <c:numCache>
                <c:formatCode>_-"R$"\ * #,##0_-;\-"R$"\ * #,##0_-;_-"R$"\ * "-"??_-;_-@_-</c:formatCode>
                <c:ptCount val="12"/>
                <c:pt idx="0">
                  <c:v>28337</c:v>
                </c:pt>
                <c:pt idx="1">
                  <c:v>103810</c:v>
                </c:pt>
                <c:pt idx="2">
                  <c:v>74763</c:v>
                </c:pt>
                <c:pt idx="3">
                  <c:v>83075</c:v>
                </c:pt>
                <c:pt idx="4">
                  <c:v>84898</c:v>
                </c:pt>
                <c:pt idx="5">
                  <c:v>-145540</c:v>
                </c:pt>
                <c:pt idx="6">
                  <c:v>110205</c:v>
                </c:pt>
                <c:pt idx="7">
                  <c:v>37350</c:v>
                </c:pt>
                <c:pt idx="8">
                  <c:v>226427</c:v>
                </c:pt>
                <c:pt idx="9">
                  <c:v>26344</c:v>
                </c:pt>
                <c:pt idx="10">
                  <c:v>89321</c:v>
                </c:pt>
                <c:pt idx="11">
                  <c:v>96436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2B3-421C-8552-3463585C5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701647"/>
        <c:axId val="1194705967"/>
      </c:lineChart>
      <c:catAx>
        <c:axId val="119470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4705967"/>
        <c:crossesAt val="-200000"/>
        <c:auto val="1"/>
        <c:lblAlgn val="ctr"/>
        <c:lblOffset val="100"/>
        <c:noMultiLvlLbl val="0"/>
      </c:catAx>
      <c:valAx>
        <c:axId val="119470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470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'2024'!$B$39</c:f>
              <c:strCache>
                <c:ptCount val="1"/>
                <c:pt idx="0">
                  <c:v>        Custos Diretos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'2024'!$D$39:$O$39</c:f>
              <c:numCache>
                <c:formatCode>_-"R$"\ * #,##0_-;\-"R$"\ * #,##0_-;_-"R$"\ * "-"??_-;_-@_-</c:formatCode>
                <c:ptCount val="12"/>
                <c:pt idx="0">
                  <c:v>74575</c:v>
                </c:pt>
                <c:pt idx="1">
                  <c:v>63376</c:v>
                </c:pt>
                <c:pt idx="2">
                  <c:v>56915</c:v>
                </c:pt>
                <c:pt idx="3">
                  <c:v>78010</c:v>
                </c:pt>
                <c:pt idx="4">
                  <c:v>90127</c:v>
                </c:pt>
                <c:pt idx="5">
                  <c:v>98712</c:v>
                </c:pt>
                <c:pt idx="6">
                  <c:v>82585</c:v>
                </c:pt>
                <c:pt idx="7">
                  <c:v>63478</c:v>
                </c:pt>
                <c:pt idx="8">
                  <c:v>70905</c:v>
                </c:pt>
                <c:pt idx="9">
                  <c:v>87949</c:v>
                </c:pt>
                <c:pt idx="10">
                  <c:v>73852</c:v>
                </c:pt>
                <c:pt idx="11">
                  <c:v>57062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0-4D11-B72A-BD3847C87C19}"/>
            </c:ext>
          </c:extLst>
        </c:ser>
        <c:ser>
          <c:idx val="1"/>
          <c:order val="1"/>
          <c:tx>
            <c:strRef>
              <c:f>'2024'!$B$43</c:f>
              <c:strCache>
                <c:ptCount val="1"/>
                <c:pt idx="0">
                  <c:v>        Despesas fixas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'2024'!$D$43:$O$43</c:f>
              <c:numCache>
                <c:formatCode>_-"R$"\ * #,##0_-;\-"R$"\ * #,##0_-;_-"R$"\ * "-"??_-;_-@_-</c:formatCode>
                <c:ptCount val="12"/>
                <c:pt idx="0">
                  <c:v>119398</c:v>
                </c:pt>
                <c:pt idx="1">
                  <c:v>99729</c:v>
                </c:pt>
                <c:pt idx="2">
                  <c:v>149883</c:v>
                </c:pt>
                <c:pt idx="3">
                  <c:v>111156</c:v>
                </c:pt>
                <c:pt idx="4">
                  <c:v>118078</c:v>
                </c:pt>
                <c:pt idx="5">
                  <c:v>127603</c:v>
                </c:pt>
                <c:pt idx="6">
                  <c:v>118517</c:v>
                </c:pt>
                <c:pt idx="7">
                  <c:v>141031</c:v>
                </c:pt>
                <c:pt idx="8">
                  <c:v>117273</c:v>
                </c:pt>
                <c:pt idx="9">
                  <c:v>122622</c:v>
                </c:pt>
                <c:pt idx="10">
                  <c:v>132774</c:v>
                </c:pt>
                <c:pt idx="11">
                  <c:v>102542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0-4D11-B72A-BD3847C87C19}"/>
            </c:ext>
          </c:extLst>
        </c:ser>
        <c:ser>
          <c:idx val="2"/>
          <c:order val="2"/>
          <c:tx>
            <c:strRef>
              <c:f>'2024'!$B$49</c:f>
              <c:strCache>
                <c:ptCount val="1"/>
                <c:pt idx="0">
                  <c:v>        Despesas variáveis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'2024'!$D$49:$O$49</c:f>
              <c:numCache>
                <c:formatCode>_-"R$"\ * #,##0_-;\-"R$"\ * #,##0_-;_-"R$"\ * "-"??_-;_-@_-</c:formatCode>
                <c:ptCount val="12"/>
                <c:pt idx="0">
                  <c:v>142127</c:v>
                </c:pt>
                <c:pt idx="1">
                  <c:v>142694</c:v>
                </c:pt>
                <c:pt idx="2">
                  <c:v>158564</c:v>
                </c:pt>
                <c:pt idx="3">
                  <c:v>138978</c:v>
                </c:pt>
                <c:pt idx="4">
                  <c:v>114145</c:v>
                </c:pt>
                <c:pt idx="5">
                  <c:v>141103</c:v>
                </c:pt>
                <c:pt idx="6">
                  <c:v>99882</c:v>
                </c:pt>
                <c:pt idx="7">
                  <c:v>134548</c:v>
                </c:pt>
                <c:pt idx="8">
                  <c:v>117491</c:v>
                </c:pt>
                <c:pt idx="9">
                  <c:v>129957</c:v>
                </c:pt>
                <c:pt idx="10">
                  <c:v>117507</c:v>
                </c:pt>
                <c:pt idx="11">
                  <c:v>113783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0-4D11-B72A-BD3847C87C19}"/>
            </c:ext>
          </c:extLst>
        </c:ser>
        <c:ser>
          <c:idx val="3"/>
          <c:order val="3"/>
          <c:tx>
            <c:strRef>
              <c:f>'2024'!$B$55</c:f>
              <c:strCache>
                <c:ptCount val="1"/>
                <c:pt idx="0">
                  <c:v>        Outras despesas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'2024'!$D$55:$O$55</c:f>
              <c:numCache>
                <c:formatCode>_-"R$"\ * #,##0_-;\-"R$"\ * #,##0_-;_-"R$"\ * "-"??_-;_-@_-</c:formatCode>
                <c:ptCount val="12"/>
                <c:pt idx="0">
                  <c:v>82940</c:v>
                </c:pt>
                <c:pt idx="1">
                  <c:v>79393</c:v>
                </c:pt>
                <c:pt idx="2">
                  <c:v>60768</c:v>
                </c:pt>
                <c:pt idx="3">
                  <c:v>61618</c:v>
                </c:pt>
                <c:pt idx="4">
                  <c:v>73369</c:v>
                </c:pt>
                <c:pt idx="5">
                  <c:v>82491</c:v>
                </c:pt>
                <c:pt idx="6">
                  <c:v>62316</c:v>
                </c:pt>
                <c:pt idx="7">
                  <c:v>105065</c:v>
                </c:pt>
                <c:pt idx="8">
                  <c:v>81003</c:v>
                </c:pt>
                <c:pt idx="9">
                  <c:v>39518</c:v>
                </c:pt>
                <c:pt idx="10">
                  <c:v>91876</c:v>
                </c:pt>
                <c:pt idx="11">
                  <c:v>60722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50-4D11-B72A-BD3847C87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5865407"/>
        <c:axId val="1285862047"/>
      </c:barChart>
      <c:catAx>
        <c:axId val="128586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285862047"/>
        <c:crosses val="autoZero"/>
        <c:auto val="1"/>
        <c:lblAlgn val="ctr"/>
        <c:lblOffset val="100"/>
        <c:noMultiLvlLbl val="0"/>
      </c:catAx>
      <c:valAx>
        <c:axId val="128586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2858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2">
                  <a:lumMod val="90000"/>
                </a:schemeClr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'2024'!$B$38</c:f>
              <c:strCache>
                <c:ptCount val="1"/>
                <c:pt idx="0">
                  <c:v>Custos e despesas</c:v>
                </c:pt>
              </c:strCache>
            </c:strRef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>
              <a:glow rad="25400">
                <a:schemeClr val="accent1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'2024'!$D$31:$O$31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'2024'!$D$38:$O$38</c:f>
              <c:numCache>
                <c:formatCode>_-"R$"\ * #,##0_-;\-"R$"\ * #,##0_-;_-"R$"\ * "-"??_-;_-@_-</c:formatCode>
                <c:ptCount val="12"/>
                <c:pt idx="0">
                  <c:v>419040</c:v>
                </c:pt>
                <c:pt idx="1">
                  <c:v>385192</c:v>
                </c:pt>
                <c:pt idx="2">
                  <c:v>426130</c:v>
                </c:pt>
                <c:pt idx="3">
                  <c:v>389762</c:v>
                </c:pt>
                <c:pt idx="4">
                  <c:v>395719</c:v>
                </c:pt>
                <c:pt idx="5">
                  <c:v>449909</c:v>
                </c:pt>
                <c:pt idx="6">
                  <c:v>363300</c:v>
                </c:pt>
                <c:pt idx="7">
                  <c:v>444122</c:v>
                </c:pt>
                <c:pt idx="8">
                  <c:v>386672</c:v>
                </c:pt>
                <c:pt idx="9">
                  <c:v>380046</c:v>
                </c:pt>
                <c:pt idx="10">
                  <c:v>416009</c:v>
                </c:pt>
                <c:pt idx="11">
                  <c:v>334109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1-4FD6-A34E-BC36F9238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326463"/>
        <c:axId val="1385327423"/>
      </c:lineChart>
      <c:catAx>
        <c:axId val="1385326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385327423"/>
        <c:crosses val="autoZero"/>
        <c:auto val="1"/>
        <c:lblAlgn val="ctr"/>
        <c:lblOffset val="100"/>
        <c:noMultiLvlLbl val="0"/>
      </c:catAx>
      <c:valAx>
        <c:axId val="13853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326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'Novo Planejamento'!$B$32</c:f>
              <c:strCache>
                <c:ptCount val="1"/>
                <c:pt idx="0">
                  <c:v>Receitas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>
              <a:glow rad="25400">
                <a:schemeClr val="accent1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Planejamento'!$D$32:$O$32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DA3-4727-B89E-461C6D01AB6E}"/>
            </c:ext>
          </c:extLst>
        </c:ser>
        <c:ser>
          <c:idx val="1"/>
          <c:order val="1"/>
          <c:tx>
            <c:strRef>
              <c:f>'Novo Planejamento'!$B$38</c:f>
              <c:strCache>
                <c:ptCount val="1"/>
                <c:pt idx="0">
                  <c:v>Custos e despesas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>
              <a:glow rad="25400">
                <a:schemeClr val="accent2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Planejamento'!$D$38:$O$38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DA3-4727-B89E-461C6D01A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7076031"/>
        <c:axId val="1197072671"/>
      </c:lineChart>
      <c:catAx>
        <c:axId val="11970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7072671"/>
        <c:crosses val="autoZero"/>
        <c:auto val="1"/>
        <c:lblAlgn val="ctr"/>
        <c:lblOffset val="100"/>
        <c:noMultiLvlLbl val="0"/>
      </c:catAx>
      <c:valAx>
        <c:axId val="1197072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7076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'Novo Planejamento'!$B$60</c:f>
              <c:strCache>
                <c:ptCount val="1"/>
                <c:pt idx="0">
                  <c:v>Fluxo de caixa operacional</c:v>
                </c:pt>
              </c:strCache>
            </c:strRef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>
              <a:glow rad="25400">
                <a:schemeClr val="accent1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Planejamento'!$D$60:$O$60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1C6-4E5B-88E1-4E4029BD7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324207"/>
        <c:axId val="1278764319"/>
      </c:lineChart>
      <c:catAx>
        <c:axId val="119432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278764319"/>
        <c:crossesAt val="-100000"/>
        <c:auto val="1"/>
        <c:lblAlgn val="ctr"/>
        <c:lblOffset val="100"/>
        <c:noMultiLvlLbl val="0"/>
      </c:catAx>
      <c:valAx>
        <c:axId val="1278764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4324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'Novo Planejamento'!$B$63</c:f>
              <c:strCache>
                <c:ptCount val="1"/>
                <c:pt idx="0">
                  <c:v>Acumulado de Investimentos</c:v>
                </c:pt>
              </c:strCache>
            </c:strRef>
          </c:tx>
          <c:spPr>
            <a:gradFill>
              <a:gsLst>
                <a:gs pos="100000">
                  <a:schemeClr val="bg2">
                    <a:lumMod val="25000"/>
                    <a:alpha val="24000"/>
                  </a:schemeClr>
                </a:gs>
                <a:gs pos="0">
                  <a:schemeClr val="accent1">
                    <a:lumMod val="75000"/>
                  </a:schemeClr>
                </a:gs>
              </a:gsLst>
              <a:lin ang="5400000" scaled="1"/>
            </a:gradFill>
            <a:ln>
              <a:noFill/>
            </a:ln>
            <a:effectLst>
              <a:glow>
                <a:schemeClr val="accent1">
                  <a:lumMod val="20000"/>
                  <a:lumOff val="80000"/>
                </a:schemeClr>
              </a:glow>
            </a:effectLst>
          </c:spPr>
          <c:invertIfNegative val="0"/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Planejamento'!$D$63:$O$63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68-423C-8A17-6A368DE28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482879"/>
        <c:axId val="1099481919"/>
      </c:barChart>
      <c:catAx>
        <c:axId val="109948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099481919"/>
        <c:crosses val="autoZero"/>
        <c:auto val="1"/>
        <c:lblAlgn val="ctr"/>
        <c:lblOffset val="100"/>
        <c:noMultiLvlLbl val="0"/>
      </c:catAx>
      <c:valAx>
        <c:axId val="109948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099482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'Novo Planejamento'!$B$68</c:f>
              <c:strCache>
                <c:ptCount val="1"/>
                <c:pt idx="0">
                  <c:v>Lucro acumulado</c:v>
                </c:pt>
              </c:strCache>
            </c:strRef>
          </c:tx>
          <c:spPr>
            <a:gradFill>
              <a:gsLst>
                <a:gs pos="100000">
                  <a:schemeClr val="bg2">
                    <a:lumMod val="25000"/>
                    <a:alpha val="24000"/>
                  </a:schemeClr>
                </a:gs>
                <a:gs pos="0">
                  <a:schemeClr val="accent1">
                    <a:lumMod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Planejamento'!$D$68:$O$68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86-44B1-B19C-7C623073B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4701647"/>
        <c:axId val="1194705967"/>
      </c:barChart>
      <c:lineChart>
        <c:grouping val="standard"/>
        <c:varyColors val="0"/>
        <c:ser>
          <c:idx val="0"/>
          <c:order val="0"/>
          <c:tx>
            <c:strRef>
              <c:f>'Novo Planejamento'!$B$67</c:f>
              <c:strCache>
                <c:ptCount val="1"/>
                <c:pt idx="0">
                  <c:v>Lucro no período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>
              <a:glow rad="25400">
                <a:schemeClr val="accent1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Planejamento'!$D$67:$O$67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E86-44B1-B19C-7C623073B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701647"/>
        <c:axId val="1194705967"/>
      </c:lineChart>
      <c:catAx>
        <c:axId val="119470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4705967"/>
        <c:crossesAt val="-200000"/>
        <c:auto val="1"/>
        <c:lblAlgn val="ctr"/>
        <c:lblOffset val="100"/>
        <c:noMultiLvlLbl val="0"/>
      </c:catAx>
      <c:valAx>
        <c:axId val="119470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194701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'Novo Planejamento'!$B$39</c:f>
              <c:strCache>
                <c:ptCount val="1"/>
                <c:pt idx="0">
                  <c:v>        Custos Diretos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Planejamento'!$D$39:$O$39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1-4D1F-A9EC-B64C1623A4F4}"/>
            </c:ext>
          </c:extLst>
        </c:ser>
        <c:ser>
          <c:idx val="1"/>
          <c:order val="1"/>
          <c:tx>
            <c:strRef>
              <c:f>'Novo Planejamento'!$B$43</c:f>
              <c:strCache>
                <c:ptCount val="1"/>
                <c:pt idx="0">
                  <c:v>        Despesas fixas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Planejamento'!$D$43:$O$43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E1-4D1F-A9EC-B64C1623A4F4}"/>
            </c:ext>
          </c:extLst>
        </c:ser>
        <c:ser>
          <c:idx val="2"/>
          <c:order val="2"/>
          <c:tx>
            <c:strRef>
              <c:f>'Novo Planejamento'!$B$49</c:f>
              <c:strCache>
                <c:ptCount val="1"/>
                <c:pt idx="0">
                  <c:v>        Despesas variáveis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Planejamento'!$D$49:$O$49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E1-4D1F-A9EC-B64C1623A4F4}"/>
            </c:ext>
          </c:extLst>
        </c:ser>
        <c:ser>
          <c:idx val="3"/>
          <c:order val="3"/>
          <c:tx>
            <c:strRef>
              <c:f>'Novo Planejamento'!$B$55</c:f>
              <c:strCache>
                <c:ptCount val="1"/>
                <c:pt idx="0">
                  <c:v>        Outras despesas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Planejamento'!$D$55:$O$55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E1-4D1F-A9EC-B64C1623A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5865407"/>
        <c:axId val="1285862047"/>
      </c:barChart>
      <c:catAx>
        <c:axId val="128586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285862047"/>
        <c:crosses val="autoZero"/>
        <c:auto val="1"/>
        <c:lblAlgn val="ctr"/>
        <c:lblOffset val="100"/>
        <c:noMultiLvlLbl val="0"/>
      </c:catAx>
      <c:valAx>
        <c:axId val="128586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0,\K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285865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2">
                  <a:lumMod val="90000"/>
                </a:schemeClr>
              </a:solidFill>
              <a:latin typeface="Montserrat" panose="00000500000000000000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  <a:latin typeface="Montserrat" panose="00000500000000000000" pitchFamily="2" charset="0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'Novo Planejamento'!$B$38</c:f>
              <c:strCache>
                <c:ptCount val="1"/>
                <c:pt idx="0">
                  <c:v>Custos e despesas</c:v>
                </c:pt>
              </c:strCache>
            </c:strRef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>
              <a:glow rad="25400">
                <a:schemeClr val="accent1">
                  <a:lumMod val="20000"/>
                  <a:lumOff val="80000"/>
                  <a:alpha val="46000"/>
                </a:schemeClr>
              </a:glow>
            </a:effectLst>
          </c:spPr>
          <c:marker>
            <c:symbol val="none"/>
          </c:marker>
          <c:cat>
            <c:strRef>
              <c:f>'Novo Planejamento'!$D$31:$O$31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'Novo Planejamento'!$D$38:$O$38</c:f>
              <c:numCache>
                <c:formatCode>_-"R$"\ * #,##0_-;\-"R$"\ * #,##0_-;_-"R$"\ 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46-40C5-AD29-9E3E77B2B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326463"/>
        <c:axId val="1385327423"/>
      </c:lineChart>
      <c:catAx>
        <c:axId val="1385326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en-US"/>
          </a:p>
        </c:txPr>
        <c:crossAx val="1385327423"/>
        <c:crosses val="autoZero"/>
        <c:auto val="1"/>
        <c:lblAlgn val="ctr"/>
        <c:lblOffset val="100"/>
        <c:noMultiLvlLbl val="0"/>
      </c:catAx>
      <c:valAx>
        <c:axId val="13853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ajorGridlines>
        <c:numFmt formatCode="_-&quot;R$&quot;\ * #,##0_-;\-&quot;R$&quot;\ * #,##0_-;_-&quot;R$&quot;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>
                    <a:lumMod val="9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326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5</xdr:row>
      <xdr:rowOff>121920</xdr:rowOff>
    </xdr:from>
    <xdr:to>
      <xdr:col>5</xdr:col>
      <xdr:colOff>174720</xdr:colOff>
      <xdr:row>14</xdr:row>
      <xdr:rowOff>175260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7CC93441-A570-69A0-9D1D-F6A79F044F19}"/>
            </a:ext>
          </a:extLst>
        </xdr:cNvPr>
        <xdr:cNvSpPr/>
      </xdr:nvSpPr>
      <xdr:spPr>
        <a:xfrm>
          <a:off x="381000" y="118872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388620</xdr:colOff>
      <xdr:row>5</xdr:row>
      <xdr:rowOff>121920</xdr:rowOff>
    </xdr:from>
    <xdr:to>
      <xdr:col>9</xdr:col>
      <xdr:colOff>837660</xdr:colOff>
      <xdr:row>14</xdr:row>
      <xdr:rowOff>175260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1DEE42A-0FCE-46E8-9C3C-787EE6F33D6E}"/>
            </a:ext>
          </a:extLst>
        </xdr:cNvPr>
        <xdr:cNvSpPr/>
      </xdr:nvSpPr>
      <xdr:spPr>
        <a:xfrm>
          <a:off x="4914900" y="118872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99060</xdr:colOff>
      <xdr:row>5</xdr:row>
      <xdr:rowOff>121920</xdr:rowOff>
    </xdr:from>
    <xdr:to>
      <xdr:col>14</xdr:col>
      <xdr:colOff>540480</xdr:colOff>
      <xdr:row>14</xdr:row>
      <xdr:rowOff>175260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8E5225D0-7AA6-487D-B4BC-3360F7224EC0}"/>
            </a:ext>
          </a:extLst>
        </xdr:cNvPr>
        <xdr:cNvSpPr/>
      </xdr:nvSpPr>
      <xdr:spPr>
        <a:xfrm>
          <a:off x="9464040" y="118872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236220</xdr:colOff>
      <xdr:row>15</xdr:row>
      <xdr:rowOff>167640</xdr:rowOff>
    </xdr:from>
    <xdr:to>
      <xdr:col>5</xdr:col>
      <xdr:colOff>182340</xdr:colOff>
      <xdr:row>25</xdr:row>
      <xdr:rowOff>7620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DF6916BA-69E3-4B87-8DA1-D18BA47D2949}"/>
            </a:ext>
          </a:extLst>
        </xdr:cNvPr>
        <xdr:cNvSpPr/>
      </xdr:nvSpPr>
      <xdr:spPr>
        <a:xfrm>
          <a:off x="388620" y="336804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396240</xdr:colOff>
      <xdr:row>15</xdr:row>
      <xdr:rowOff>167640</xdr:rowOff>
    </xdr:from>
    <xdr:to>
      <xdr:col>9</xdr:col>
      <xdr:colOff>845280</xdr:colOff>
      <xdr:row>25</xdr:row>
      <xdr:rowOff>7620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B10F102D-8095-4DA6-AD01-C0569E127E3B}"/>
            </a:ext>
          </a:extLst>
        </xdr:cNvPr>
        <xdr:cNvSpPr/>
      </xdr:nvSpPr>
      <xdr:spPr>
        <a:xfrm>
          <a:off x="4922520" y="336804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106680</xdr:colOff>
      <xdr:row>15</xdr:row>
      <xdr:rowOff>167640</xdr:rowOff>
    </xdr:from>
    <xdr:to>
      <xdr:col>14</xdr:col>
      <xdr:colOff>548100</xdr:colOff>
      <xdr:row>25</xdr:row>
      <xdr:rowOff>7620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E910C33-0477-4CCB-A5A7-5C936277C958}"/>
            </a:ext>
          </a:extLst>
        </xdr:cNvPr>
        <xdr:cNvSpPr/>
      </xdr:nvSpPr>
      <xdr:spPr>
        <a:xfrm>
          <a:off x="9471660" y="336804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121920</xdr:rowOff>
    </xdr:from>
    <xdr:to>
      <xdr:col>5</xdr:col>
      <xdr:colOff>739140</xdr:colOff>
      <xdr:row>2</xdr:row>
      <xdr:rowOff>91440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9C6578CE-E13B-EDB3-742F-14A0298AE5FF}"/>
            </a:ext>
          </a:extLst>
        </xdr:cNvPr>
        <xdr:cNvSpPr/>
      </xdr:nvSpPr>
      <xdr:spPr>
        <a:xfrm>
          <a:off x="0" y="121920"/>
          <a:ext cx="5265420" cy="39624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Montserrat" panose="00000500000000000000" pitchFamily="2" charset="0"/>
            </a:rPr>
            <a:t>Planejamento Financeiro do Ano</a:t>
          </a:r>
        </a:p>
      </xdr:txBody>
    </xdr:sp>
    <xdr:clientData/>
  </xdr:twoCellAnchor>
  <xdr:twoCellAnchor>
    <xdr:from>
      <xdr:col>5</xdr:col>
      <xdr:colOff>441960</xdr:colOff>
      <xdr:row>17</xdr:row>
      <xdr:rowOff>106680</xdr:rowOff>
    </xdr:from>
    <xdr:to>
      <xdr:col>9</xdr:col>
      <xdr:colOff>708660</xdr:colOff>
      <xdr:row>24</xdr:row>
      <xdr:rowOff>190500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61F177E-3DB0-449A-8A4A-678B3D62E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144780</xdr:colOff>
      <xdr:row>17</xdr:row>
      <xdr:rowOff>0</xdr:rowOff>
    </xdr:from>
    <xdr:to>
      <xdr:col>14</xdr:col>
      <xdr:colOff>480060</xdr:colOff>
      <xdr:row>24</xdr:row>
      <xdr:rowOff>175260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41357623-23DA-49AD-8656-91BCB58C6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106680</xdr:colOff>
      <xdr:row>6</xdr:row>
      <xdr:rowOff>167640</xdr:rowOff>
    </xdr:from>
    <xdr:to>
      <xdr:col>14</xdr:col>
      <xdr:colOff>373380</xdr:colOff>
      <xdr:row>14</xdr:row>
      <xdr:rowOff>167640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2353EA10-F74F-456A-92D4-77E444B54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388620</xdr:colOff>
      <xdr:row>6</xdr:row>
      <xdr:rowOff>198120</xdr:rowOff>
    </xdr:from>
    <xdr:to>
      <xdr:col>9</xdr:col>
      <xdr:colOff>716280</xdr:colOff>
      <xdr:row>14</xdr:row>
      <xdr:rowOff>160020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5B904A9C-C9CE-4477-A51A-B6404E2D09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967740</xdr:colOff>
      <xdr:row>0</xdr:row>
      <xdr:rowOff>209550</xdr:rowOff>
    </xdr:from>
    <xdr:to>
      <xdr:col>14</xdr:col>
      <xdr:colOff>464640</xdr:colOff>
      <xdr:row>4</xdr:row>
      <xdr:rowOff>76110</xdr:rowOff>
    </xdr:to>
    <xdr:sp macro="[0]!NovoPlan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682A5D35-55DC-49D7-B207-3A614A6BDA1A}"/>
            </a:ext>
          </a:extLst>
        </xdr:cNvPr>
        <xdr:cNvSpPr/>
      </xdr:nvSpPr>
      <xdr:spPr>
        <a:xfrm>
          <a:off x="12268200" y="209550"/>
          <a:ext cx="1440000" cy="720000"/>
        </a:xfrm>
        <a:prstGeom prst="roundRect">
          <a:avLst>
            <a:gd name="adj" fmla="val 7512"/>
          </a:avLst>
        </a:prstGeom>
        <a:solidFill>
          <a:schemeClr val="accent4">
            <a:lumMod val="75000"/>
            <a:alpha val="7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304800</xdr:colOff>
      <xdr:row>0</xdr:row>
      <xdr:rowOff>209550</xdr:rowOff>
    </xdr:from>
    <xdr:to>
      <xdr:col>12</xdr:col>
      <xdr:colOff>777060</xdr:colOff>
      <xdr:row>4</xdr:row>
      <xdr:rowOff>76110</xdr:rowOff>
    </xdr:to>
    <xdr:sp macro="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8F90E617-78A7-4B8E-AED4-88FE2937034A}"/>
            </a:ext>
          </a:extLst>
        </xdr:cNvPr>
        <xdr:cNvSpPr/>
      </xdr:nvSpPr>
      <xdr:spPr>
        <a:xfrm>
          <a:off x="10637520" y="209550"/>
          <a:ext cx="1440000" cy="720000"/>
        </a:xfrm>
        <a:prstGeom prst="roundRect">
          <a:avLst>
            <a:gd name="adj" fmla="val 7512"/>
          </a:avLst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609600</xdr:colOff>
      <xdr:row>0</xdr:row>
      <xdr:rowOff>209550</xdr:rowOff>
    </xdr:from>
    <xdr:to>
      <xdr:col>11</xdr:col>
      <xdr:colOff>114120</xdr:colOff>
      <xdr:row>4</xdr:row>
      <xdr:rowOff>76110</xdr:rowOff>
    </xdr:to>
    <xdr:sp macro="" textlink="">
      <xdr:nvSpPr>
        <xdr:cNvPr id="32" name="Retângulo: Cantos Arredondados 31">
          <a:extLst>
            <a:ext uri="{FF2B5EF4-FFF2-40B4-BE49-F238E27FC236}">
              <a16:creationId xmlns:a16="http://schemas.microsoft.com/office/drawing/2014/main" id="{D2EDE9C0-642E-4E28-BC97-14D031F43C58}"/>
            </a:ext>
          </a:extLst>
        </xdr:cNvPr>
        <xdr:cNvSpPr/>
      </xdr:nvSpPr>
      <xdr:spPr>
        <a:xfrm>
          <a:off x="9006840" y="209550"/>
          <a:ext cx="1440000" cy="720000"/>
        </a:xfrm>
        <a:prstGeom prst="roundRect">
          <a:avLst>
            <a:gd name="adj" fmla="val 7512"/>
          </a:avLst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914400</xdr:colOff>
      <xdr:row>0</xdr:row>
      <xdr:rowOff>209550</xdr:rowOff>
    </xdr:from>
    <xdr:to>
      <xdr:col>9</xdr:col>
      <xdr:colOff>418920</xdr:colOff>
      <xdr:row>4</xdr:row>
      <xdr:rowOff>76110</xdr:rowOff>
    </xdr:to>
    <xdr:sp macro="" textlink="">
      <xdr:nvSpPr>
        <xdr:cNvPr id="36" name="Retângulo: Cantos Arredondados 35">
          <a:extLst>
            <a:ext uri="{FF2B5EF4-FFF2-40B4-BE49-F238E27FC236}">
              <a16:creationId xmlns:a16="http://schemas.microsoft.com/office/drawing/2014/main" id="{EEBCA0CD-A3FE-484F-B752-97E4C65D4E97}"/>
            </a:ext>
          </a:extLst>
        </xdr:cNvPr>
        <xdr:cNvSpPr/>
      </xdr:nvSpPr>
      <xdr:spPr>
        <a:xfrm>
          <a:off x="7376160" y="209550"/>
          <a:ext cx="1440000" cy="720000"/>
        </a:xfrm>
        <a:prstGeom prst="roundRect">
          <a:avLst>
            <a:gd name="adj" fmla="val 7512"/>
          </a:avLst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891540</xdr:colOff>
      <xdr:row>0</xdr:row>
      <xdr:rowOff>198120</xdr:rowOff>
    </xdr:from>
    <xdr:to>
      <xdr:col>9</xdr:col>
      <xdr:colOff>701040</xdr:colOff>
      <xdr:row>2</xdr:row>
      <xdr:rowOff>190500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3AB91E13-6D78-659D-EDE3-320BF2E9846B}"/>
            </a:ext>
          </a:extLst>
        </xdr:cNvPr>
        <xdr:cNvSpPr txBox="1"/>
      </xdr:nvSpPr>
      <xdr:spPr>
        <a:xfrm>
          <a:off x="7353300" y="198120"/>
          <a:ext cx="17449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Margem</a:t>
          </a:r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 </a:t>
          </a:r>
        </a:p>
        <a:p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Operacional</a:t>
          </a:r>
          <a:endParaRPr lang="pt-BR" sz="105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9</xdr:col>
      <xdr:colOff>609600</xdr:colOff>
      <xdr:row>0</xdr:row>
      <xdr:rowOff>209550</xdr:rowOff>
    </xdr:from>
    <xdr:to>
      <xdr:col>11</xdr:col>
      <xdr:colOff>419100</xdr:colOff>
      <xdr:row>2</xdr:row>
      <xdr:rowOff>201930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8B6ECEB8-E1B0-4A1A-9AAD-4016E75719FD}"/>
            </a:ext>
          </a:extLst>
        </xdr:cNvPr>
        <xdr:cNvSpPr txBox="1"/>
      </xdr:nvSpPr>
      <xdr:spPr>
        <a:xfrm>
          <a:off x="9006840" y="209550"/>
          <a:ext cx="17449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Margem</a:t>
          </a:r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 </a:t>
          </a:r>
        </a:p>
        <a:p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Líquida</a:t>
          </a:r>
          <a:endParaRPr lang="pt-BR" sz="105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11</xdr:col>
      <xdr:colOff>304800</xdr:colOff>
      <xdr:row>0</xdr:row>
      <xdr:rowOff>209550</xdr:rowOff>
    </xdr:from>
    <xdr:to>
      <xdr:col>13</xdr:col>
      <xdr:colOff>106680</xdr:colOff>
      <xdr:row>2</xdr:row>
      <xdr:rowOff>201930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DD56D2AC-1582-4486-A96C-E8BE431E6EB3}"/>
            </a:ext>
          </a:extLst>
        </xdr:cNvPr>
        <xdr:cNvSpPr txBox="1"/>
      </xdr:nvSpPr>
      <xdr:spPr>
        <a:xfrm>
          <a:off x="10637520" y="209550"/>
          <a:ext cx="17449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Retorno Sobre</a:t>
          </a:r>
        </a:p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Investimentos</a:t>
          </a:r>
        </a:p>
      </xdr:txBody>
    </xdr:sp>
    <xdr:clientData/>
  </xdr:twoCellAnchor>
  <xdr:twoCellAnchor>
    <xdr:from>
      <xdr:col>12</xdr:col>
      <xdr:colOff>967740</xdr:colOff>
      <xdr:row>0</xdr:row>
      <xdr:rowOff>209550</xdr:rowOff>
    </xdr:from>
    <xdr:to>
      <xdr:col>14</xdr:col>
      <xdr:colOff>769620</xdr:colOff>
      <xdr:row>2</xdr:row>
      <xdr:rowOff>201930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F94B0DF0-C9A2-403B-B2C7-A74241EF708F}"/>
            </a:ext>
          </a:extLst>
        </xdr:cNvPr>
        <xdr:cNvSpPr txBox="1"/>
      </xdr:nvSpPr>
      <xdr:spPr>
        <a:xfrm>
          <a:off x="12268200" y="209550"/>
          <a:ext cx="17449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Planejar</a:t>
          </a:r>
        </a:p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Próximo</a:t>
          </a:r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 Ano</a:t>
          </a:r>
          <a:endParaRPr lang="pt-BR" sz="105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8</xdr:col>
      <xdr:colOff>746760</xdr:colOff>
      <xdr:row>2</xdr:row>
      <xdr:rowOff>152400</xdr:rowOff>
    </xdr:from>
    <xdr:to>
      <xdr:col>9</xdr:col>
      <xdr:colOff>411480</xdr:colOff>
      <xdr:row>4</xdr:row>
      <xdr:rowOff>38100</xdr:rowOff>
    </xdr:to>
    <xdr:sp macro="" textlink="$B$77">
      <xdr:nvSpPr>
        <xdr:cNvPr id="43" name="CaixaDeTexto 42">
          <a:extLst>
            <a:ext uri="{FF2B5EF4-FFF2-40B4-BE49-F238E27FC236}">
              <a16:creationId xmlns:a16="http://schemas.microsoft.com/office/drawing/2014/main" id="{3D46393F-E507-408D-972E-4D0BCA6D8404}"/>
            </a:ext>
          </a:extLst>
        </xdr:cNvPr>
        <xdr:cNvSpPr txBox="1"/>
      </xdr:nvSpPr>
      <xdr:spPr>
        <a:xfrm>
          <a:off x="8176260" y="579120"/>
          <a:ext cx="63246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398C82A-2456-4A4F-AC26-B89EE3FBED5E}" type="TxLink">
            <a:rPr lang="en-US" sz="1600" b="0" i="0" u="none" strike="noStrike">
              <a:solidFill>
                <a:schemeClr val="accent4">
                  <a:lumMod val="40000"/>
                  <a:lumOff val="60000"/>
                </a:schemeClr>
              </a:solidFill>
              <a:latin typeface="Montserrat"/>
            </a:rPr>
            <a:pPr/>
            <a:t>20%</a:t>
          </a:fld>
          <a:endParaRPr lang="pt-BR" sz="1400" b="0">
            <a:solidFill>
              <a:schemeClr val="accent4">
                <a:lumMod val="40000"/>
                <a:lumOff val="60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10</xdr:col>
      <xdr:colOff>441960</xdr:colOff>
      <xdr:row>2</xdr:row>
      <xdr:rowOff>152400</xdr:rowOff>
    </xdr:from>
    <xdr:to>
      <xdr:col>11</xdr:col>
      <xdr:colOff>106680</xdr:colOff>
      <xdr:row>4</xdr:row>
      <xdr:rowOff>38100</xdr:rowOff>
    </xdr:to>
    <xdr:sp macro="" textlink="$B$79">
      <xdr:nvSpPr>
        <xdr:cNvPr id="44" name="CaixaDeTexto 43">
          <a:extLst>
            <a:ext uri="{FF2B5EF4-FFF2-40B4-BE49-F238E27FC236}">
              <a16:creationId xmlns:a16="http://schemas.microsoft.com/office/drawing/2014/main" id="{05FE042F-B5F2-4EE9-95E0-75796DD613C8}"/>
            </a:ext>
          </a:extLst>
        </xdr:cNvPr>
        <xdr:cNvSpPr txBox="1"/>
      </xdr:nvSpPr>
      <xdr:spPr>
        <a:xfrm>
          <a:off x="9806940" y="579120"/>
          <a:ext cx="63246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70BAAF0-243B-4E90-ABD5-16DD5150FF1E}" type="TxLink">
            <a:rPr lang="en-US" sz="1600" b="0" i="0" u="none" strike="noStrike">
              <a:solidFill>
                <a:schemeClr val="accent4">
                  <a:lumMod val="40000"/>
                  <a:lumOff val="60000"/>
                </a:schemeClr>
              </a:solidFill>
              <a:latin typeface="Montserrat"/>
            </a:rPr>
            <a:pPr/>
            <a:t>14%</a:t>
          </a:fld>
          <a:endParaRPr lang="pt-BR" sz="2000" b="0">
            <a:solidFill>
              <a:schemeClr val="accent4">
                <a:lumMod val="40000"/>
                <a:lumOff val="60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12</xdr:col>
      <xdr:colOff>38100</xdr:colOff>
      <xdr:row>2</xdr:row>
      <xdr:rowOff>152400</xdr:rowOff>
    </xdr:from>
    <xdr:to>
      <xdr:col>12</xdr:col>
      <xdr:colOff>762000</xdr:colOff>
      <xdr:row>4</xdr:row>
      <xdr:rowOff>38100</xdr:rowOff>
    </xdr:to>
    <xdr:sp macro="" textlink="$B$81">
      <xdr:nvSpPr>
        <xdr:cNvPr id="45" name="CaixaDeTexto 44">
          <a:extLst>
            <a:ext uri="{FF2B5EF4-FFF2-40B4-BE49-F238E27FC236}">
              <a16:creationId xmlns:a16="http://schemas.microsoft.com/office/drawing/2014/main" id="{BEF746D6-92FC-4B4C-AB85-38E0A24AB380}"/>
            </a:ext>
          </a:extLst>
        </xdr:cNvPr>
        <xdr:cNvSpPr txBox="1"/>
      </xdr:nvSpPr>
      <xdr:spPr>
        <a:xfrm>
          <a:off x="11338560" y="579120"/>
          <a:ext cx="72390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054C0F6-8834-4148-99AC-C29FFE52FFB6}" type="TxLink">
            <a:rPr lang="en-US" sz="1600" b="0" i="0" u="none" strike="noStrike">
              <a:solidFill>
                <a:schemeClr val="accent4">
                  <a:lumMod val="40000"/>
                  <a:lumOff val="60000"/>
                </a:schemeClr>
              </a:solidFill>
              <a:latin typeface="Montserrat"/>
            </a:rPr>
            <a:pPr/>
            <a:t>250%</a:t>
          </a:fld>
          <a:endParaRPr lang="pt-BR" sz="2000" b="0">
            <a:solidFill>
              <a:schemeClr val="accent4">
                <a:lumMod val="40000"/>
                <a:lumOff val="60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</xdr:col>
      <xdr:colOff>228600</xdr:colOff>
      <xdr:row>5</xdr:row>
      <xdr:rowOff>121920</xdr:rowOff>
    </xdr:from>
    <xdr:to>
      <xdr:col>3</xdr:col>
      <xdr:colOff>701040</xdr:colOff>
      <xdr:row>7</xdr:row>
      <xdr:rowOff>114300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95C5D705-811C-45EC-95F5-622135EB7C19}"/>
            </a:ext>
          </a:extLst>
        </xdr:cNvPr>
        <xdr:cNvSpPr txBox="1"/>
      </xdr:nvSpPr>
      <xdr:spPr>
        <a:xfrm>
          <a:off x="381000" y="118872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Composição das Despesas</a:t>
          </a:r>
        </a:p>
      </xdr:txBody>
    </xdr:sp>
    <xdr:clientData/>
  </xdr:twoCellAnchor>
  <xdr:twoCellAnchor>
    <xdr:from>
      <xdr:col>5</xdr:col>
      <xdr:colOff>388620</xdr:colOff>
      <xdr:row>5</xdr:row>
      <xdr:rowOff>121920</xdr:rowOff>
    </xdr:from>
    <xdr:to>
      <xdr:col>8</xdr:col>
      <xdr:colOff>396240</xdr:colOff>
      <xdr:row>7</xdr:row>
      <xdr:rowOff>114300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92B723A5-D883-4070-B76C-04886289673B}"/>
            </a:ext>
          </a:extLst>
        </xdr:cNvPr>
        <xdr:cNvSpPr txBox="1"/>
      </xdr:nvSpPr>
      <xdr:spPr>
        <a:xfrm>
          <a:off x="4914900" y="118872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Lucro por Período x Lucro Acumulado</a:t>
          </a:r>
        </a:p>
      </xdr:txBody>
    </xdr:sp>
    <xdr:clientData/>
  </xdr:twoCellAnchor>
  <xdr:twoCellAnchor>
    <xdr:from>
      <xdr:col>10</xdr:col>
      <xdr:colOff>99060</xdr:colOff>
      <xdr:row>5</xdr:row>
      <xdr:rowOff>121920</xdr:rowOff>
    </xdr:from>
    <xdr:to>
      <xdr:col>13</xdr:col>
      <xdr:colOff>99060</xdr:colOff>
      <xdr:row>7</xdr:row>
      <xdr:rowOff>114300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A7CB0E8A-7749-4F71-B347-98B1B4A5C88D}"/>
            </a:ext>
          </a:extLst>
        </xdr:cNvPr>
        <xdr:cNvSpPr txBox="1"/>
      </xdr:nvSpPr>
      <xdr:spPr>
        <a:xfrm>
          <a:off x="9464040" y="118872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Acumulado de Investimentos</a:t>
          </a:r>
        </a:p>
      </xdr:txBody>
    </xdr:sp>
    <xdr:clientData/>
  </xdr:twoCellAnchor>
  <xdr:twoCellAnchor>
    <xdr:from>
      <xdr:col>5</xdr:col>
      <xdr:colOff>396240</xdr:colOff>
      <xdr:row>15</xdr:row>
      <xdr:rowOff>167640</xdr:rowOff>
    </xdr:from>
    <xdr:to>
      <xdr:col>8</xdr:col>
      <xdr:colOff>403860</xdr:colOff>
      <xdr:row>17</xdr:row>
      <xdr:rowOff>160020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DB5B2F3C-CB0C-487E-A5AF-3667D8F00B57}"/>
            </a:ext>
          </a:extLst>
        </xdr:cNvPr>
        <xdr:cNvSpPr txBox="1"/>
      </xdr:nvSpPr>
      <xdr:spPr>
        <a:xfrm>
          <a:off x="4922520" y="336804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Evolução</a:t>
          </a:r>
          <a:r>
            <a:rPr lang="pt-BR" sz="1050" b="1" baseline="0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 de Receitas e Despesas</a:t>
          </a:r>
          <a:endParaRPr lang="pt-BR" sz="1050" b="1">
            <a:solidFill>
              <a:schemeClr val="bg1">
                <a:lumMod val="9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</xdr:col>
      <xdr:colOff>236220</xdr:colOff>
      <xdr:row>15</xdr:row>
      <xdr:rowOff>167640</xdr:rowOff>
    </xdr:from>
    <xdr:to>
      <xdr:col>3</xdr:col>
      <xdr:colOff>708660</xdr:colOff>
      <xdr:row>17</xdr:row>
      <xdr:rowOff>160020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561B08F5-70DD-44F9-A5A6-86697B4A3238}"/>
            </a:ext>
          </a:extLst>
        </xdr:cNvPr>
        <xdr:cNvSpPr txBox="1"/>
      </xdr:nvSpPr>
      <xdr:spPr>
        <a:xfrm>
          <a:off x="388620" y="336804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Evolução de Despesas</a:t>
          </a:r>
        </a:p>
      </xdr:txBody>
    </xdr:sp>
    <xdr:clientData/>
  </xdr:twoCellAnchor>
  <xdr:twoCellAnchor>
    <xdr:from>
      <xdr:col>1</xdr:col>
      <xdr:colOff>251460</xdr:colOff>
      <xdr:row>7</xdr:row>
      <xdr:rowOff>99060</xdr:rowOff>
    </xdr:from>
    <xdr:to>
      <xdr:col>5</xdr:col>
      <xdr:colOff>144780</xdr:colOff>
      <xdr:row>14</xdr:row>
      <xdr:rowOff>190500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05AA778A-D485-4B35-8269-8A5455C9B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106680</xdr:colOff>
      <xdr:row>15</xdr:row>
      <xdr:rowOff>167640</xdr:rowOff>
    </xdr:from>
    <xdr:to>
      <xdr:col>13</xdr:col>
      <xdr:colOff>106680</xdr:colOff>
      <xdr:row>17</xdr:row>
      <xdr:rowOff>160020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B3D8542A-99ED-4FE1-8BD1-44BBF00DDF39}"/>
            </a:ext>
          </a:extLst>
        </xdr:cNvPr>
        <xdr:cNvSpPr txBox="1"/>
      </xdr:nvSpPr>
      <xdr:spPr>
        <a:xfrm>
          <a:off x="9471660" y="336804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Fluxo de Caixa Operacional</a:t>
          </a:r>
        </a:p>
      </xdr:txBody>
    </xdr:sp>
    <xdr:clientData/>
  </xdr:twoCellAnchor>
  <xdr:twoCellAnchor>
    <xdr:from>
      <xdr:col>1</xdr:col>
      <xdr:colOff>236220</xdr:colOff>
      <xdr:row>17</xdr:row>
      <xdr:rowOff>45720</xdr:rowOff>
    </xdr:from>
    <xdr:to>
      <xdr:col>5</xdr:col>
      <xdr:colOff>175260</xdr:colOff>
      <xdr:row>24</xdr:row>
      <xdr:rowOff>198120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FBB0842D-D72D-4413-A2DA-002676F9B0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27</xdr:row>
      <xdr:rowOff>83820</xdr:rowOff>
    </xdr:from>
    <xdr:to>
      <xdr:col>5</xdr:col>
      <xdr:colOff>739140</xdr:colOff>
      <xdr:row>29</xdr:row>
      <xdr:rowOff>53340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C49858F9-B2B5-41D7-ACAB-967CEA2B0256}"/>
            </a:ext>
          </a:extLst>
        </xdr:cNvPr>
        <xdr:cNvSpPr/>
      </xdr:nvSpPr>
      <xdr:spPr>
        <a:xfrm>
          <a:off x="0" y="5844540"/>
          <a:ext cx="5265420" cy="39624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Montserrat" panose="00000500000000000000" pitchFamily="2" charset="0"/>
            </a:rPr>
            <a:t>Preencher</a:t>
          </a:r>
          <a:r>
            <a:rPr lang="pt-BR" sz="1400" b="1" baseline="0">
              <a:latin typeface="Montserrat" panose="00000500000000000000" pitchFamily="2" charset="0"/>
            </a:rPr>
            <a:t> Informações</a:t>
          </a:r>
          <a:endParaRPr lang="pt-BR" sz="14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70</xdr:row>
      <xdr:rowOff>190500</xdr:rowOff>
    </xdr:from>
    <xdr:to>
      <xdr:col>5</xdr:col>
      <xdr:colOff>739140</xdr:colOff>
      <xdr:row>72</xdr:row>
      <xdr:rowOff>160020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128C4C36-743B-406D-BD89-1A3583B1FFD0}"/>
            </a:ext>
          </a:extLst>
        </xdr:cNvPr>
        <xdr:cNvSpPr/>
      </xdr:nvSpPr>
      <xdr:spPr>
        <a:xfrm>
          <a:off x="0" y="15125700"/>
          <a:ext cx="5265420" cy="39624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Montserrat" panose="00000500000000000000" pitchFamily="2" charset="0"/>
            </a:rPr>
            <a:t>Indicadores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5</xdr:row>
      <xdr:rowOff>121920</xdr:rowOff>
    </xdr:from>
    <xdr:to>
      <xdr:col>5</xdr:col>
      <xdr:colOff>174720</xdr:colOff>
      <xdr:row>14</xdr:row>
      <xdr:rowOff>175260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6FBDFA9-A800-4658-9CE6-8CAEF452914B}"/>
            </a:ext>
          </a:extLst>
        </xdr:cNvPr>
        <xdr:cNvSpPr/>
      </xdr:nvSpPr>
      <xdr:spPr>
        <a:xfrm>
          <a:off x="381000" y="118872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388620</xdr:colOff>
      <xdr:row>5</xdr:row>
      <xdr:rowOff>121920</xdr:rowOff>
    </xdr:from>
    <xdr:to>
      <xdr:col>9</xdr:col>
      <xdr:colOff>837660</xdr:colOff>
      <xdr:row>14</xdr:row>
      <xdr:rowOff>175260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9D3F6B5-BB88-4094-A26E-5A1EE6301E36}"/>
            </a:ext>
          </a:extLst>
        </xdr:cNvPr>
        <xdr:cNvSpPr/>
      </xdr:nvSpPr>
      <xdr:spPr>
        <a:xfrm>
          <a:off x="4914900" y="118872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99060</xdr:colOff>
      <xdr:row>5</xdr:row>
      <xdr:rowOff>121920</xdr:rowOff>
    </xdr:from>
    <xdr:to>
      <xdr:col>14</xdr:col>
      <xdr:colOff>540480</xdr:colOff>
      <xdr:row>14</xdr:row>
      <xdr:rowOff>175260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B08C33E-DBB1-415D-BA25-167DB35BEAF8}"/>
            </a:ext>
          </a:extLst>
        </xdr:cNvPr>
        <xdr:cNvSpPr/>
      </xdr:nvSpPr>
      <xdr:spPr>
        <a:xfrm>
          <a:off x="9464040" y="118872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236220</xdr:colOff>
      <xdr:row>15</xdr:row>
      <xdr:rowOff>167640</xdr:rowOff>
    </xdr:from>
    <xdr:to>
      <xdr:col>5</xdr:col>
      <xdr:colOff>182340</xdr:colOff>
      <xdr:row>25</xdr:row>
      <xdr:rowOff>7620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A3D7788-F3CD-4470-A128-8D6688114DA8}"/>
            </a:ext>
          </a:extLst>
        </xdr:cNvPr>
        <xdr:cNvSpPr/>
      </xdr:nvSpPr>
      <xdr:spPr>
        <a:xfrm>
          <a:off x="388620" y="336804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396240</xdr:colOff>
      <xdr:row>15</xdr:row>
      <xdr:rowOff>167640</xdr:rowOff>
    </xdr:from>
    <xdr:to>
      <xdr:col>9</xdr:col>
      <xdr:colOff>845280</xdr:colOff>
      <xdr:row>25</xdr:row>
      <xdr:rowOff>7620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A629959-0FFC-423D-B927-2ADE743FBEEF}"/>
            </a:ext>
          </a:extLst>
        </xdr:cNvPr>
        <xdr:cNvSpPr/>
      </xdr:nvSpPr>
      <xdr:spPr>
        <a:xfrm>
          <a:off x="4922520" y="336804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106680</xdr:colOff>
      <xdr:row>15</xdr:row>
      <xdr:rowOff>167640</xdr:rowOff>
    </xdr:from>
    <xdr:to>
      <xdr:col>14</xdr:col>
      <xdr:colOff>548100</xdr:colOff>
      <xdr:row>25</xdr:row>
      <xdr:rowOff>7620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13E7D2D-B930-4C3A-BF22-E19C8EF5CBAA}"/>
            </a:ext>
          </a:extLst>
        </xdr:cNvPr>
        <xdr:cNvSpPr/>
      </xdr:nvSpPr>
      <xdr:spPr>
        <a:xfrm>
          <a:off x="9471660" y="3368040"/>
          <a:ext cx="4320000" cy="1973580"/>
        </a:xfrm>
        <a:prstGeom prst="roundRect">
          <a:avLst>
            <a:gd name="adj" fmla="val 7512"/>
          </a:avLst>
        </a:prstGeom>
        <a:solidFill>
          <a:schemeClr val="bg2">
            <a:lumMod val="25000"/>
            <a:alpha val="24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121920</xdr:rowOff>
    </xdr:from>
    <xdr:to>
      <xdr:col>5</xdr:col>
      <xdr:colOff>739140</xdr:colOff>
      <xdr:row>2</xdr:row>
      <xdr:rowOff>91440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07FBCE1-A6AD-4748-9D13-8C4D7CB7D005}"/>
            </a:ext>
          </a:extLst>
        </xdr:cNvPr>
        <xdr:cNvSpPr/>
      </xdr:nvSpPr>
      <xdr:spPr>
        <a:xfrm>
          <a:off x="0" y="121920"/>
          <a:ext cx="5265420" cy="39624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Montserrat" panose="00000500000000000000" pitchFamily="2" charset="0"/>
            </a:rPr>
            <a:t>Planejamento Financeiro do Ano</a:t>
          </a:r>
        </a:p>
      </xdr:txBody>
    </xdr:sp>
    <xdr:clientData/>
  </xdr:twoCellAnchor>
  <xdr:twoCellAnchor>
    <xdr:from>
      <xdr:col>5</xdr:col>
      <xdr:colOff>441960</xdr:colOff>
      <xdr:row>17</xdr:row>
      <xdr:rowOff>106680</xdr:rowOff>
    </xdr:from>
    <xdr:to>
      <xdr:col>9</xdr:col>
      <xdr:colOff>708660</xdr:colOff>
      <xdr:row>24</xdr:row>
      <xdr:rowOff>190500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482A783-8C45-4F11-8248-2AAE699B7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144780</xdr:colOff>
      <xdr:row>17</xdr:row>
      <xdr:rowOff>0</xdr:rowOff>
    </xdr:from>
    <xdr:to>
      <xdr:col>14</xdr:col>
      <xdr:colOff>480060</xdr:colOff>
      <xdr:row>24</xdr:row>
      <xdr:rowOff>175260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25C5B78-09C2-4850-A82E-6CCFE4D2A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106680</xdr:colOff>
      <xdr:row>6</xdr:row>
      <xdr:rowOff>167640</xdr:rowOff>
    </xdr:from>
    <xdr:to>
      <xdr:col>14</xdr:col>
      <xdr:colOff>373380</xdr:colOff>
      <xdr:row>14</xdr:row>
      <xdr:rowOff>167640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D79B74E0-0E45-464D-B384-08883CDA15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388620</xdr:colOff>
      <xdr:row>6</xdr:row>
      <xdr:rowOff>198120</xdr:rowOff>
    </xdr:from>
    <xdr:to>
      <xdr:col>9</xdr:col>
      <xdr:colOff>716280</xdr:colOff>
      <xdr:row>14</xdr:row>
      <xdr:rowOff>160020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F2AC66FF-3590-49E5-854B-05AD52431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967740</xdr:colOff>
      <xdr:row>0</xdr:row>
      <xdr:rowOff>209550</xdr:rowOff>
    </xdr:from>
    <xdr:to>
      <xdr:col>14</xdr:col>
      <xdr:colOff>464640</xdr:colOff>
      <xdr:row>4</xdr:row>
      <xdr:rowOff>76110</xdr:rowOff>
    </xdr:to>
    <xdr:sp macro="[0]!NovoPl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81AEFA6C-AFC4-4D90-B7FA-0DEC305C3C11}"/>
            </a:ext>
          </a:extLst>
        </xdr:cNvPr>
        <xdr:cNvSpPr/>
      </xdr:nvSpPr>
      <xdr:spPr>
        <a:xfrm>
          <a:off x="12268200" y="209550"/>
          <a:ext cx="1440000" cy="720000"/>
        </a:xfrm>
        <a:prstGeom prst="roundRect">
          <a:avLst>
            <a:gd name="adj" fmla="val 7512"/>
          </a:avLst>
        </a:prstGeom>
        <a:solidFill>
          <a:schemeClr val="accent4">
            <a:lumMod val="75000"/>
            <a:alpha val="7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304800</xdr:colOff>
      <xdr:row>0</xdr:row>
      <xdr:rowOff>209550</xdr:rowOff>
    </xdr:from>
    <xdr:to>
      <xdr:col>12</xdr:col>
      <xdr:colOff>777060</xdr:colOff>
      <xdr:row>4</xdr:row>
      <xdr:rowOff>76110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E027BFC-57FB-4E8A-A0B9-F5215B05B5FC}"/>
            </a:ext>
          </a:extLst>
        </xdr:cNvPr>
        <xdr:cNvSpPr/>
      </xdr:nvSpPr>
      <xdr:spPr>
        <a:xfrm>
          <a:off x="10637520" y="209550"/>
          <a:ext cx="1440000" cy="720000"/>
        </a:xfrm>
        <a:prstGeom prst="roundRect">
          <a:avLst>
            <a:gd name="adj" fmla="val 7512"/>
          </a:avLst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609600</xdr:colOff>
      <xdr:row>0</xdr:row>
      <xdr:rowOff>209550</xdr:rowOff>
    </xdr:from>
    <xdr:to>
      <xdr:col>11</xdr:col>
      <xdr:colOff>114120</xdr:colOff>
      <xdr:row>4</xdr:row>
      <xdr:rowOff>76110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F4E3C5B-D9F7-400C-879F-4B0BFBEA13D7}"/>
            </a:ext>
          </a:extLst>
        </xdr:cNvPr>
        <xdr:cNvSpPr/>
      </xdr:nvSpPr>
      <xdr:spPr>
        <a:xfrm>
          <a:off x="9006840" y="209550"/>
          <a:ext cx="1440000" cy="720000"/>
        </a:xfrm>
        <a:prstGeom prst="roundRect">
          <a:avLst>
            <a:gd name="adj" fmla="val 7512"/>
          </a:avLst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914400</xdr:colOff>
      <xdr:row>0</xdr:row>
      <xdr:rowOff>209550</xdr:rowOff>
    </xdr:from>
    <xdr:to>
      <xdr:col>9</xdr:col>
      <xdr:colOff>418920</xdr:colOff>
      <xdr:row>4</xdr:row>
      <xdr:rowOff>76110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00B69C9-1A98-4672-97A3-3DF89EFEDE25}"/>
            </a:ext>
          </a:extLst>
        </xdr:cNvPr>
        <xdr:cNvSpPr/>
      </xdr:nvSpPr>
      <xdr:spPr>
        <a:xfrm>
          <a:off x="7376160" y="209550"/>
          <a:ext cx="1440000" cy="720000"/>
        </a:xfrm>
        <a:prstGeom prst="roundRect">
          <a:avLst>
            <a:gd name="adj" fmla="val 7512"/>
          </a:avLst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891540</xdr:colOff>
      <xdr:row>0</xdr:row>
      <xdr:rowOff>198120</xdr:rowOff>
    </xdr:from>
    <xdr:to>
      <xdr:col>9</xdr:col>
      <xdr:colOff>701040</xdr:colOff>
      <xdr:row>2</xdr:row>
      <xdr:rowOff>190500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1E6AFB81-4331-4918-AE21-DD992C6F2DA8}"/>
            </a:ext>
          </a:extLst>
        </xdr:cNvPr>
        <xdr:cNvSpPr txBox="1"/>
      </xdr:nvSpPr>
      <xdr:spPr>
        <a:xfrm>
          <a:off x="7353300" y="198120"/>
          <a:ext cx="17449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Margem</a:t>
          </a:r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 </a:t>
          </a:r>
        </a:p>
        <a:p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Operacional</a:t>
          </a:r>
          <a:endParaRPr lang="pt-BR" sz="105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9</xdr:col>
      <xdr:colOff>609600</xdr:colOff>
      <xdr:row>0</xdr:row>
      <xdr:rowOff>209550</xdr:rowOff>
    </xdr:from>
    <xdr:to>
      <xdr:col>11</xdr:col>
      <xdr:colOff>419100</xdr:colOff>
      <xdr:row>2</xdr:row>
      <xdr:rowOff>201930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81D23269-1686-4CC5-B4BB-18DBD34C3EF9}"/>
            </a:ext>
          </a:extLst>
        </xdr:cNvPr>
        <xdr:cNvSpPr txBox="1"/>
      </xdr:nvSpPr>
      <xdr:spPr>
        <a:xfrm>
          <a:off x="9006840" y="209550"/>
          <a:ext cx="17449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Margem</a:t>
          </a:r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 </a:t>
          </a:r>
        </a:p>
        <a:p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Líquida</a:t>
          </a:r>
          <a:endParaRPr lang="pt-BR" sz="105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11</xdr:col>
      <xdr:colOff>304800</xdr:colOff>
      <xdr:row>0</xdr:row>
      <xdr:rowOff>209550</xdr:rowOff>
    </xdr:from>
    <xdr:to>
      <xdr:col>13</xdr:col>
      <xdr:colOff>106680</xdr:colOff>
      <xdr:row>2</xdr:row>
      <xdr:rowOff>201930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3C6EEA6F-E9AB-4F08-A547-10A720269DE8}"/>
            </a:ext>
          </a:extLst>
        </xdr:cNvPr>
        <xdr:cNvSpPr txBox="1"/>
      </xdr:nvSpPr>
      <xdr:spPr>
        <a:xfrm>
          <a:off x="10637520" y="209550"/>
          <a:ext cx="17449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Retorno Sobre</a:t>
          </a:r>
        </a:p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Investimentos</a:t>
          </a:r>
        </a:p>
      </xdr:txBody>
    </xdr:sp>
    <xdr:clientData/>
  </xdr:twoCellAnchor>
  <xdr:twoCellAnchor>
    <xdr:from>
      <xdr:col>12</xdr:col>
      <xdr:colOff>967740</xdr:colOff>
      <xdr:row>0</xdr:row>
      <xdr:rowOff>209550</xdr:rowOff>
    </xdr:from>
    <xdr:to>
      <xdr:col>14</xdr:col>
      <xdr:colOff>769620</xdr:colOff>
      <xdr:row>2</xdr:row>
      <xdr:rowOff>201930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EE62320A-C129-40B5-A9C7-90EC5AA65610}"/>
            </a:ext>
          </a:extLst>
        </xdr:cNvPr>
        <xdr:cNvSpPr txBox="1"/>
      </xdr:nvSpPr>
      <xdr:spPr>
        <a:xfrm>
          <a:off x="12268200" y="209550"/>
          <a:ext cx="174498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Planejar</a:t>
          </a:r>
        </a:p>
        <a:p>
          <a:r>
            <a:rPr lang="pt-BR" sz="1050" b="1">
              <a:solidFill>
                <a:schemeClr val="bg1"/>
              </a:solidFill>
              <a:latin typeface="Montserrat" panose="00000500000000000000" pitchFamily="2" charset="0"/>
            </a:rPr>
            <a:t>Próximo</a:t>
          </a:r>
          <a:r>
            <a:rPr lang="pt-BR" sz="1050" b="1" baseline="0">
              <a:solidFill>
                <a:schemeClr val="bg1"/>
              </a:solidFill>
              <a:latin typeface="Montserrat" panose="00000500000000000000" pitchFamily="2" charset="0"/>
            </a:rPr>
            <a:t> Ano</a:t>
          </a:r>
          <a:endParaRPr lang="pt-BR" sz="105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8</xdr:col>
      <xdr:colOff>754380</xdr:colOff>
      <xdr:row>2</xdr:row>
      <xdr:rowOff>152400</xdr:rowOff>
    </xdr:from>
    <xdr:to>
      <xdr:col>9</xdr:col>
      <xdr:colOff>419100</xdr:colOff>
      <xdr:row>4</xdr:row>
      <xdr:rowOff>38100</xdr:rowOff>
    </xdr:to>
    <xdr:sp macro="" textlink="$B$77">
      <xdr:nvSpPr>
        <xdr:cNvPr id="21" name="CaixaDeTexto 20">
          <a:extLst>
            <a:ext uri="{FF2B5EF4-FFF2-40B4-BE49-F238E27FC236}">
              <a16:creationId xmlns:a16="http://schemas.microsoft.com/office/drawing/2014/main" id="{A74529EA-DE6A-46F7-B146-19C24836D622}"/>
            </a:ext>
          </a:extLst>
        </xdr:cNvPr>
        <xdr:cNvSpPr txBox="1"/>
      </xdr:nvSpPr>
      <xdr:spPr>
        <a:xfrm>
          <a:off x="8183880" y="579120"/>
          <a:ext cx="63246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398C82A-2456-4A4F-AC26-B89EE3FBED5E}" type="TxLink">
            <a:rPr lang="en-US" sz="1600" b="0" i="0" u="none" strike="noStrike">
              <a:solidFill>
                <a:schemeClr val="accent4">
                  <a:lumMod val="40000"/>
                  <a:lumOff val="60000"/>
                </a:schemeClr>
              </a:solidFill>
              <a:latin typeface="Montserrat"/>
              <a:ea typeface="Calibri"/>
              <a:cs typeface="Calibri"/>
            </a:rPr>
            <a:pPr/>
            <a:t> </a:t>
          </a:fld>
          <a:endParaRPr lang="pt-BR" sz="1400" b="0">
            <a:solidFill>
              <a:schemeClr val="accent4">
                <a:lumMod val="40000"/>
                <a:lumOff val="60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10</xdr:col>
      <xdr:colOff>449580</xdr:colOff>
      <xdr:row>2</xdr:row>
      <xdr:rowOff>152400</xdr:rowOff>
    </xdr:from>
    <xdr:to>
      <xdr:col>11</xdr:col>
      <xdr:colOff>114300</xdr:colOff>
      <xdr:row>4</xdr:row>
      <xdr:rowOff>38100</xdr:rowOff>
    </xdr:to>
    <xdr:sp macro="" textlink="$B$79">
      <xdr:nvSpPr>
        <xdr:cNvPr id="22" name="CaixaDeTexto 21">
          <a:extLst>
            <a:ext uri="{FF2B5EF4-FFF2-40B4-BE49-F238E27FC236}">
              <a16:creationId xmlns:a16="http://schemas.microsoft.com/office/drawing/2014/main" id="{D0B05FEC-4091-4F56-87C0-1FBF3D7A9E53}"/>
            </a:ext>
          </a:extLst>
        </xdr:cNvPr>
        <xdr:cNvSpPr txBox="1"/>
      </xdr:nvSpPr>
      <xdr:spPr>
        <a:xfrm>
          <a:off x="9814560" y="579120"/>
          <a:ext cx="63246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70BAAF0-243B-4E90-ABD5-16DD5150FF1E}" type="TxLink">
            <a:rPr lang="en-US" sz="1600" b="0" i="0" u="none" strike="noStrike">
              <a:solidFill>
                <a:schemeClr val="accent4">
                  <a:lumMod val="40000"/>
                  <a:lumOff val="60000"/>
                </a:schemeClr>
              </a:solidFill>
              <a:latin typeface="Montserrat"/>
              <a:ea typeface="Calibri"/>
              <a:cs typeface="Calibri"/>
            </a:rPr>
            <a:pPr/>
            <a:t> </a:t>
          </a:fld>
          <a:endParaRPr lang="pt-BR" sz="2000" b="0">
            <a:solidFill>
              <a:schemeClr val="accent4">
                <a:lumMod val="40000"/>
                <a:lumOff val="60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12</xdr:col>
      <xdr:colOff>45720</xdr:colOff>
      <xdr:row>2</xdr:row>
      <xdr:rowOff>152400</xdr:rowOff>
    </xdr:from>
    <xdr:to>
      <xdr:col>12</xdr:col>
      <xdr:colOff>769620</xdr:colOff>
      <xdr:row>4</xdr:row>
      <xdr:rowOff>38100</xdr:rowOff>
    </xdr:to>
    <xdr:sp macro="" textlink="$B$81">
      <xdr:nvSpPr>
        <xdr:cNvPr id="23" name="CaixaDeTexto 22">
          <a:extLst>
            <a:ext uri="{FF2B5EF4-FFF2-40B4-BE49-F238E27FC236}">
              <a16:creationId xmlns:a16="http://schemas.microsoft.com/office/drawing/2014/main" id="{E9682AE3-2089-4C95-82BA-1BD743499E5D}"/>
            </a:ext>
          </a:extLst>
        </xdr:cNvPr>
        <xdr:cNvSpPr txBox="1"/>
      </xdr:nvSpPr>
      <xdr:spPr>
        <a:xfrm>
          <a:off x="11346180" y="579120"/>
          <a:ext cx="72390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054C0F6-8834-4148-99AC-C29FFE52FFB6}" type="TxLink">
            <a:rPr lang="en-US" sz="1600" b="0" i="0" u="none" strike="noStrike">
              <a:solidFill>
                <a:schemeClr val="accent4">
                  <a:lumMod val="40000"/>
                  <a:lumOff val="60000"/>
                </a:schemeClr>
              </a:solidFill>
              <a:latin typeface="Montserrat"/>
              <a:ea typeface="Calibri"/>
              <a:cs typeface="Calibri"/>
            </a:rPr>
            <a:pPr/>
            <a:t> </a:t>
          </a:fld>
          <a:endParaRPr lang="pt-BR" sz="2000" b="0">
            <a:solidFill>
              <a:schemeClr val="accent4">
                <a:lumMod val="40000"/>
                <a:lumOff val="60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</xdr:col>
      <xdr:colOff>228600</xdr:colOff>
      <xdr:row>5</xdr:row>
      <xdr:rowOff>121920</xdr:rowOff>
    </xdr:from>
    <xdr:to>
      <xdr:col>3</xdr:col>
      <xdr:colOff>701040</xdr:colOff>
      <xdr:row>7</xdr:row>
      <xdr:rowOff>114300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4971BDDA-93EA-45D2-BF81-741CB7A78FAA}"/>
            </a:ext>
          </a:extLst>
        </xdr:cNvPr>
        <xdr:cNvSpPr txBox="1"/>
      </xdr:nvSpPr>
      <xdr:spPr>
        <a:xfrm>
          <a:off x="381000" y="118872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Composição das Despesas</a:t>
          </a:r>
        </a:p>
      </xdr:txBody>
    </xdr:sp>
    <xdr:clientData/>
  </xdr:twoCellAnchor>
  <xdr:twoCellAnchor>
    <xdr:from>
      <xdr:col>5</xdr:col>
      <xdr:colOff>388620</xdr:colOff>
      <xdr:row>5</xdr:row>
      <xdr:rowOff>121920</xdr:rowOff>
    </xdr:from>
    <xdr:to>
      <xdr:col>8</xdr:col>
      <xdr:colOff>396240</xdr:colOff>
      <xdr:row>7</xdr:row>
      <xdr:rowOff>114300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A10E8C20-6A56-494D-8E65-E0F7FF475D28}"/>
            </a:ext>
          </a:extLst>
        </xdr:cNvPr>
        <xdr:cNvSpPr txBox="1"/>
      </xdr:nvSpPr>
      <xdr:spPr>
        <a:xfrm>
          <a:off x="4914900" y="118872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Lucro por Período x Lucro Acumulado</a:t>
          </a:r>
        </a:p>
      </xdr:txBody>
    </xdr:sp>
    <xdr:clientData/>
  </xdr:twoCellAnchor>
  <xdr:twoCellAnchor>
    <xdr:from>
      <xdr:col>10</xdr:col>
      <xdr:colOff>99060</xdr:colOff>
      <xdr:row>5</xdr:row>
      <xdr:rowOff>121920</xdr:rowOff>
    </xdr:from>
    <xdr:to>
      <xdr:col>13</xdr:col>
      <xdr:colOff>99060</xdr:colOff>
      <xdr:row>7</xdr:row>
      <xdr:rowOff>114300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F2C1D45-0285-45EE-9287-E39ADE5192F5}"/>
            </a:ext>
          </a:extLst>
        </xdr:cNvPr>
        <xdr:cNvSpPr txBox="1"/>
      </xdr:nvSpPr>
      <xdr:spPr>
        <a:xfrm>
          <a:off x="9464040" y="118872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Acumulado de Investimentos</a:t>
          </a:r>
        </a:p>
      </xdr:txBody>
    </xdr:sp>
    <xdr:clientData/>
  </xdr:twoCellAnchor>
  <xdr:twoCellAnchor>
    <xdr:from>
      <xdr:col>5</xdr:col>
      <xdr:colOff>396240</xdr:colOff>
      <xdr:row>15</xdr:row>
      <xdr:rowOff>167640</xdr:rowOff>
    </xdr:from>
    <xdr:to>
      <xdr:col>8</xdr:col>
      <xdr:colOff>403860</xdr:colOff>
      <xdr:row>17</xdr:row>
      <xdr:rowOff>160020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64CCE111-88B7-4EE1-BF59-9B3CBF4A1345}"/>
            </a:ext>
          </a:extLst>
        </xdr:cNvPr>
        <xdr:cNvSpPr txBox="1"/>
      </xdr:nvSpPr>
      <xdr:spPr>
        <a:xfrm>
          <a:off x="4922520" y="336804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Evolução</a:t>
          </a:r>
          <a:r>
            <a:rPr lang="pt-BR" sz="1050" b="1" baseline="0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 de Receitas e Despesas</a:t>
          </a:r>
          <a:endParaRPr lang="pt-BR" sz="1050" b="1">
            <a:solidFill>
              <a:schemeClr val="bg1">
                <a:lumMod val="9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1</xdr:col>
      <xdr:colOff>236220</xdr:colOff>
      <xdr:row>15</xdr:row>
      <xdr:rowOff>167640</xdr:rowOff>
    </xdr:from>
    <xdr:to>
      <xdr:col>3</xdr:col>
      <xdr:colOff>708660</xdr:colOff>
      <xdr:row>17</xdr:row>
      <xdr:rowOff>160020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624E41F2-05D9-46A7-A46F-F5055D97280E}"/>
            </a:ext>
          </a:extLst>
        </xdr:cNvPr>
        <xdr:cNvSpPr txBox="1"/>
      </xdr:nvSpPr>
      <xdr:spPr>
        <a:xfrm>
          <a:off x="388620" y="336804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Evolução de Despesas</a:t>
          </a:r>
        </a:p>
      </xdr:txBody>
    </xdr:sp>
    <xdr:clientData/>
  </xdr:twoCellAnchor>
  <xdr:twoCellAnchor>
    <xdr:from>
      <xdr:col>1</xdr:col>
      <xdr:colOff>251460</xdr:colOff>
      <xdr:row>7</xdr:row>
      <xdr:rowOff>99060</xdr:rowOff>
    </xdr:from>
    <xdr:to>
      <xdr:col>5</xdr:col>
      <xdr:colOff>144780</xdr:colOff>
      <xdr:row>14</xdr:row>
      <xdr:rowOff>190500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34B08CF-F8E3-4F23-A15D-17C7B347C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106680</xdr:colOff>
      <xdr:row>15</xdr:row>
      <xdr:rowOff>167640</xdr:rowOff>
    </xdr:from>
    <xdr:to>
      <xdr:col>13</xdr:col>
      <xdr:colOff>106680</xdr:colOff>
      <xdr:row>17</xdr:row>
      <xdr:rowOff>160020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128CBF69-DAA5-42BA-8240-B93CC3F5AF87}"/>
            </a:ext>
          </a:extLst>
        </xdr:cNvPr>
        <xdr:cNvSpPr txBox="1"/>
      </xdr:nvSpPr>
      <xdr:spPr>
        <a:xfrm>
          <a:off x="9471660" y="3368040"/>
          <a:ext cx="291084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1">
              <a:solidFill>
                <a:schemeClr val="bg1">
                  <a:lumMod val="95000"/>
                </a:schemeClr>
              </a:solidFill>
              <a:latin typeface="Montserrat" panose="00000500000000000000" pitchFamily="2" charset="0"/>
            </a:rPr>
            <a:t>Fluxo de Caixa Operacional</a:t>
          </a:r>
        </a:p>
      </xdr:txBody>
    </xdr:sp>
    <xdr:clientData/>
  </xdr:twoCellAnchor>
  <xdr:twoCellAnchor>
    <xdr:from>
      <xdr:col>1</xdr:col>
      <xdr:colOff>236220</xdr:colOff>
      <xdr:row>17</xdr:row>
      <xdr:rowOff>45720</xdr:rowOff>
    </xdr:from>
    <xdr:to>
      <xdr:col>5</xdr:col>
      <xdr:colOff>175260</xdr:colOff>
      <xdr:row>24</xdr:row>
      <xdr:rowOff>198120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CC7C8CF0-0E05-4313-A815-C9BBF93B4A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27</xdr:row>
      <xdr:rowOff>83820</xdr:rowOff>
    </xdr:from>
    <xdr:to>
      <xdr:col>5</xdr:col>
      <xdr:colOff>739140</xdr:colOff>
      <xdr:row>29</xdr:row>
      <xdr:rowOff>53340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B19B8220-EA18-4BAF-BD7F-3F1E044F1454}"/>
            </a:ext>
          </a:extLst>
        </xdr:cNvPr>
        <xdr:cNvSpPr/>
      </xdr:nvSpPr>
      <xdr:spPr>
        <a:xfrm>
          <a:off x="0" y="5844540"/>
          <a:ext cx="5265420" cy="39624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Montserrat" panose="00000500000000000000" pitchFamily="2" charset="0"/>
            </a:rPr>
            <a:t>Preencher</a:t>
          </a:r>
          <a:r>
            <a:rPr lang="pt-BR" sz="1400" b="1" baseline="0">
              <a:latin typeface="Montserrat" panose="00000500000000000000" pitchFamily="2" charset="0"/>
            </a:rPr>
            <a:t> Informações</a:t>
          </a:r>
          <a:endParaRPr lang="pt-BR" sz="14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70</xdr:row>
      <xdr:rowOff>190500</xdr:rowOff>
    </xdr:from>
    <xdr:to>
      <xdr:col>5</xdr:col>
      <xdr:colOff>739140</xdr:colOff>
      <xdr:row>72</xdr:row>
      <xdr:rowOff>160020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A7943921-972B-4565-87CF-91E65F4AAB7E}"/>
            </a:ext>
          </a:extLst>
        </xdr:cNvPr>
        <xdr:cNvSpPr/>
      </xdr:nvSpPr>
      <xdr:spPr>
        <a:xfrm>
          <a:off x="0" y="15125700"/>
          <a:ext cx="5265420" cy="39624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Montserrat" panose="00000500000000000000" pitchFamily="2" charset="0"/>
            </a:rPr>
            <a:t>Indicadores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P82"/>
  <sheetViews>
    <sheetView showGridLines="0" tabSelected="1" workbookViewId="0">
      <selection activeCell="G4" sqref="G4"/>
    </sheetView>
  </sheetViews>
  <sheetFormatPr defaultColWidth="0" defaultRowHeight="16.899999999999999"/>
  <cols>
    <col min="1" max="1" width="2.28515625" style="1" customWidth="1"/>
    <col min="2" max="2" width="8.85546875" style="1" customWidth="1"/>
    <col min="3" max="3" width="26.7109375" style="1" customWidth="1"/>
    <col min="4" max="12" width="14.140625" style="1" bestFit="1" customWidth="1"/>
    <col min="13" max="13" width="14.28515625" style="1" bestFit="1" customWidth="1"/>
    <col min="14" max="15" width="14.140625" style="1" bestFit="1" customWidth="1"/>
    <col min="16" max="16" width="2.28515625" style="1" customWidth="1"/>
    <col min="17" max="16384" width="8.85546875" hidden="1"/>
  </cols>
  <sheetData>
    <row r="1" spans="1:16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</row>
    <row r="3" spans="1:16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</row>
    <row r="5" spans="1:16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</row>
    <row r="6" spans="1:16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</row>
    <row r="7" spans="1:16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</row>
    <row r="8" spans="1:16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</row>
    <row r="9" spans="1:16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spans="1:16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</row>
    <row r="11" spans="1:16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pans="1:16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</row>
    <row r="14" spans="1:16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</row>
    <row r="16" spans="1:16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1:16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</row>
    <row r="18" spans="1:16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</row>
    <row r="19" spans="1:16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</row>
    <row r="21" spans="1:16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6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6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6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6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6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31" spans="1:16">
      <c r="D31" s="6" t="s">
        <v>0</v>
      </c>
      <c r="E31" s="6" t="s">
        <v>1</v>
      </c>
      <c r="F31" s="6" t="s">
        <v>2</v>
      </c>
      <c r="G31" s="6" t="s">
        <v>3</v>
      </c>
      <c r="H31" s="6" t="s">
        <v>4</v>
      </c>
      <c r="I31" s="6" t="s">
        <v>5</v>
      </c>
      <c r="J31" s="6" t="s">
        <v>6</v>
      </c>
      <c r="K31" s="6" t="s">
        <v>7</v>
      </c>
      <c r="L31" s="6" t="s">
        <v>8</v>
      </c>
      <c r="M31" s="6" t="s">
        <v>9</v>
      </c>
      <c r="N31" s="6" t="s">
        <v>10</v>
      </c>
      <c r="O31" s="6" t="s">
        <v>11</v>
      </c>
    </row>
    <row r="32" spans="1:16">
      <c r="B32" s="17" t="s">
        <v>12</v>
      </c>
      <c r="C32" s="17"/>
      <c r="D32" s="3">
        <f>SUM(D33:D36)</f>
        <v>478737</v>
      </c>
      <c r="E32" s="3">
        <f t="shared" ref="E32:O32" si="0">SUM(E33:E36)</f>
        <v>499002</v>
      </c>
      <c r="F32" s="3">
        <f t="shared" si="0"/>
        <v>575356</v>
      </c>
      <c r="G32" s="3">
        <f t="shared" si="0"/>
        <v>530334</v>
      </c>
      <c r="H32" s="3">
        <f t="shared" si="0"/>
        <v>490617</v>
      </c>
      <c r="I32" s="3">
        <f t="shared" si="0"/>
        <v>370913</v>
      </c>
      <c r="J32" s="3">
        <f t="shared" si="0"/>
        <v>483505</v>
      </c>
      <c r="K32" s="3">
        <f t="shared" si="0"/>
        <v>491472</v>
      </c>
      <c r="L32" s="3">
        <f t="shared" si="0"/>
        <v>623099</v>
      </c>
      <c r="M32" s="3">
        <f t="shared" si="0"/>
        <v>451291</v>
      </c>
      <c r="N32" s="3">
        <f t="shared" si="0"/>
        <v>515330</v>
      </c>
      <c r="O32" s="3">
        <f t="shared" si="0"/>
        <v>507165</v>
      </c>
    </row>
    <row r="33" spans="2:15">
      <c r="C33" s="1" t="s">
        <v>13</v>
      </c>
      <c r="D33" s="4">
        <v>112469</v>
      </c>
      <c r="E33" s="4">
        <v>199474</v>
      </c>
      <c r="F33" s="4">
        <v>294595</v>
      </c>
      <c r="G33" s="4">
        <v>173835</v>
      </c>
      <c r="H33" s="4">
        <v>124556</v>
      </c>
      <c r="I33" s="4">
        <v>149732</v>
      </c>
      <c r="J33" s="4">
        <v>235474</v>
      </c>
      <c r="K33" s="4">
        <v>294618</v>
      </c>
      <c r="L33" s="4">
        <v>295224</v>
      </c>
      <c r="M33" s="4">
        <v>113663</v>
      </c>
      <c r="N33" s="4">
        <v>202106</v>
      </c>
      <c r="O33" s="4">
        <v>100179</v>
      </c>
    </row>
    <row r="34" spans="2:15">
      <c r="C34" s="1" t="s">
        <v>14</v>
      </c>
      <c r="D34" s="4">
        <v>281007</v>
      </c>
      <c r="E34" s="4">
        <v>185857</v>
      </c>
      <c r="F34" s="4">
        <v>181762</v>
      </c>
      <c r="G34" s="4">
        <v>214215</v>
      </c>
      <c r="H34" s="4">
        <v>215687</v>
      </c>
      <c r="I34" s="4">
        <v>118345</v>
      </c>
      <c r="J34" s="4">
        <v>151369</v>
      </c>
      <c r="K34" s="4">
        <v>175416</v>
      </c>
      <c r="L34" s="4">
        <v>181764</v>
      </c>
      <c r="M34" s="4">
        <v>276000</v>
      </c>
      <c r="N34" s="4">
        <v>191982</v>
      </c>
      <c r="O34" s="4">
        <v>278124</v>
      </c>
    </row>
    <row r="35" spans="2:15">
      <c r="C35" s="1" t="s">
        <v>15</v>
      </c>
      <c r="D35" s="4">
        <v>50783</v>
      </c>
      <c r="E35" s="4">
        <v>85633</v>
      </c>
      <c r="F35" s="4">
        <v>55384</v>
      </c>
      <c r="G35" s="4">
        <v>46194</v>
      </c>
      <c r="H35" s="4">
        <v>98499</v>
      </c>
      <c r="I35" s="4">
        <v>15412</v>
      </c>
      <c r="J35" s="4">
        <v>88441</v>
      </c>
      <c r="K35" s="4">
        <v>21118</v>
      </c>
      <c r="L35" s="4">
        <v>72738</v>
      </c>
      <c r="M35" s="4">
        <v>37668</v>
      </c>
      <c r="N35" s="4">
        <v>34026</v>
      </c>
      <c r="O35" s="4">
        <v>63455</v>
      </c>
    </row>
    <row r="36" spans="2:15">
      <c r="C36" s="1" t="s">
        <v>16</v>
      </c>
      <c r="D36" s="4">
        <v>34478</v>
      </c>
      <c r="E36" s="4">
        <v>28038</v>
      </c>
      <c r="F36" s="4">
        <v>43615</v>
      </c>
      <c r="G36" s="4">
        <v>96090</v>
      </c>
      <c r="H36" s="4">
        <v>51875</v>
      </c>
      <c r="I36" s="4">
        <v>87424</v>
      </c>
      <c r="J36" s="4">
        <v>8221</v>
      </c>
      <c r="K36" s="4">
        <v>320</v>
      </c>
      <c r="L36" s="4">
        <v>73373</v>
      </c>
      <c r="M36" s="4">
        <v>23960</v>
      </c>
      <c r="N36" s="4">
        <v>87216</v>
      </c>
      <c r="O36" s="4">
        <v>65407</v>
      </c>
    </row>
    <row r="38" spans="2:15">
      <c r="B38" s="17" t="s">
        <v>17</v>
      </c>
      <c r="C38" s="17"/>
      <c r="D38" s="3">
        <f>D39+D43+D49+D55</f>
        <v>419040</v>
      </c>
      <c r="E38" s="3">
        <f t="shared" ref="E38:O38" si="1">E39+E43+E49+E55</f>
        <v>385192</v>
      </c>
      <c r="F38" s="3">
        <f t="shared" si="1"/>
        <v>426130</v>
      </c>
      <c r="G38" s="3">
        <f t="shared" si="1"/>
        <v>389762</v>
      </c>
      <c r="H38" s="3">
        <f t="shared" si="1"/>
        <v>395719</v>
      </c>
      <c r="I38" s="3">
        <f t="shared" si="1"/>
        <v>449909</v>
      </c>
      <c r="J38" s="3">
        <f t="shared" si="1"/>
        <v>363300</v>
      </c>
      <c r="K38" s="3">
        <f t="shared" si="1"/>
        <v>444122</v>
      </c>
      <c r="L38" s="3">
        <f t="shared" si="1"/>
        <v>386672</v>
      </c>
      <c r="M38" s="3">
        <f t="shared" si="1"/>
        <v>380046</v>
      </c>
      <c r="N38" s="3">
        <f t="shared" si="1"/>
        <v>416009</v>
      </c>
      <c r="O38" s="3">
        <f t="shared" si="1"/>
        <v>334109</v>
      </c>
    </row>
    <row r="39" spans="2:15" ht="16.899999999999999" customHeight="1">
      <c r="B39" s="17" t="s">
        <v>18</v>
      </c>
      <c r="C39" s="17"/>
      <c r="D39" s="3">
        <f>SUM(D40:D42)</f>
        <v>74575</v>
      </c>
      <c r="E39" s="3">
        <f t="shared" ref="E39:O39" si="2">SUM(E40:E42)</f>
        <v>63376</v>
      </c>
      <c r="F39" s="3">
        <f t="shared" si="2"/>
        <v>56915</v>
      </c>
      <c r="G39" s="3">
        <f t="shared" si="2"/>
        <v>78010</v>
      </c>
      <c r="H39" s="3">
        <f t="shared" si="2"/>
        <v>90127</v>
      </c>
      <c r="I39" s="3">
        <f t="shared" si="2"/>
        <v>98712</v>
      </c>
      <c r="J39" s="3">
        <f t="shared" si="2"/>
        <v>82585</v>
      </c>
      <c r="K39" s="3">
        <f t="shared" si="2"/>
        <v>63478</v>
      </c>
      <c r="L39" s="3">
        <f t="shared" si="2"/>
        <v>70905</v>
      </c>
      <c r="M39" s="3">
        <f t="shared" si="2"/>
        <v>87949</v>
      </c>
      <c r="N39" s="3">
        <f t="shared" si="2"/>
        <v>73852</v>
      </c>
      <c r="O39" s="3">
        <f t="shared" si="2"/>
        <v>57062</v>
      </c>
    </row>
    <row r="40" spans="2:15" ht="16.899999999999999" customHeight="1">
      <c r="B40" s="18"/>
      <c r="C40" s="1" t="s">
        <v>19</v>
      </c>
      <c r="D40" s="4">
        <v>12259</v>
      </c>
      <c r="E40" s="4">
        <v>36046</v>
      </c>
      <c r="F40" s="4">
        <v>27111</v>
      </c>
      <c r="G40" s="4">
        <v>10903</v>
      </c>
      <c r="H40" s="4">
        <v>33496</v>
      </c>
      <c r="I40" s="4">
        <v>38119</v>
      </c>
      <c r="J40" s="4">
        <v>24440</v>
      </c>
      <c r="K40" s="4">
        <v>39466</v>
      </c>
      <c r="L40" s="4">
        <v>21976</v>
      </c>
      <c r="M40" s="4">
        <v>38871</v>
      </c>
      <c r="N40" s="4">
        <v>20362</v>
      </c>
      <c r="O40" s="4">
        <v>28972</v>
      </c>
    </row>
    <row r="41" spans="2:15">
      <c r="B41" s="18"/>
      <c r="C41" s="1" t="s">
        <v>20</v>
      </c>
      <c r="D41" s="4">
        <v>38490</v>
      </c>
      <c r="E41" s="4">
        <v>11999</v>
      </c>
      <c r="F41" s="4">
        <v>13850</v>
      </c>
      <c r="G41" s="4">
        <v>32618</v>
      </c>
      <c r="H41" s="4">
        <v>18341</v>
      </c>
      <c r="I41" s="4">
        <v>23613</v>
      </c>
      <c r="J41" s="4">
        <v>22358</v>
      </c>
      <c r="K41" s="4">
        <v>12878</v>
      </c>
      <c r="L41" s="4">
        <v>30319</v>
      </c>
      <c r="M41" s="4">
        <v>12124</v>
      </c>
      <c r="N41" s="4">
        <v>27870</v>
      </c>
      <c r="O41" s="4">
        <v>12504</v>
      </c>
    </row>
    <row r="42" spans="2:15">
      <c r="B42" s="18"/>
      <c r="C42" s="1" t="s">
        <v>21</v>
      </c>
      <c r="D42" s="4">
        <v>23826</v>
      </c>
      <c r="E42" s="4">
        <v>15331</v>
      </c>
      <c r="F42" s="4">
        <v>15954</v>
      </c>
      <c r="G42" s="4">
        <v>34489</v>
      </c>
      <c r="H42" s="4">
        <v>38290</v>
      </c>
      <c r="I42" s="4">
        <v>36980</v>
      </c>
      <c r="J42" s="4">
        <v>35787</v>
      </c>
      <c r="K42" s="4">
        <v>11134</v>
      </c>
      <c r="L42" s="4">
        <v>18610</v>
      </c>
      <c r="M42" s="4">
        <v>36954</v>
      </c>
      <c r="N42" s="4">
        <v>25620</v>
      </c>
      <c r="O42" s="4">
        <v>15586</v>
      </c>
    </row>
    <row r="43" spans="2:15">
      <c r="B43" s="17" t="s">
        <v>22</v>
      </c>
      <c r="C43" s="17"/>
      <c r="D43" s="3">
        <f>SUM(D44:D48)</f>
        <v>119398</v>
      </c>
      <c r="E43" s="3">
        <f t="shared" ref="E43:O43" si="3">SUM(E44:E48)</f>
        <v>99729</v>
      </c>
      <c r="F43" s="3">
        <f t="shared" si="3"/>
        <v>149883</v>
      </c>
      <c r="G43" s="3">
        <f t="shared" si="3"/>
        <v>111156</v>
      </c>
      <c r="H43" s="3">
        <f t="shared" si="3"/>
        <v>118078</v>
      </c>
      <c r="I43" s="3">
        <f t="shared" si="3"/>
        <v>127603</v>
      </c>
      <c r="J43" s="3">
        <f t="shared" si="3"/>
        <v>118517</v>
      </c>
      <c r="K43" s="3">
        <f t="shared" si="3"/>
        <v>141031</v>
      </c>
      <c r="L43" s="3">
        <f t="shared" si="3"/>
        <v>117273</v>
      </c>
      <c r="M43" s="3">
        <f t="shared" si="3"/>
        <v>122622</v>
      </c>
      <c r="N43" s="3">
        <f t="shared" si="3"/>
        <v>132774</v>
      </c>
      <c r="O43" s="3">
        <f t="shared" si="3"/>
        <v>102542</v>
      </c>
    </row>
    <row r="44" spans="2:15">
      <c r="B44" s="18"/>
      <c r="C44" s="1" t="s">
        <v>23</v>
      </c>
      <c r="D44" s="4">
        <v>39676</v>
      </c>
      <c r="E44" s="4">
        <v>27367</v>
      </c>
      <c r="F44" s="4">
        <v>20538</v>
      </c>
      <c r="G44" s="4">
        <v>20985</v>
      </c>
      <c r="H44" s="4">
        <v>15492</v>
      </c>
      <c r="I44" s="4">
        <v>14752</v>
      </c>
      <c r="J44" s="4">
        <v>27775</v>
      </c>
      <c r="K44" s="4">
        <v>29201</v>
      </c>
      <c r="L44" s="4">
        <v>30654</v>
      </c>
      <c r="M44" s="4">
        <v>25713</v>
      </c>
      <c r="N44" s="4">
        <v>28542</v>
      </c>
      <c r="O44" s="4">
        <v>14773</v>
      </c>
    </row>
    <row r="45" spans="2:15">
      <c r="B45" s="18"/>
      <c r="C45" s="1" t="s">
        <v>24</v>
      </c>
      <c r="D45" s="4">
        <v>22062</v>
      </c>
      <c r="E45" s="4">
        <v>21259</v>
      </c>
      <c r="F45" s="4">
        <v>31363</v>
      </c>
      <c r="G45" s="4">
        <v>13169</v>
      </c>
      <c r="H45" s="4">
        <v>13788</v>
      </c>
      <c r="I45" s="4">
        <v>39495</v>
      </c>
      <c r="J45" s="4">
        <v>30065</v>
      </c>
      <c r="K45" s="4">
        <v>11893</v>
      </c>
      <c r="L45" s="4">
        <v>26066</v>
      </c>
      <c r="M45" s="4">
        <v>29849</v>
      </c>
      <c r="N45" s="4">
        <v>29524</v>
      </c>
      <c r="O45" s="4">
        <v>28474</v>
      </c>
    </row>
    <row r="46" spans="2:15">
      <c r="B46" s="18"/>
      <c r="C46" s="1" t="s">
        <v>25</v>
      </c>
      <c r="D46" s="4">
        <v>15506</v>
      </c>
      <c r="E46" s="4">
        <v>14157</v>
      </c>
      <c r="F46" s="4">
        <v>38756</v>
      </c>
      <c r="G46" s="4">
        <v>19900</v>
      </c>
      <c r="H46" s="4">
        <v>29029</v>
      </c>
      <c r="I46" s="4">
        <v>29298</v>
      </c>
      <c r="J46" s="4">
        <v>18221</v>
      </c>
      <c r="K46" s="4">
        <v>28493</v>
      </c>
      <c r="L46" s="4">
        <v>25083</v>
      </c>
      <c r="M46" s="4">
        <v>25411</v>
      </c>
      <c r="N46" s="4">
        <v>38739</v>
      </c>
      <c r="O46" s="4">
        <v>12693</v>
      </c>
    </row>
    <row r="47" spans="2:15">
      <c r="B47" s="18"/>
      <c r="C47" s="1" t="s">
        <v>26</v>
      </c>
      <c r="D47" s="4">
        <v>15434</v>
      </c>
      <c r="E47" s="4">
        <v>22188</v>
      </c>
      <c r="F47" s="4">
        <v>20368</v>
      </c>
      <c r="G47" s="4">
        <v>17469</v>
      </c>
      <c r="H47" s="4">
        <v>25903</v>
      </c>
      <c r="I47" s="4">
        <v>23737</v>
      </c>
      <c r="J47" s="4">
        <v>17574</v>
      </c>
      <c r="K47" s="4">
        <v>36448</v>
      </c>
      <c r="L47" s="4">
        <v>22798</v>
      </c>
      <c r="M47" s="4">
        <v>18871</v>
      </c>
      <c r="N47" s="4">
        <v>11002</v>
      </c>
      <c r="O47" s="4">
        <v>26048</v>
      </c>
    </row>
    <row r="48" spans="2:15">
      <c r="B48" s="18"/>
      <c r="C48" s="1" t="s">
        <v>27</v>
      </c>
      <c r="D48" s="4">
        <v>26720</v>
      </c>
      <c r="E48" s="4">
        <v>14758</v>
      </c>
      <c r="F48" s="4">
        <v>38858</v>
      </c>
      <c r="G48" s="4">
        <v>39633</v>
      </c>
      <c r="H48" s="4">
        <v>33866</v>
      </c>
      <c r="I48" s="4">
        <v>20321</v>
      </c>
      <c r="J48" s="4">
        <v>24882</v>
      </c>
      <c r="K48" s="4">
        <v>34996</v>
      </c>
      <c r="L48" s="4">
        <v>12672</v>
      </c>
      <c r="M48" s="4">
        <v>22778</v>
      </c>
      <c r="N48" s="4">
        <v>24967</v>
      </c>
      <c r="O48" s="4">
        <v>20554</v>
      </c>
    </row>
    <row r="49" spans="2:15">
      <c r="B49" s="17" t="s">
        <v>28</v>
      </c>
      <c r="C49" s="17"/>
      <c r="D49" s="3">
        <f>SUM(D50:D54)</f>
        <v>142127</v>
      </c>
      <c r="E49" s="3">
        <f t="shared" ref="E49:O49" si="4">SUM(E50:E54)</f>
        <v>142694</v>
      </c>
      <c r="F49" s="3">
        <f t="shared" si="4"/>
        <v>158564</v>
      </c>
      <c r="G49" s="3">
        <f t="shared" si="4"/>
        <v>138978</v>
      </c>
      <c r="H49" s="3">
        <f t="shared" si="4"/>
        <v>114145</v>
      </c>
      <c r="I49" s="3">
        <f t="shared" si="4"/>
        <v>141103</v>
      </c>
      <c r="J49" s="3">
        <f t="shared" si="4"/>
        <v>99882</v>
      </c>
      <c r="K49" s="3">
        <f t="shared" si="4"/>
        <v>134548</v>
      </c>
      <c r="L49" s="3">
        <f t="shared" si="4"/>
        <v>117491</v>
      </c>
      <c r="M49" s="3">
        <f t="shared" si="4"/>
        <v>129957</v>
      </c>
      <c r="N49" s="3">
        <f t="shared" si="4"/>
        <v>117507</v>
      </c>
      <c r="O49" s="3">
        <f t="shared" si="4"/>
        <v>113783</v>
      </c>
    </row>
    <row r="50" spans="2:15">
      <c r="B50" s="18"/>
      <c r="C50" s="1" t="s">
        <v>29</v>
      </c>
      <c r="D50" s="4">
        <v>32533</v>
      </c>
      <c r="E50" s="4">
        <v>34150</v>
      </c>
      <c r="F50" s="4">
        <v>35748</v>
      </c>
      <c r="G50" s="4">
        <v>31218</v>
      </c>
      <c r="H50" s="4">
        <v>24413</v>
      </c>
      <c r="I50" s="4">
        <v>18940</v>
      </c>
      <c r="J50" s="4">
        <v>13961</v>
      </c>
      <c r="K50" s="4">
        <v>30289</v>
      </c>
      <c r="L50" s="4">
        <v>17821</v>
      </c>
      <c r="M50" s="4">
        <v>14229</v>
      </c>
      <c r="N50" s="4">
        <v>31014</v>
      </c>
      <c r="O50" s="4">
        <v>12765</v>
      </c>
    </row>
    <row r="51" spans="2:15">
      <c r="B51" s="18"/>
      <c r="C51" s="1" t="s">
        <v>30</v>
      </c>
      <c r="D51" s="4">
        <v>37750</v>
      </c>
      <c r="E51" s="4">
        <v>26267</v>
      </c>
      <c r="F51" s="4">
        <v>38989</v>
      </c>
      <c r="G51" s="4">
        <v>36602</v>
      </c>
      <c r="H51" s="4">
        <v>19056</v>
      </c>
      <c r="I51" s="4">
        <v>39950</v>
      </c>
      <c r="J51" s="4">
        <v>27792</v>
      </c>
      <c r="K51" s="4">
        <v>27175</v>
      </c>
      <c r="L51" s="4">
        <v>11086</v>
      </c>
      <c r="M51" s="4">
        <v>28595</v>
      </c>
      <c r="N51" s="4">
        <v>10081</v>
      </c>
      <c r="O51" s="4">
        <v>30400</v>
      </c>
    </row>
    <row r="52" spans="2:15">
      <c r="B52" s="18"/>
      <c r="C52" s="1" t="s">
        <v>31</v>
      </c>
      <c r="D52" s="4">
        <v>24879</v>
      </c>
      <c r="E52" s="4">
        <v>28179</v>
      </c>
      <c r="F52" s="4">
        <v>29159</v>
      </c>
      <c r="G52" s="4">
        <v>16301</v>
      </c>
      <c r="H52" s="4">
        <v>27957</v>
      </c>
      <c r="I52" s="4">
        <v>25367</v>
      </c>
      <c r="J52" s="4">
        <v>17702</v>
      </c>
      <c r="K52" s="4">
        <v>26818</v>
      </c>
      <c r="L52" s="4">
        <v>29369</v>
      </c>
      <c r="M52" s="4">
        <v>18167</v>
      </c>
      <c r="N52" s="4">
        <v>19921</v>
      </c>
      <c r="O52" s="4">
        <v>17503</v>
      </c>
    </row>
    <row r="53" spans="2:15">
      <c r="B53" s="18"/>
      <c r="C53" s="1" t="s">
        <v>32</v>
      </c>
      <c r="D53" s="4">
        <v>33684</v>
      </c>
      <c r="E53" s="4">
        <v>24403</v>
      </c>
      <c r="F53" s="4">
        <v>18432</v>
      </c>
      <c r="G53" s="4">
        <v>31723</v>
      </c>
      <c r="H53" s="4">
        <v>18665</v>
      </c>
      <c r="I53" s="4">
        <v>18710</v>
      </c>
      <c r="J53" s="4">
        <v>25940</v>
      </c>
      <c r="K53" s="4">
        <v>32790</v>
      </c>
      <c r="L53" s="4">
        <v>28290</v>
      </c>
      <c r="M53" s="4">
        <v>37995</v>
      </c>
      <c r="N53" s="4">
        <v>24370</v>
      </c>
      <c r="O53" s="4">
        <v>16567</v>
      </c>
    </row>
    <row r="54" spans="2:15">
      <c r="B54" s="18"/>
      <c r="C54" s="1" t="s">
        <v>33</v>
      </c>
      <c r="D54" s="4">
        <v>13281</v>
      </c>
      <c r="E54" s="4">
        <v>29695</v>
      </c>
      <c r="F54" s="4">
        <v>36236</v>
      </c>
      <c r="G54" s="4">
        <v>23134</v>
      </c>
      <c r="H54" s="4">
        <v>24054</v>
      </c>
      <c r="I54" s="4">
        <v>38136</v>
      </c>
      <c r="J54" s="4">
        <v>14487</v>
      </c>
      <c r="K54" s="4">
        <v>17476</v>
      </c>
      <c r="L54" s="4">
        <v>30925</v>
      </c>
      <c r="M54" s="4">
        <v>30971</v>
      </c>
      <c r="N54" s="4">
        <v>32121</v>
      </c>
      <c r="O54" s="4">
        <v>36548</v>
      </c>
    </row>
    <row r="55" spans="2:15">
      <c r="B55" s="17" t="s">
        <v>34</v>
      </c>
      <c r="C55" s="17"/>
      <c r="D55" s="3">
        <f>SUM(D56:D58)</f>
        <v>82940</v>
      </c>
      <c r="E55" s="3">
        <f t="shared" ref="E55:O55" si="5">SUM(E56:E58)</f>
        <v>79393</v>
      </c>
      <c r="F55" s="3">
        <f t="shared" si="5"/>
        <v>60768</v>
      </c>
      <c r="G55" s="3">
        <f t="shared" si="5"/>
        <v>61618</v>
      </c>
      <c r="H55" s="3">
        <f t="shared" si="5"/>
        <v>73369</v>
      </c>
      <c r="I55" s="3">
        <f t="shared" si="5"/>
        <v>82491</v>
      </c>
      <c r="J55" s="3">
        <f t="shared" si="5"/>
        <v>62316</v>
      </c>
      <c r="K55" s="3">
        <f t="shared" si="5"/>
        <v>105065</v>
      </c>
      <c r="L55" s="3">
        <f t="shared" si="5"/>
        <v>81003</v>
      </c>
      <c r="M55" s="3">
        <f t="shared" si="5"/>
        <v>39518</v>
      </c>
      <c r="N55" s="3">
        <f t="shared" si="5"/>
        <v>91876</v>
      </c>
      <c r="O55" s="3">
        <f t="shared" si="5"/>
        <v>60722</v>
      </c>
    </row>
    <row r="56" spans="2:15">
      <c r="B56" s="18"/>
      <c r="C56" s="1" t="s">
        <v>35</v>
      </c>
      <c r="D56" s="4">
        <v>34363</v>
      </c>
      <c r="E56" s="4">
        <v>27679</v>
      </c>
      <c r="F56" s="4">
        <v>17803</v>
      </c>
      <c r="G56" s="4">
        <v>13548</v>
      </c>
      <c r="H56" s="4">
        <v>19059</v>
      </c>
      <c r="I56" s="4">
        <v>35219</v>
      </c>
      <c r="J56" s="4">
        <v>19087</v>
      </c>
      <c r="K56" s="4">
        <v>37573</v>
      </c>
      <c r="L56" s="4">
        <v>30543</v>
      </c>
      <c r="M56" s="4">
        <v>14053</v>
      </c>
      <c r="N56" s="4">
        <v>15901</v>
      </c>
      <c r="O56" s="4">
        <v>33932</v>
      </c>
    </row>
    <row r="57" spans="2:15">
      <c r="B57" s="18"/>
      <c r="C57" s="1" t="s">
        <v>36</v>
      </c>
      <c r="D57" s="4">
        <v>22872</v>
      </c>
      <c r="E57" s="4">
        <v>32043</v>
      </c>
      <c r="F57" s="4">
        <v>19282</v>
      </c>
      <c r="G57" s="4">
        <v>30168</v>
      </c>
      <c r="H57" s="4">
        <v>23776</v>
      </c>
      <c r="I57" s="4">
        <v>36818</v>
      </c>
      <c r="J57" s="4">
        <v>13817</v>
      </c>
      <c r="K57" s="4">
        <v>36169</v>
      </c>
      <c r="L57" s="4">
        <v>37784</v>
      </c>
      <c r="M57" s="4">
        <v>10268</v>
      </c>
      <c r="N57" s="4">
        <v>37933</v>
      </c>
      <c r="O57" s="4">
        <v>11093</v>
      </c>
    </row>
    <row r="58" spans="2:15">
      <c r="B58" s="18"/>
      <c r="C58" s="1" t="s">
        <v>37</v>
      </c>
      <c r="D58" s="4">
        <v>25705</v>
      </c>
      <c r="E58" s="4">
        <v>19671</v>
      </c>
      <c r="F58" s="4">
        <v>23683</v>
      </c>
      <c r="G58" s="4">
        <v>17902</v>
      </c>
      <c r="H58" s="4">
        <v>30534</v>
      </c>
      <c r="I58" s="4">
        <v>10454</v>
      </c>
      <c r="J58" s="4">
        <v>29412</v>
      </c>
      <c r="K58" s="4">
        <v>31323</v>
      </c>
      <c r="L58" s="4">
        <v>12676</v>
      </c>
      <c r="M58" s="4">
        <v>15197</v>
      </c>
      <c r="N58" s="4">
        <v>38042</v>
      </c>
      <c r="O58" s="4">
        <v>15697</v>
      </c>
    </row>
    <row r="60" spans="2:15">
      <c r="B60" s="16" t="s">
        <v>38</v>
      </c>
      <c r="C60" s="16"/>
      <c r="D60" s="3">
        <f>D32-D38</f>
        <v>59697</v>
      </c>
      <c r="E60" s="3">
        <f t="shared" ref="E60:O60" si="6">E32-E38</f>
        <v>113810</v>
      </c>
      <c r="F60" s="3">
        <f t="shared" si="6"/>
        <v>149226</v>
      </c>
      <c r="G60" s="3">
        <f t="shared" si="6"/>
        <v>140572</v>
      </c>
      <c r="H60" s="3">
        <f t="shared" si="6"/>
        <v>94898</v>
      </c>
      <c r="I60" s="3">
        <f t="shared" si="6"/>
        <v>-78996</v>
      </c>
      <c r="J60" s="3">
        <f t="shared" si="6"/>
        <v>120205</v>
      </c>
      <c r="K60" s="3">
        <f t="shared" si="6"/>
        <v>47350</v>
      </c>
      <c r="L60" s="3">
        <f t="shared" si="6"/>
        <v>236427</v>
      </c>
      <c r="M60" s="3">
        <f t="shared" si="6"/>
        <v>71245</v>
      </c>
      <c r="N60" s="3">
        <f t="shared" si="6"/>
        <v>99321</v>
      </c>
      <c r="O60" s="3">
        <f t="shared" si="6"/>
        <v>173056</v>
      </c>
    </row>
    <row r="61" spans="2:15">
      <c r="B61" s="10"/>
      <c r="C61" s="10"/>
    </row>
    <row r="62" spans="2:15">
      <c r="B62" s="16" t="s">
        <v>39</v>
      </c>
      <c r="C62" s="16"/>
      <c r="D62" s="5">
        <v>21360</v>
      </c>
      <c r="E62" s="5"/>
      <c r="F62" s="5">
        <v>64463</v>
      </c>
      <c r="G62" s="5">
        <v>47497</v>
      </c>
      <c r="H62" s="5"/>
      <c r="I62" s="5">
        <v>56544</v>
      </c>
      <c r="J62" s="5"/>
      <c r="K62" s="5"/>
      <c r="L62" s="5"/>
      <c r="M62" s="5">
        <v>34901</v>
      </c>
      <c r="N62" s="5"/>
      <c r="O62" s="5">
        <v>66620</v>
      </c>
    </row>
    <row r="63" spans="2:15">
      <c r="B63" s="16" t="s">
        <v>40</v>
      </c>
      <c r="C63" s="16"/>
      <c r="D63" s="8">
        <f>D62</f>
        <v>21360</v>
      </c>
      <c r="E63" s="8">
        <f>D63+E62</f>
        <v>21360</v>
      </c>
      <c r="F63" s="8">
        <f t="shared" ref="F63:O63" si="7">E63+F62</f>
        <v>85823</v>
      </c>
      <c r="G63" s="8">
        <f t="shared" si="7"/>
        <v>133320</v>
      </c>
      <c r="H63" s="8">
        <f t="shared" si="7"/>
        <v>133320</v>
      </c>
      <c r="I63" s="8">
        <f t="shared" si="7"/>
        <v>189864</v>
      </c>
      <c r="J63" s="8">
        <f t="shared" si="7"/>
        <v>189864</v>
      </c>
      <c r="K63" s="8">
        <f t="shared" si="7"/>
        <v>189864</v>
      </c>
      <c r="L63" s="8">
        <f t="shared" si="7"/>
        <v>189864</v>
      </c>
      <c r="M63" s="8">
        <f t="shared" si="7"/>
        <v>224765</v>
      </c>
      <c r="N63" s="8">
        <f t="shared" si="7"/>
        <v>224765</v>
      </c>
      <c r="O63" s="8">
        <f t="shared" si="7"/>
        <v>291385</v>
      </c>
    </row>
    <row r="64" spans="2:15">
      <c r="B64" s="10"/>
      <c r="C64" s="10"/>
    </row>
    <row r="65" spans="2:15">
      <c r="B65" s="16" t="s">
        <v>41</v>
      </c>
      <c r="C65" s="16"/>
      <c r="D65" s="5">
        <v>10000</v>
      </c>
      <c r="E65" s="5">
        <v>10000</v>
      </c>
      <c r="F65" s="5">
        <v>10000</v>
      </c>
      <c r="G65" s="5">
        <v>10000</v>
      </c>
      <c r="H65" s="5">
        <v>10000</v>
      </c>
      <c r="I65" s="5">
        <v>10000</v>
      </c>
      <c r="J65" s="5">
        <v>10000</v>
      </c>
      <c r="K65" s="5">
        <v>10000</v>
      </c>
      <c r="L65" s="5">
        <v>10000</v>
      </c>
      <c r="M65" s="5">
        <v>10000</v>
      </c>
      <c r="N65" s="5">
        <v>10000</v>
      </c>
      <c r="O65" s="5">
        <v>10000</v>
      </c>
    </row>
    <row r="66" spans="2:15">
      <c r="B66" s="10"/>
      <c r="C66" s="10"/>
    </row>
    <row r="67" spans="2:15">
      <c r="B67" s="16" t="s">
        <v>42</v>
      </c>
      <c r="C67" s="16"/>
      <c r="D67" s="3">
        <f t="shared" ref="D67:O67" si="8">D60-D62-D65</f>
        <v>28337</v>
      </c>
      <c r="E67" s="3">
        <f t="shared" si="8"/>
        <v>103810</v>
      </c>
      <c r="F67" s="3">
        <f t="shared" si="8"/>
        <v>74763</v>
      </c>
      <c r="G67" s="3">
        <f t="shared" si="8"/>
        <v>83075</v>
      </c>
      <c r="H67" s="3">
        <f t="shared" si="8"/>
        <v>84898</v>
      </c>
      <c r="I67" s="3">
        <f t="shared" si="8"/>
        <v>-145540</v>
      </c>
      <c r="J67" s="3">
        <f t="shared" si="8"/>
        <v>110205</v>
      </c>
      <c r="K67" s="3">
        <f t="shared" si="8"/>
        <v>37350</v>
      </c>
      <c r="L67" s="3">
        <f t="shared" si="8"/>
        <v>226427</v>
      </c>
      <c r="M67" s="3">
        <f t="shared" si="8"/>
        <v>26344</v>
      </c>
      <c r="N67" s="3">
        <f t="shared" si="8"/>
        <v>89321</v>
      </c>
      <c r="O67" s="3">
        <f t="shared" si="8"/>
        <v>96436</v>
      </c>
    </row>
    <row r="68" spans="2:15">
      <c r="B68" s="16" t="s">
        <v>43</v>
      </c>
      <c r="C68" s="16"/>
      <c r="D68" s="3">
        <f>D67</f>
        <v>28337</v>
      </c>
      <c r="E68" s="3">
        <f>D68+E67</f>
        <v>132147</v>
      </c>
      <c r="F68" s="3">
        <f t="shared" ref="F68:O68" si="9">E68+F67</f>
        <v>206910</v>
      </c>
      <c r="G68" s="3">
        <f t="shared" si="9"/>
        <v>289985</v>
      </c>
      <c r="H68" s="3">
        <f t="shared" si="9"/>
        <v>374883</v>
      </c>
      <c r="I68" s="3">
        <f t="shared" si="9"/>
        <v>229343</v>
      </c>
      <c r="J68" s="3">
        <f t="shared" si="9"/>
        <v>339548</v>
      </c>
      <c r="K68" s="3">
        <f t="shared" si="9"/>
        <v>376898</v>
      </c>
      <c r="L68" s="3">
        <f t="shared" si="9"/>
        <v>603325</v>
      </c>
      <c r="M68" s="3">
        <f t="shared" si="9"/>
        <v>629669</v>
      </c>
      <c r="N68" s="3">
        <f t="shared" si="9"/>
        <v>718990</v>
      </c>
      <c r="O68" s="3">
        <f t="shared" si="9"/>
        <v>815426</v>
      </c>
    </row>
    <row r="75" spans="2:15">
      <c r="B75" s="12" t="s">
        <v>44</v>
      </c>
      <c r="C75" s="6" t="s">
        <v>45</v>
      </c>
      <c r="D75" s="6" t="s">
        <v>46</v>
      </c>
      <c r="E75" s="6" t="s">
        <v>47</v>
      </c>
      <c r="F75" s="6" t="s">
        <v>48</v>
      </c>
      <c r="G75" s="6" t="s">
        <v>49</v>
      </c>
      <c r="H75" s="6" t="s">
        <v>50</v>
      </c>
      <c r="I75" s="6" t="s">
        <v>51</v>
      </c>
      <c r="J75" s="6" t="s">
        <v>52</v>
      </c>
      <c r="K75" s="6" t="s">
        <v>53</v>
      </c>
      <c r="L75" s="6" t="s">
        <v>54</v>
      </c>
      <c r="M75" s="6" t="s">
        <v>55</v>
      </c>
      <c r="N75" s="6" t="s">
        <v>56</v>
      </c>
      <c r="O75" s="6" t="s">
        <v>57</v>
      </c>
    </row>
    <row r="76" spans="2:15">
      <c r="B76" s="13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2:15">
      <c r="B77" s="14">
        <f>SUM(D60:O60)/SUM(D32:O32)</f>
        <v>0.20389687511062735</v>
      </c>
      <c r="C77" s="7" t="s">
        <v>58</v>
      </c>
      <c r="D77" s="11">
        <f>D60/D32</f>
        <v>0.12469685860921551</v>
      </c>
      <c r="E77" s="11">
        <f t="shared" ref="E77:O77" si="10">E60/E32</f>
        <v>0.2280752381753981</v>
      </c>
      <c r="F77" s="11">
        <f t="shared" si="10"/>
        <v>0.25936289879657115</v>
      </c>
      <c r="G77" s="11">
        <f t="shared" si="10"/>
        <v>0.26506314888353377</v>
      </c>
      <c r="H77" s="11">
        <f t="shared" si="10"/>
        <v>0.19342582910906064</v>
      </c>
      <c r="I77" s="11">
        <f t="shared" si="10"/>
        <v>-0.212977167152405</v>
      </c>
      <c r="J77" s="11">
        <f t="shared" si="10"/>
        <v>0.24861169998242003</v>
      </c>
      <c r="K77" s="11">
        <f t="shared" si="10"/>
        <v>9.634323013315102E-2</v>
      </c>
      <c r="L77" s="11">
        <f t="shared" si="10"/>
        <v>0.37943729648097652</v>
      </c>
      <c r="M77" s="11">
        <f t="shared" si="10"/>
        <v>0.15786931270510601</v>
      </c>
      <c r="N77" s="11">
        <f t="shared" si="10"/>
        <v>0.19273281198455358</v>
      </c>
      <c r="O77" s="11">
        <f t="shared" si="10"/>
        <v>0.34122228466081056</v>
      </c>
    </row>
    <row r="78" spans="2:15">
      <c r="B78" s="14"/>
      <c r="C78" s="7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</row>
    <row r="79" spans="2:15">
      <c r="B79" s="14">
        <f>SUM(D67:O67)/SUM(D32:O32)</f>
        <v>0.13552439070399469</v>
      </c>
      <c r="C79" s="7" t="s">
        <v>59</v>
      </c>
      <c r="D79" s="11">
        <f>D67/D32</f>
        <v>5.9191163415403446E-2</v>
      </c>
      <c r="E79" s="11">
        <f t="shared" ref="E79:O79" si="11">E67/E32</f>
        <v>0.2080352383357181</v>
      </c>
      <c r="F79" s="11">
        <f t="shared" si="11"/>
        <v>0.12994215755115093</v>
      </c>
      <c r="G79" s="11">
        <f t="shared" si="11"/>
        <v>0.15664656612625252</v>
      </c>
      <c r="H79" s="11">
        <f t="shared" si="11"/>
        <v>0.17304333115240605</v>
      </c>
      <c r="I79" s="11">
        <f t="shared" si="11"/>
        <v>-0.39238311949163279</v>
      </c>
      <c r="J79" s="11">
        <f t="shared" si="11"/>
        <v>0.22792939059575393</v>
      </c>
      <c r="K79" s="11">
        <f t="shared" si="11"/>
        <v>7.5996191034280694E-2</v>
      </c>
      <c r="L79" s="11">
        <f t="shared" si="11"/>
        <v>0.36338848240809246</v>
      </c>
      <c r="M79" s="11">
        <f t="shared" si="11"/>
        <v>5.8374751546119909E-2</v>
      </c>
      <c r="N79" s="11">
        <f t="shared" si="11"/>
        <v>0.17332777055479012</v>
      </c>
      <c r="O79" s="11">
        <f t="shared" si="11"/>
        <v>0.19014719075645992</v>
      </c>
    </row>
    <row r="80" spans="2:15">
      <c r="B80" s="14"/>
      <c r="C80" s="7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</row>
    <row r="81" spans="2:15">
      <c r="B81" s="14">
        <f>SUM(D68:O68)/SUM(D63:O63)</f>
        <v>2.503469170490527</v>
      </c>
      <c r="C81" s="7" t="s">
        <v>60</v>
      </c>
      <c r="D81" s="11">
        <f>D68/D63</f>
        <v>1.3266385767790263</v>
      </c>
      <c r="E81" s="11">
        <f t="shared" ref="E81:O81" si="12">E68/E63</f>
        <v>6.1866573033707866</v>
      </c>
      <c r="F81" s="11">
        <f t="shared" si="12"/>
        <v>2.410892185078592</v>
      </c>
      <c r="G81" s="11">
        <f t="shared" si="12"/>
        <v>2.1751050105010501</v>
      </c>
      <c r="H81" s="11">
        <f t="shared" si="12"/>
        <v>2.8119036903690371</v>
      </c>
      <c r="I81" s="11">
        <f t="shared" si="12"/>
        <v>1.2079330468124552</v>
      </c>
      <c r="J81" s="11">
        <f t="shared" si="12"/>
        <v>1.788374836725235</v>
      </c>
      <c r="K81" s="11">
        <f t="shared" si="12"/>
        <v>1.9850945940251969</v>
      </c>
      <c r="L81" s="11">
        <f t="shared" si="12"/>
        <v>3.1776692790629082</v>
      </c>
      <c r="M81" s="11">
        <f t="shared" si="12"/>
        <v>2.8014548528463061</v>
      </c>
      <c r="N81" s="11">
        <f t="shared" si="12"/>
        <v>3.1988521344515384</v>
      </c>
      <c r="O81" s="11">
        <f t="shared" si="12"/>
        <v>2.7984487876863944</v>
      </c>
    </row>
    <row r="82" spans="2:15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</sheetData>
  <mergeCells count="16">
    <mergeCell ref="B38:C38"/>
    <mergeCell ref="B32:C32"/>
    <mergeCell ref="B62:C62"/>
    <mergeCell ref="B65:C65"/>
    <mergeCell ref="B67:C67"/>
    <mergeCell ref="B68:C68"/>
    <mergeCell ref="B63:C63"/>
    <mergeCell ref="B39:C39"/>
    <mergeCell ref="B43:C43"/>
    <mergeCell ref="B49:C49"/>
    <mergeCell ref="B55:C55"/>
    <mergeCell ref="B60:C60"/>
    <mergeCell ref="B40:B42"/>
    <mergeCell ref="B44:B48"/>
    <mergeCell ref="B50:B54"/>
    <mergeCell ref="B56:B58"/>
  </mergeCells>
  <phoneticPr fontId="5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3318D-EE0A-4431-B409-2A7402124DF2}">
  <sheetPr codeName="Planilha2"/>
  <dimension ref="A1:P82"/>
  <sheetViews>
    <sheetView showGridLines="0" workbookViewId="0">
      <selection activeCell="G4" sqref="G4"/>
    </sheetView>
  </sheetViews>
  <sheetFormatPr defaultColWidth="0" defaultRowHeight="16.899999999999999"/>
  <cols>
    <col min="1" max="1" width="2.28515625" style="1" customWidth="1"/>
    <col min="2" max="2" width="8.85546875" style="1" customWidth="1"/>
    <col min="3" max="3" width="26.7109375" style="1" customWidth="1"/>
    <col min="4" max="12" width="14.140625" style="1" bestFit="1" customWidth="1"/>
    <col min="13" max="13" width="14.28515625" style="1" bestFit="1" customWidth="1"/>
    <col min="14" max="15" width="14.140625" style="1" bestFit="1" customWidth="1"/>
    <col min="16" max="16" width="2.28515625" style="1" customWidth="1"/>
    <col min="17" max="16384" width="8.85546875" hidden="1"/>
  </cols>
  <sheetData>
    <row r="1" spans="1:16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</row>
    <row r="3" spans="1:16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</row>
    <row r="4" spans="1:16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</row>
    <row r="5" spans="1:16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</row>
    <row r="6" spans="1:16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</row>
    <row r="7" spans="1:16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</row>
    <row r="8" spans="1:16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</row>
    <row r="9" spans="1:16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</row>
    <row r="10" spans="1:16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</row>
    <row r="11" spans="1:16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pans="1:16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1:16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</row>
    <row r="14" spans="1:16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</row>
    <row r="16" spans="1:16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1:16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</row>
    <row r="18" spans="1:16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</row>
    <row r="19" spans="1:16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</row>
    <row r="20" spans="1:16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</row>
    <row r="21" spans="1:16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</row>
    <row r="22" spans="1:16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</row>
    <row r="23" spans="1:16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1:16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1:16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6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</row>
    <row r="31" spans="1:16">
      <c r="D31" s="6" t="s">
        <v>0</v>
      </c>
      <c r="E31" s="6" t="s">
        <v>1</v>
      </c>
      <c r="F31" s="6" t="s">
        <v>2</v>
      </c>
      <c r="G31" s="6" t="s">
        <v>3</v>
      </c>
      <c r="H31" s="6" t="s">
        <v>4</v>
      </c>
      <c r="I31" s="6" t="s">
        <v>5</v>
      </c>
      <c r="J31" s="6" t="s">
        <v>6</v>
      </c>
      <c r="K31" s="6" t="s">
        <v>7</v>
      </c>
      <c r="L31" s="6" t="s">
        <v>8</v>
      </c>
      <c r="M31" s="6" t="s">
        <v>9</v>
      </c>
      <c r="N31" s="6" t="s">
        <v>10</v>
      </c>
      <c r="O31" s="6" t="s">
        <v>11</v>
      </c>
    </row>
    <row r="32" spans="1:16">
      <c r="B32" s="17" t="s">
        <v>12</v>
      </c>
      <c r="C32" s="17"/>
      <c r="D32" s="3">
        <f>SUM(D33:D36)</f>
        <v>0</v>
      </c>
      <c r="E32" s="3">
        <f t="shared" ref="E32:O32" si="0">SUM(E33:E36)</f>
        <v>0</v>
      </c>
      <c r="F32" s="3">
        <f t="shared" si="0"/>
        <v>0</v>
      </c>
      <c r="G32" s="3">
        <f t="shared" si="0"/>
        <v>0</v>
      </c>
      <c r="H32" s="3">
        <f t="shared" si="0"/>
        <v>0</v>
      </c>
      <c r="I32" s="3">
        <f t="shared" si="0"/>
        <v>0</v>
      </c>
      <c r="J32" s="3">
        <f t="shared" si="0"/>
        <v>0</v>
      </c>
      <c r="K32" s="3">
        <f t="shared" si="0"/>
        <v>0</v>
      </c>
      <c r="L32" s="3">
        <f t="shared" si="0"/>
        <v>0</v>
      </c>
      <c r="M32" s="3">
        <f t="shared" si="0"/>
        <v>0</v>
      </c>
      <c r="N32" s="3">
        <f t="shared" si="0"/>
        <v>0</v>
      </c>
      <c r="O32" s="3">
        <f t="shared" si="0"/>
        <v>0</v>
      </c>
    </row>
    <row r="33" spans="2:15">
      <c r="C33" s="1" t="s">
        <v>13</v>
      </c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2:15">
      <c r="C34" s="1" t="s">
        <v>14</v>
      </c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</row>
    <row r="35" spans="2:15">
      <c r="C35" s="1" t="s">
        <v>15</v>
      </c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</row>
    <row r="36" spans="2:15">
      <c r="C36" s="1" t="s">
        <v>16</v>
      </c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</row>
    <row r="38" spans="2:15">
      <c r="B38" s="17" t="s">
        <v>17</v>
      </c>
      <c r="C38" s="17"/>
      <c r="D38" s="3">
        <f>D39+D43+D49+D55</f>
        <v>0</v>
      </c>
      <c r="E38" s="3">
        <f t="shared" ref="E38:O38" si="1">E39+E43+E49+E55</f>
        <v>0</v>
      </c>
      <c r="F38" s="3">
        <f t="shared" si="1"/>
        <v>0</v>
      </c>
      <c r="G38" s="3">
        <f t="shared" si="1"/>
        <v>0</v>
      </c>
      <c r="H38" s="3">
        <f t="shared" si="1"/>
        <v>0</v>
      </c>
      <c r="I38" s="3">
        <f t="shared" si="1"/>
        <v>0</v>
      </c>
      <c r="J38" s="3">
        <f t="shared" si="1"/>
        <v>0</v>
      </c>
      <c r="K38" s="3">
        <f t="shared" si="1"/>
        <v>0</v>
      </c>
      <c r="L38" s="3">
        <f t="shared" si="1"/>
        <v>0</v>
      </c>
      <c r="M38" s="3">
        <f t="shared" si="1"/>
        <v>0</v>
      </c>
      <c r="N38" s="3">
        <f t="shared" si="1"/>
        <v>0</v>
      </c>
      <c r="O38" s="3">
        <f t="shared" si="1"/>
        <v>0</v>
      </c>
    </row>
    <row r="39" spans="2:15" ht="16.899999999999999" customHeight="1">
      <c r="B39" s="17" t="s">
        <v>18</v>
      </c>
      <c r="C39" s="17"/>
      <c r="D39" s="3">
        <f>SUM(D40:D42)</f>
        <v>0</v>
      </c>
      <c r="E39" s="3">
        <f t="shared" ref="E39:O39" si="2">SUM(E40:E42)</f>
        <v>0</v>
      </c>
      <c r="F39" s="3">
        <f t="shared" si="2"/>
        <v>0</v>
      </c>
      <c r="G39" s="3">
        <f t="shared" si="2"/>
        <v>0</v>
      </c>
      <c r="H39" s="3">
        <f t="shared" si="2"/>
        <v>0</v>
      </c>
      <c r="I39" s="3">
        <f t="shared" si="2"/>
        <v>0</v>
      </c>
      <c r="J39" s="3">
        <f t="shared" si="2"/>
        <v>0</v>
      </c>
      <c r="K39" s="3">
        <f t="shared" si="2"/>
        <v>0</v>
      </c>
      <c r="L39" s="3">
        <f t="shared" si="2"/>
        <v>0</v>
      </c>
      <c r="M39" s="3">
        <f t="shared" si="2"/>
        <v>0</v>
      </c>
      <c r="N39" s="3">
        <f t="shared" si="2"/>
        <v>0</v>
      </c>
      <c r="O39" s="3">
        <f t="shared" si="2"/>
        <v>0</v>
      </c>
    </row>
    <row r="40" spans="2:15" ht="16.899999999999999" customHeight="1">
      <c r="B40" s="18"/>
      <c r="C40" s="1" t="s">
        <v>19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</row>
    <row r="41" spans="2:15">
      <c r="B41" s="18"/>
      <c r="C41" s="1" t="s">
        <v>20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</row>
    <row r="42" spans="2:15">
      <c r="B42" s="18"/>
      <c r="C42" s="1" t="s">
        <v>21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</row>
    <row r="43" spans="2:15">
      <c r="B43" s="17" t="s">
        <v>22</v>
      </c>
      <c r="C43" s="17"/>
      <c r="D43" s="3">
        <f>SUM(D44:D48)</f>
        <v>0</v>
      </c>
      <c r="E43" s="3">
        <f t="shared" ref="E43:O43" si="3">SUM(E44:E48)</f>
        <v>0</v>
      </c>
      <c r="F43" s="3">
        <f t="shared" si="3"/>
        <v>0</v>
      </c>
      <c r="G43" s="3">
        <f t="shared" si="3"/>
        <v>0</v>
      </c>
      <c r="H43" s="3">
        <f t="shared" si="3"/>
        <v>0</v>
      </c>
      <c r="I43" s="3">
        <f t="shared" si="3"/>
        <v>0</v>
      </c>
      <c r="J43" s="3">
        <f t="shared" si="3"/>
        <v>0</v>
      </c>
      <c r="K43" s="3">
        <f t="shared" si="3"/>
        <v>0</v>
      </c>
      <c r="L43" s="3">
        <f t="shared" si="3"/>
        <v>0</v>
      </c>
      <c r="M43" s="3">
        <f t="shared" si="3"/>
        <v>0</v>
      </c>
      <c r="N43" s="3">
        <f t="shared" si="3"/>
        <v>0</v>
      </c>
      <c r="O43" s="3">
        <f t="shared" si="3"/>
        <v>0</v>
      </c>
    </row>
    <row r="44" spans="2:15">
      <c r="B44" s="18"/>
      <c r="C44" s="1" t="s">
        <v>23</v>
      </c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</row>
    <row r="45" spans="2:15">
      <c r="B45" s="18"/>
      <c r="C45" s="1" t="s">
        <v>24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</row>
    <row r="46" spans="2:15">
      <c r="B46" s="18"/>
      <c r="C46" s="1" t="s">
        <v>25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</row>
    <row r="47" spans="2:15">
      <c r="B47" s="18"/>
      <c r="C47" s="1" t="s">
        <v>26</v>
      </c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</row>
    <row r="48" spans="2:15">
      <c r="B48" s="18"/>
      <c r="C48" s="1" t="s">
        <v>27</v>
      </c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</row>
    <row r="49" spans="2:15">
      <c r="B49" s="17" t="s">
        <v>28</v>
      </c>
      <c r="C49" s="17"/>
      <c r="D49" s="3">
        <f>SUM(D50:D54)</f>
        <v>0</v>
      </c>
      <c r="E49" s="3">
        <f t="shared" ref="E49:O49" si="4">SUM(E50:E54)</f>
        <v>0</v>
      </c>
      <c r="F49" s="3">
        <f t="shared" si="4"/>
        <v>0</v>
      </c>
      <c r="G49" s="3">
        <f t="shared" si="4"/>
        <v>0</v>
      </c>
      <c r="H49" s="3">
        <f t="shared" si="4"/>
        <v>0</v>
      </c>
      <c r="I49" s="3">
        <f t="shared" si="4"/>
        <v>0</v>
      </c>
      <c r="J49" s="3">
        <f t="shared" si="4"/>
        <v>0</v>
      </c>
      <c r="K49" s="3">
        <f t="shared" si="4"/>
        <v>0</v>
      </c>
      <c r="L49" s="3">
        <f t="shared" si="4"/>
        <v>0</v>
      </c>
      <c r="M49" s="3">
        <f t="shared" si="4"/>
        <v>0</v>
      </c>
      <c r="N49" s="3">
        <f t="shared" si="4"/>
        <v>0</v>
      </c>
      <c r="O49" s="3">
        <f t="shared" si="4"/>
        <v>0</v>
      </c>
    </row>
    <row r="50" spans="2:15">
      <c r="B50" s="18"/>
      <c r="C50" s="1" t="s">
        <v>29</v>
      </c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2:15">
      <c r="B51" s="18"/>
      <c r="C51" s="1" t="s">
        <v>30</v>
      </c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2:15">
      <c r="B52" s="18"/>
      <c r="C52" s="1" t="s">
        <v>31</v>
      </c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</row>
    <row r="53" spans="2:15">
      <c r="B53" s="18"/>
      <c r="C53" s="1" t="s">
        <v>32</v>
      </c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</row>
    <row r="54" spans="2:15">
      <c r="B54" s="18"/>
      <c r="C54" s="1" t="s">
        <v>33</v>
      </c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</row>
    <row r="55" spans="2:15">
      <c r="B55" s="17" t="s">
        <v>34</v>
      </c>
      <c r="C55" s="17"/>
      <c r="D55" s="3">
        <f>SUM(D56:D58)</f>
        <v>0</v>
      </c>
      <c r="E55" s="3">
        <f t="shared" ref="E55:O55" si="5">SUM(E56:E58)</f>
        <v>0</v>
      </c>
      <c r="F55" s="3">
        <f t="shared" si="5"/>
        <v>0</v>
      </c>
      <c r="G55" s="3">
        <f t="shared" si="5"/>
        <v>0</v>
      </c>
      <c r="H55" s="3">
        <f t="shared" si="5"/>
        <v>0</v>
      </c>
      <c r="I55" s="3">
        <f t="shared" si="5"/>
        <v>0</v>
      </c>
      <c r="J55" s="3">
        <f t="shared" si="5"/>
        <v>0</v>
      </c>
      <c r="K55" s="3">
        <f t="shared" si="5"/>
        <v>0</v>
      </c>
      <c r="L55" s="3">
        <f t="shared" si="5"/>
        <v>0</v>
      </c>
      <c r="M55" s="3">
        <f t="shared" si="5"/>
        <v>0</v>
      </c>
      <c r="N55" s="3">
        <f t="shared" si="5"/>
        <v>0</v>
      </c>
      <c r="O55" s="3">
        <f t="shared" si="5"/>
        <v>0</v>
      </c>
    </row>
    <row r="56" spans="2:15">
      <c r="B56" s="18"/>
      <c r="C56" s="1" t="s">
        <v>35</v>
      </c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</row>
    <row r="57" spans="2:15">
      <c r="B57" s="18"/>
      <c r="C57" s="1" t="s">
        <v>36</v>
      </c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</row>
    <row r="58" spans="2:15">
      <c r="B58" s="18"/>
      <c r="C58" s="1" t="s">
        <v>37</v>
      </c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</row>
    <row r="60" spans="2:15">
      <c r="B60" s="16" t="s">
        <v>38</v>
      </c>
      <c r="C60" s="16"/>
      <c r="D60" s="3">
        <f>D32-D38</f>
        <v>0</v>
      </c>
      <c r="E60" s="3">
        <f t="shared" ref="E60:O60" si="6">E32-E38</f>
        <v>0</v>
      </c>
      <c r="F60" s="3">
        <f t="shared" si="6"/>
        <v>0</v>
      </c>
      <c r="G60" s="3">
        <f t="shared" si="6"/>
        <v>0</v>
      </c>
      <c r="H60" s="3">
        <f t="shared" si="6"/>
        <v>0</v>
      </c>
      <c r="I60" s="3">
        <f t="shared" si="6"/>
        <v>0</v>
      </c>
      <c r="J60" s="3">
        <f t="shared" si="6"/>
        <v>0</v>
      </c>
      <c r="K60" s="3">
        <f t="shared" si="6"/>
        <v>0</v>
      </c>
      <c r="L60" s="3">
        <f t="shared" si="6"/>
        <v>0</v>
      </c>
      <c r="M60" s="3">
        <f t="shared" si="6"/>
        <v>0</v>
      </c>
      <c r="N60" s="3">
        <f t="shared" si="6"/>
        <v>0</v>
      </c>
      <c r="O60" s="3">
        <f t="shared" si="6"/>
        <v>0</v>
      </c>
    </row>
    <row r="61" spans="2:15">
      <c r="B61" s="10"/>
      <c r="C61" s="10"/>
    </row>
    <row r="62" spans="2:15">
      <c r="B62" s="16" t="s">
        <v>39</v>
      </c>
      <c r="C62" s="1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2:15">
      <c r="B63" s="16" t="s">
        <v>40</v>
      </c>
      <c r="C63" s="16"/>
      <c r="D63" s="8">
        <f>D62</f>
        <v>0</v>
      </c>
      <c r="E63" s="8">
        <f>D63+E62</f>
        <v>0</v>
      </c>
      <c r="F63" s="8">
        <f t="shared" ref="F63:O63" si="7">E63+F62</f>
        <v>0</v>
      </c>
      <c r="G63" s="8">
        <f t="shared" si="7"/>
        <v>0</v>
      </c>
      <c r="H63" s="8">
        <f t="shared" si="7"/>
        <v>0</v>
      </c>
      <c r="I63" s="8">
        <f t="shared" si="7"/>
        <v>0</v>
      </c>
      <c r="J63" s="8">
        <f t="shared" si="7"/>
        <v>0</v>
      </c>
      <c r="K63" s="8">
        <f t="shared" si="7"/>
        <v>0</v>
      </c>
      <c r="L63" s="8">
        <f t="shared" si="7"/>
        <v>0</v>
      </c>
      <c r="M63" s="8">
        <f t="shared" si="7"/>
        <v>0</v>
      </c>
      <c r="N63" s="8">
        <f t="shared" si="7"/>
        <v>0</v>
      </c>
      <c r="O63" s="8">
        <f t="shared" si="7"/>
        <v>0</v>
      </c>
    </row>
    <row r="64" spans="2:15">
      <c r="B64" s="10"/>
      <c r="C64" s="10"/>
    </row>
    <row r="65" spans="2:15">
      <c r="B65" s="16" t="s">
        <v>41</v>
      </c>
      <c r="C65" s="1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2:15">
      <c r="B66" s="10"/>
      <c r="C66" s="10"/>
    </row>
    <row r="67" spans="2:15">
      <c r="B67" s="16" t="s">
        <v>42</v>
      </c>
      <c r="C67" s="16"/>
      <c r="D67" s="3">
        <f t="shared" ref="D67:O67" si="8">D60-D62-D65</f>
        <v>0</v>
      </c>
      <c r="E67" s="3">
        <f t="shared" si="8"/>
        <v>0</v>
      </c>
      <c r="F67" s="3">
        <f t="shared" si="8"/>
        <v>0</v>
      </c>
      <c r="G67" s="3">
        <f t="shared" si="8"/>
        <v>0</v>
      </c>
      <c r="H67" s="3">
        <f t="shared" si="8"/>
        <v>0</v>
      </c>
      <c r="I67" s="3">
        <f t="shared" si="8"/>
        <v>0</v>
      </c>
      <c r="J67" s="3">
        <f t="shared" si="8"/>
        <v>0</v>
      </c>
      <c r="K67" s="3">
        <f t="shared" si="8"/>
        <v>0</v>
      </c>
      <c r="L67" s="3">
        <f t="shared" si="8"/>
        <v>0</v>
      </c>
      <c r="M67" s="3">
        <f t="shared" si="8"/>
        <v>0</v>
      </c>
      <c r="N67" s="3">
        <f t="shared" si="8"/>
        <v>0</v>
      </c>
      <c r="O67" s="3">
        <f t="shared" si="8"/>
        <v>0</v>
      </c>
    </row>
    <row r="68" spans="2:15">
      <c r="B68" s="16" t="s">
        <v>43</v>
      </c>
      <c r="C68" s="16"/>
      <c r="D68" s="3">
        <f>D67</f>
        <v>0</v>
      </c>
      <c r="E68" s="3">
        <f>D68+E67</f>
        <v>0</v>
      </c>
      <c r="F68" s="3">
        <f t="shared" ref="F68:O68" si="9">E68+F67</f>
        <v>0</v>
      </c>
      <c r="G68" s="3">
        <f t="shared" si="9"/>
        <v>0</v>
      </c>
      <c r="H68" s="3">
        <f t="shared" si="9"/>
        <v>0</v>
      </c>
      <c r="I68" s="3">
        <f t="shared" si="9"/>
        <v>0</v>
      </c>
      <c r="J68" s="3">
        <f t="shared" si="9"/>
        <v>0</v>
      </c>
      <c r="K68" s="3">
        <f t="shared" si="9"/>
        <v>0</v>
      </c>
      <c r="L68" s="3">
        <f t="shared" si="9"/>
        <v>0</v>
      </c>
      <c r="M68" s="3">
        <f t="shared" si="9"/>
        <v>0</v>
      </c>
      <c r="N68" s="3">
        <f t="shared" si="9"/>
        <v>0</v>
      </c>
      <c r="O68" s="3">
        <f t="shared" si="9"/>
        <v>0</v>
      </c>
    </row>
    <row r="75" spans="2:15">
      <c r="B75" s="12" t="s">
        <v>44</v>
      </c>
      <c r="C75" s="6" t="s">
        <v>45</v>
      </c>
      <c r="D75" s="6" t="s">
        <v>46</v>
      </c>
      <c r="E75" s="6" t="s">
        <v>47</v>
      </c>
      <c r="F75" s="6" t="s">
        <v>48</v>
      </c>
      <c r="G75" s="6" t="s">
        <v>49</v>
      </c>
      <c r="H75" s="6" t="s">
        <v>50</v>
      </c>
      <c r="I75" s="6" t="s">
        <v>51</v>
      </c>
      <c r="J75" s="6" t="s">
        <v>52</v>
      </c>
      <c r="K75" s="6" t="s">
        <v>53</v>
      </c>
      <c r="L75" s="6" t="s">
        <v>54</v>
      </c>
      <c r="M75" s="6" t="s">
        <v>55</v>
      </c>
      <c r="N75" s="6" t="s">
        <v>56</v>
      </c>
      <c r="O75" s="6" t="s">
        <v>57</v>
      </c>
    </row>
    <row r="76" spans="2:15">
      <c r="B76" s="13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2:15">
      <c r="B77" s="14" t="str">
        <f>IFERROR(SUM(D60:O60)/SUM(D32:O32),"")</f>
        <v/>
      </c>
      <c r="C77" s="7" t="s">
        <v>58</v>
      </c>
      <c r="D77" s="11" t="e">
        <f>D60/D32</f>
        <v>#DIV/0!</v>
      </c>
      <c r="E77" s="11" t="e">
        <f t="shared" ref="E77:O77" si="10">E60/E32</f>
        <v>#DIV/0!</v>
      </c>
      <c r="F77" s="11" t="e">
        <f t="shared" si="10"/>
        <v>#DIV/0!</v>
      </c>
      <c r="G77" s="11" t="e">
        <f t="shared" si="10"/>
        <v>#DIV/0!</v>
      </c>
      <c r="H77" s="11" t="e">
        <f t="shared" si="10"/>
        <v>#DIV/0!</v>
      </c>
      <c r="I77" s="11" t="e">
        <f t="shared" si="10"/>
        <v>#DIV/0!</v>
      </c>
      <c r="J77" s="11" t="e">
        <f t="shared" si="10"/>
        <v>#DIV/0!</v>
      </c>
      <c r="K77" s="11" t="e">
        <f t="shared" si="10"/>
        <v>#DIV/0!</v>
      </c>
      <c r="L77" s="11" t="e">
        <f t="shared" si="10"/>
        <v>#DIV/0!</v>
      </c>
      <c r="M77" s="11" t="e">
        <f t="shared" si="10"/>
        <v>#DIV/0!</v>
      </c>
      <c r="N77" s="11" t="e">
        <f t="shared" si="10"/>
        <v>#DIV/0!</v>
      </c>
      <c r="O77" s="11" t="e">
        <f t="shared" si="10"/>
        <v>#DIV/0!</v>
      </c>
    </row>
    <row r="78" spans="2:15">
      <c r="B78" s="14"/>
      <c r="C78" s="7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</row>
    <row r="79" spans="2:15">
      <c r="B79" s="14" t="str">
        <f>IFERROR(SUM(D67:O67)/SUM(D32:O32),"")</f>
        <v/>
      </c>
      <c r="C79" s="7" t="s">
        <v>59</v>
      </c>
      <c r="D79" s="11" t="e">
        <f>D67/D32</f>
        <v>#DIV/0!</v>
      </c>
      <c r="E79" s="11" t="e">
        <f t="shared" ref="E79:O79" si="11">E67/E32</f>
        <v>#DIV/0!</v>
      </c>
      <c r="F79" s="11" t="e">
        <f t="shared" si="11"/>
        <v>#DIV/0!</v>
      </c>
      <c r="G79" s="11" t="e">
        <f t="shared" si="11"/>
        <v>#DIV/0!</v>
      </c>
      <c r="H79" s="11" t="e">
        <f t="shared" si="11"/>
        <v>#DIV/0!</v>
      </c>
      <c r="I79" s="11" t="e">
        <f t="shared" si="11"/>
        <v>#DIV/0!</v>
      </c>
      <c r="J79" s="11" t="e">
        <f t="shared" si="11"/>
        <v>#DIV/0!</v>
      </c>
      <c r="K79" s="11" t="e">
        <f t="shared" si="11"/>
        <v>#DIV/0!</v>
      </c>
      <c r="L79" s="11" t="e">
        <f t="shared" si="11"/>
        <v>#DIV/0!</v>
      </c>
      <c r="M79" s="11" t="e">
        <f t="shared" si="11"/>
        <v>#DIV/0!</v>
      </c>
      <c r="N79" s="11" t="e">
        <f t="shared" si="11"/>
        <v>#DIV/0!</v>
      </c>
      <c r="O79" s="11" t="e">
        <f t="shared" si="11"/>
        <v>#DIV/0!</v>
      </c>
    </row>
    <row r="80" spans="2:15">
      <c r="B80" s="14"/>
      <c r="C80" s="7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</row>
    <row r="81" spans="2:15">
      <c r="B81" s="14" t="str">
        <f>IFERROR(SUM(D68:O68)/SUM(D63:O63),"")</f>
        <v/>
      </c>
      <c r="C81" s="7" t="s">
        <v>60</v>
      </c>
      <c r="D81" s="11" t="e">
        <f>D68/D63</f>
        <v>#DIV/0!</v>
      </c>
      <c r="E81" s="11" t="e">
        <f t="shared" ref="E81:O81" si="12">E68/E63</f>
        <v>#DIV/0!</v>
      </c>
      <c r="F81" s="11" t="e">
        <f t="shared" si="12"/>
        <v>#DIV/0!</v>
      </c>
      <c r="G81" s="11" t="e">
        <f t="shared" si="12"/>
        <v>#DIV/0!</v>
      </c>
      <c r="H81" s="11" t="e">
        <f t="shared" si="12"/>
        <v>#DIV/0!</v>
      </c>
      <c r="I81" s="11" t="e">
        <f t="shared" si="12"/>
        <v>#DIV/0!</v>
      </c>
      <c r="J81" s="11" t="e">
        <f t="shared" si="12"/>
        <v>#DIV/0!</v>
      </c>
      <c r="K81" s="11" t="e">
        <f t="shared" si="12"/>
        <v>#DIV/0!</v>
      </c>
      <c r="L81" s="11" t="e">
        <f t="shared" si="12"/>
        <v>#DIV/0!</v>
      </c>
      <c r="M81" s="11" t="e">
        <f t="shared" si="12"/>
        <v>#DIV/0!</v>
      </c>
      <c r="N81" s="11" t="e">
        <f t="shared" si="12"/>
        <v>#DIV/0!</v>
      </c>
      <c r="O81" s="11" t="e">
        <f t="shared" si="12"/>
        <v>#DIV/0!</v>
      </c>
    </row>
    <row r="82" spans="2:15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</sheetData>
  <mergeCells count="16">
    <mergeCell ref="B44:B48"/>
    <mergeCell ref="B32:C32"/>
    <mergeCell ref="B38:C38"/>
    <mergeCell ref="B39:C39"/>
    <mergeCell ref="B40:B42"/>
    <mergeCell ref="B43:C43"/>
    <mergeCell ref="B63:C63"/>
    <mergeCell ref="B65:C65"/>
    <mergeCell ref="B67:C67"/>
    <mergeCell ref="B68:C68"/>
    <mergeCell ref="B49:C49"/>
    <mergeCell ref="B50:B54"/>
    <mergeCell ref="B55:C55"/>
    <mergeCell ref="B56:B58"/>
    <mergeCell ref="B60:C60"/>
    <mergeCell ref="B62:C6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Alfredo Araujo</dc:creator>
  <cp:keywords/>
  <dc:description/>
  <cp:lastModifiedBy>Heitor Catunda</cp:lastModifiedBy>
  <cp:revision/>
  <dcterms:created xsi:type="dcterms:W3CDTF">2015-06-05T18:17:20Z</dcterms:created>
  <dcterms:modified xsi:type="dcterms:W3CDTF">2024-03-27T18:51:28Z</dcterms:modified>
  <cp:category/>
  <cp:contentStatus/>
</cp:coreProperties>
</file>